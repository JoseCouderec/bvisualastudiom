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lombia-my.sharepoint.com/personal/jose_couderec_bam_com_gt/Documents/"/>
    </mc:Choice>
  </mc:AlternateContent>
  <xr:revisionPtr revIDLastSave="1" documentId="8_{BB173359-6BBF-4589-93DD-6255302F9E96}" xr6:coauthVersionLast="47" xr6:coauthVersionMax="47" xr10:uidLastSave="{E3CBA75B-2AA8-4B40-AA1C-4867AF29D09B}"/>
  <bookViews>
    <workbookView xWindow="-110" yWindow="-110" windowWidth="19420" windowHeight="11500" xr2:uid="{EB84E0D4-5A27-4B8C-8BD3-DB1F9D2B446B}"/>
  </bookViews>
  <sheets>
    <sheet name="Mercado 2025 y 2026" sheetId="2" r:id="rId1"/>
    <sheet name="Informacion de Sam" sheetId="3" r:id="rId2"/>
    <sheet name="Supuestos Proyeccion" sheetId="4" r:id="rId3"/>
    <sheet name="Proyeccion Agromercantil" sheetId="5" r:id="rId4"/>
    <sheet name="Graficos" sheetId="6" r:id="rId5"/>
    <sheet name="Sheet1" sheetId="1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1" i="6" l="1" a="1"/>
  <c r="A81" i="6" s="1"/>
  <c r="M80" i="6"/>
  <c r="A80" i="6" a="1"/>
  <c r="A80" i="6" s="1"/>
  <c r="A79" i="6"/>
  <c r="A79" i="6" a="1"/>
  <c r="M78" i="6"/>
  <c r="A78" i="6" a="1"/>
  <c r="A78" i="6" s="1"/>
  <c r="A77" i="6"/>
  <c r="A77" i="6" a="1"/>
  <c r="A76" i="6" a="1"/>
  <c r="A76" i="6" s="1"/>
  <c r="A75" i="6" a="1"/>
  <c r="A75" i="6" s="1"/>
  <c r="M75" i="6" s="1"/>
  <c r="A74" i="6"/>
  <c r="A74" i="6" a="1"/>
  <c r="M73" i="6"/>
  <c r="A73" i="6" a="1"/>
  <c r="A73" i="6" s="1"/>
  <c r="A72" i="6"/>
  <c r="A72" i="6" a="1"/>
  <c r="A71" i="6"/>
  <c r="A71" i="6" a="1"/>
  <c r="A70" i="6"/>
  <c r="M70" i="6" s="1"/>
  <c r="A70" i="6" a="1"/>
  <c r="A69" i="6"/>
  <c r="A69" i="6" a="1"/>
  <c r="M68" i="6"/>
  <c r="A68" i="6" a="1"/>
  <c r="A68" i="6" s="1"/>
  <c r="A67" i="6"/>
  <c r="A67" i="6" a="1"/>
  <c r="A66" i="6" a="1"/>
  <c r="A66" i="6" s="1"/>
  <c r="EZ5" i="5"/>
  <c r="BZ5" i="5"/>
  <c r="HR4" i="5"/>
  <c r="K52" i="4"/>
  <c r="K51" i="4"/>
  <c r="K50" i="4"/>
  <c r="K49" i="4"/>
  <c r="K48" i="4"/>
  <c r="K47" i="4"/>
  <c r="K46" i="4"/>
  <c r="K45" i="4"/>
  <c r="K44" i="4"/>
  <c r="K43" i="4"/>
  <c r="L42" i="4"/>
  <c r="G42" i="4"/>
  <c r="E42" i="4"/>
  <c r="C42" i="4"/>
  <c r="E38" i="4"/>
  <c r="E37" i="4"/>
  <c r="E36" i="4"/>
  <c r="E33" i="4"/>
  <c r="E32" i="4"/>
  <c r="E31" i="4"/>
  <c r="E30" i="4"/>
  <c r="E29" i="4"/>
  <c r="E28" i="4"/>
  <c r="E26" i="4"/>
  <c r="C26" i="4"/>
  <c r="E24" i="4"/>
  <c r="B20" i="4"/>
  <c r="M19" i="4"/>
  <c r="L19" i="4"/>
  <c r="K19" i="4"/>
  <c r="J19" i="4"/>
  <c r="I19" i="4"/>
  <c r="H19" i="4"/>
  <c r="G19" i="4"/>
  <c r="F19" i="4"/>
  <c r="E19" i="4"/>
  <c r="D19" i="4"/>
  <c r="C19" i="4"/>
  <c r="B19" i="4"/>
  <c r="M18" i="4"/>
  <c r="L18" i="4"/>
  <c r="K18" i="4"/>
  <c r="J18" i="4"/>
  <c r="I18" i="4"/>
  <c r="H18" i="4"/>
  <c r="G18" i="4"/>
  <c r="F18" i="4"/>
  <c r="E18" i="4"/>
  <c r="D18" i="4"/>
  <c r="C18" i="4"/>
  <c r="B18" i="4"/>
  <c r="N18" i="4" s="1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14" i="4"/>
  <c r="M20" i="4" s="1"/>
  <c r="L14" i="4"/>
  <c r="L20" i="4" s="1"/>
  <c r="K14" i="4"/>
  <c r="K20" i="4" s="1"/>
  <c r="J14" i="4"/>
  <c r="J20" i="4" s="1"/>
  <c r="I14" i="4"/>
  <c r="I20" i="4" s="1"/>
  <c r="H14" i="4"/>
  <c r="H20" i="4" s="1"/>
  <c r="G14" i="4"/>
  <c r="G20" i="4" s="1"/>
  <c r="F14" i="4"/>
  <c r="F20" i="4" s="1"/>
  <c r="E14" i="4"/>
  <c r="D14" i="4"/>
  <c r="D20" i="4" s="1"/>
  <c r="C14" i="4"/>
  <c r="C20" i="4" s="1"/>
  <c r="B14" i="4"/>
  <c r="B9" i="4" a="1"/>
  <c r="B9" i="4" s="1"/>
  <c r="CM5" i="5" s="1"/>
  <c r="B4" i="4"/>
  <c r="BS17" i="3"/>
  <c r="BS30" i="3" s="1"/>
  <c r="BS39" i="3" s="1"/>
  <c r="BS46" i="3" s="1"/>
  <c r="BR17" i="3"/>
  <c r="BR30" i="3" s="1"/>
  <c r="BR39" i="3" s="1"/>
  <c r="BR46" i="3" s="1"/>
  <c r="X518" i="2"/>
  <c r="W518" i="2"/>
  <c r="V518" i="2"/>
  <c r="Y518" i="2" s="1"/>
  <c r="U518" i="2"/>
  <c r="T518" i="2"/>
  <c r="S518" i="2"/>
  <c r="R518" i="2"/>
  <c r="Q518" i="2"/>
  <c r="N518" i="2"/>
  <c r="M518" i="2"/>
  <c r="L518" i="2"/>
  <c r="K518" i="2"/>
  <c r="J518" i="2"/>
  <c r="I518" i="2"/>
  <c r="H518" i="2"/>
  <c r="G518" i="2"/>
  <c r="X517" i="2"/>
  <c r="W517" i="2"/>
  <c r="V517" i="2"/>
  <c r="U517" i="2"/>
  <c r="T517" i="2"/>
  <c r="S517" i="2"/>
  <c r="R517" i="2"/>
  <c r="Q517" i="2"/>
  <c r="Y517" i="2" s="1"/>
  <c r="N517" i="2"/>
  <c r="M517" i="2"/>
  <c r="L517" i="2"/>
  <c r="K517" i="2"/>
  <c r="J517" i="2"/>
  <c r="I517" i="2"/>
  <c r="H517" i="2"/>
  <c r="G517" i="2"/>
  <c r="X516" i="2"/>
  <c r="W516" i="2"/>
  <c r="V516" i="2"/>
  <c r="U516" i="2"/>
  <c r="T516" i="2"/>
  <c r="S516" i="2"/>
  <c r="R516" i="2"/>
  <c r="Y516" i="2" s="1"/>
  <c r="Q516" i="2"/>
  <c r="N516" i="2"/>
  <c r="M516" i="2"/>
  <c r="L516" i="2"/>
  <c r="K516" i="2"/>
  <c r="J516" i="2"/>
  <c r="I516" i="2"/>
  <c r="H516" i="2"/>
  <c r="G516" i="2"/>
  <c r="Y515" i="2"/>
  <c r="G515" i="2"/>
  <c r="X514" i="2"/>
  <c r="W514" i="2"/>
  <c r="V514" i="2"/>
  <c r="U514" i="2"/>
  <c r="T514" i="2"/>
  <c r="S514" i="2"/>
  <c r="R514" i="2"/>
  <c r="Q514" i="2"/>
  <c r="N514" i="2"/>
  <c r="M514" i="2"/>
  <c r="L514" i="2"/>
  <c r="K514" i="2"/>
  <c r="J514" i="2"/>
  <c r="I514" i="2"/>
  <c r="H514" i="2"/>
  <c r="G514" i="2"/>
  <c r="X513" i="2"/>
  <c r="W513" i="2"/>
  <c r="V513" i="2"/>
  <c r="U513" i="2"/>
  <c r="T513" i="2"/>
  <c r="S513" i="2"/>
  <c r="R513" i="2"/>
  <c r="Q513" i="2"/>
  <c r="N513" i="2"/>
  <c r="M513" i="2"/>
  <c r="L513" i="2"/>
  <c r="K513" i="2"/>
  <c r="J513" i="2"/>
  <c r="I513" i="2"/>
  <c r="H513" i="2"/>
  <c r="G513" i="2"/>
  <c r="X512" i="2"/>
  <c r="W512" i="2"/>
  <c r="V512" i="2"/>
  <c r="U512" i="2"/>
  <c r="T512" i="2"/>
  <c r="S512" i="2"/>
  <c r="R512" i="2"/>
  <c r="Q512" i="2"/>
  <c r="N512" i="2"/>
  <c r="M512" i="2"/>
  <c r="L512" i="2"/>
  <c r="K512" i="2"/>
  <c r="J512" i="2"/>
  <c r="I512" i="2"/>
  <c r="H512" i="2"/>
  <c r="G512" i="2"/>
  <c r="Y511" i="2"/>
  <c r="G511" i="2"/>
  <c r="X510" i="2"/>
  <c r="W510" i="2"/>
  <c r="V510" i="2"/>
  <c r="U510" i="2"/>
  <c r="T510" i="2"/>
  <c r="S510" i="2"/>
  <c r="R510" i="2"/>
  <c r="Y510" i="2" s="1"/>
  <c r="Q510" i="2"/>
  <c r="N510" i="2"/>
  <c r="M510" i="2"/>
  <c r="L510" i="2"/>
  <c r="K510" i="2"/>
  <c r="J510" i="2"/>
  <c r="I510" i="2"/>
  <c r="H510" i="2"/>
  <c r="G510" i="2"/>
  <c r="X509" i="2"/>
  <c r="W509" i="2"/>
  <c r="V509" i="2"/>
  <c r="U509" i="2"/>
  <c r="T509" i="2"/>
  <c r="S509" i="2"/>
  <c r="R509" i="2"/>
  <c r="Q509" i="2"/>
  <c r="Y509" i="2" s="1"/>
  <c r="N509" i="2"/>
  <c r="M509" i="2"/>
  <c r="L509" i="2"/>
  <c r="K509" i="2"/>
  <c r="J509" i="2"/>
  <c r="I509" i="2"/>
  <c r="H509" i="2"/>
  <c r="G509" i="2"/>
  <c r="X508" i="2"/>
  <c r="W508" i="2"/>
  <c r="V508" i="2"/>
  <c r="U508" i="2"/>
  <c r="T508" i="2"/>
  <c r="S508" i="2"/>
  <c r="R508" i="2"/>
  <c r="Q508" i="2"/>
  <c r="N508" i="2"/>
  <c r="M508" i="2"/>
  <c r="L508" i="2"/>
  <c r="K508" i="2"/>
  <c r="J508" i="2"/>
  <c r="I508" i="2"/>
  <c r="H508" i="2"/>
  <c r="G508" i="2"/>
  <c r="X507" i="2"/>
  <c r="W507" i="2"/>
  <c r="V507" i="2"/>
  <c r="U507" i="2"/>
  <c r="T507" i="2"/>
  <c r="S507" i="2"/>
  <c r="R507" i="2"/>
  <c r="Q507" i="2"/>
  <c r="Y507" i="2" s="1"/>
  <c r="N507" i="2"/>
  <c r="M507" i="2"/>
  <c r="L507" i="2"/>
  <c r="K507" i="2"/>
  <c r="J507" i="2"/>
  <c r="I507" i="2"/>
  <c r="H507" i="2"/>
  <c r="G507" i="2"/>
  <c r="Y506" i="2"/>
  <c r="G506" i="2"/>
  <c r="X505" i="2"/>
  <c r="W505" i="2"/>
  <c r="V505" i="2"/>
  <c r="U505" i="2"/>
  <c r="T505" i="2"/>
  <c r="S505" i="2"/>
  <c r="R505" i="2"/>
  <c r="Q505" i="2"/>
  <c r="N505" i="2"/>
  <c r="M505" i="2"/>
  <c r="L505" i="2"/>
  <c r="K505" i="2"/>
  <c r="J505" i="2"/>
  <c r="I505" i="2"/>
  <c r="H505" i="2"/>
  <c r="G505" i="2"/>
  <c r="X504" i="2"/>
  <c r="W504" i="2"/>
  <c r="V504" i="2"/>
  <c r="U504" i="2"/>
  <c r="T504" i="2"/>
  <c r="S504" i="2"/>
  <c r="R504" i="2"/>
  <c r="Q504" i="2"/>
  <c r="Y504" i="2" s="1"/>
  <c r="N504" i="2"/>
  <c r="M504" i="2"/>
  <c r="L504" i="2"/>
  <c r="K504" i="2"/>
  <c r="J504" i="2"/>
  <c r="I504" i="2"/>
  <c r="H504" i="2"/>
  <c r="G504" i="2"/>
  <c r="X503" i="2"/>
  <c r="W503" i="2"/>
  <c r="V503" i="2"/>
  <c r="U503" i="2"/>
  <c r="T503" i="2"/>
  <c r="S503" i="2"/>
  <c r="R503" i="2"/>
  <c r="Y503" i="2" s="1"/>
  <c r="Q503" i="2"/>
  <c r="N503" i="2"/>
  <c r="M503" i="2"/>
  <c r="L503" i="2"/>
  <c r="K503" i="2"/>
  <c r="J503" i="2"/>
  <c r="I503" i="2"/>
  <c r="H503" i="2"/>
  <c r="G503" i="2"/>
  <c r="X502" i="2"/>
  <c r="W502" i="2"/>
  <c r="V502" i="2"/>
  <c r="U502" i="2"/>
  <c r="T502" i="2"/>
  <c r="S502" i="2"/>
  <c r="R502" i="2"/>
  <c r="Y502" i="2" s="1"/>
  <c r="Q502" i="2"/>
  <c r="N502" i="2"/>
  <c r="M502" i="2"/>
  <c r="L502" i="2"/>
  <c r="K502" i="2"/>
  <c r="J502" i="2"/>
  <c r="I502" i="2"/>
  <c r="H502" i="2"/>
  <c r="G502" i="2"/>
  <c r="X501" i="2"/>
  <c r="W501" i="2"/>
  <c r="V501" i="2"/>
  <c r="U501" i="2"/>
  <c r="T501" i="2"/>
  <c r="S501" i="2"/>
  <c r="R501" i="2"/>
  <c r="Q501" i="2"/>
  <c r="Y501" i="2" s="1"/>
  <c r="N501" i="2"/>
  <c r="M501" i="2"/>
  <c r="L501" i="2"/>
  <c r="K501" i="2"/>
  <c r="J501" i="2"/>
  <c r="I501" i="2"/>
  <c r="H501" i="2"/>
  <c r="G501" i="2"/>
  <c r="Y500" i="2"/>
  <c r="X500" i="2"/>
  <c r="W500" i="2"/>
  <c r="V500" i="2"/>
  <c r="U500" i="2"/>
  <c r="T500" i="2"/>
  <c r="S500" i="2"/>
  <c r="R500" i="2"/>
  <c r="Q500" i="2"/>
  <c r="N500" i="2"/>
  <c r="M500" i="2"/>
  <c r="L500" i="2"/>
  <c r="K500" i="2"/>
  <c r="J500" i="2"/>
  <c r="I500" i="2"/>
  <c r="H500" i="2"/>
  <c r="G500" i="2"/>
  <c r="Y499" i="2"/>
  <c r="G499" i="2"/>
  <c r="X498" i="2"/>
  <c r="W498" i="2"/>
  <c r="V498" i="2"/>
  <c r="U498" i="2"/>
  <c r="T498" i="2"/>
  <c r="S498" i="2"/>
  <c r="R498" i="2"/>
  <c r="Q498" i="2"/>
  <c r="Y498" i="2" s="1"/>
  <c r="N498" i="2"/>
  <c r="M498" i="2"/>
  <c r="L498" i="2"/>
  <c r="K498" i="2"/>
  <c r="J498" i="2"/>
  <c r="I498" i="2"/>
  <c r="H498" i="2"/>
  <c r="G498" i="2"/>
  <c r="Y497" i="2"/>
  <c r="X497" i="2"/>
  <c r="W497" i="2"/>
  <c r="V497" i="2"/>
  <c r="U497" i="2"/>
  <c r="T497" i="2"/>
  <c r="S497" i="2"/>
  <c r="R497" i="2"/>
  <c r="Q497" i="2"/>
  <c r="N497" i="2"/>
  <c r="M497" i="2"/>
  <c r="L497" i="2"/>
  <c r="K497" i="2"/>
  <c r="J497" i="2"/>
  <c r="I497" i="2"/>
  <c r="H497" i="2"/>
  <c r="G497" i="2"/>
  <c r="X496" i="2"/>
  <c r="W496" i="2"/>
  <c r="V496" i="2"/>
  <c r="U496" i="2"/>
  <c r="T496" i="2"/>
  <c r="S496" i="2"/>
  <c r="R496" i="2"/>
  <c r="Q496" i="2"/>
  <c r="Y496" i="2" s="1"/>
  <c r="N496" i="2"/>
  <c r="M496" i="2"/>
  <c r="L496" i="2"/>
  <c r="K496" i="2"/>
  <c r="J496" i="2"/>
  <c r="I496" i="2"/>
  <c r="H496" i="2"/>
  <c r="G496" i="2"/>
  <c r="X495" i="2"/>
  <c r="W495" i="2"/>
  <c r="V495" i="2"/>
  <c r="U495" i="2"/>
  <c r="T495" i="2"/>
  <c r="S495" i="2"/>
  <c r="Y495" i="2" s="1"/>
  <c r="R495" i="2"/>
  <c r="Q495" i="2"/>
  <c r="N495" i="2"/>
  <c r="M495" i="2"/>
  <c r="L495" i="2"/>
  <c r="K495" i="2"/>
  <c r="J495" i="2"/>
  <c r="I495" i="2"/>
  <c r="H495" i="2"/>
  <c r="G495" i="2"/>
  <c r="X494" i="2"/>
  <c r="W494" i="2"/>
  <c r="V494" i="2"/>
  <c r="Y494" i="2" s="1"/>
  <c r="U494" i="2"/>
  <c r="T494" i="2"/>
  <c r="S494" i="2"/>
  <c r="R494" i="2"/>
  <c r="Q494" i="2"/>
  <c r="N494" i="2"/>
  <c r="M494" i="2"/>
  <c r="L494" i="2"/>
  <c r="K494" i="2"/>
  <c r="J494" i="2"/>
  <c r="I494" i="2"/>
  <c r="H494" i="2"/>
  <c r="G494" i="2"/>
  <c r="X493" i="2"/>
  <c r="W493" i="2"/>
  <c r="V493" i="2"/>
  <c r="U493" i="2"/>
  <c r="T493" i="2"/>
  <c r="S493" i="2"/>
  <c r="R493" i="2"/>
  <c r="Q493" i="2"/>
  <c r="N493" i="2"/>
  <c r="M493" i="2"/>
  <c r="L493" i="2"/>
  <c r="K493" i="2"/>
  <c r="J493" i="2"/>
  <c r="I493" i="2"/>
  <c r="H493" i="2"/>
  <c r="G493" i="2"/>
  <c r="X492" i="2"/>
  <c r="W492" i="2"/>
  <c r="V492" i="2"/>
  <c r="U492" i="2"/>
  <c r="T492" i="2"/>
  <c r="S492" i="2"/>
  <c r="R492" i="2"/>
  <c r="Q492" i="2"/>
  <c r="N492" i="2"/>
  <c r="M492" i="2"/>
  <c r="L492" i="2"/>
  <c r="K492" i="2"/>
  <c r="J492" i="2"/>
  <c r="I492" i="2"/>
  <c r="H492" i="2"/>
  <c r="G492" i="2"/>
  <c r="X491" i="2"/>
  <c r="W491" i="2"/>
  <c r="V491" i="2"/>
  <c r="U491" i="2"/>
  <c r="T491" i="2"/>
  <c r="S491" i="2"/>
  <c r="R491" i="2"/>
  <c r="Q491" i="2"/>
  <c r="Y491" i="2" s="1"/>
  <c r="N491" i="2"/>
  <c r="M491" i="2"/>
  <c r="L491" i="2"/>
  <c r="K491" i="2"/>
  <c r="J491" i="2"/>
  <c r="I491" i="2"/>
  <c r="H491" i="2"/>
  <c r="G491" i="2"/>
  <c r="X490" i="2"/>
  <c r="W490" i="2"/>
  <c r="V490" i="2"/>
  <c r="U490" i="2"/>
  <c r="T490" i="2"/>
  <c r="S490" i="2"/>
  <c r="R490" i="2"/>
  <c r="Q490" i="2"/>
  <c r="Y490" i="2" s="1"/>
  <c r="N490" i="2"/>
  <c r="M490" i="2"/>
  <c r="L490" i="2"/>
  <c r="K490" i="2"/>
  <c r="J490" i="2"/>
  <c r="I490" i="2"/>
  <c r="H490" i="2"/>
  <c r="G490" i="2"/>
  <c r="X489" i="2"/>
  <c r="W489" i="2"/>
  <c r="V489" i="2"/>
  <c r="U489" i="2"/>
  <c r="T489" i="2"/>
  <c r="S489" i="2"/>
  <c r="R489" i="2"/>
  <c r="Q489" i="2"/>
  <c r="Y489" i="2" s="1"/>
  <c r="N489" i="2"/>
  <c r="M489" i="2"/>
  <c r="L489" i="2"/>
  <c r="K489" i="2"/>
  <c r="J489" i="2"/>
  <c r="I489" i="2"/>
  <c r="H489" i="2"/>
  <c r="G489" i="2"/>
  <c r="Y488" i="2"/>
  <c r="G488" i="2"/>
  <c r="X487" i="2"/>
  <c r="W487" i="2"/>
  <c r="V487" i="2"/>
  <c r="U487" i="2"/>
  <c r="T487" i="2"/>
  <c r="S487" i="2"/>
  <c r="R487" i="2"/>
  <c r="Q487" i="2"/>
  <c r="Y487" i="2" s="1"/>
  <c r="N487" i="2"/>
  <c r="M487" i="2"/>
  <c r="L487" i="2"/>
  <c r="K487" i="2"/>
  <c r="J487" i="2"/>
  <c r="I487" i="2"/>
  <c r="H487" i="2"/>
  <c r="G487" i="2"/>
  <c r="X486" i="2"/>
  <c r="W486" i="2"/>
  <c r="V486" i="2"/>
  <c r="U486" i="2"/>
  <c r="T486" i="2"/>
  <c r="S486" i="2"/>
  <c r="R486" i="2"/>
  <c r="Q486" i="2"/>
  <c r="Y486" i="2" s="1"/>
  <c r="N486" i="2"/>
  <c r="M486" i="2"/>
  <c r="L486" i="2"/>
  <c r="K486" i="2"/>
  <c r="J486" i="2"/>
  <c r="I486" i="2"/>
  <c r="H486" i="2"/>
  <c r="G486" i="2"/>
  <c r="X485" i="2"/>
  <c r="W485" i="2"/>
  <c r="V485" i="2"/>
  <c r="U485" i="2"/>
  <c r="T485" i="2"/>
  <c r="S485" i="2"/>
  <c r="R485" i="2"/>
  <c r="Y485" i="2" s="1"/>
  <c r="Q485" i="2"/>
  <c r="N485" i="2"/>
  <c r="M485" i="2"/>
  <c r="L485" i="2"/>
  <c r="K485" i="2"/>
  <c r="J485" i="2"/>
  <c r="I485" i="2"/>
  <c r="H485" i="2"/>
  <c r="G485" i="2"/>
  <c r="X484" i="2"/>
  <c r="W484" i="2"/>
  <c r="V484" i="2"/>
  <c r="U484" i="2"/>
  <c r="T484" i="2"/>
  <c r="S484" i="2"/>
  <c r="R484" i="2"/>
  <c r="Y484" i="2" s="1"/>
  <c r="Q484" i="2"/>
  <c r="N484" i="2"/>
  <c r="M484" i="2"/>
  <c r="L484" i="2"/>
  <c r="K484" i="2"/>
  <c r="J484" i="2"/>
  <c r="I484" i="2"/>
  <c r="H484" i="2"/>
  <c r="G484" i="2"/>
  <c r="B484" i="2"/>
  <c r="Y483" i="2"/>
  <c r="G483" i="2"/>
  <c r="X482" i="2"/>
  <c r="W482" i="2"/>
  <c r="V482" i="2"/>
  <c r="U482" i="2"/>
  <c r="T482" i="2"/>
  <c r="S482" i="2"/>
  <c r="R482" i="2"/>
  <c r="Y482" i="2" s="1"/>
  <c r="Q482" i="2"/>
  <c r="N482" i="2"/>
  <c r="M482" i="2"/>
  <c r="L482" i="2"/>
  <c r="K482" i="2"/>
  <c r="J482" i="2"/>
  <c r="I482" i="2"/>
  <c r="H482" i="2"/>
  <c r="G482" i="2"/>
  <c r="Y481" i="2"/>
  <c r="G481" i="2"/>
  <c r="X480" i="2"/>
  <c r="W480" i="2"/>
  <c r="V480" i="2"/>
  <c r="U480" i="2"/>
  <c r="T480" i="2"/>
  <c r="S480" i="2"/>
  <c r="R480" i="2"/>
  <c r="Q480" i="2"/>
  <c r="Y480" i="2" s="1"/>
  <c r="N480" i="2"/>
  <c r="M480" i="2"/>
  <c r="L480" i="2"/>
  <c r="K480" i="2"/>
  <c r="J480" i="2"/>
  <c r="I480" i="2"/>
  <c r="H480" i="2"/>
  <c r="G480" i="2"/>
  <c r="Y479" i="2"/>
  <c r="G479" i="2"/>
  <c r="X478" i="2"/>
  <c r="W478" i="2"/>
  <c r="V478" i="2"/>
  <c r="U478" i="2"/>
  <c r="T478" i="2"/>
  <c r="S478" i="2"/>
  <c r="R478" i="2"/>
  <c r="Q478" i="2"/>
  <c r="N478" i="2"/>
  <c r="M478" i="2"/>
  <c r="L478" i="2"/>
  <c r="K478" i="2"/>
  <c r="J478" i="2"/>
  <c r="I478" i="2"/>
  <c r="H478" i="2"/>
  <c r="G478" i="2"/>
  <c r="E478" i="2"/>
  <c r="X477" i="2"/>
  <c r="W477" i="2"/>
  <c r="V477" i="2"/>
  <c r="U477" i="2"/>
  <c r="T477" i="2"/>
  <c r="S477" i="2"/>
  <c r="R477" i="2"/>
  <c r="Q477" i="2"/>
  <c r="Y477" i="2" s="1"/>
  <c r="N477" i="2"/>
  <c r="M477" i="2"/>
  <c r="L477" i="2"/>
  <c r="K477" i="2"/>
  <c r="J477" i="2"/>
  <c r="I477" i="2"/>
  <c r="H477" i="2"/>
  <c r="G477" i="2"/>
  <c r="X476" i="2"/>
  <c r="W476" i="2"/>
  <c r="V476" i="2"/>
  <c r="U476" i="2"/>
  <c r="T476" i="2"/>
  <c r="S476" i="2"/>
  <c r="R476" i="2"/>
  <c r="Y476" i="2" s="1"/>
  <c r="Q476" i="2"/>
  <c r="N476" i="2"/>
  <c r="M476" i="2"/>
  <c r="L476" i="2"/>
  <c r="K476" i="2"/>
  <c r="J476" i="2"/>
  <c r="I476" i="2"/>
  <c r="H476" i="2"/>
  <c r="G476" i="2"/>
  <c r="X475" i="2"/>
  <c r="W475" i="2"/>
  <c r="V475" i="2"/>
  <c r="U475" i="2"/>
  <c r="T475" i="2"/>
  <c r="S475" i="2"/>
  <c r="R475" i="2"/>
  <c r="Y475" i="2" s="1"/>
  <c r="Q475" i="2"/>
  <c r="N475" i="2"/>
  <c r="M475" i="2"/>
  <c r="L475" i="2"/>
  <c r="K475" i="2"/>
  <c r="J475" i="2"/>
  <c r="I475" i="2"/>
  <c r="H475" i="2"/>
  <c r="G475" i="2"/>
  <c r="X474" i="2"/>
  <c r="W474" i="2"/>
  <c r="V474" i="2"/>
  <c r="U474" i="2"/>
  <c r="T474" i="2"/>
  <c r="S474" i="2"/>
  <c r="R474" i="2"/>
  <c r="Q474" i="2"/>
  <c r="Y474" i="2" s="1"/>
  <c r="N474" i="2"/>
  <c r="M474" i="2"/>
  <c r="L474" i="2"/>
  <c r="K474" i="2"/>
  <c r="J474" i="2"/>
  <c r="I474" i="2"/>
  <c r="H474" i="2"/>
  <c r="G474" i="2"/>
  <c r="Y473" i="2"/>
  <c r="G473" i="2"/>
  <c r="X472" i="2"/>
  <c r="W472" i="2"/>
  <c r="V472" i="2"/>
  <c r="U472" i="2"/>
  <c r="T472" i="2"/>
  <c r="S472" i="2"/>
  <c r="R472" i="2"/>
  <c r="Y472" i="2" s="1"/>
  <c r="Q472" i="2"/>
  <c r="N472" i="2"/>
  <c r="M472" i="2"/>
  <c r="L472" i="2"/>
  <c r="K472" i="2"/>
  <c r="J472" i="2"/>
  <c r="I472" i="2"/>
  <c r="H472" i="2"/>
  <c r="G472" i="2"/>
  <c r="X471" i="2"/>
  <c r="W471" i="2"/>
  <c r="V471" i="2"/>
  <c r="U471" i="2"/>
  <c r="T471" i="2"/>
  <c r="S471" i="2"/>
  <c r="R471" i="2"/>
  <c r="Q471" i="2"/>
  <c r="Y471" i="2" s="1"/>
  <c r="N471" i="2"/>
  <c r="M471" i="2"/>
  <c r="L471" i="2"/>
  <c r="K471" i="2"/>
  <c r="J471" i="2"/>
  <c r="I471" i="2"/>
  <c r="H471" i="2"/>
  <c r="G471" i="2"/>
  <c r="Y470" i="2"/>
  <c r="X470" i="2"/>
  <c r="W470" i="2"/>
  <c r="V470" i="2"/>
  <c r="U470" i="2"/>
  <c r="T470" i="2"/>
  <c r="S470" i="2"/>
  <c r="R470" i="2"/>
  <c r="Q470" i="2"/>
  <c r="N470" i="2"/>
  <c r="M470" i="2"/>
  <c r="L470" i="2"/>
  <c r="K470" i="2"/>
  <c r="J470" i="2"/>
  <c r="I470" i="2"/>
  <c r="H470" i="2"/>
  <c r="G470" i="2"/>
  <c r="X469" i="2"/>
  <c r="W469" i="2"/>
  <c r="V469" i="2"/>
  <c r="U469" i="2"/>
  <c r="T469" i="2"/>
  <c r="S469" i="2"/>
  <c r="R469" i="2"/>
  <c r="Q469" i="2"/>
  <c r="Y469" i="2" s="1"/>
  <c r="N469" i="2"/>
  <c r="M469" i="2"/>
  <c r="L469" i="2"/>
  <c r="K469" i="2"/>
  <c r="J469" i="2"/>
  <c r="I469" i="2"/>
  <c r="H469" i="2"/>
  <c r="G469" i="2"/>
  <c r="Y460" i="2"/>
  <c r="F460" i="2"/>
  <c r="E460" i="2"/>
  <c r="D460" i="2"/>
  <c r="C460" i="2"/>
  <c r="B460" i="2"/>
  <c r="Y459" i="2"/>
  <c r="F459" i="2"/>
  <c r="E459" i="2"/>
  <c r="D459" i="2"/>
  <c r="C459" i="2"/>
  <c r="O459" i="2" s="1"/>
  <c r="B459" i="2"/>
  <c r="Y458" i="2"/>
  <c r="F458" i="2"/>
  <c r="E458" i="2"/>
  <c r="D458" i="2"/>
  <c r="O458" i="2" s="1"/>
  <c r="C458" i="2"/>
  <c r="B458" i="2"/>
  <c r="Y457" i="2"/>
  <c r="F457" i="2"/>
  <c r="E457" i="2"/>
  <c r="D457" i="2"/>
  <c r="C457" i="2"/>
  <c r="O457" i="2" s="1"/>
  <c r="B457" i="2"/>
  <c r="Y456" i="2"/>
  <c r="F456" i="2"/>
  <c r="E456" i="2"/>
  <c r="D456" i="2"/>
  <c r="C456" i="2"/>
  <c r="B456" i="2"/>
  <c r="O456" i="2" s="1"/>
  <c r="Y455" i="2"/>
  <c r="F455" i="2"/>
  <c r="E455" i="2"/>
  <c r="D455" i="2"/>
  <c r="C455" i="2"/>
  <c r="B455" i="2"/>
  <c r="Y454" i="2"/>
  <c r="F454" i="2"/>
  <c r="E454" i="2"/>
  <c r="D454" i="2"/>
  <c r="C454" i="2"/>
  <c r="B454" i="2"/>
  <c r="O454" i="2" s="1"/>
  <c r="Y453" i="2"/>
  <c r="O453" i="2"/>
  <c r="F453" i="2"/>
  <c r="E453" i="2"/>
  <c r="D453" i="2"/>
  <c r="C453" i="2"/>
  <c r="B453" i="2"/>
  <c r="Y452" i="2"/>
  <c r="F452" i="2"/>
  <c r="E452" i="2"/>
  <c r="D452" i="2"/>
  <c r="C452" i="2"/>
  <c r="B452" i="2"/>
  <c r="O452" i="2" s="1"/>
  <c r="Y451" i="2"/>
  <c r="F451" i="2"/>
  <c r="E451" i="2"/>
  <c r="O451" i="2" s="1"/>
  <c r="D451" i="2"/>
  <c r="C451" i="2"/>
  <c r="B451" i="2"/>
  <c r="Y450" i="2"/>
  <c r="F450" i="2"/>
  <c r="E450" i="2"/>
  <c r="D450" i="2"/>
  <c r="O450" i="2" s="1"/>
  <c r="C450" i="2"/>
  <c r="B450" i="2"/>
  <c r="Y449" i="2"/>
  <c r="F449" i="2"/>
  <c r="E449" i="2"/>
  <c r="D449" i="2"/>
  <c r="C449" i="2"/>
  <c r="B449" i="2"/>
  <c r="O449" i="2" s="1"/>
  <c r="Y448" i="2"/>
  <c r="F448" i="2"/>
  <c r="E448" i="2"/>
  <c r="D448" i="2"/>
  <c r="C448" i="2"/>
  <c r="B448" i="2"/>
  <c r="O448" i="2" s="1"/>
  <c r="Y447" i="2"/>
  <c r="F447" i="2"/>
  <c r="E447" i="2"/>
  <c r="D447" i="2"/>
  <c r="C447" i="2"/>
  <c r="O447" i="2" s="1"/>
  <c r="B447" i="2"/>
  <c r="Y446" i="2"/>
  <c r="F446" i="2"/>
  <c r="E446" i="2"/>
  <c r="D446" i="2"/>
  <c r="O446" i="2" s="1"/>
  <c r="C446" i="2"/>
  <c r="B446" i="2"/>
  <c r="Y445" i="2"/>
  <c r="F445" i="2"/>
  <c r="E445" i="2"/>
  <c r="D445" i="2"/>
  <c r="C445" i="2"/>
  <c r="O445" i="2" s="1"/>
  <c r="B445" i="2"/>
  <c r="Y444" i="2"/>
  <c r="F444" i="2"/>
  <c r="E444" i="2"/>
  <c r="D444" i="2"/>
  <c r="C444" i="2"/>
  <c r="B444" i="2"/>
  <c r="O444" i="2" s="1"/>
  <c r="Y443" i="2"/>
  <c r="F443" i="2"/>
  <c r="E443" i="2"/>
  <c r="D443" i="2"/>
  <c r="C443" i="2"/>
  <c r="B443" i="2"/>
  <c r="Y442" i="2"/>
  <c r="F442" i="2"/>
  <c r="E442" i="2"/>
  <c r="D442" i="2"/>
  <c r="C442" i="2"/>
  <c r="B442" i="2"/>
  <c r="O442" i="2" s="1"/>
  <c r="Y441" i="2"/>
  <c r="O441" i="2"/>
  <c r="F441" i="2"/>
  <c r="E441" i="2"/>
  <c r="D441" i="2"/>
  <c r="C441" i="2"/>
  <c r="B441" i="2"/>
  <c r="Y440" i="2"/>
  <c r="F440" i="2"/>
  <c r="E440" i="2"/>
  <c r="D440" i="2"/>
  <c r="C440" i="2"/>
  <c r="B440" i="2"/>
  <c r="O440" i="2" s="1"/>
  <c r="Y439" i="2"/>
  <c r="F439" i="2"/>
  <c r="E439" i="2"/>
  <c r="O439" i="2" s="1"/>
  <c r="D439" i="2"/>
  <c r="C439" i="2"/>
  <c r="B439" i="2"/>
  <c r="Y438" i="2"/>
  <c r="F438" i="2"/>
  <c r="E438" i="2"/>
  <c r="D438" i="2"/>
  <c r="O438" i="2" s="1"/>
  <c r="C438" i="2"/>
  <c r="B438" i="2"/>
  <c r="Y437" i="2"/>
  <c r="F437" i="2"/>
  <c r="E437" i="2"/>
  <c r="D437" i="2"/>
  <c r="C437" i="2"/>
  <c r="B437" i="2"/>
  <c r="O437" i="2" s="1"/>
  <c r="Y436" i="2"/>
  <c r="F436" i="2"/>
  <c r="E436" i="2"/>
  <c r="D436" i="2"/>
  <c r="C436" i="2"/>
  <c r="B436" i="2"/>
  <c r="Y435" i="2"/>
  <c r="F435" i="2"/>
  <c r="E435" i="2"/>
  <c r="D435" i="2"/>
  <c r="C435" i="2"/>
  <c r="O435" i="2" s="1"/>
  <c r="B435" i="2"/>
  <c r="Y434" i="2"/>
  <c r="F434" i="2"/>
  <c r="E434" i="2"/>
  <c r="D434" i="2"/>
  <c r="O434" i="2" s="1"/>
  <c r="C434" i="2"/>
  <c r="B434" i="2"/>
  <c r="Y433" i="2"/>
  <c r="F433" i="2"/>
  <c r="E433" i="2"/>
  <c r="D433" i="2"/>
  <c r="C433" i="2"/>
  <c r="O433" i="2" s="1"/>
  <c r="B433" i="2"/>
  <c r="Y432" i="2"/>
  <c r="F432" i="2"/>
  <c r="E432" i="2"/>
  <c r="D432" i="2"/>
  <c r="C432" i="2"/>
  <c r="B432" i="2"/>
  <c r="O432" i="2" s="1"/>
  <c r="Y431" i="2"/>
  <c r="F431" i="2"/>
  <c r="E431" i="2"/>
  <c r="D431" i="2"/>
  <c r="C431" i="2"/>
  <c r="O431" i="2" s="1"/>
  <c r="B431" i="2"/>
  <c r="Y430" i="2"/>
  <c r="F430" i="2"/>
  <c r="E430" i="2"/>
  <c r="D430" i="2"/>
  <c r="C430" i="2"/>
  <c r="B430" i="2"/>
  <c r="O430" i="2" s="1"/>
  <c r="Y429" i="2"/>
  <c r="O429" i="2"/>
  <c r="F429" i="2"/>
  <c r="E429" i="2"/>
  <c r="D429" i="2"/>
  <c r="C429" i="2"/>
  <c r="B429" i="2"/>
  <c r="Y428" i="2"/>
  <c r="F428" i="2"/>
  <c r="E428" i="2"/>
  <c r="D428" i="2"/>
  <c r="C428" i="2"/>
  <c r="B428" i="2"/>
  <c r="O428" i="2" s="1"/>
  <c r="Y427" i="2"/>
  <c r="F427" i="2"/>
  <c r="E427" i="2"/>
  <c r="O427" i="2" s="1"/>
  <c r="D427" i="2"/>
  <c r="C427" i="2"/>
  <c r="B427" i="2"/>
  <c r="Y426" i="2"/>
  <c r="F426" i="2"/>
  <c r="E426" i="2"/>
  <c r="D426" i="2"/>
  <c r="O426" i="2" s="1"/>
  <c r="C426" i="2"/>
  <c r="B426" i="2"/>
  <c r="Y425" i="2"/>
  <c r="F425" i="2"/>
  <c r="E425" i="2"/>
  <c r="D425" i="2"/>
  <c r="C425" i="2"/>
  <c r="B425" i="2"/>
  <c r="O425" i="2" s="1"/>
  <c r="Y424" i="2"/>
  <c r="F424" i="2"/>
  <c r="E424" i="2"/>
  <c r="D424" i="2"/>
  <c r="C424" i="2"/>
  <c r="B424" i="2"/>
  <c r="Y423" i="2"/>
  <c r="F423" i="2"/>
  <c r="E423" i="2"/>
  <c r="D423" i="2"/>
  <c r="C423" i="2"/>
  <c r="O423" i="2" s="1"/>
  <c r="B423" i="2"/>
  <c r="Y422" i="2"/>
  <c r="F422" i="2"/>
  <c r="E422" i="2"/>
  <c r="D422" i="2"/>
  <c r="O422" i="2" s="1"/>
  <c r="C422" i="2"/>
  <c r="B422" i="2"/>
  <c r="Y421" i="2"/>
  <c r="F421" i="2"/>
  <c r="E421" i="2"/>
  <c r="D421" i="2"/>
  <c r="C421" i="2"/>
  <c r="O421" i="2" s="1"/>
  <c r="B421" i="2"/>
  <c r="Y420" i="2"/>
  <c r="F420" i="2"/>
  <c r="E420" i="2"/>
  <c r="D420" i="2"/>
  <c r="C420" i="2"/>
  <c r="B420" i="2"/>
  <c r="O420" i="2" s="1"/>
  <c r="Y419" i="2"/>
  <c r="F419" i="2"/>
  <c r="E419" i="2"/>
  <c r="D419" i="2"/>
  <c r="C419" i="2"/>
  <c r="O419" i="2" s="1"/>
  <c r="B419" i="2"/>
  <c r="Y418" i="2"/>
  <c r="F418" i="2"/>
  <c r="E418" i="2"/>
  <c r="D418" i="2"/>
  <c r="C418" i="2"/>
  <c r="B418" i="2"/>
  <c r="O418" i="2" s="1"/>
  <c r="Y417" i="2"/>
  <c r="O417" i="2"/>
  <c r="F417" i="2"/>
  <c r="E417" i="2"/>
  <c r="D417" i="2"/>
  <c r="C417" i="2"/>
  <c r="B417" i="2"/>
  <c r="Y416" i="2"/>
  <c r="F416" i="2"/>
  <c r="E416" i="2"/>
  <c r="D416" i="2"/>
  <c r="C416" i="2"/>
  <c r="B416" i="2"/>
  <c r="O416" i="2" s="1"/>
  <c r="Y415" i="2"/>
  <c r="F415" i="2"/>
  <c r="E415" i="2"/>
  <c r="O415" i="2" s="1"/>
  <c r="D415" i="2"/>
  <c r="C415" i="2"/>
  <c r="B415" i="2"/>
  <c r="Y414" i="2"/>
  <c r="F414" i="2"/>
  <c r="E414" i="2"/>
  <c r="D414" i="2"/>
  <c r="O414" i="2" s="1"/>
  <c r="C414" i="2"/>
  <c r="B414" i="2"/>
  <c r="Y413" i="2"/>
  <c r="F413" i="2"/>
  <c r="E413" i="2"/>
  <c r="D413" i="2"/>
  <c r="C413" i="2"/>
  <c r="B413" i="2"/>
  <c r="O413" i="2" s="1"/>
  <c r="Y412" i="2"/>
  <c r="F412" i="2"/>
  <c r="E412" i="2"/>
  <c r="D412" i="2"/>
  <c r="C412" i="2"/>
  <c r="B412" i="2"/>
  <c r="Y411" i="2"/>
  <c r="F411" i="2"/>
  <c r="E411" i="2"/>
  <c r="D411" i="2"/>
  <c r="C411" i="2"/>
  <c r="O411" i="2" s="1"/>
  <c r="B411" i="2"/>
  <c r="Y402" i="2"/>
  <c r="F402" i="2"/>
  <c r="E402" i="2"/>
  <c r="D402" i="2"/>
  <c r="O402" i="2" s="1"/>
  <c r="C402" i="2"/>
  <c r="B402" i="2"/>
  <c r="Y401" i="2"/>
  <c r="F401" i="2"/>
  <c r="E401" i="2"/>
  <c r="D401" i="2"/>
  <c r="C401" i="2"/>
  <c r="O401" i="2" s="1"/>
  <c r="B401" i="2"/>
  <c r="Y400" i="2"/>
  <c r="F400" i="2"/>
  <c r="E400" i="2"/>
  <c r="D400" i="2"/>
  <c r="C400" i="2"/>
  <c r="B400" i="2"/>
  <c r="O400" i="2" s="1"/>
  <c r="Y399" i="2"/>
  <c r="F399" i="2"/>
  <c r="E399" i="2"/>
  <c r="D399" i="2"/>
  <c r="C399" i="2"/>
  <c r="O399" i="2" s="1"/>
  <c r="B399" i="2"/>
  <c r="Y398" i="2"/>
  <c r="F398" i="2"/>
  <c r="E398" i="2"/>
  <c r="D398" i="2"/>
  <c r="C398" i="2"/>
  <c r="B398" i="2"/>
  <c r="Y397" i="2"/>
  <c r="O397" i="2"/>
  <c r="F397" i="2"/>
  <c r="E397" i="2"/>
  <c r="D397" i="2"/>
  <c r="C397" i="2"/>
  <c r="B397" i="2"/>
  <c r="Y396" i="2"/>
  <c r="F396" i="2"/>
  <c r="E396" i="2"/>
  <c r="D396" i="2"/>
  <c r="C396" i="2"/>
  <c r="B396" i="2"/>
  <c r="Y395" i="2"/>
  <c r="F395" i="2"/>
  <c r="E395" i="2"/>
  <c r="O395" i="2" s="1"/>
  <c r="D395" i="2"/>
  <c r="C395" i="2"/>
  <c r="B395" i="2"/>
  <c r="Y394" i="2"/>
  <c r="O394" i="2"/>
  <c r="F394" i="2"/>
  <c r="E394" i="2"/>
  <c r="D394" i="2"/>
  <c r="C394" i="2"/>
  <c r="B394" i="2"/>
  <c r="Y393" i="2"/>
  <c r="F393" i="2"/>
  <c r="E393" i="2"/>
  <c r="D393" i="2"/>
  <c r="C393" i="2"/>
  <c r="B393" i="2"/>
  <c r="O393" i="2" s="1"/>
  <c r="Y392" i="2"/>
  <c r="F392" i="2"/>
  <c r="E392" i="2"/>
  <c r="D392" i="2"/>
  <c r="C392" i="2"/>
  <c r="B392" i="2"/>
  <c r="Y391" i="2"/>
  <c r="F391" i="2"/>
  <c r="E391" i="2"/>
  <c r="D391" i="2"/>
  <c r="C391" i="2"/>
  <c r="B391" i="2"/>
  <c r="Y390" i="2"/>
  <c r="F390" i="2"/>
  <c r="E390" i="2"/>
  <c r="D390" i="2"/>
  <c r="O390" i="2" s="1"/>
  <c r="C390" i="2"/>
  <c r="B390" i="2"/>
  <c r="Y389" i="2"/>
  <c r="F389" i="2"/>
  <c r="E389" i="2"/>
  <c r="D389" i="2"/>
  <c r="C389" i="2"/>
  <c r="O389" i="2" s="1"/>
  <c r="B389" i="2"/>
  <c r="Y388" i="2"/>
  <c r="F388" i="2"/>
  <c r="E388" i="2"/>
  <c r="D388" i="2"/>
  <c r="C388" i="2"/>
  <c r="B388" i="2"/>
  <c r="O388" i="2" s="1"/>
  <c r="Y387" i="2"/>
  <c r="F387" i="2"/>
  <c r="E387" i="2"/>
  <c r="D387" i="2"/>
  <c r="C387" i="2"/>
  <c r="B387" i="2"/>
  <c r="Y386" i="2"/>
  <c r="F386" i="2"/>
  <c r="E386" i="2"/>
  <c r="D386" i="2"/>
  <c r="C386" i="2"/>
  <c r="B386" i="2"/>
  <c r="Y385" i="2"/>
  <c r="O385" i="2"/>
  <c r="F385" i="2"/>
  <c r="E385" i="2"/>
  <c r="D385" i="2"/>
  <c r="C385" i="2"/>
  <c r="B385" i="2"/>
  <c r="Y384" i="2"/>
  <c r="F384" i="2"/>
  <c r="E384" i="2"/>
  <c r="D384" i="2"/>
  <c r="C384" i="2"/>
  <c r="B384" i="2"/>
  <c r="O384" i="2" s="1"/>
  <c r="Y383" i="2"/>
  <c r="F383" i="2"/>
  <c r="E383" i="2"/>
  <c r="O383" i="2" s="1"/>
  <c r="D383" i="2"/>
  <c r="C383" i="2"/>
  <c r="B383" i="2"/>
  <c r="Y382" i="2"/>
  <c r="O382" i="2"/>
  <c r="F382" i="2"/>
  <c r="E382" i="2"/>
  <c r="D382" i="2"/>
  <c r="C382" i="2"/>
  <c r="B382" i="2"/>
  <c r="Y381" i="2"/>
  <c r="F381" i="2"/>
  <c r="E381" i="2"/>
  <c r="D381" i="2"/>
  <c r="C381" i="2"/>
  <c r="B381" i="2"/>
  <c r="O381" i="2" s="1"/>
  <c r="Y380" i="2"/>
  <c r="F380" i="2"/>
  <c r="E380" i="2"/>
  <c r="D380" i="2"/>
  <c r="C380" i="2"/>
  <c r="B380" i="2"/>
  <c r="Y379" i="2"/>
  <c r="F379" i="2"/>
  <c r="E379" i="2"/>
  <c r="D379" i="2"/>
  <c r="C379" i="2"/>
  <c r="O379" i="2" s="1"/>
  <c r="B379" i="2"/>
  <c r="Y378" i="2"/>
  <c r="F378" i="2"/>
  <c r="E378" i="2"/>
  <c r="D378" i="2"/>
  <c r="O378" i="2" s="1"/>
  <c r="C378" i="2"/>
  <c r="B378" i="2"/>
  <c r="Y377" i="2"/>
  <c r="F377" i="2"/>
  <c r="E377" i="2"/>
  <c r="D377" i="2"/>
  <c r="C377" i="2"/>
  <c r="B377" i="2"/>
  <c r="Y376" i="2"/>
  <c r="F376" i="2"/>
  <c r="E376" i="2"/>
  <c r="D376" i="2"/>
  <c r="C376" i="2"/>
  <c r="B376" i="2"/>
  <c r="O376" i="2" s="1"/>
  <c r="Y375" i="2"/>
  <c r="F375" i="2"/>
  <c r="E375" i="2"/>
  <c r="D375" i="2"/>
  <c r="C375" i="2"/>
  <c r="O375" i="2" s="1"/>
  <c r="B375" i="2"/>
  <c r="Y374" i="2"/>
  <c r="F374" i="2"/>
  <c r="E374" i="2"/>
  <c r="D374" i="2"/>
  <c r="C374" i="2"/>
  <c r="B374" i="2"/>
  <c r="Y373" i="2"/>
  <c r="O373" i="2"/>
  <c r="F373" i="2"/>
  <c r="E373" i="2"/>
  <c r="D373" i="2"/>
  <c r="C373" i="2"/>
  <c r="B373" i="2"/>
  <c r="Y372" i="2"/>
  <c r="F372" i="2"/>
  <c r="E372" i="2"/>
  <c r="D372" i="2"/>
  <c r="C372" i="2"/>
  <c r="B372" i="2"/>
  <c r="O372" i="2" s="1"/>
  <c r="Y371" i="2"/>
  <c r="F371" i="2"/>
  <c r="E371" i="2"/>
  <c r="O371" i="2" s="1"/>
  <c r="D371" i="2"/>
  <c r="C371" i="2"/>
  <c r="B371" i="2"/>
  <c r="Y370" i="2"/>
  <c r="O370" i="2"/>
  <c r="F370" i="2"/>
  <c r="E370" i="2"/>
  <c r="D370" i="2"/>
  <c r="C370" i="2"/>
  <c r="B370" i="2"/>
  <c r="Y369" i="2"/>
  <c r="F369" i="2"/>
  <c r="E369" i="2"/>
  <c r="D369" i="2"/>
  <c r="C369" i="2"/>
  <c r="B369" i="2"/>
  <c r="O369" i="2" s="1"/>
  <c r="Y368" i="2"/>
  <c r="F368" i="2"/>
  <c r="E368" i="2"/>
  <c r="D368" i="2"/>
  <c r="C368" i="2"/>
  <c r="B368" i="2"/>
  <c r="O368" i="2" s="1"/>
  <c r="Y367" i="2"/>
  <c r="F367" i="2"/>
  <c r="E367" i="2"/>
  <c r="D367" i="2"/>
  <c r="C367" i="2"/>
  <c r="O367" i="2" s="1"/>
  <c r="B367" i="2"/>
  <c r="Y366" i="2"/>
  <c r="F366" i="2"/>
  <c r="E366" i="2"/>
  <c r="D366" i="2"/>
  <c r="O366" i="2" s="1"/>
  <c r="C366" i="2"/>
  <c r="B366" i="2"/>
  <c r="Y365" i="2"/>
  <c r="F365" i="2"/>
  <c r="E365" i="2"/>
  <c r="D365" i="2"/>
  <c r="C365" i="2"/>
  <c r="O365" i="2" s="1"/>
  <c r="B365" i="2"/>
  <c r="Y364" i="2"/>
  <c r="F364" i="2"/>
  <c r="E364" i="2"/>
  <c r="D364" i="2"/>
  <c r="C364" i="2"/>
  <c r="B364" i="2"/>
  <c r="O364" i="2" s="1"/>
  <c r="Y363" i="2"/>
  <c r="F363" i="2"/>
  <c r="E363" i="2"/>
  <c r="D363" i="2"/>
  <c r="C363" i="2"/>
  <c r="O363" i="2" s="1"/>
  <c r="B363" i="2"/>
  <c r="Y362" i="2"/>
  <c r="F362" i="2"/>
  <c r="E362" i="2"/>
  <c r="D362" i="2"/>
  <c r="C362" i="2"/>
  <c r="B362" i="2"/>
  <c r="O362" i="2" s="1"/>
  <c r="Y361" i="2"/>
  <c r="O361" i="2"/>
  <c r="F361" i="2"/>
  <c r="E361" i="2"/>
  <c r="D361" i="2"/>
  <c r="C361" i="2"/>
  <c r="B361" i="2"/>
  <c r="Y360" i="2"/>
  <c r="F360" i="2"/>
  <c r="E360" i="2"/>
  <c r="D360" i="2"/>
  <c r="C360" i="2"/>
  <c r="B360" i="2"/>
  <c r="O360" i="2" s="1"/>
  <c r="Y359" i="2"/>
  <c r="F359" i="2"/>
  <c r="E359" i="2"/>
  <c r="O359" i="2" s="1"/>
  <c r="D359" i="2"/>
  <c r="C359" i="2"/>
  <c r="B359" i="2"/>
  <c r="Y358" i="2"/>
  <c r="F358" i="2"/>
  <c r="E358" i="2"/>
  <c r="D358" i="2"/>
  <c r="O358" i="2" s="1"/>
  <c r="C358" i="2"/>
  <c r="B358" i="2"/>
  <c r="Y357" i="2"/>
  <c r="F357" i="2"/>
  <c r="E357" i="2"/>
  <c r="D357" i="2"/>
  <c r="C357" i="2"/>
  <c r="B357" i="2"/>
  <c r="O357" i="2" s="1"/>
  <c r="Y356" i="2"/>
  <c r="F356" i="2"/>
  <c r="E356" i="2"/>
  <c r="D356" i="2"/>
  <c r="C356" i="2"/>
  <c r="B356" i="2"/>
  <c r="O356" i="2" s="1"/>
  <c r="Y355" i="2"/>
  <c r="F355" i="2"/>
  <c r="E355" i="2"/>
  <c r="D355" i="2"/>
  <c r="C355" i="2"/>
  <c r="O355" i="2" s="1"/>
  <c r="B355" i="2"/>
  <c r="Y354" i="2"/>
  <c r="F354" i="2"/>
  <c r="E354" i="2"/>
  <c r="D354" i="2"/>
  <c r="O354" i="2" s="1"/>
  <c r="C354" i="2"/>
  <c r="B354" i="2"/>
  <c r="Y353" i="2"/>
  <c r="F353" i="2"/>
  <c r="E353" i="2"/>
  <c r="D353" i="2"/>
  <c r="C353" i="2"/>
  <c r="B353" i="2"/>
  <c r="Y344" i="2"/>
  <c r="F344" i="2"/>
  <c r="E344" i="2"/>
  <c r="D344" i="2"/>
  <c r="C344" i="2"/>
  <c r="B344" i="2"/>
  <c r="O344" i="2" s="1"/>
  <c r="Y343" i="2"/>
  <c r="F343" i="2"/>
  <c r="E343" i="2"/>
  <c r="D343" i="2"/>
  <c r="C343" i="2"/>
  <c r="B343" i="2"/>
  <c r="Y342" i="2"/>
  <c r="F342" i="2"/>
  <c r="E342" i="2"/>
  <c r="D342" i="2"/>
  <c r="C342" i="2"/>
  <c r="B342" i="2"/>
  <c r="O342" i="2" s="1"/>
  <c r="Y341" i="2"/>
  <c r="O341" i="2"/>
  <c r="F341" i="2"/>
  <c r="E341" i="2"/>
  <c r="D341" i="2"/>
  <c r="C341" i="2"/>
  <c r="B341" i="2"/>
  <c r="Y340" i="2"/>
  <c r="F340" i="2"/>
  <c r="E340" i="2"/>
  <c r="D340" i="2"/>
  <c r="C340" i="2"/>
  <c r="B340" i="2"/>
  <c r="Y339" i="2"/>
  <c r="F339" i="2"/>
  <c r="E339" i="2"/>
  <c r="O339" i="2" s="1"/>
  <c r="D339" i="2"/>
  <c r="C339" i="2"/>
  <c r="B339" i="2"/>
  <c r="Y338" i="2"/>
  <c r="O338" i="2"/>
  <c r="F338" i="2"/>
  <c r="E338" i="2"/>
  <c r="D338" i="2"/>
  <c r="C338" i="2"/>
  <c r="B338" i="2"/>
  <c r="Y337" i="2"/>
  <c r="F337" i="2"/>
  <c r="E337" i="2"/>
  <c r="D337" i="2"/>
  <c r="C337" i="2"/>
  <c r="B337" i="2"/>
  <c r="O337" i="2" s="1"/>
  <c r="Y336" i="2"/>
  <c r="F336" i="2"/>
  <c r="E336" i="2"/>
  <c r="D336" i="2"/>
  <c r="C336" i="2"/>
  <c r="B336" i="2"/>
  <c r="Y335" i="2"/>
  <c r="F335" i="2"/>
  <c r="E335" i="2"/>
  <c r="D335" i="2"/>
  <c r="C335" i="2"/>
  <c r="O335" i="2" s="1"/>
  <c r="B335" i="2"/>
  <c r="Y334" i="2"/>
  <c r="F334" i="2"/>
  <c r="E334" i="2"/>
  <c r="D334" i="2"/>
  <c r="O334" i="2" s="1"/>
  <c r="C334" i="2"/>
  <c r="B334" i="2"/>
  <c r="Y333" i="2"/>
  <c r="F333" i="2"/>
  <c r="E333" i="2"/>
  <c r="D333" i="2"/>
  <c r="C333" i="2"/>
  <c r="O333" i="2" s="1"/>
  <c r="B333" i="2"/>
  <c r="Y332" i="2"/>
  <c r="F332" i="2"/>
  <c r="E332" i="2"/>
  <c r="D332" i="2"/>
  <c r="C332" i="2"/>
  <c r="B332" i="2"/>
  <c r="O332" i="2" s="1"/>
  <c r="Y331" i="2"/>
  <c r="F331" i="2"/>
  <c r="E331" i="2"/>
  <c r="D331" i="2"/>
  <c r="C331" i="2"/>
  <c r="O331" i="2" s="1"/>
  <c r="B331" i="2"/>
  <c r="Y330" i="2"/>
  <c r="F330" i="2"/>
  <c r="E330" i="2"/>
  <c r="D330" i="2"/>
  <c r="C330" i="2"/>
  <c r="B330" i="2"/>
  <c r="O330" i="2" s="1"/>
  <c r="Y329" i="2"/>
  <c r="O329" i="2"/>
  <c r="F329" i="2"/>
  <c r="E329" i="2"/>
  <c r="D329" i="2"/>
  <c r="C329" i="2"/>
  <c r="B329" i="2"/>
  <c r="Y328" i="2"/>
  <c r="F328" i="2"/>
  <c r="E328" i="2"/>
  <c r="E502" i="2" s="1"/>
  <c r="D328" i="2"/>
  <c r="C328" i="2"/>
  <c r="B328" i="2"/>
  <c r="O328" i="2" s="1"/>
  <c r="Y327" i="2"/>
  <c r="F327" i="2"/>
  <c r="E327" i="2"/>
  <c r="O327" i="2" s="1"/>
  <c r="D327" i="2"/>
  <c r="C327" i="2"/>
  <c r="B327" i="2"/>
  <c r="Y326" i="2"/>
  <c r="F326" i="2"/>
  <c r="E326" i="2"/>
  <c r="D326" i="2"/>
  <c r="O326" i="2" s="1"/>
  <c r="C326" i="2"/>
  <c r="B326" i="2"/>
  <c r="Y325" i="2"/>
  <c r="F325" i="2"/>
  <c r="E325" i="2"/>
  <c r="D325" i="2"/>
  <c r="C325" i="2"/>
  <c r="B325" i="2"/>
  <c r="O325" i="2" s="1"/>
  <c r="Y324" i="2"/>
  <c r="F324" i="2"/>
  <c r="E324" i="2"/>
  <c r="D324" i="2"/>
  <c r="C324" i="2"/>
  <c r="B324" i="2"/>
  <c r="Y323" i="2"/>
  <c r="F323" i="2"/>
  <c r="E323" i="2"/>
  <c r="D323" i="2"/>
  <c r="C323" i="2"/>
  <c r="O323" i="2" s="1"/>
  <c r="B323" i="2"/>
  <c r="Y322" i="2"/>
  <c r="F322" i="2"/>
  <c r="E322" i="2"/>
  <c r="D322" i="2"/>
  <c r="O322" i="2" s="1"/>
  <c r="C322" i="2"/>
  <c r="B322" i="2"/>
  <c r="Y321" i="2"/>
  <c r="F321" i="2"/>
  <c r="E321" i="2"/>
  <c r="D321" i="2"/>
  <c r="C321" i="2"/>
  <c r="O321" i="2" s="1"/>
  <c r="B321" i="2"/>
  <c r="Y320" i="2"/>
  <c r="F320" i="2"/>
  <c r="E320" i="2"/>
  <c r="D320" i="2"/>
  <c r="C320" i="2"/>
  <c r="B320" i="2"/>
  <c r="O320" i="2" s="1"/>
  <c r="Y319" i="2"/>
  <c r="F319" i="2"/>
  <c r="E319" i="2"/>
  <c r="D319" i="2"/>
  <c r="C319" i="2"/>
  <c r="O319" i="2" s="1"/>
  <c r="B319" i="2"/>
  <c r="Y318" i="2"/>
  <c r="F318" i="2"/>
  <c r="E318" i="2"/>
  <c r="D318" i="2"/>
  <c r="C318" i="2"/>
  <c r="B318" i="2"/>
  <c r="Y317" i="2"/>
  <c r="O317" i="2"/>
  <c r="F317" i="2"/>
  <c r="E317" i="2"/>
  <c r="D317" i="2"/>
  <c r="C317" i="2"/>
  <c r="B317" i="2"/>
  <c r="Y316" i="2"/>
  <c r="F316" i="2"/>
  <c r="E316" i="2"/>
  <c r="E490" i="2" s="1"/>
  <c r="D316" i="2"/>
  <c r="C316" i="2"/>
  <c r="B316" i="2"/>
  <c r="Y315" i="2"/>
  <c r="F315" i="2"/>
  <c r="E315" i="2"/>
  <c r="O315" i="2" s="1"/>
  <c r="D315" i="2"/>
  <c r="C315" i="2"/>
  <c r="B315" i="2"/>
  <c r="Y314" i="2"/>
  <c r="O314" i="2"/>
  <c r="F314" i="2"/>
  <c r="E314" i="2"/>
  <c r="D314" i="2"/>
  <c r="C314" i="2"/>
  <c r="B314" i="2"/>
  <c r="Y313" i="2"/>
  <c r="F313" i="2"/>
  <c r="E313" i="2"/>
  <c r="D313" i="2"/>
  <c r="C313" i="2"/>
  <c r="B313" i="2"/>
  <c r="O313" i="2" s="1"/>
  <c r="Y312" i="2"/>
  <c r="F312" i="2"/>
  <c r="E312" i="2"/>
  <c r="D312" i="2"/>
  <c r="C312" i="2"/>
  <c r="B312" i="2"/>
  <c r="Y311" i="2"/>
  <c r="F311" i="2"/>
  <c r="E311" i="2"/>
  <c r="D311" i="2"/>
  <c r="C311" i="2"/>
  <c r="B311" i="2"/>
  <c r="Y310" i="2"/>
  <c r="F310" i="2"/>
  <c r="E310" i="2"/>
  <c r="D310" i="2"/>
  <c r="O310" i="2" s="1"/>
  <c r="C310" i="2"/>
  <c r="B310" i="2"/>
  <c r="Y309" i="2"/>
  <c r="F309" i="2"/>
  <c r="E309" i="2"/>
  <c r="D309" i="2"/>
  <c r="C309" i="2"/>
  <c r="O309" i="2" s="1"/>
  <c r="B309" i="2"/>
  <c r="Y308" i="2"/>
  <c r="F308" i="2"/>
  <c r="E308" i="2"/>
  <c r="D308" i="2"/>
  <c r="C308" i="2"/>
  <c r="B308" i="2"/>
  <c r="Y307" i="2"/>
  <c r="F307" i="2"/>
  <c r="E307" i="2"/>
  <c r="D307" i="2"/>
  <c r="C307" i="2"/>
  <c r="B307" i="2"/>
  <c r="Y306" i="2"/>
  <c r="F306" i="2"/>
  <c r="E306" i="2"/>
  <c r="D306" i="2"/>
  <c r="C306" i="2"/>
  <c r="B306" i="2"/>
  <c r="Y305" i="2"/>
  <c r="F305" i="2"/>
  <c r="E305" i="2"/>
  <c r="D305" i="2"/>
  <c r="C305" i="2"/>
  <c r="O305" i="2" s="1"/>
  <c r="B305" i="2"/>
  <c r="Y304" i="2"/>
  <c r="F304" i="2"/>
  <c r="E304" i="2"/>
  <c r="D304" i="2"/>
  <c r="C304" i="2"/>
  <c r="B304" i="2"/>
  <c r="O304" i="2" s="1"/>
  <c r="Y303" i="2"/>
  <c r="F303" i="2"/>
  <c r="E303" i="2"/>
  <c r="O303" i="2" s="1"/>
  <c r="D303" i="2"/>
  <c r="C303" i="2"/>
  <c r="B303" i="2"/>
  <c r="Y302" i="2"/>
  <c r="O302" i="2"/>
  <c r="F302" i="2"/>
  <c r="E302" i="2"/>
  <c r="D302" i="2"/>
  <c r="C302" i="2"/>
  <c r="B302" i="2"/>
  <c r="Y301" i="2"/>
  <c r="F301" i="2"/>
  <c r="E301" i="2"/>
  <c r="D301" i="2"/>
  <c r="C301" i="2"/>
  <c r="B301" i="2"/>
  <c r="B475" i="2" s="1"/>
  <c r="Y300" i="2"/>
  <c r="F300" i="2"/>
  <c r="E300" i="2"/>
  <c r="D300" i="2"/>
  <c r="C300" i="2"/>
  <c r="B300" i="2"/>
  <c r="O300" i="2" s="1"/>
  <c r="Y299" i="2"/>
  <c r="F299" i="2"/>
  <c r="E299" i="2"/>
  <c r="D299" i="2"/>
  <c r="C299" i="2"/>
  <c r="O299" i="2" s="1"/>
  <c r="B299" i="2"/>
  <c r="Y298" i="2"/>
  <c r="F298" i="2"/>
  <c r="E298" i="2"/>
  <c r="D298" i="2"/>
  <c r="O298" i="2" s="1"/>
  <c r="C298" i="2"/>
  <c r="B298" i="2"/>
  <c r="Y297" i="2"/>
  <c r="F297" i="2"/>
  <c r="E297" i="2"/>
  <c r="D297" i="2"/>
  <c r="C297" i="2"/>
  <c r="O297" i="2" s="1"/>
  <c r="B297" i="2"/>
  <c r="Y296" i="2"/>
  <c r="F296" i="2"/>
  <c r="E296" i="2"/>
  <c r="D296" i="2"/>
  <c r="C296" i="2"/>
  <c r="B296" i="2"/>
  <c r="O296" i="2" s="1"/>
  <c r="Y295" i="2"/>
  <c r="F295" i="2"/>
  <c r="E295" i="2"/>
  <c r="D295" i="2"/>
  <c r="C295" i="2"/>
  <c r="O295" i="2" s="1"/>
  <c r="B295" i="2"/>
  <c r="Y286" i="2"/>
  <c r="F286" i="2"/>
  <c r="E286" i="2"/>
  <c r="D286" i="2"/>
  <c r="C286" i="2"/>
  <c r="B286" i="2"/>
  <c r="O286" i="2" s="1"/>
  <c r="Y285" i="2"/>
  <c r="F285" i="2"/>
  <c r="E285" i="2"/>
  <c r="D285" i="2"/>
  <c r="C285" i="2"/>
  <c r="O285" i="2" s="1"/>
  <c r="B285" i="2"/>
  <c r="Y284" i="2"/>
  <c r="F284" i="2"/>
  <c r="E284" i="2"/>
  <c r="D284" i="2"/>
  <c r="C284" i="2"/>
  <c r="B284" i="2"/>
  <c r="O284" i="2" s="1"/>
  <c r="Y283" i="2"/>
  <c r="F283" i="2"/>
  <c r="E283" i="2"/>
  <c r="O283" i="2" s="1"/>
  <c r="D283" i="2"/>
  <c r="C283" i="2"/>
  <c r="B283" i="2"/>
  <c r="Y282" i="2"/>
  <c r="F282" i="2"/>
  <c r="E282" i="2"/>
  <c r="D282" i="2"/>
  <c r="O282" i="2" s="1"/>
  <c r="C282" i="2"/>
  <c r="B282" i="2"/>
  <c r="Y281" i="2"/>
  <c r="F281" i="2"/>
  <c r="E281" i="2"/>
  <c r="D281" i="2"/>
  <c r="C281" i="2"/>
  <c r="B281" i="2"/>
  <c r="O281" i="2" s="1"/>
  <c r="Y280" i="2"/>
  <c r="F280" i="2"/>
  <c r="E280" i="2"/>
  <c r="D280" i="2"/>
  <c r="C280" i="2"/>
  <c r="B280" i="2"/>
  <c r="O280" i="2" s="1"/>
  <c r="Y279" i="2"/>
  <c r="F279" i="2"/>
  <c r="E279" i="2"/>
  <c r="D279" i="2"/>
  <c r="C279" i="2"/>
  <c r="O279" i="2" s="1"/>
  <c r="B279" i="2"/>
  <c r="Y278" i="2"/>
  <c r="F278" i="2"/>
  <c r="E278" i="2"/>
  <c r="D278" i="2"/>
  <c r="O278" i="2" s="1"/>
  <c r="C278" i="2"/>
  <c r="B278" i="2"/>
  <c r="Y277" i="2"/>
  <c r="F277" i="2"/>
  <c r="F509" i="2" s="1"/>
  <c r="E277" i="2"/>
  <c r="D277" i="2"/>
  <c r="C277" i="2"/>
  <c r="B277" i="2"/>
  <c r="Y276" i="2"/>
  <c r="F276" i="2"/>
  <c r="E276" i="2"/>
  <c r="D276" i="2"/>
  <c r="C276" i="2"/>
  <c r="B276" i="2"/>
  <c r="O276" i="2" s="1"/>
  <c r="Y275" i="2"/>
  <c r="F275" i="2"/>
  <c r="E275" i="2"/>
  <c r="D275" i="2"/>
  <c r="C275" i="2"/>
  <c r="B275" i="2"/>
  <c r="Y274" i="2"/>
  <c r="F274" i="2"/>
  <c r="E274" i="2"/>
  <c r="D274" i="2"/>
  <c r="C274" i="2"/>
  <c r="B274" i="2"/>
  <c r="O274" i="2" s="1"/>
  <c r="Y273" i="2"/>
  <c r="O273" i="2"/>
  <c r="F273" i="2"/>
  <c r="E273" i="2"/>
  <c r="D273" i="2"/>
  <c r="C273" i="2"/>
  <c r="B273" i="2"/>
  <c r="Y272" i="2"/>
  <c r="F272" i="2"/>
  <c r="E272" i="2"/>
  <c r="D272" i="2"/>
  <c r="C272" i="2"/>
  <c r="B272" i="2"/>
  <c r="Y271" i="2"/>
  <c r="F271" i="2"/>
  <c r="E271" i="2"/>
  <c r="O271" i="2" s="1"/>
  <c r="D271" i="2"/>
  <c r="C271" i="2"/>
  <c r="B271" i="2"/>
  <c r="Y270" i="2"/>
  <c r="O270" i="2"/>
  <c r="F270" i="2"/>
  <c r="E270" i="2"/>
  <c r="D270" i="2"/>
  <c r="C270" i="2"/>
  <c r="B270" i="2"/>
  <c r="Y269" i="2"/>
  <c r="F269" i="2"/>
  <c r="E269" i="2"/>
  <c r="D269" i="2"/>
  <c r="C269" i="2"/>
  <c r="B269" i="2"/>
  <c r="O269" i="2" s="1"/>
  <c r="Y268" i="2"/>
  <c r="F268" i="2"/>
  <c r="E268" i="2"/>
  <c r="D268" i="2"/>
  <c r="C268" i="2"/>
  <c r="B268" i="2"/>
  <c r="O268" i="2" s="1"/>
  <c r="Y267" i="2"/>
  <c r="F267" i="2"/>
  <c r="E267" i="2"/>
  <c r="D267" i="2"/>
  <c r="C267" i="2"/>
  <c r="B267" i="2"/>
  <c r="Y266" i="2"/>
  <c r="F266" i="2"/>
  <c r="E266" i="2"/>
  <c r="D266" i="2"/>
  <c r="O266" i="2" s="1"/>
  <c r="C266" i="2"/>
  <c r="B266" i="2"/>
  <c r="Y265" i="2"/>
  <c r="F265" i="2"/>
  <c r="E265" i="2"/>
  <c r="D265" i="2"/>
  <c r="C265" i="2"/>
  <c r="B265" i="2"/>
  <c r="Y264" i="2"/>
  <c r="F264" i="2"/>
  <c r="E264" i="2"/>
  <c r="D264" i="2"/>
  <c r="C264" i="2"/>
  <c r="B264" i="2"/>
  <c r="O264" i="2" s="1"/>
  <c r="Y263" i="2"/>
  <c r="F263" i="2"/>
  <c r="E263" i="2"/>
  <c r="D263" i="2"/>
  <c r="C263" i="2"/>
  <c r="B263" i="2"/>
  <c r="Y262" i="2"/>
  <c r="F262" i="2"/>
  <c r="E262" i="2"/>
  <c r="D262" i="2"/>
  <c r="C262" i="2"/>
  <c r="B262" i="2"/>
  <c r="O262" i="2" s="1"/>
  <c r="Y261" i="2"/>
  <c r="F261" i="2"/>
  <c r="E261" i="2"/>
  <c r="D261" i="2"/>
  <c r="C261" i="2"/>
  <c r="O261" i="2" s="1"/>
  <c r="B261" i="2"/>
  <c r="Y260" i="2"/>
  <c r="F260" i="2"/>
  <c r="E260" i="2"/>
  <c r="D260" i="2"/>
  <c r="C260" i="2"/>
  <c r="B260" i="2"/>
  <c r="Y259" i="2"/>
  <c r="F259" i="2"/>
  <c r="E259" i="2"/>
  <c r="O259" i="2" s="1"/>
  <c r="D259" i="2"/>
  <c r="C259" i="2"/>
  <c r="B259" i="2"/>
  <c r="Y258" i="2"/>
  <c r="F258" i="2"/>
  <c r="E258" i="2"/>
  <c r="D258" i="2"/>
  <c r="O258" i="2" s="1"/>
  <c r="C258" i="2"/>
  <c r="B258" i="2"/>
  <c r="Y257" i="2"/>
  <c r="O257" i="2"/>
  <c r="F257" i="2"/>
  <c r="E257" i="2"/>
  <c r="D257" i="2"/>
  <c r="C257" i="2"/>
  <c r="B257" i="2"/>
  <c r="Y256" i="2"/>
  <c r="F256" i="2"/>
  <c r="E256" i="2"/>
  <c r="D256" i="2"/>
  <c r="C256" i="2"/>
  <c r="B256" i="2"/>
  <c r="Y255" i="2"/>
  <c r="F255" i="2"/>
  <c r="E255" i="2"/>
  <c r="D255" i="2"/>
  <c r="C255" i="2"/>
  <c r="B255" i="2"/>
  <c r="Y254" i="2"/>
  <c r="F254" i="2"/>
  <c r="E254" i="2"/>
  <c r="D254" i="2"/>
  <c r="C254" i="2"/>
  <c r="B254" i="2"/>
  <c r="O254" i="2" s="1"/>
  <c r="Y253" i="2"/>
  <c r="F253" i="2"/>
  <c r="F485" i="2" s="1"/>
  <c r="E253" i="2"/>
  <c r="D253" i="2"/>
  <c r="C253" i="2"/>
  <c r="O253" i="2" s="1"/>
  <c r="B253" i="2"/>
  <c r="Y252" i="2"/>
  <c r="F252" i="2"/>
  <c r="E252" i="2"/>
  <c r="D252" i="2"/>
  <c r="C252" i="2"/>
  <c r="B252" i="2"/>
  <c r="Y251" i="2"/>
  <c r="F251" i="2"/>
  <c r="E251" i="2"/>
  <c r="D251" i="2"/>
  <c r="C251" i="2"/>
  <c r="B251" i="2"/>
  <c r="Y250" i="2"/>
  <c r="F250" i="2"/>
  <c r="E250" i="2"/>
  <c r="D250" i="2"/>
  <c r="C250" i="2"/>
  <c r="C482" i="2" s="1"/>
  <c r="B250" i="2"/>
  <c r="O250" i="2" s="1"/>
  <c r="Y249" i="2"/>
  <c r="F249" i="2"/>
  <c r="E249" i="2"/>
  <c r="D249" i="2"/>
  <c r="C249" i="2"/>
  <c r="O249" i="2" s="1"/>
  <c r="B249" i="2"/>
  <c r="Y248" i="2"/>
  <c r="F248" i="2"/>
  <c r="E248" i="2"/>
  <c r="D248" i="2"/>
  <c r="C248" i="2"/>
  <c r="B248" i="2"/>
  <c r="O248" i="2" s="1"/>
  <c r="Y247" i="2"/>
  <c r="F247" i="2"/>
  <c r="E247" i="2"/>
  <c r="O247" i="2" s="1"/>
  <c r="D247" i="2"/>
  <c r="C247" i="2"/>
  <c r="B247" i="2"/>
  <c r="Y246" i="2"/>
  <c r="O246" i="2"/>
  <c r="F246" i="2"/>
  <c r="E246" i="2"/>
  <c r="D246" i="2"/>
  <c r="C246" i="2"/>
  <c r="B246" i="2"/>
  <c r="Y245" i="2"/>
  <c r="F245" i="2"/>
  <c r="E245" i="2"/>
  <c r="D245" i="2"/>
  <c r="C245" i="2"/>
  <c r="B245" i="2"/>
  <c r="O245" i="2" s="1"/>
  <c r="Y244" i="2"/>
  <c r="F244" i="2"/>
  <c r="E244" i="2"/>
  <c r="D244" i="2"/>
  <c r="C244" i="2"/>
  <c r="B244" i="2"/>
  <c r="O244" i="2" s="1"/>
  <c r="Y243" i="2"/>
  <c r="F243" i="2"/>
  <c r="E243" i="2"/>
  <c r="D243" i="2"/>
  <c r="C243" i="2"/>
  <c r="O243" i="2" s="1"/>
  <c r="B243" i="2"/>
  <c r="Y242" i="2"/>
  <c r="F242" i="2"/>
  <c r="E242" i="2"/>
  <c r="D242" i="2"/>
  <c r="C242" i="2"/>
  <c r="B242" i="2"/>
  <c r="O242" i="2" s="1"/>
  <c r="Y241" i="2"/>
  <c r="F241" i="2"/>
  <c r="E241" i="2"/>
  <c r="D241" i="2"/>
  <c r="C241" i="2"/>
  <c r="O241" i="2" s="1"/>
  <c r="B241" i="2"/>
  <c r="Y240" i="2"/>
  <c r="F240" i="2"/>
  <c r="E240" i="2"/>
  <c r="D240" i="2"/>
  <c r="C240" i="2"/>
  <c r="B240" i="2"/>
  <c r="O240" i="2" s="1"/>
  <c r="Y239" i="2"/>
  <c r="F239" i="2"/>
  <c r="E239" i="2"/>
  <c r="D239" i="2"/>
  <c r="C239" i="2"/>
  <c r="O239" i="2" s="1"/>
  <c r="B239" i="2"/>
  <c r="Y238" i="2"/>
  <c r="F238" i="2"/>
  <c r="E238" i="2"/>
  <c r="D238" i="2"/>
  <c r="C238" i="2"/>
  <c r="C470" i="2" s="1"/>
  <c r="B238" i="2"/>
  <c r="O238" i="2" s="1"/>
  <c r="Y237" i="2"/>
  <c r="F237" i="2"/>
  <c r="E237" i="2"/>
  <c r="D237" i="2"/>
  <c r="C237" i="2"/>
  <c r="O237" i="2" s="1"/>
  <c r="B237" i="2"/>
  <c r="Y228" i="2"/>
  <c r="F228" i="2"/>
  <c r="E228" i="2"/>
  <c r="D228" i="2"/>
  <c r="C228" i="2"/>
  <c r="B228" i="2"/>
  <c r="O228" i="2" s="1"/>
  <c r="Y227" i="2"/>
  <c r="F227" i="2"/>
  <c r="E227" i="2"/>
  <c r="O227" i="2" s="1"/>
  <c r="D227" i="2"/>
  <c r="C227" i="2"/>
  <c r="B227" i="2"/>
  <c r="Y226" i="2"/>
  <c r="F226" i="2"/>
  <c r="E226" i="2"/>
  <c r="D226" i="2"/>
  <c r="O226" i="2" s="1"/>
  <c r="C226" i="2"/>
  <c r="B226" i="2"/>
  <c r="Y225" i="2"/>
  <c r="F225" i="2"/>
  <c r="E225" i="2"/>
  <c r="D225" i="2"/>
  <c r="C225" i="2"/>
  <c r="B225" i="2"/>
  <c r="O225" i="2" s="1"/>
  <c r="Y224" i="2"/>
  <c r="F224" i="2"/>
  <c r="E224" i="2"/>
  <c r="D224" i="2"/>
  <c r="C224" i="2"/>
  <c r="B224" i="2"/>
  <c r="O224" i="2" s="1"/>
  <c r="Y223" i="2"/>
  <c r="F223" i="2"/>
  <c r="E223" i="2"/>
  <c r="D223" i="2"/>
  <c r="C223" i="2"/>
  <c r="O223" i="2" s="1"/>
  <c r="B223" i="2"/>
  <c r="Y222" i="2"/>
  <c r="F222" i="2"/>
  <c r="E222" i="2"/>
  <c r="D222" i="2"/>
  <c r="C222" i="2"/>
  <c r="B222" i="2"/>
  <c r="Y221" i="2"/>
  <c r="F221" i="2"/>
  <c r="E221" i="2"/>
  <c r="D221" i="2"/>
  <c r="C221" i="2"/>
  <c r="B221" i="2"/>
  <c r="Y220" i="2"/>
  <c r="F220" i="2"/>
  <c r="E220" i="2"/>
  <c r="D220" i="2"/>
  <c r="C220" i="2"/>
  <c r="B220" i="2"/>
  <c r="O220" i="2" s="1"/>
  <c r="Y219" i="2"/>
  <c r="F219" i="2"/>
  <c r="E219" i="2"/>
  <c r="D219" i="2"/>
  <c r="C219" i="2"/>
  <c r="B219" i="2"/>
  <c r="Y218" i="2"/>
  <c r="F218" i="2"/>
  <c r="E218" i="2"/>
  <c r="D218" i="2"/>
  <c r="C218" i="2"/>
  <c r="B218" i="2"/>
  <c r="O218" i="2" s="1"/>
  <c r="Y217" i="2"/>
  <c r="O217" i="2"/>
  <c r="F217" i="2"/>
  <c r="E217" i="2"/>
  <c r="D217" i="2"/>
  <c r="C217" i="2"/>
  <c r="B217" i="2"/>
  <c r="Y216" i="2"/>
  <c r="F216" i="2"/>
  <c r="E216" i="2"/>
  <c r="D216" i="2"/>
  <c r="C216" i="2"/>
  <c r="B216" i="2"/>
  <c r="Y215" i="2"/>
  <c r="F215" i="2"/>
  <c r="E215" i="2"/>
  <c r="O215" i="2" s="1"/>
  <c r="D215" i="2"/>
  <c r="C215" i="2"/>
  <c r="B215" i="2"/>
  <c r="Y214" i="2"/>
  <c r="O214" i="2"/>
  <c r="F214" i="2"/>
  <c r="E214" i="2"/>
  <c r="D214" i="2"/>
  <c r="C214" i="2"/>
  <c r="B214" i="2"/>
  <c r="Y213" i="2"/>
  <c r="F213" i="2"/>
  <c r="E213" i="2"/>
  <c r="D213" i="2"/>
  <c r="C213" i="2"/>
  <c r="B213" i="2"/>
  <c r="O213" i="2" s="1"/>
  <c r="Y212" i="2"/>
  <c r="F212" i="2"/>
  <c r="E212" i="2"/>
  <c r="D212" i="2"/>
  <c r="C212" i="2"/>
  <c r="B212" i="2"/>
  <c r="O212" i="2" s="1"/>
  <c r="Y211" i="2"/>
  <c r="F211" i="2"/>
  <c r="E211" i="2"/>
  <c r="D211" i="2"/>
  <c r="C211" i="2"/>
  <c r="B211" i="2"/>
  <c r="Y210" i="2"/>
  <c r="F210" i="2"/>
  <c r="E210" i="2"/>
  <c r="D210" i="2"/>
  <c r="C210" i="2"/>
  <c r="B210" i="2"/>
  <c r="O210" i="2" s="1"/>
  <c r="Y209" i="2"/>
  <c r="F209" i="2"/>
  <c r="E209" i="2"/>
  <c r="D209" i="2"/>
  <c r="C209" i="2"/>
  <c r="B209" i="2"/>
  <c r="Y208" i="2"/>
  <c r="F208" i="2"/>
  <c r="E208" i="2"/>
  <c r="D208" i="2"/>
  <c r="C208" i="2"/>
  <c r="B208" i="2"/>
  <c r="O208" i="2" s="1"/>
  <c r="Y207" i="2"/>
  <c r="F207" i="2"/>
  <c r="E207" i="2"/>
  <c r="D207" i="2"/>
  <c r="C207" i="2"/>
  <c r="B207" i="2"/>
  <c r="Y206" i="2"/>
  <c r="F206" i="2"/>
  <c r="E206" i="2"/>
  <c r="D206" i="2"/>
  <c r="C206" i="2"/>
  <c r="B206" i="2"/>
  <c r="O206" i="2" s="1"/>
  <c r="Y205" i="2"/>
  <c r="F205" i="2"/>
  <c r="E205" i="2"/>
  <c r="D205" i="2"/>
  <c r="C205" i="2"/>
  <c r="O205" i="2" s="1"/>
  <c r="B205" i="2"/>
  <c r="Y204" i="2"/>
  <c r="F204" i="2"/>
  <c r="E204" i="2"/>
  <c r="D204" i="2"/>
  <c r="C204" i="2"/>
  <c r="B204" i="2"/>
  <c r="Y203" i="2"/>
  <c r="F203" i="2"/>
  <c r="E203" i="2"/>
  <c r="O203" i="2" s="1"/>
  <c r="D203" i="2"/>
  <c r="C203" i="2"/>
  <c r="B203" i="2"/>
  <c r="Y202" i="2"/>
  <c r="F202" i="2"/>
  <c r="E202" i="2"/>
  <c r="D202" i="2"/>
  <c r="O202" i="2" s="1"/>
  <c r="C202" i="2"/>
  <c r="B202" i="2"/>
  <c r="Y201" i="2"/>
  <c r="O201" i="2"/>
  <c r="F201" i="2"/>
  <c r="E201" i="2"/>
  <c r="D201" i="2"/>
  <c r="C201" i="2"/>
  <c r="B201" i="2"/>
  <c r="Y200" i="2"/>
  <c r="F200" i="2"/>
  <c r="E200" i="2"/>
  <c r="D200" i="2"/>
  <c r="C200" i="2"/>
  <c r="B200" i="2"/>
  <c r="Y199" i="2"/>
  <c r="F199" i="2"/>
  <c r="E199" i="2"/>
  <c r="D199" i="2"/>
  <c r="D489" i="2" s="1"/>
  <c r="C199" i="2"/>
  <c r="B199" i="2"/>
  <c r="Y198" i="2"/>
  <c r="F198" i="2"/>
  <c r="E198" i="2"/>
  <c r="D198" i="2"/>
  <c r="C198" i="2"/>
  <c r="B198" i="2"/>
  <c r="O198" i="2" s="1"/>
  <c r="Y197" i="2"/>
  <c r="F197" i="2"/>
  <c r="E197" i="2"/>
  <c r="D197" i="2"/>
  <c r="C197" i="2"/>
  <c r="O197" i="2" s="1"/>
  <c r="B197" i="2"/>
  <c r="Y196" i="2"/>
  <c r="F196" i="2"/>
  <c r="E196" i="2"/>
  <c r="D196" i="2"/>
  <c r="C196" i="2"/>
  <c r="B196" i="2"/>
  <c r="Y195" i="2"/>
  <c r="F195" i="2"/>
  <c r="E195" i="2"/>
  <c r="D195" i="2"/>
  <c r="C195" i="2"/>
  <c r="B195" i="2"/>
  <c r="Y194" i="2"/>
  <c r="F194" i="2"/>
  <c r="E194" i="2"/>
  <c r="D194" i="2"/>
  <c r="C194" i="2"/>
  <c r="B194" i="2"/>
  <c r="O194" i="2" s="1"/>
  <c r="Y193" i="2"/>
  <c r="F193" i="2"/>
  <c r="E193" i="2"/>
  <c r="D193" i="2"/>
  <c r="C193" i="2"/>
  <c r="O193" i="2" s="1"/>
  <c r="B193" i="2"/>
  <c r="Y192" i="2"/>
  <c r="F192" i="2"/>
  <c r="E192" i="2"/>
  <c r="D192" i="2"/>
  <c r="C192" i="2"/>
  <c r="B192" i="2"/>
  <c r="O192" i="2" s="1"/>
  <c r="Y191" i="2"/>
  <c r="F191" i="2"/>
  <c r="E191" i="2"/>
  <c r="O191" i="2" s="1"/>
  <c r="D191" i="2"/>
  <c r="C191" i="2"/>
  <c r="B191" i="2"/>
  <c r="Y190" i="2"/>
  <c r="O190" i="2"/>
  <c r="F190" i="2"/>
  <c r="E190" i="2"/>
  <c r="D190" i="2"/>
  <c r="C190" i="2"/>
  <c r="B190" i="2"/>
  <c r="Y189" i="2"/>
  <c r="F189" i="2"/>
  <c r="E189" i="2"/>
  <c r="D189" i="2"/>
  <c r="C189" i="2"/>
  <c r="B189" i="2"/>
  <c r="O189" i="2" s="1"/>
  <c r="Y188" i="2"/>
  <c r="F188" i="2"/>
  <c r="E188" i="2"/>
  <c r="D188" i="2"/>
  <c r="C188" i="2"/>
  <c r="B188" i="2"/>
  <c r="O188" i="2" s="1"/>
  <c r="Y187" i="2"/>
  <c r="F187" i="2"/>
  <c r="E187" i="2"/>
  <c r="D187" i="2"/>
  <c r="D477" i="2" s="1"/>
  <c r="C187" i="2"/>
  <c r="O187" i="2" s="1"/>
  <c r="B187" i="2"/>
  <c r="Y186" i="2"/>
  <c r="F186" i="2"/>
  <c r="E186" i="2"/>
  <c r="D186" i="2"/>
  <c r="C186" i="2"/>
  <c r="B186" i="2"/>
  <c r="O186" i="2" s="1"/>
  <c r="Y185" i="2"/>
  <c r="F185" i="2"/>
  <c r="E185" i="2"/>
  <c r="D185" i="2"/>
  <c r="C185" i="2"/>
  <c r="O185" i="2" s="1"/>
  <c r="B185" i="2"/>
  <c r="Y184" i="2"/>
  <c r="F184" i="2"/>
  <c r="E184" i="2"/>
  <c r="D184" i="2"/>
  <c r="C184" i="2"/>
  <c r="B184" i="2"/>
  <c r="O184" i="2" s="1"/>
  <c r="Y183" i="2"/>
  <c r="F183" i="2"/>
  <c r="E183" i="2"/>
  <c r="D183" i="2"/>
  <c r="C183" i="2"/>
  <c r="O183" i="2" s="1"/>
  <c r="B183" i="2"/>
  <c r="Y182" i="2"/>
  <c r="F182" i="2"/>
  <c r="E182" i="2"/>
  <c r="D182" i="2"/>
  <c r="C182" i="2"/>
  <c r="B182" i="2"/>
  <c r="O182" i="2" s="1"/>
  <c r="Y181" i="2"/>
  <c r="F181" i="2"/>
  <c r="E181" i="2"/>
  <c r="D181" i="2"/>
  <c r="C181" i="2"/>
  <c r="O181" i="2" s="1"/>
  <c r="B181" i="2"/>
  <c r="Y180" i="2"/>
  <c r="F180" i="2"/>
  <c r="E180" i="2"/>
  <c r="D180" i="2"/>
  <c r="C180" i="2"/>
  <c r="B180" i="2"/>
  <c r="O180" i="2" s="1"/>
  <c r="Y179" i="2"/>
  <c r="F179" i="2"/>
  <c r="E179" i="2"/>
  <c r="O179" i="2" s="1"/>
  <c r="D179" i="2"/>
  <c r="C179" i="2"/>
  <c r="B179" i="2"/>
  <c r="Y170" i="2"/>
  <c r="F170" i="2"/>
  <c r="E170" i="2"/>
  <c r="D170" i="2"/>
  <c r="O170" i="2" s="1"/>
  <c r="C170" i="2"/>
  <c r="B170" i="2"/>
  <c r="Y169" i="2"/>
  <c r="F169" i="2"/>
  <c r="E169" i="2"/>
  <c r="D169" i="2"/>
  <c r="C169" i="2"/>
  <c r="B169" i="2"/>
  <c r="O169" i="2" s="1"/>
  <c r="Y168" i="2"/>
  <c r="F168" i="2"/>
  <c r="E168" i="2"/>
  <c r="D168" i="2"/>
  <c r="C168" i="2"/>
  <c r="B168" i="2"/>
  <c r="O168" i="2" s="1"/>
  <c r="Y167" i="2"/>
  <c r="F167" i="2"/>
  <c r="E167" i="2"/>
  <c r="D167" i="2"/>
  <c r="C167" i="2"/>
  <c r="O167" i="2" s="1"/>
  <c r="B167" i="2"/>
  <c r="Y166" i="2"/>
  <c r="F166" i="2"/>
  <c r="E166" i="2"/>
  <c r="D166" i="2"/>
  <c r="C166" i="2"/>
  <c r="B166" i="2"/>
  <c r="Y165" i="2"/>
  <c r="F165" i="2"/>
  <c r="E165" i="2"/>
  <c r="D165" i="2"/>
  <c r="C165" i="2"/>
  <c r="B165" i="2"/>
  <c r="Y164" i="2"/>
  <c r="F164" i="2"/>
  <c r="F512" i="2" s="1"/>
  <c r="E164" i="2"/>
  <c r="D164" i="2"/>
  <c r="C164" i="2"/>
  <c r="B164" i="2"/>
  <c r="O164" i="2" s="1"/>
  <c r="Y163" i="2"/>
  <c r="F163" i="2"/>
  <c r="E163" i="2"/>
  <c r="D163" i="2"/>
  <c r="C163" i="2"/>
  <c r="B163" i="2"/>
  <c r="Y162" i="2"/>
  <c r="F162" i="2"/>
  <c r="E162" i="2"/>
  <c r="D162" i="2"/>
  <c r="C162" i="2"/>
  <c r="B162" i="2"/>
  <c r="O162" i="2" s="1"/>
  <c r="Y161" i="2"/>
  <c r="O161" i="2"/>
  <c r="F161" i="2"/>
  <c r="E161" i="2"/>
  <c r="D161" i="2"/>
  <c r="C161" i="2"/>
  <c r="B161" i="2"/>
  <c r="Y160" i="2"/>
  <c r="F160" i="2"/>
  <c r="E160" i="2"/>
  <c r="E508" i="2" s="1"/>
  <c r="D160" i="2"/>
  <c r="C160" i="2"/>
  <c r="B160" i="2"/>
  <c r="Y159" i="2"/>
  <c r="F159" i="2"/>
  <c r="E159" i="2"/>
  <c r="O159" i="2" s="1"/>
  <c r="D159" i="2"/>
  <c r="C159" i="2"/>
  <c r="B159" i="2"/>
  <c r="Y158" i="2"/>
  <c r="O158" i="2"/>
  <c r="F158" i="2"/>
  <c r="E158" i="2"/>
  <c r="D158" i="2"/>
  <c r="C158" i="2"/>
  <c r="B158" i="2"/>
  <c r="Y157" i="2"/>
  <c r="F157" i="2"/>
  <c r="E157" i="2"/>
  <c r="D157" i="2"/>
  <c r="C157" i="2"/>
  <c r="B157" i="2"/>
  <c r="O157" i="2" s="1"/>
  <c r="Y156" i="2"/>
  <c r="F156" i="2"/>
  <c r="E156" i="2"/>
  <c r="D156" i="2"/>
  <c r="C156" i="2"/>
  <c r="B156" i="2"/>
  <c r="O156" i="2" s="1"/>
  <c r="Y155" i="2"/>
  <c r="F155" i="2"/>
  <c r="E155" i="2"/>
  <c r="D155" i="2"/>
  <c r="C155" i="2"/>
  <c r="B155" i="2"/>
  <c r="Y154" i="2"/>
  <c r="F154" i="2"/>
  <c r="E154" i="2"/>
  <c r="D154" i="2"/>
  <c r="C154" i="2"/>
  <c r="B154" i="2"/>
  <c r="O154" i="2" s="1"/>
  <c r="Y153" i="2"/>
  <c r="F153" i="2"/>
  <c r="E153" i="2"/>
  <c r="D153" i="2"/>
  <c r="C153" i="2"/>
  <c r="B153" i="2"/>
  <c r="Y152" i="2"/>
  <c r="F152" i="2"/>
  <c r="E152" i="2"/>
  <c r="D152" i="2"/>
  <c r="C152" i="2"/>
  <c r="B152" i="2"/>
  <c r="O152" i="2" s="1"/>
  <c r="Y151" i="2"/>
  <c r="F151" i="2"/>
  <c r="E151" i="2"/>
  <c r="D151" i="2"/>
  <c r="C151" i="2"/>
  <c r="B151" i="2"/>
  <c r="Y150" i="2"/>
  <c r="F150" i="2"/>
  <c r="E150" i="2"/>
  <c r="D150" i="2"/>
  <c r="C150" i="2"/>
  <c r="B150" i="2"/>
  <c r="O150" i="2" s="1"/>
  <c r="Y149" i="2"/>
  <c r="F149" i="2"/>
  <c r="E149" i="2"/>
  <c r="D149" i="2"/>
  <c r="C149" i="2"/>
  <c r="O149" i="2" s="1"/>
  <c r="B149" i="2"/>
  <c r="Y148" i="2"/>
  <c r="F148" i="2"/>
  <c r="E148" i="2"/>
  <c r="D148" i="2"/>
  <c r="C148" i="2"/>
  <c r="B148" i="2"/>
  <c r="Y147" i="2"/>
  <c r="F147" i="2"/>
  <c r="E147" i="2"/>
  <c r="O147" i="2" s="1"/>
  <c r="D147" i="2"/>
  <c r="C147" i="2"/>
  <c r="B147" i="2"/>
  <c r="Y146" i="2"/>
  <c r="F146" i="2"/>
  <c r="E146" i="2"/>
  <c r="D146" i="2"/>
  <c r="O146" i="2" s="1"/>
  <c r="C146" i="2"/>
  <c r="B146" i="2"/>
  <c r="Y145" i="2"/>
  <c r="O145" i="2"/>
  <c r="F145" i="2"/>
  <c r="E145" i="2"/>
  <c r="D145" i="2"/>
  <c r="C145" i="2"/>
  <c r="B145" i="2"/>
  <c r="Y144" i="2"/>
  <c r="F144" i="2"/>
  <c r="E144" i="2"/>
  <c r="D144" i="2"/>
  <c r="C144" i="2"/>
  <c r="B144" i="2"/>
  <c r="Y143" i="2"/>
  <c r="F143" i="2"/>
  <c r="E143" i="2"/>
  <c r="D143" i="2"/>
  <c r="C143" i="2"/>
  <c r="B143" i="2"/>
  <c r="Y142" i="2"/>
  <c r="F142" i="2"/>
  <c r="E142" i="2"/>
  <c r="D142" i="2"/>
  <c r="C142" i="2"/>
  <c r="B142" i="2"/>
  <c r="O142" i="2" s="1"/>
  <c r="Y141" i="2"/>
  <c r="F141" i="2"/>
  <c r="E141" i="2"/>
  <c r="D141" i="2"/>
  <c r="C141" i="2"/>
  <c r="O141" i="2" s="1"/>
  <c r="B141" i="2"/>
  <c r="Y140" i="2"/>
  <c r="F140" i="2"/>
  <c r="E140" i="2"/>
  <c r="D140" i="2"/>
  <c r="C140" i="2"/>
  <c r="B140" i="2"/>
  <c r="Y139" i="2"/>
  <c r="F139" i="2"/>
  <c r="E139" i="2"/>
  <c r="D139" i="2"/>
  <c r="C139" i="2"/>
  <c r="B139" i="2"/>
  <c r="Y138" i="2"/>
  <c r="F138" i="2"/>
  <c r="E138" i="2"/>
  <c r="D138" i="2"/>
  <c r="C138" i="2"/>
  <c r="B138" i="2"/>
  <c r="O138" i="2" s="1"/>
  <c r="Y137" i="2"/>
  <c r="F137" i="2"/>
  <c r="E137" i="2"/>
  <c r="D137" i="2"/>
  <c r="C137" i="2"/>
  <c r="O137" i="2" s="1"/>
  <c r="B137" i="2"/>
  <c r="Y136" i="2"/>
  <c r="F136" i="2"/>
  <c r="E136" i="2"/>
  <c r="D136" i="2"/>
  <c r="C136" i="2"/>
  <c r="B136" i="2"/>
  <c r="O136" i="2" s="1"/>
  <c r="Y135" i="2"/>
  <c r="F135" i="2"/>
  <c r="E135" i="2"/>
  <c r="O135" i="2" s="1"/>
  <c r="D135" i="2"/>
  <c r="C135" i="2"/>
  <c r="B135" i="2"/>
  <c r="Y134" i="2"/>
  <c r="O134" i="2"/>
  <c r="F134" i="2"/>
  <c r="E134" i="2"/>
  <c r="D134" i="2"/>
  <c r="C134" i="2"/>
  <c r="B134" i="2"/>
  <c r="Y133" i="2"/>
  <c r="F133" i="2"/>
  <c r="E133" i="2"/>
  <c r="D133" i="2"/>
  <c r="C133" i="2"/>
  <c r="B133" i="2"/>
  <c r="O133" i="2" s="1"/>
  <c r="Y132" i="2"/>
  <c r="F132" i="2"/>
  <c r="E132" i="2"/>
  <c r="D132" i="2"/>
  <c r="C132" i="2"/>
  <c r="B132" i="2"/>
  <c r="O132" i="2" s="1"/>
  <c r="Y131" i="2"/>
  <c r="F131" i="2"/>
  <c r="E131" i="2"/>
  <c r="D131" i="2"/>
  <c r="C131" i="2"/>
  <c r="O131" i="2" s="1"/>
  <c r="B131" i="2"/>
  <c r="Y130" i="2"/>
  <c r="F130" i="2"/>
  <c r="E130" i="2"/>
  <c r="D130" i="2"/>
  <c r="C130" i="2"/>
  <c r="B130" i="2"/>
  <c r="O130" i="2" s="1"/>
  <c r="Y129" i="2"/>
  <c r="F129" i="2"/>
  <c r="E129" i="2"/>
  <c r="D129" i="2"/>
  <c r="C129" i="2"/>
  <c r="O129" i="2" s="1"/>
  <c r="B129" i="2"/>
  <c r="Y128" i="2"/>
  <c r="F128" i="2"/>
  <c r="E128" i="2"/>
  <c r="D128" i="2"/>
  <c r="C128" i="2"/>
  <c r="B128" i="2"/>
  <c r="O128" i="2" s="1"/>
  <c r="Y127" i="2"/>
  <c r="F127" i="2"/>
  <c r="E127" i="2"/>
  <c r="D127" i="2"/>
  <c r="C127" i="2"/>
  <c r="O127" i="2" s="1"/>
  <c r="B127" i="2"/>
  <c r="Y126" i="2"/>
  <c r="F126" i="2"/>
  <c r="E126" i="2"/>
  <c r="D126" i="2"/>
  <c r="C126" i="2"/>
  <c r="B126" i="2"/>
  <c r="O126" i="2" s="1"/>
  <c r="Y125" i="2"/>
  <c r="F125" i="2"/>
  <c r="E125" i="2"/>
  <c r="D125" i="2"/>
  <c r="C125" i="2"/>
  <c r="O125" i="2" s="1"/>
  <c r="B125" i="2"/>
  <c r="Y124" i="2"/>
  <c r="F124" i="2"/>
  <c r="E124" i="2"/>
  <c r="D124" i="2"/>
  <c r="C124" i="2"/>
  <c r="B124" i="2"/>
  <c r="O124" i="2" s="1"/>
  <c r="Y123" i="2"/>
  <c r="F123" i="2"/>
  <c r="E123" i="2"/>
  <c r="O123" i="2" s="1"/>
  <c r="D123" i="2"/>
  <c r="C123" i="2"/>
  <c r="B123" i="2"/>
  <c r="Y122" i="2"/>
  <c r="F122" i="2"/>
  <c r="E122" i="2"/>
  <c r="D122" i="2"/>
  <c r="O122" i="2" s="1"/>
  <c r="C122" i="2"/>
  <c r="B122" i="2"/>
  <c r="Y121" i="2"/>
  <c r="F121" i="2"/>
  <c r="E121" i="2"/>
  <c r="D121" i="2"/>
  <c r="C121" i="2"/>
  <c r="B121" i="2"/>
  <c r="O121" i="2" s="1"/>
  <c r="Y112" i="2"/>
  <c r="F112" i="2"/>
  <c r="E112" i="2"/>
  <c r="D112" i="2"/>
  <c r="C112" i="2"/>
  <c r="B112" i="2"/>
  <c r="O112" i="2" s="1"/>
  <c r="Y111" i="2"/>
  <c r="F111" i="2"/>
  <c r="E111" i="2"/>
  <c r="D111" i="2"/>
  <c r="C111" i="2"/>
  <c r="O111" i="2" s="1"/>
  <c r="B111" i="2"/>
  <c r="Y110" i="2"/>
  <c r="F110" i="2"/>
  <c r="E110" i="2"/>
  <c r="D110" i="2"/>
  <c r="C110" i="2"/>
  <c r="B110" i="2"/>
  <c r="Y109" i="2"/>
  <c r="F109" i="2"/>
  <c r="E109" i="2"/>
  <c r="D109" i="2"/>
  <c r="C109" i="2"/>
  <c r="B109" i="2"/>
  <c r="Y108" i="2"/>
  <c r="F108" i="2"/>
  <c r="E108" i="2"/>
  <c r="D108" i="2"/>
  <c r="C108" i="2"/>
  <c r="B108" i="2"/>
  <c r="O108" i="2" s="1"/>
  <c r="Y107" i="2"/>
  <c r="F107" i="2"/>
  <c r="E107" i="2"/>
  <c r="D107" i="2"/>
  <c r="C107" i="2"/>
  <c r="B107" i="2"/>
  <c r="Y106" i="2"/>
  <c r="F106" i="2"/>
  <c r="E106" i="2"/>
  <c r="D106" i="2"/>
  <c r="C106" i="2"/>
  <c r="B106" i="2"/>
  <c r="O106" i="2" s="1"/>
  <c r="Y105" i="2"/>
  <c r="O105" i="2"/>
  <c r="F105" i="2"/>
  <c r="E105" i="2"/>
  <c r="D105" i="2"/>
  <c r="C105" i="2"/>
  <c r="B105" i="2"/>
  <c r="Y104" i="2"/>
  <c r="F104" i="2"/>
  <c r="E104" i="2"/>
  <c r="D104" i="2"/>
  <c r="C104" i="2"/>
  <c r="B104" i="2"/>
  <c r="Y103" i="2"/>
  <c r="F103" i="2"/>
  <c r="E103" i="2"/>
  <c r="O103" i="2" s="1"/>
  <c r="D103" i="2"/>
  <c r="C103" i="2"/>
  <c r="B103" i="2"/>
  <c r="Y102" i="2"/>
  <c r="O102" i="2"/>
  <c r="F102" i="2"/>
  <c r="E102" i="2"/>
  <c r="D102" i="2"/>
  <c r="C102" i="2"/>
  <c r="B102" i="2"/>
  <c r="Y101" i="2"/>
  <c r="F101" i="2"/>
  <c r="E101" i="2"/>
  <c r="D101" i="2"/>
  <c r="C101" i="2"/>
  <c r="B101" i="2"/>
  <c r="O101" i="2" s="1"/>
  <c r="Y100" i="2"/>
  <c r="F100" i="2"/>
  <c r="E100" i="2"/>
  <c r="D100" i="2"/>
  <c r="C100" i="2"/>
  <c r="B100" i="2"/>
  <c r="O100" i="2" s="1"/>
  <c r="Y99" i="2"/>
  <c r="F99" i="2"/>
  <c r="E99" i="2"/>
  <c r="D99" i="2"/>
  <c r="C99" i="2"/>
  <c r="B99" i="2"/>
  <c r="Y98" i="2"/>
  <c r="F98" i="2"/>
  <c r="E98" i="2"/>
  <c r="D98" i="2"/>
  <c r="D504" i="2" s="1"/>
  <c r="C98" i="2"/>
  <c r="B98" i="2"/>
  <c r="O98" i="2" s="1"/>
  <c r="Y97" i="2"/>
  <c r="F97" i="2"/>
  <c r="E97" i="2"/>
  <c r="D97" i="2"/>
  <c r="C97" i="2"/>
  <c r="B97" i="2"/>
  <c r="Y96" i="2"/>
  <c r="F96" i="2"/>
  <c r="E96" i="2"/>
  <c r="D96" i="2"/>
  <c r="C96" i="2"/>
  <c r="B96" i="2"/>
  <c r="O96" i="2" s="1"/>
  <c r="Y95" i="2"/>
  <c r="F95" i="2"/>
  <c r="E95" i="2"/>
  <c r="D95" i="2"/>
  <c r="C95" i="2"/>
  <c r="B95" i="2"/>
  <c r="Y94" i="2"/>
  <c r="F94" i="2"/>
  <c r="E94" i="2"/>
  <c r="D94" i="2"/>
  <c r="C94" i="2"/>
  <c r="B94" i="2"/>
  <c r="O94" i="2" s="1"/>
  <c r="Y93" i="2"/>
  <c r="F93" i="2"/>
  <c r="E93" i="2"/>
  <c r="D93" i="2"/>
  <c r="C93" i="2"/>
  <c r="O93" i="2" s="1"/>
  <c r="B93" i="2"/>
  <c r="Y92" i="2"/>
  <c r="F92" i="2"/>
  <c r="E92" i="2"/>
  <c r="D92" i="2"/>
  <c r="C92" i="2"/>
  <c r="B92" i="2"/>
  <c r="Y91" i="2"/>
  <c r="F91" i="2"/>
  <c r="E91" i="2"/>
  <c r="O91" i="2" s="1"/>
  <c r="D91" i="2"/>
  <c r="C91" i="2"/>
  <c r="B91" i="2"/>
  <c r="Y90" i="2"/>
  <c r="F90" i="2"/>
  <c r="E90" i="2"/>
  <c r="D90" i="2"/>
  <c r="O90" i="2" s="1"/>
  <c r="C90" i="2"/>
  <c r="B90" i="2"/>
  <c r="Y89" i="2"/>
  <c r="O89" i="2"/>
  <c r="F89" i="2"/>
  <c r="E89" i="2"/>
  <c r="D89" i="2"/>
  <c r="C89" i="2"/>
  <c r="B89" i="2"/>
  <c r="Y88" i="2"/>
  <c r="F88" i="2"/>
  <c r="E88" i="2"/>
  <c r="D88" i="2"/>
  <c r="C88" i="2"/>
  <c r="B88" i="2"/>
  <c r="Y87" i="2"/>
  <c r="F87" i="2"/>
  <c r="E87" i="2"/>
  <c r="D87" i="2"/>
  <c r="C87" i="2"/>
  <c r="B87" i="2"/>
  <c r="Y86" i="2"/>
  <c r="F86" i="2"/>
  <c r="E86" i="2"/>
  <c r="D86" i="2"/>
  <c r="C86" i="2"/>
  <c r="B86" i="2"/>
  <c r="O86" i="2" s="1"/>
  <c r="Y85" i="2"/>
  <c r="F85" i="2"/>
  <c r="F491" i="2" s="1"/>
  <c r="E85" i="2"/>
  <c r="D85" i="2"/>
  <c r="C85" i="2"/>
  <c r="O85" i="2" s="1"/>
  <c r="B85" i="2"/>
  <c r="Y84" i="2"/>
  <c r="F84" i="2"/>
  <c r="E84" i="2"/>
  <c r="D84" i="2"/>
  <c r="C84" i="2"/>
  <c r="B84" i="2"/>
  <c r="Y83" i="2"/>
  <c r="F83" i="2"/>
  <c r="E83" i="2"/>
  <c r="D83" i="2"/>
  <c r="C83" i="2"/>
  <c r="B83" i="2"/>
  <c r="Y82" i="2"/>
  <c r="F82" i="2"/>
  <c r="E82" i="2"/>
  <c r="D82" i="2"/>
  <c r="C82" i="2"/>
  <c r="B82" i="2"/>
  <c r="O82" i="2" s="1"/>
  <c r="Y81" i="2"/>
  <c r="F81" i="2"/>
  <c r="E81" i="2"/>
  <c r="D81" i="2"/>
  <c r="C81" i="2"/>
  <c r="O81" i="2" s="1"/>
  <c r="B81" i="2"/>
  <c r="Y80" i="2"/>
  <c r="F80" i="2"/>
  <c r="E80" i="2"/>
  <c r="D80" i="2"/>
  <c r="C80" i="2"/>
  <c r="B80" i="2"/>
  <c r="O80" i="2" s="1"/>
  <c r="Y79" i="2"/>
  <c r="F79" i="2"/>
  <c r="E79" i="2"/>
  <c r="O79" i="2" s="1"/>
  <c r="D79" i="2"/>
  <c r="C79" i="2"/>
  <c r="B79" i="2"/>
  <c r="Y78" i="2"/>
  <c r="O78" i="2"/>
  <c r="F78" i="2"/>
  <c r="E78" i="2"/>
  <c r="D78" i="2"/>
  <c r="C78" i="2"/>
  <c r="B78" i="2"/>
  <c r="Y77" i="2"/>
  <c r="F77" i="2"/>
  <c r="E77" i="2"/>
  <c r="D77" i="2"/>
  <c r="C77" i="2"/>
  <c r="B77" i="2"/>
  <c r="O77" i="2" s="1"/>
  <c r="Y76" i="2"/>
  <c r="F76" i="2"/>
  <c r="E76" i="2"/>
  <c r="D76" i="2"/>
  <c r="C76" i="2"/>
  <c r="B76" i="2"/>
  <c r="O76" i="2" s="1"/>
  <c r="Y75" i="2"/>
  <c r="F75" i="2"/>
  <c r="E75" i="2"/>
  <c r="D75" i="2"/>
  <c r="C75" i="2"/>
  <c r="O75" i="2" s="1"/>
  <c r="B75" i="2"/>
  <c r="Y74" i="2"/>
  <c r="F74" i="2"/>
  <c r="E74" i="2"/>
  <c r="D74" i="2"/>
  <c r="O74" i="2" s="1"/>
  <c r="C74" i="2"/>
  <c r="B74" i="2"/>
  <c r="Y73" i="2"/>
  <c r="F73" i="2"/>
  <c r="E73" i="2"/>
  <c r="D73" i="2"/>
  <c r="C73" i="2"/>
  <c r="O73" i="2" s="1"/>
  <c r="B73" i="2"/>
  <c r="Y72" i="2"/>
  <c r="F72" i="2"/>
  <c r="E72" i="2"/>
  <c r="D72" i="2"/>
  <c r="C72" i="2"/>
  <c r="B72" i="2"/>
  <c r="O72" i="2" s="1"/>
  <c r="Y71" i="2"/>
  <c r="F71" i="2"/>
  <c r="E71" i="2"/>
  <c r="D71" i="2"/>
  <c r="C71" i="2"/>
  <c r="O71" i="2" s="1"/>
  <c r="B71" i="2"/>
  <c r="Y70" i="2"/>
  <c r="F70" i="2"/>
  <c r="E70" i="2"/>
  <c r="D70" i="2"/>
  <c r="C70" i="2"/>
  <c r="C476" i="2" s="1"/>
  <c r="B70" i="2"/>
  <c r="O70" i="2" s="1"/>
  <c r="Y69" i="2"/>
  <c r="F69" i="2"/>
  <c r="E69" i="2"/>
  <c r="D69" i="2"/>
  <c r="C69" i="2"/>
  <c r="O69" i="2" s="1"/>
  <c r="B69" i="2"/>
  <c r="Y68" i="2"/>
  <c r="F68" i="2"/>
  <c r="E68" i="2"/>
  <c r="D68" i="2"/>
  <c r="C68" i="2"/>
  <c r="B68" i="2"/>
  <c r="O68" i="2" s="1"/>
  <c r="Y67" i="2"/>
  <c r="F67" i="2"/>
  <c r="E67" i="2"/>
  <c r="O67" i="2" s="1"/>
  <c r="D67" i="2"/>
  <c r="C67" i="2"/>
  <c r="B67" i="2"/>
  <c r="Y66" i="2"/>
  <c r="F66" i="2"/>
  <c r="E66" i="2"/>
  <c r="D66" i="2"/>
  <c r="O66" i="2" s="1"/>
  <c r="C66" i="2"/>
  <c r="B66" i="2"/>
  <c r="Y65" i="2"/>
  <c r="F65" i="2"/>
  <c r="E65" i="2"/>
  <c r="D65" i="2"/>
  <c r="C65" i="2"/>
  <c r="B65" i="2"/>
  <c r="O65" i="2" s="1"/>
  <c r="Y64" i="2"/>
  <c r="F64" i="2"/>
  <c r="E64" i="2"/>
  <c r="D64" i="2"/>
  <c r="C64" i="2"/>
  <c r="B64" i="2"/>
  <c r="O64" i="2" s="1"/>
  <c r="Y63" i="2"/>
  <c r="F63" i="2"/>
  <c r="E63" i="2"/>
  <c r="D63" i="2"/>
  <c r="C63" i="2"/>
  <c r="B63" i="2"/>
  <c r="O63" i="2" s="1"/>
  <c r="Y54" i="2"/>
  <c r="F54" i="2"/>
  <c r="F518" i="2" s="1"/>
  <c r="E54" i="2"/>
  <c r="E518" i="2" s="1"/>
  <c r="D54" i="2"/>
  <c r="C54" i="2"/>
  <c r="C518" i="2" s="1"/>
  <c r="B54" i="2"/>
  <c r="Y53" i="2"/>
  <c r="F53" i="2"/>
  <c r="F517" i="2" s="1"/>
  <c r="E53" i="2"/>
  <c r="E517" i="2" s="1"/>
  <c r="D53" i="2"/>
  <c r="D517" i="2" s="1"/>
  <c r="C53" i="2"/>
  <c r="B53" i="2"/>
  <c r="B517" i="2" s="1"/>
  <c r="Y52" i="2"/>
  <c r="F52" i="2"/>
  <c r="F516" i="2" s="1"/>
  <c r="E52" i="2"/>
  <c r="E516" i="2" s="1"/>
  <c r="D52" i="2"/>
  <c r="D516" i="2" s="1"/>
  <c r="C52" i="2"/>
  <c r="C516" i="2" s="1"/>
  <c r="B52" i="2"/>
  <c r="O52" i="2" s="1"/>
  <c r="Y51" i="2"/>
  <c r="F51" i="2"/>
  <c r="E51" i="2"/>
  <c r="D51" i="2"/>
  <c r="C51" i="2"/>
  <c r="B51" i="2"/>
  <c r="Y50" i="2"/>
  <c r="F50" i="2"/>
  <c r="F514" i="2" s="1"/>
  <c r="E50" i="2"/>
  <c r="E514" i="2" s="1"/>
  <c r="D50" i="2"/>
  <c r="D514" i="2" s="1"/>
  <c r="C50" i="2"/>
  <c r="B50" i="2"/>
  <c r="O50" i="2" s="1"/>
  <c r="Y49" i="2"/>
  <c r="O49" i="2"/>
  <c r="F49" i="2"/>
  <c r="F513" i="2" s="1"/>
  <c r="E49" i="2"/>
  <c r="D49" i="2"/>
  <c r="D513" i="2" s="1"/>
  <c r="C49" i="2"/>
  <c r="C513" i="2" s="1"/>
  <c r="B49" i="2"/>
  <c r="B513" i="2" s="1"/>
  <c r="Y48" i="2"/>
  <c r="F48" i="2"/>
  <c r="E48" i="2"/>
  <c r="E512" i="2" s="1"/>
  <c r="D48" i="2"/>
  <c r="C48" i="2"/>
  <c r="C512" i="2" s="1"/>
  <c r="B48" i="2"/>
  <c r="Y47" i="2"/>
  <c r="F47" i="2"/>
  <c r="E47" i="2"/>
  <c r="O47" i="2" s="1"/>
  <c r="D47" i="2"/>
  <c r="C47" i="2"/>
  <c r="B47" i="2"/>
  <c r="Y46" i="2"/>
  <c r="O46" i="2"/>
  <c r="F46" i="2"/>
  <c r="F510" i="2" s="1"/>
  <c r="E46" i="2"/>
  <c r="D46" i="2"/>
  <c r="C46" i="2"/>
  <c r="C510" i="2" s="1"/>
  <c r="B46" i="2"/>
  <c r="B510" i="2" s="1"/>
  <c r="Y45" i="2"/>
  <c r="F45" i="2"/>
  <c r="E45" i="2"/>
  <c r="D45" i="2"/>
  <c r="D509" i="2" s="1"/>
  <c r="C45" i="2"/>
  <c r="B45" i="2"/>
  <c r="B509" i="2" s="1"/>
  <c r="Y44" i="2"/>
  <c r="F44" i="2"/>
  <c r="F508" i="2" s="1"/>
  <c r="E44" i="2"/>
  <c r="D44" i="2"/>
  <c r="D508" i="2" s="1"/>
  <c r="C44" i="2"/>
  <c r="C508" i="2" s="1"/>
  <c r="B44" i="2"/>
  <c r="Y43" i="2"/>
  <c r="F43" i="2"/>
  <c r="F507" i="2" s="1"/>
  <c r="E43" i="2"/>
  <c r="D43" i="2"/>
  <c r="D507" i="2" s="1"/>
  <c r="C43" i="2"/>
  <c r="B43" i="2"/>
  <c r="B507" i="2" s="1"/>
  <c r="Y42" i="2"/>
  <c r="F42" i="2"/>
  <c r="E42" i="2"/>
  <c r="D42" i="2"/>
  <c r="O42" i="2" s="1"/>
  <c r="C42" i="2"/>
  <c r="B42" i="2"/>
  <c r="Y41" i="2"/>
  <c r="F41" i="2"/>
  <c r="F505" i="2" s="1"/>
  <c r="E41" i="2"/>
  <c r="D41" i="2"/>
  <c r="D505" i="2" s="1"/>
  <c r="C41" i="2"/>
  <c r="B41" i="2"/>
  <c r="B505" i="2" s="1"/>
  <c r="Y40" i="2"/>
  <c r="F40" i="2"/>
  <c r="F504" i="2" s="1"/>
  <c r="E40" i="2"/>
  <c r="D40" i="2"/>
  <c r="C40" i="2"/>
  <c r="C504" i="2" s="1"/>
  <c r="B40" i="2"/>
  <c r="B504" i="2" s="1"/>
  <c r="Y39" i="2"/>
  <c r="F39" i="2"/>
  <c r="F503" i="2" s="1"/>
  <c r="E39" i="2"/>
  <c r="E503" i="2" s="1"/>
  <c r="D39" i="2"/>
  <c r="D503" i="2" s="1"/>
  <c r="C39" i="2"/>
  <c r="B39" i="2"/>
  <c r="B503" i="2" s="1"/>
  <c r="Y38" i="2"/>
  <c r="F38" i="2"/>
  <c r="F502" i="2" s="1"/>
  <c r="E38" i="2"/>
  <c r="D38" i="2"/>
  <c r="D502" i="2" s="1"/>
  <c r="C38" i="2"/>
  <c r="C502" i="2" s="1"/>
  <c r="B38" i="2"/>
  <c r="O38" i="2" s="1"/>
  <c r="Y37" i="2"/>
  <c r="F37" i="2"/>
  <c r="F501" i="2" s="1"/>
  <c r="E37" i="2"/>
  <c r="D37" i="2"/>
  <c r="C37" i="2"/>
  <c r="C501" i="2" s="1"/>
  <c r="B37" i="2"/>
  <c r="B501" i="2" s="1"/>
  <c r="Y36" i="2"/>
  <c r="F36" i="2"/>
  <c r="F500" i="2" s="1"/>
  <c r="E36" i="2"/>
  <c r="E500" i="2" s="1"/>
  <c r="D36" i="2"/>
  <c r="D500" i="2" s="1"/>
  <c r="C36" i="2"/>
  <c r="C500" i="2" s="1"/>
  <c r="B36" i="2"/>
  <c r="Y35" i="2"/>
  <c r="F35" i="2"/>
  <c r="E35" i="2"/>
  <c r="O35" i="2" s="1"/>
  <c r="D35" i="2"/>
  <c r="C35" i="2"/>
  <c r="B35" i="2"/>
  <c r="Y34" i="2"/>
  <c r="F34" i="2"/>
  <c r="F498" i="2" s="1"/>
  <c r="E34" i="2"/>
  <c r="E498" i="2" s="1"/>
  <c r="D34" i="2"/>
  <c r="D498" i="2" s="1"/>
  <c r="C34" i="2"/>
  <c r="B34" i="2"/>
  <c r="B498" i="2" s="1"/>
  <c r="Y33" i="2"/>
  <c r="O33" i="2"/>
  <c r="F33" i="2"/>
  <c r="F497" i="2" s="1"/>
  <c r="E33" i="2"/>
  <c r="E497" i="2" s="1"/>
  <c r="D33" i="2"/>
  <c r="D497" i="2" s="1"/>
  <c r="C33" i="2"/>
  <c r="B33" i="2"/>
  <c r="B497" i="2" s="1"/>
  <c r="Y32" i="2"/>
  <c r="F32" i="2"/>
  <c r="F496" i="2" s="1"/>
  <c r="E32" i="2"/>
  <c r="E496" i="2" s="1"/>
  <c r="D32" i="2"/>
  <c r="C32" i="2"/>
  <c r="B32" i="2"/>
  <c r="Y31" i="2"/>
  <c r="F31" i="2"/>
  <c r="F495" i="2" s="1"/>
  <c r="E31" i="2"/>
  <c r="E495" i="2" s="1"/>
  <c r="D31" i="2"/>
  <c r="D495" i="2" s="1"/>
  <c r="C31" i="2"/>
  <c r="B31" i="2"/>
  <c r="Y30" i="2"/>
  <c r="F30" i="2"/>
  <c r="E30" i="2"/>
  <c r="E494" i="2" s="1"/>
  <c r="D30" i="2"/>
  <c r="C30" i="2"/>
  <c r="C494" i="2" s="1"/>
  <c r="B30" i="2"/>
  <c r="B494" i="2" s="1"/>
  <c r="Y29" i="2"/>
  <c r="F29" i="2"/>
  <c r="E29" i="2"/>
  <c r="E493" i="2" s="1"/>
  <c r="D29" i="2"/>
  <c r="D493" i="2" s="1"/>
  <c r="C29" i="2"/>
  <c r="B29" i="2"/>
  <c r="B493" i="2" s="1"/>
  <c r="Y28" i="2"/>
  <c r="F28" i="2"/>
  <c r="F492" i="2" s="1"/>
  <c r="E28" i="2"/>
  <c r="E492" i="2" s="1"/>
  <c r="D28" i="2"/>
  <c r="C28" i="2"/>
  <c r="B28" i="2"/>
  <c r="Y27" i="2"/>
  <c r="F27" i="2"/>
  <c r="E27" i="2"/>
  <c r="E491" i="2" s="1"/>
  <c r="D27" i="2"/>
  <c r="D491" i="2" s="1"/>
  <c r="C27" i="2"/>
  <c r="C491" i="2" s="1"/>
  <c r="B27" i="2"/>
  <c r="B491" i="2" s="1"/>
  <c r="Y26" i="2"/>
  <c r="F26" i="2"/>
  <c r="F490" i="2" s="1"/>
  <c r="E26" i="2"/>
  <c r="D26" i="2"/>
  <c r="C26" i="2"/>
  <c r="C490" i="2" s="1"/>
  <c r="B26" i="2"/>
  <c r="B490" i="2" s="1"/>
  <c r="Y25" i="2"/>
  <c r="F25" i="2"/>
  <c r="F489" i="2" s="1"/>
  <c r="E25" i="2"/>
  <c r="E489" i="2" s="1"/>
  <c r="D25" i="2"/>
  <c r="C25" i="2"/>
  <c r="C489" i="2" s="1"/>
  <c r="B25" i="2"/>
  <c r="B489" i="2" s="1"/>
  <c r="Y24" i="2"/>
  <c r="F24" i="2"/>
  <c r="E24" i="2"/>
  <c r="D24" i="2"/>
  <c r="C24" i="2"/>
  <c r="B24" i="2"/>
  <c r="O24" i="2" s="1"/>
  <c r="Y23" i="2"/>
  <c r="F23" i="2"/>
  <c r="F487" i="2" s="1"/>
  <c r="E23" i="2"/>
  <c r="O23" i="2" s="1"/>
  <c r="D23" i="2"/>
  <c r="C23" i="2"/>
  <c r="C487" i="2" s="1"/>
  <c r="B23" i="2"/>
  <c r="B487" i="2" s="1"/>
  <c r="Y22" i="2"/>
  <c r="F22" i="2"/>
  <c r="E22" i="2"/>
  <c r="E486" i="2" s="1"/>
  <c r="D22" i="2"/>
  <c r="D486" i="2" s="1"/>
  <c r="C22" i="2"/>
  <c r="C486" i="2" s="1"/>
  <c r="B22" i="2"/>
  <c r="Y21" i="2"/>
  <c r="F21" i="2"/>
  <c r="E21" i="2"/>
  <c r="D21" i="2"/>
  <c r="C21" i="2"/>
  <c r="B21" i="2"/>
  <c r="B485" i="2" s="1"/>
  <c r="Y20" i="2"/>
  <c r="F20" i="2"/>
  <c r="F484" i="2" s="1"/>
  <c r="E20" i="2"/>
  <c r="E484" i="2" s="1"/>
  <c r="D20" i="2"/>
  <c r="D484" i="2" s="1"/>
  <c r="C20" i="2"/>
  <c r="B20" i="2"/>
  <c r="O20" i="2" s="1"/>
  <c r="Y19" i="2"/>
  <c r="F19" i="2"/>
  <c r="E19" i="2"/>
  <c r="D19" i="2"/>
  <c r="C19" i="2"/>
  <c r="B19" i="2"/>
  <c r="O19" i="2" s="1"/>
  <c r="Y18" i="2"/>
  <c r="F18" i="2"/>
  <c r="E18" i="2"/>
  <c r="E482" i="2" s="1"/>
  <c r="D18" i="2"/>
  <c r="C18" i="2"/>
  <c r="B18" i="2"/>
  <c r="B482" i="2" s="1"/>
  <c r="Y17" i="2"/>
  <c r="F17" i="2"/>
  <c r="E17" i="2"/>
  <c r="D17" i="2"/>
  <c r="C17" i="2"/>
  <c r="O17" i="2" s="1"/>
  <c r="B17" i="2"/>
  <c r="Y16" i="2"/>
  <c r="F16" i="2"/>
  <c r="F480" i="2" s="1"/>
  <c r="E16" i="2"/>
  <c r="E480" i="2" s="1"/>
  <c r="D16" i="2"/>
  <c r="C16" i="2"/>
  <c r="C480" i="2" s="1"/>
  <c r="B16" i="2"/>
  <c r="B480" i="2" s="1"/>
  <c r="Y15" i="2"/>
  <c r="F15" i="2"/>
  <c r="E15" i="2"/>
  <c r="O15" i="2" s="1"/>
  <c r="D15" i="2"/>
  <c r="C15" i="2"/>
  <c r="B15" i="2"/>
  <c r="Y14" i="2"/>
  <c r="F14" i="2"/>
  <c r="F478" i="2" s="1"/>
  <c r="E14" i="2"/>
  <c r="D14" i="2"/>
  <c r="C14" i="2"/>
  <c r="C478" i="2" s="1"/>
  <c r="B14" i="2"/>
  <c r="Y13" i="2"/>
  <c r="O13" i="2"/>
  <c r="F13" i="2"/>
  <c r="F477" i="2" s="1"/>
  <c r="E13" i="2"/>
  <c r="E477" i="2" s="1"/>
  <c r="D13" i="2"/>
  <c r="C13" i="2"/>
  <c r="B13" i="2"/>
  <c r="Y12" i="2"/>
  <c r="F12" i="2"/>
  <c r="F476" i="2" s="1"/>
  <c r="E12" i="2"/>
  <c r="E476" i="2" s="1"/>
  <c r="D12" i="2"/>
  <c r="D476" i="2" s="1"/>
  <c r="C12" i="2"/>
  <c r="B12" i="2"/>
  <c r="Y11" i="2"/>
  <c r="F11" i="2"/>
  <c r="F475" i="2" s="1"/>
  <c r="E11" i="2"/>
  <c r="D11" i="2"/>
  <c r="D475" i="2" s="1"/>
  <c r="C11" i="2"/>
  <c r="B11" i="2"/>
  <c r="Y10" i="2"/>
  <c r="F10" i="2"/>
  <c r="E10" i="2"/>
  <c r="E474" i="2" s="1"/>
  <c r="D10" i="2"/>
  <c r="D474" i="2" s="1"/>
  <c r="C10" i="2"/>
  <c r="C474" i="2" s="1"/>
  <c r="B10" i="2"/>
  <c r="Y9" i="2"/>
  <c r="O9" i="2"/>
  <c r="F9" i="2"/>
  <c r="E9" i="2"/>
  <c r="D9" i="2"/>
  <c r="C9" i="2"/>
  <c r="B9" i="2"/>
  <c r="Y8" i="2"/>
  <c r="F8" i="2"/>
  <c r="F472" i="2" s="1"/>
  <c r="E8" i="2"/>
  <c r="E472" i="2" s="1"/>
  <c r="D8" i="2"/>
  <c r="C8" i="2"/>
  <c r="C472" i="2" s="1"/>
  <c r="B8" i="2"/>
  <c r="Y7" i="2"/>
  <c r="F7" i="2"/>
  <c r="F471" i="2" s="1"/>
  <c r="E7" i="2"/>
  <c r="D7" i="2"/>
  <c r="D471" i="2" s="1"/>
  <c r="C7" i="2"/>
  <c r="B7" i="2"/>
  <c r="O7" i="2" s="1"/>
  <c r="Y6" i="2"/>
  <c r="F6" i="2"/>
  <c r="F470" i="2" s="1"/>
  <c r="E6" i="2"/>
  <c r="E470" i="2" s="1"/>
  <c r="D6" i="2"/>
  <c r="C6" i="2"/>
  <c r="B6" i="2"/>
  <c r="Y5" i="2"/>
  <c r="F5" i="2"/>
  <c r="F469" i="2" s="1"/>
  <c r="E5" i="2"/>
  <c r="E469" i="2" s="1"/>
  <c r="D5" i="2"/>
  <c r="D469" i="2" s="1"/>
  <c r="C5" i="2"/>
  <c r="B5" i="2"/>
  <c r="B469" i="2" s="1"/>
  <c r="CM59" i="5" l="1"/>
  <c r="CM60" i="5" a="1"/>
  <c r="CM60" i="5" s="1"/>
  <c r="N20" i="4"/>
  <c r="O336" i="2"/>
  <c r="O510" i="2" s="1"/>
  <c r="D38" i="4" s="1"/>
  <c r="O424" i="2"/>
  <c r="F26" i="4"/>
  <c r="M5" i="5"/>
  <c r="FM5" i="5"/>
  <c r="E20" i="4"/>
  <c r="F494" i="2"/>
  <c r="O160" i="2"/>
  <c r="O216" i="2"/>
  <c r="O272" i="2"/>
  <c r="O340" i="2"/>
  <c r="O377" i="2"/>
  <c r="O436" i="2"/>
  <c r="Y493" i="2"/>
  <c r="Z5" i="5"/>
  <c r="FZ5" i="5"/>
  <c r="EZ59" i="5"/>
  <c r="EZ60" i="5" a="1"/>
  <c r="EZ60" i="5" s="1"/>
  <c r="O11" i="2"/>
  <c r="O475" i="2" s="1"/>
  <c r="E475" i="2"/>
  <c r="O8" i="2"/>
  <c r="O472" i="2" s="1"/>
  <c r="D485" i="2"/>
  <c r="B512" i="2"/>
  <c r="O48" i="2"/>
  <c r="O104" i="2"/>
  <c r="B474" i="2"/>
  <c r="O477" i="2"/>
  <c r="E485" i="2"/>
  <c r="O31" i="2"/>
  <c r="O34" i="2"/>
  <c r="E504" i="2"/>
  <c r="D510" i="2"/>
  <c r="O514" i="2"/>
  <c r="B518" i="2"/>
  <c r="O110" i="2"/>
  <c r="O516" i="2" s="1"/>
  <c r="O166" i="2"/>
  <c r="O222" i="2"/>
  <c r="AM5" i="5"/>
  <c r="GM5" i="5"/>
  <c r="O502" i="2"/>
  <c r="B470" i="2"/>
  <c r="O6" i="2"/>
  <c r="O470" i="2" s="1"/>
  <c r="D470" i="2"/>
  <c r="D472" i="2"/>
  <c r="B476" i="2"/>
  <c r="O12" i="2"/>
  <c r="O476" i="2" s="1"/>
  <c r="D487" i="2"/>
  <c r="C493" i="2"/>
  <c r="O29" i="2"/>
  <c r="C495" i="2"/>
  <c r="C497" i="2"/>
  <c r="E510" i="2"/>
  <c r="D512" i="2"/>
  <c r="C514" i="2"/>
  <c r="O83" i="2"/>
  <c r="O87" i="2"/>
  <c r="O139" i="2"/>
  <c r="O143" i="2"/>
  <c r="O195" i="2"/>
  <c r="O199" i="2"/>
  <c r="O251" i="2"/>
  <c r="O255" i="2"/>
  <c r="O487" i="2" s="1"/>
  <c r="O307" i="2"/>
  <c r="O311" i="2"/>
  <c r="O387" i="2"/>
  <c r="O391" i="2"/>
  <c r="O460" i="2"/>
  <c r="E487" i="2"/>
  <c r="Y513" i="2"/>
  <c r="AZ5" i="5"/>
  <c r="GZ5" i="5"/>
  <c r="B508" i="2"/>
  <c r="O44" i="2"/>
  <c r="B478" i="2"/>
  <c r="O14" i="2"/>
  <c r="O478" i="2" s="1"/>
  <c r="O301" i="2"/>
  <c r="C485" i="2"/>
  <c r="BM5" i="5"/>
  <c r="B502" i="2"/>
  <c r="O22" i="2"/>
  <c r="O54" i="2"/>
  <c r="D518" i="2"/>
  <c r="BZ60" i="5" a="1"/>
  <c r="BZ60" i="5" s="1"/>
  <c r="BZ55" i="5"/>
  <c r="BZ59" i="5"/>
  <c r="BZ58" i="5" a="1"/>
  <c r="BZ58" i="5" s="1"/>
  <c r="BZ53" i="5"/>
  <c r="BZ48" i="5"/>
  <c r="BZ44" i="5"/>
  <c r="BZ51" i="5"/>
  <c r="BZ46" i="5"/>
  <c r="BZ42" i="5"/>
  <c r="BZ50" i="5"/>
  <c r="BZ33" i="5"/>
  <c r="BZ43" i="5"/>
  <c r="BZ40" i="5" a="1"/>
  <c r="BZ40" i="5" s="1"/>
  <c r="BZ39" i="5"/>
  <c r="BZ38" i="5"/>
  <c r="BZ32" i="5"/>
  <c r="BZ22" i="5"/>
  <c r="BZ28" i="5"/>
  <c r="BZ26" i="5"/>
  <c r="BZ35" i="5"/>
  <c r="BZ19" i="5"/>
  <c r="BZ23" i="5"/>
  <c r="BZ29" i="5"/>
  <c r="BZ30" i="5"/>
  <c r="BZ24" i="5"/>
  <c r="BZ18" i="5"/>
  <c r="BZ12" i="5"/>
  <c r="BZ7" i="5"/>
  <c r="BZ8" i="5"/>
  <c r="BZ14" i="5"/>
  <c r="BZ10" i="5" a="1"/>
  <c r="BZ10" i="5" s="1"/>
  <c r="F474" i="2"/>
  <c r="D478" i="2"/>
  <c r="C484" i="2"/>
  <c r="B486" i="2"/>
  <c r="O25" i="2"/>
  <c r="F493" i="2"/>
  <c r="D501" i="2"/>
  <c r="O39" i="2"/>
  <c r="C505" i="2"/>
  <c r="O41" i="2"/>
  <c r="O505" i="2" s="1"/>
  <c r="D36" i="4" s="1"/>
  <c r="C507" i="2"/>
  <c r="C509" i="2"/>
  <c r="O95" i="2"/>
  <c r="O97" i="2"/>
  <c r="O99" i="2"/>
  <c r="O151" i="2"/>
  <c r="O153" i="2"/>
  <c r="O155" i="2"/>
  <c r="O207" i="2"/>
  <c r="O209" i="2"/>
  <c r="O211" i="2"/>
  <c r="O263" i="2"/>
  <c r="O265" i="2"/>
  <c r="O497" i="2" s="1"/>
  <c r="O267" i="2"/>
  <c r="O374" i="2"/>
  <c r="O380" i="2"/>
  <c r="Y505" i="2"/>
  <c r="Y508" i="2"/>
  <c r="Y514" i="2"/>
  <c r="O10" i="2"/>
  <c r="O474" i="2" s="1"/>
  <c r="O18" i="2"/>
  <c r="D482" i="2"/>
  <c r="E501" i="2"/>
  <c r="GY5" i="5"/>
  <c r="GL5" i="5"/>
  <c r="FY5" i="5"/>
  <c r="FL5" i="5"/>
  <c r="EY5" i="5"/>
  <c r="EL5" i="5"/>
  <c r="DY5" i="5"/>
  <c r="DL5" i="5"/>
  <c r="CY5" i="5"/>
  <c r="CL5" i="5"/>
  <c r="BY5" i="5"/>
  <c r="BL5" i="5"/>
  <c r="AY5" i="5"/>
  <c r="AL5" i="5"/>
  <c r="Y5" i="5"/>
  <c r="L5" i="5"/>
  <c r="HQ4" i="5"/>
  <c r="HE4" i="5"/>
  <c r="GX5" i="5"/>
  <c r="GK5" i="5"/>
  <c r="FX5" i="5"/>
  <c r="FK5" i="5"/>
  <c r="EX5" i="5"/>
  <c r="EK5" i="5"/>
  <c r="DX5" i="5"/>
  <c r="DK5" i="5"/>
  <c r="CX5" i="5"/>
  <c r="CK5" i="5"/>
  <c r="BX5" i="5"/>
  <c r="BK5" i="5"/>
  <c r="AX5" i="5"/>
  <c r="AK5" i="5"/>
  <c r="X5" i="5"/>
  <c r="K5" i="5"/>
  <c r="HP4" i="5"/>
  <c r="HD4" i="5"/>
  <c r="GW5" i="5"/>
  <c r="GJ5" i="5"/>
  <c r="FW5" i="5"/>
  <c r="FJ5" i="5"/>
  <c r="EW5" i="5"/>
  <c r="EJ5" i="5"/>
  <c r="DW5" i="5"/>
  <c r="DJ5" i="5"/>
  <c r="CW5" i="5"/>
  <c r="CJ5" i="5"/>
  <c r="BW5" i="5"/>
  <c r="BJ5" i="5"/>
  <c r="AW5" i="5"/>
  <c r="AJ5" i="5"/>
  <c r="W5" i="5"/>
  <c r="J5" i="5"/>
  <c r="HO4" i="5"/>
  <c r="HC4" i="5"/>
  <c r="GV5" i="5"/>
  <c r="GI5" i="5"/>
  <c r="FV5" i="5"/>
  <c r="FI5" i="5"/>
  <c r="EV5" i="5"/>
  <c r="EI5" i="5"/>
  <c r="H76" i="6" s="1"/>
  <c r="DV5" i="5"/>
  <c r="DI5" i="5"/>
  <c r="CV5" i="5"/>
  <c r="CI5" i="5"/>
  <c r="BV5" i="5"/>
  <c r="BI5" i="5"/>
  <c r="AV5" i="5"/>
  <c r="AI5" i="5"/>
  <c r="V5" i="5"/>
  <c r="I5" i="5"/>
  <c r="HN4" i="5"/>
  <c r="GU5" i="5"/>
  <c r="GH5" i="5"/>
  <c r="FU5" i="5"/>
  <c r="FH5" i="5"/>
  <c r="EU5" i="5"/>
  <c r="EH5" i="5"/>
  <c r="DU5" i="5"/>
  <c r="DH5" i="5"/>
  <c r="CU5" i="5"/>
  <c r="CH5" i="5"/>
  <c r="BU5" i="5"/>
  <c r="BH5" i="5"/>
  <c r="AU5" i="5"/>
  <c r="C69" i="6" s="1"/>
  <c r="AH5" i="5"/>
  <c r="U5" i="5"/>
  <c r="H5" i="5"/>
  <c r="HM4" i="5"/>
  <c r="GT5" i="5"/>
  <c r="GG5" i="5"/>
  <c r="FT5" i="5"/>
  <c r="FG5" i="5"/>
  <c r="ET5" i="5"/>
  <c r="EG5" i="5"/>
  <c r="DT5" i="5"/>
  <c r="DG5" i="5"/>
  <c r="CT5" i="5"/>
  <c r="CG5" i="5"/>
  <c r="BT5" i="5"/>
  <c r="BG5" i="5"/>
  <c r="AT5" i="5"/>
  <c r="AG5" i="5"/>
  <c r="T5" i="5"/>
  <c r="G5" i="5"/>
  <c r="HL4" i="5"/>
  <c r="GS5" i="5"/>
  <c r="GF5" i="5"/>
  <c r="FS5" i="5"/>
  <c r="FF5" i="5"/>
  <c r="ES5" i="5"/>
  <c r="EF5" i="5"/>
  <c r="DS5" i="5"/>
  <c r="DF5" i="5"/>
  <c r="CS5" i="5"/>
  <c r="CF5" i="5"/>
  <c r="BS5" i="5"/>
  <c r="BF5" i="5"/>
  <c r="AS5" i="5"/>
  <c r="AF5" i="5"/>
  <c r="S5" i="5"/>
  <c r="F5" i="5"/>
  <c r="HK4" i="5"/>
  <c r="C25" i="4"/>
  <c r="B10" i="4"/>
  <c r="GR5" i="5"/>
  <c r="GE5" i="5"/>
  <c r="FR5" i="5"/>
  <c r="FE5" i="5"/>
  <c r="ER5" i="5"/>
  <c r="EE5" i="5"/>
  <c r="DR5" i="5"/>
  <c r="DE5" i="5"/>
  <c r="CR5" i="5"/>
  <c r="CE5" i="5"/>
  <c r="BR5" i="5"/>
  <c r="BE5" i="5"/>
  <c r="AR5" i="5"/>
  <c r="AE5" i="5"/>
  <c r="R5" i="5"/>
  <c r="E5" i="5"/>
  <c r="HJ4" i="5"/>
  <c r="GQ5" i="5"/>
  <c r="GD5" i="5"/>
  <c r="FQ5" i="5"/>
  <c r="FD5" i="5"/>
  <c r="EQ5" i="5"/>
  <c r="ED5" i="5"/>
  <c r="DQ5" i="5"/>
  <c r="DD5" i="5"/>
  <c r="CQ5" i="5"/>
  <c r="CD5" i="5"/>
  <c r="BQ5" i="5"/>
  <c r="BD5" i="5"/>
  <c r="C70" i="6" s="1"/>
  <c r="AQ5" i="5"/>
  <c r="AD5" i="5"/>
  <c r="Q5" i="5"/>
  <c r="D5" i="5"/>
  <c r="K66" i="6" s="1"/>
  <c r="HI4" i="5"/>
  <c r="GP5" i="5"/>
  <c r="GC5" i="5"/>
  <c r="FP5" i="5"/>
  <c r="FC5" i="5"/>
  <c r="EP5" i="5"/>
  <c r="EC5" i="5"/>
  <c r="DP5" i="5"/>
  <c r="F75" i="6" s="1"/>
  <c r="DC5" i="5"/>
  <c r="B74" i="6" s="1"/>
  <c r="CP5" i="5"/>
  <c r="CC5" i="5"/>
  <c r="BP5" i="5"/>
  <c r="K71" i="6" s="1"/>
  <c r="BC5" i="5"/>
  <c r="AP5" i="5"/>
  <c r="AC5" i="5"/>
  <c r="P5" i="5"/>
  <c r="C5" i="5"/>
  <c r="HH4" i="5"/>
  <c r="C43" i="4"/>
  <c r="GO5" i="5"/>
  <c r="GB5" i="5"/>
  <c r="FO5" i="5"/>
  <c r="H79" i="6" s="1"/>
  <c r="FB5" i="5"/>
  <c r="EO5" i="5"/>
  <c r="J77" i="6" s="1"/>
  <c r="EB5" i="5"/>
  <c r="DO5" i="5"/>
  <c r="DB5" i="5"/>
  <c r="CO5" i="5"/>
  <c r="CB5" i="5"/>
  <c r="BO5" i="5"/>
  <c r="BB5" i="5"/>
  <c r="AO5" i="5"/>
  <c r="G69" i="6" s="1"/>
  <c r="AB5" i="5"/>
  <c r="O5" i="5"/>
  <c r="B5" i="5"/>
  <c r="C66" i="6" s="1"/>
  <c r="HG4" i="5"/>
  <c r="CZ5" i="5"/>
  <c r="O21" i="2"/>
  <c r="O5" i="2"/>
  <c r="C469" i="2"/>
  <c r="E507" i="2"/>
  <c r="O84" i="2"/>
  <c r="O144" i="2"/>
  <c r="O196" i="2"/>
  <c r="O200" i="2"/>
  <c r="O252" i="2"/>
  <c r="O484" i="2" s="1"/>
  <c r="O256" i="2"/>
  <c r="O306" i="2"/>
  <c r="O308" i="2"/>
  <c r="O312" i="2"/>
  <c r="O386" i="2"/>
  <c r="O392" i="2"/>
  <c r="D480" i="2"/>
  <c r="N14" i="4"/>
  <c r="N15" i="4"/>
  <c r="N16" i="4"/>
  <c r="N17" i="4"/>
  <c r="N19" i="4"/>
  <c r="DM5" i="5"/>
  <c r="O28" i="2"/>
  <c r="O492" i="2" s="1"/>
  <c r="E509" i="2"/>
  <c r="B477" i="2"/>
  <c r="F482" i="2"/>
  <c r="C492" i="2"/>
  <c r="C496" i="2"/>
  <c r="O37" i="2"/>
  <c r="C517" i="2"/>
  <c r="O53" i="2"/>
  <c r="O517" i="2" s="1"/>
  <c r="O107" i="2"/>
  <c r="O513" i="2" s="1"/>
  <c r="O109" i="2"/>
  <c r="O163" i="2"/>
  <c r="O165" i="2"/>
  <c r="O219" i="2"/>
  <c r="O221" i="2"/>
  <c r="O275" i="2"/>
  <c r="O277" i="2"/>
  <c r="O316" i="2"/>
  <c r="O343" i="2"/>
  <c r="O353" i="2"/>
  <c r="O396" i="2"/>
  <c r="O443" i="2"/>
  <c r="D26" i="4"/>
  <c r="E505" i="2"/>
  <c r="DZ5" i="5"/>
  <c r="O471" i="2"/>
  <c r="C471" i="2"/>
  <c r="B496" i="2"/>
  <c r="O32" i="2"/>
  <c r="O496" i="2" s="1"/>
  <c r="O88" i="2"/>
  <c r="O140" i="2"/>
  <c r="O51" i="2"/>
  <c r="E471" i="2"/>
  <c r="C475" i="2"/>
  <c r="C477" i="2"/>
  <c r="F486" i="2"/>
  <c r="D490" i="2"/>
  <c r="D492" i="2"/>
  <c r="O30" i="2"/>
  <c r="D494" i="2"/>
  <c r="D496" i="2"/>
  <c r="C498" i="2"/>
  <c r="O36" i="2"/>
  <c r="O500" i="2" s="1"/>
  <c r="B500" i="2"/>
  <c r="O45" i="2"/>
  <c r="O509" i="2" s="1"/>
  <c r="D37" i="4" s="1"/>
  <c r="E513" i="2"/>
  <c r="O92" i="2"/>
  <c r="O148" i="2"/>
  <c r="O204" i="2"/>
  <c r="O260" i="2"/>
  <c r="O318" i="2"/>
  <c r="O324" i="2"/>
  <c r="O398" i="2"/>
  <c r="O412" i="2"/>
  <c r="O455" i="2"/>
  <c r="B472" i="2"/>
  <c r="Y478" i="2"/>
  <c r="B5" i="4" s="1"/>
  <c r="B7" i="4" s="1"/>
  <c r="Y492" i="2"/>
  <c r="C503" i="2"/>
  <c r="Y512" i="2"/>
  <c r="HF4" i="5"/>
  <c r="EM5" i="5"/>
  <c r="B471" i="2"/>
  <c r="O27" i="2"/>
  <c r="O491" i="2" s="1"/>
  <c r="B495" i="2"/>
  <c r="B514" i="2"/>
  <c r="O43" i="2"/>
  <c r="O26" i="2"/>
  <c r="O490" i="2" s="1"/>
  <c r="B492" i="2"/>
  <c r="B516" i="2"/>
  <c r="O16" i="2"/>
  <c r="O480" i="2" s="1"/>
  <c r="D25" i="4" s="1"/>
  <c r="O40" i="2"/>
  <c r="M69" i="6"/>
  <c r="M72" i="6"/>
  <c r="M66" i="6"/>
  <c r="M71" i="6"/>
  <c r="M76" i="6"/>
  <c r="F76" i="6"/>
  <c r="M81" i="6"/>
  <c r="B79" i="6"/>
  <c r="M79" i="6"/>
  <c r="M67" i="6"/>
  <c r="M77" i="6"/>
  <c r="M74" i="6"/>
  <c r="J75" i="6"/>
  <c r="H51" i="4" l="1"/>
  <c r="H48" i="4"/>
  <c r="H45" i="4"/>
  <c r="H52" i="4"/>
  <c r="H49" i="4"/>
  <c r="H46" i="4"/>
  <c r="H50" i="4"/>
  <c r="H47" i="4"/>
  <c r="H44" i="4"/>
  <c r="GH60" i="5" a="1"/>
  <c r="GH60" i="5" s="1"/>
  <c r="GH59" i="5"/>
  <c r="CC55" i="5"/>
  <c r="CC59" i="5"/>
  <c r="CC51" i="5"/>
  <c r="CC58" i="5" a="1"/>
  <c r="CC58" i="5" s="1"/>
  <c r="CC60" i="5" a="1"/>
  <c r="CC60" i="5" s="1"/>
  <c r="CC53" i="5"/>
  <c r="CC44" i="5"/>
  <c r="CC46" i="5"/>
  <c r="CC50" i="5"/>
  <c r="CC48" i="5"/>
  <c r="CC39" i="5"/>
  <c r="CC42" i="5"/>
  <c r="CC43" i="5"/>
  <c r="CC33" i="5"/>
  <c r="CC38" i="5"/>
  <c r="CC40" i="5" a="1"/>
  <c r="CC40" i="5" s="1"/>
  <c r="CC28" i="5"/>
  <c r="CC35" i="5"/>
  <c r="CC32" i="5"/>
  <c r="CC23" i="5"/>
  <c r="CC26" i="5"/>
  <c r="CC29" i="5"/>
  <c r="CC30" i="5"/>
  <c r="CC24" i="5"/>
  <c r="CC22" i="5"/>
  <c r="CC18" i="5"/>
  <c r="CC19" i="5"/>
  <c r="CC7" i="5"/>
  <c r="CC8" i="5"/>
  <c r="CC14" i="5"/>
  <c r="CC10" i="5" a="1"/>
  <c r="CC10" i="5" s="1"/>
  <c r="CC12" i="5"/>
  <c r="FS60" i="5" a="1"/>
  <c r="FS60" i="5" s="1"/>
  <c r="FS59" i="5"/>
  <c r="BJ60" i="5" a="1"/>
  <c r="BJ60" i="5" s="1"/>
  <c r="BJ55" i="5"/>
  <c r="BJ59" i="5"/>
  <c r="BJ51" i="5"/>
  <c r="BJ46" i="5"/>
  <c r="BJ53" i="5"/>
  <c r="BJ44" i="5"/>
  <c r="BJ48" i="5"/>
  <c r="BJ50" i="5"/>
  <c r="BJ38" i="5"/>
  <c r="BJ43" i="5"/>
  <c r="BJ42" i="5"/>
  <c r="BJ40" i="5" a="1"/>
  <c r="BJ40" i="5" s="1"/>
  <c r="BJ35" i="5"/>
  <c r="BJ58" i="5" a="1"/>
  <c r="BJ58" i="5" s="1"/>
  <c r="BJ39" i="5"/>
  <c r="BJ24" i="5"/>
  <c r="BJ28" i="5"/>
  <c r="BJ32" i="5"/>
  <c r="BJ33" i="5"/>
  <c r="BJ22" i="5"/>
  <c r="BJ30" i="5"/>
  <c r="BJ29" i="5"/>
  <c r="BJ23" i="5"/>
  <c r="BJ14" i="5"/>
  <c r="BJ19" i="5"/>
  <c r="BJ18" i="5"/>
  <c r="BJ26" i="5"/>
  <c r="BJ10" i="5" a="1"/>
  <c r="BJ10" i="5" s="1"/>
  <c r="BJ8" i="5"/>
  <c r="BJ7" i="5"/>
  <c r="BJ12" i="5"/>
  <c r="O59" i="5"/>
  <c r="K67" i="6"/>
  <c r="I67" i="6"/>
  <c r="C67" i="6"/>
  <c r="O55" i="5"/>
  <c r="O58" i="5" a="1"/>
  <c r="O58" i="5" s="1"/>
  <c r="O60" i="5" a="1"/>
  <c r="O60" i="5" s="1"/>
  <c r="O51" i="5"/>
  <c r="O48" i="5"/>
  <c r="O44" i="5"/>
  <c r="O53" i="5"/>
  <c r="O46" i="5"/>
  <c r="O42" i="5"/>
  <c r="O43" i="5"/>
  <c r="O39" i="5"/>
  <c r="O38" i="5"/>
  <c r="O32" i="5"/>
  <c r="O50" i="5"/>
  <c r="O40" i="5" a="1"/>
  <c r="O40" i="5" s="1"/>
  <c r="O35" i="5"/>
  <c r="O28" i="5"/>
  <c r="O29" i="5"/>
  <c r="O26" i="5"/>
  <c r="O30" i="5"/>
  <c r="O33" i="5"/>
  <c r="O24" i="5"/>
  <c r="O23" i="5"/>
  <c r="O14" i="5"/>
  <c r="O19" i="5"/>
  <c r="O18" i="5"/>
  <c r="O10" i="5" a="1"/>
  <c r="O10" i="5" s="1"/>
  <c r="O12" i="5"/>
  <c r="O8" i="5"/>
  <c r="O22" i="5"/>
  <c r="O7" i="5"/>
  <c r="GQ59" i="5"/>
  <c r="GQ60" i="5" a="1"/>
  <c r="GQ60" i="5" s="1"/>
  <c r="CJ60" i="5" a="1"/>
  <c r="CJ60" i="5" s="1"/>
  <c r="CJ59" i="5"/>
  <c r="CJ10" i="5" a="1"/>
  <c r="CJ10" i="5" s="1"/>
  <c r="G67" i="6"/>
  <c r="FD60" i="5" a="1"/>
  <c r="FD60" i="5" s="1"/>
  <c r="FD59" i="5"/>
  <c r="CT60" i="5" a="1"/>
  <c r="CT60" i="5" s="1"/>
  <c r="CT59" i="5"/>
  <c r="DX60" i="5" a="1"/>
  <c r="DX60" i="5" s="1"/>
  <c r="DX59" i="5"/>
  <c r="C71" i="6"/>
  <c r="DM60" i="5" a="1"/>
  <c r="DM60" i="5" s="1"/>
  <c r="DM59" i="5"/>
  <c r="FQ60" i="5" a="1"/>
  <c r="FQ60" i="5" s="1"/>
  <c r="FQ59" i="5"/>
  <c r="DE60" i="5" a="1"/>
  <c r="DE60" i="5" s="1"/>
  <c r="DE59" i="5"/>
  <c r="GU60" i="5" a="1"/>
  <c r="GU60" i="5" s="1"/>
  <c r="GU59" i="5"/>
  <c r="EK60" i="5" a="1"/>
  <c r="EK60" i="5" s="1"/>
  <c r="EK59" i="5"/>
  <c r="EK10" i="5" a="1"/>
  <c r="EK10" i="5" s="1"/>
  <c r="CP59" i="5"/>
  <c r="CP60" i="5" a="1"/>
  <c r="CP60" i="5" s="1"/>
  <c r="CP10" i="5" a="1"/>
  <c r="CP10" i="5" s="1"/>
  <c r="DR60" i="5" a="1"/>
  <c r="DR60" i="5" s="1"/>
  <c r="DR59" i="5"/>
  <c r="BH59" i="5"/>
  <c r="BH60" i="5" a="1"/>
  <c r="BH60" i="5" s="1"/>
  <c r="BH53" i="5"/>
  <c r="BH55" i="5"/>
  <c r="BH58" i="5" a="1"/>
  <c r="BH58" i="5" s="1"/>
  <c r="BH50" i="5"/>
  <c r="BH48" i="5"/>
  <c r="BH51" i="5"/>
  <c r="BH44" i="5"/>
  <c r="BH42" i="5"/>
  <c r="BH46" i="5"/>
  <c r="BH39" i="5"/>
  <c r="BH35" i="5"/>
  <c r="BH43" i="5"/>
  <c r="BH32" i="5"/>
  <c r="BH29" i="5"/>
  <c r="BH23" i="5"/>
  <c r="BH40" i="5" a="1"/>
  <c r="BH40" i="5" s="1"/>
  <c r="BH33" i="5"/>
  <c r="BH30" i="5"/>
  <c r="BH24" i="5"/>
  <c r="BH28" i="5"/>
  <c r="BH26" i="5"/>
  <c r="BH19" i="5"/>
  <c r="BH38" i="5"/>
  <c r="BH10" i="5" a="1"/>
  <c r="BH10" i="5" s="1"/>
  <c r="BH14" i="5"/>
  <c r="BH8" i="5"/>
  <c r="BH18" i="5"/>
  <c r="BH12" i="5"/>
  <c r="BH7" i="5"/>
  <c r="BH22" i="5"/>
  <c r="EX59" i="5"/>
  <c r="EX60" i="5" a="1"/>
  <c r="EX60" i="5" s="1"/>
  <c r="AQ59" i="5"/>
  <c r="AQ60" i="5" a="1"/>
  <c r="AQ60" i="5" s="1"/>
  <c r="AQ58" i="5" a="1"/>
  <c r="AQ58" i="5" s="1"/>
  <c r="AQ53" i="5"/>
  <c r="AQ50" i="5"/>
  <c r="AQ51" i="5"/>
  <c r="AQ48" i="5"/>
  <c r="AQ55" i="5"/>
  <c r="AQ46" i="5"/>
  <c r="AQ44" i="5"/>
  <c r="AQ43" i="5"/>
  <c r="AQ33" i="5"/>
  <c r="AQ40" i="5" a="1"/>
  <c r="AQ40" i="5" s="1"/>
  <c r="AQ30" i="5"/>
  <c r="AQ35" i="5"/>
  <c r="AQ29" i="5"/>
  <c r="AQ38" i="5"/>
  <c r="AQ26" i="5"/>
  <c r="AQ42" i="5"/>
  <c r="AQ32" i="5"/>
  <c r="AQ28" i="5"/>
  <c r="AQ39" i="5"/>
  <c r="AQ23" i="5"/>
  <c r="AQ10" i="5" a="1"/>
  <c r="AQ10" i="5" s="1"/>
  <c r="AQ18" i="5"/>
  <c r="AQ12" i="5"/>
  <c r="AQ24" i="5"/>
  <c r="AQ14" i="5"/>
  <c r="AQ7" i="5"/>
  <c r="AQ22" i="5"/>
  <c r="AQ19" i="5"/>
  <c r="AQ8" i="5"/>
  <c r="AS58" i="5" a="1"/>
  <c r="AS58" i="5" s="1"/>
  <c r="AS55" i="5"/>
  <c r="AS59" i="5"/>
  <c r="AS51" i="5"/>
  <c r="AS53" i="5"/>
  <c r="AS60" i="5" a="1"/>
  <c r="AS60" i="5" s="1"/>
  <c r="AS44" i="5"/>
  <c r="AS46" i="5"/>
  <c r="AS48" i="5"/>
  <c r="AS50" i="5"/>
  <c r="AS43" i="5"/>
  <c r="AS39" i="5"/>
  <c r="AS42" i="5"/>
  <c r="AS40" i="5" a="1"/>
  <c r="AS40" i="5" s="1"/>
  <c r="AS30" i="5"/>
  <c r="AS35" i="5"/>
  <c r="AS32" i="5"/>
  <c r="AS29" i="5"/>
  <c r="AS33" i="5"/>
  <c r="AS28" i="5"/>
  <c r="AS24" i="5"/>
  <c r="AS26" i="5"/>
  <c r="AS22" i="5"/>
  <c r="AS38" i="5"/>
  <c r="AS18" i="5"/>
  <c r="AS19" i="5"/>
  <c r="AS23" i="5"/>
  <c r="AS7" i="5"/>
  <c r="AS14" i="5"/>
  <c r="AS12" i="5"/>
  <c r="AS8" i="5"/>
  <c r="AS10" i="5" a="1"/>
  <c r="AS10" i="5" s="1"/>
  <c r="BU58" i="5" a="1"/>
  <c r="BU58" i="5" s="1"/>
  <c r="BU60" i="5" a="1"/>
  <c r="BU60" i="5" s="1"/>
  <c r="BU53" i="5"/>
  <c r="BU59" i="5"/>
  <c r="BU55" i="5"/>
  <c r="BU51" i="5"/>
  <c r="BU46" i="5"/>
  <c r="BU50" i="5"/>
  <c r="BU42" i="5"/>
  <c r="BU40" i="5" a="1"/>
  <c r="BU40" i="5" s="1"/>
  <c r="BU39" i="5"/>
  <c r="BU48" i="5"/>
  <c r="BU44" i="5"/>
  <c r="BU43" i="5"/>
  <c r="BU35" i="5"/>
  <c r="BU38" i="5"/>
  <c r="BU30" i="5"/>
  <c r="BU29" i="5"/>
  <c r="BU33" i="5"/>
  <c r="BU32" i="5"/>
  <c r="BU24" i="5"/>
  <c r="BU19" i="5"/>
  <c r="BU28" i="5"/>
  <c r="BU23" i="5"/>
  <c r="BU12" i="5"/>
  <c r="BU10" i="5" a="1"/>
  <c r="BU10" i="5" s="1"/>
  <c r="BU22" i="5"/>
  <c r="BU14" i="5"/>
  <c r="BU26" i="5"/>
  <c r="BU8" i="5"/>
  <c r="BU18" i="5"/>
  <c r="BU7" i="5"/>
  <c r="FK59" i="5"/>
  <c r="FK60" i="5" a="1"/>
  <c r="FK60" i="5" s="1"/>
  <c r="I70" i="6"/>
  <c r="V59" i="5"/>
  <c r="V60" i="5" a="1"/>
  <c r="V60" i="5" s="1"/>
  <c r="V58" i="5" a="1"/>
  <c r="V58" i="5" s="1"/>
  <c r="V53" i="5"/>
  <c r="V55" i="5"/>
  <c r="V50" i="5"/>
  <c r="V44" i="5"/>
  <c r="V51" i="5"/>
  <c r="V46" i="5"/>
  <c r="V43" i="5"/>
  <c r="V48" i="5"/>
  <c r="V35" i="5"/>
  <c r="V42" i="5"/>
  <c r="V38" i="5"/>
  <c r="V32" i="5"/>
  <c r="V29" i="5"/>
  <c r="V33" i="5"/>
  <c r="V40" i="5" a="1"/>
  <c r="V40" i="5" s="1"/>
  <c r="V39" i="5"/>
  <c r="V23" i="5"/>
  <c r="V30" i="5"/>
  <c r="V22" i="5"/>
  <c r="V28" i="5"/>
  <c r="V24" i="5"/>
  <c r="V12" i="5"/>
  <c r="V26" i="5"/>
  <c r="V14" i="5"/>
  <c r="V10" i="5" a="1"/>
  <c r="V10" i="5" s="1"/>
  <c r="V8" i="5"/>
  <c r="V7" i="5"/>
  <c r="V18" i="5"/>
  <c r="V19" i="5"/>
  <c r="CY59" i="5"/>
  <c r="CY60" i="5" a="1"/>
  <c r="CY60" i="5" s="1"/>
  <c r="O503" i="2"/>
  <c r="D34" i="4" s="1"/>
  <c r="BB59" i="5"/>
  <c r="BB60" i="5" a="1"/>
  <c r="BB60" i="5" s="1"/>
  <c r="BB55" i="5"/>
  <c r="K70" i="6"/>
  <c r="BB58" i="5" a="1"/>
  <c r="BB58" i="5" s="1"/>
  <c r="BB53" i="5"/>
  <c r="BB48" i="5"/>
  <c r="BB44" i="5"/>
  <c r="BB50" i="5"/>
  <c r="BB46" i="5"/>
  <c r="BB42" i="5"/>
  <c r="BB51" i="5"/>
  <c r="BB33" i="5"/>
  <c r="BB43" i="5"/>
  <c r="BB38" i="5"/>
  <c r="BB39" i="5"/>
  <c r="BB40" i="5" a="1"/>
  <c r="BB40" i="5" s="1"/>
  <c r="BB35" i="5"/>
  <c r="BB30" i="5"/>
  <c r="BB28" i="5"/>
  <c r="BB26" i="5"/>
  <c r="BB22" i="5"/>
  <c r="BB32" i="5"/>
  <c r="BB29" i="5"/>
  <c r="BB19" i="5"/>
  <c r="BB23" i="5"/>
  <c r="BB18" i="5"/>
  <c r="BB10" i="5" a="1"/>
  <c r="BB10" i="5" s="1"/>
  <c r="BB24" i="5"/>
  <c r="BB12" i="5"/>
  <c r="BB8" i="5"/>
  <c r="BB14" i="5"/>
  <c r="BB7" i="5"/>
  <c r="C44" i="4"/>
  <c r="C45" i="4" s="1"/>
  <c r="C46" i="4" s="1"/>
  <c r="C47" i="4" s="1"/>
  <c r="C48" i="4" s="1"/>
  <c r="B43" i="4"/>
  <c r="EC60" i="5" a="1"/>
  <c r="EC60" i="5" s="1"/>
  <c r="EC59" i="5"/>
  <c r="BQ60" i="5" a="1"/>
  <c r="BQ60" i="5" s="1"/>
  <c r="BQ55" i="5"/>
  <c r="BQ59" i="5"/>
  <c r="BQ58" i="5" a="1"/>
  <c r="BQ58" i="5" s="1"/>
  <c r="BQ51" i="5"/>
  <c r="BQ53" i="5"/>
  <c r="BQ44" i="5"/>
  <c r="BQ50" i="5"/>
  <c r="BQ46" i="5"/>
  <c r="BQ48" i="5"/>
  <c r="BQ43" i="5"/>
  <c r="BQ42" i="5"/>
  <c r="BQ38" i="5"/>
  <c r="BQ33" i="5"/>
  <c r="BQ30" i="5"/>
  <c r="BQ40" i="5" a="1"/>
  <c r="BQ40" i="5" s="1"/>
  <c r="BQ35" i="5"/>
  <c r="BQ26" i="5"/>
  <c r="BQ39" i="5"/>
  <c r="BQ29" i="5"/>
  <c r="BQ23" i="5"/>
  <c r="BQ28" i="5"/>
  <c r="BQ24" i="5"/>
  <c r="BQ32" i="5"/>
  <c r="BQ19" i="5"/>
  <c r="BQ18" i="5"/>
  <c r="BQ22" i="5"/>
  <c r="BQ8" i="5"/>
  <c r="BQ7" i="5"/>
  <c r="BQ12" i="5"/>
  <c r="BQ10" i="5" a="1"/>
  <c r="BQ10" i="5" s="1"/>
  <c r="BQ14" i="5"/>
  <c r="E60" i="5" a="1"/>
  <c r="E60" i="5" s="1"/>
  <c r="E55" i="5"/>
  <c r="E50" i="5"/>
  <c r="E51" i="5"/>
  <c r="E58" i="5" a="1"/>
  <c r="E58" i="5" s="1"/>
  <c r="E53" i="5"/>
  <c r="E59" i="5"/>
  <c r="E46" i="5"/>
  <c r="E43" i="5"/>
  <c r="E30" i="5"/>
  <c r="E48" i="5"/>
  <c r="E42" i="5"/>
  <c r="E44" i="5"/>
  <c r="E39" i="5"/>
  <c r="E38" i="5"/>
  <c r="E33" i="5"/>
  <c r="E35" i="5"/>
  <c r="E40" i="5" a="1"/>
  <c r="E40" i="5" s="1"/>
  <c r="E32" i="5"/>
  <c r="E29" i="5"/>
  <c r="E26" i="5"/>
  <c r="E24" i="5"/>
  <c r="E28" i="5"/>
  <c r="E23" i="5"/>
  <c r="E22" i="5"/>
  <c r="E19" i="5"/>
  <c r="E14" i="5"/>
  <c r="E8" i="5"/>
  <c r="E18" i="5"/>
  <c r="E12" i="5"/>
  <c r="E7" i="5"/>
  <c r="E10" i="5" a="1"/>
  <c r="E10" i="5" s="1"/>
  <c r="FE60" i="5" a="1"/>
  <c r="FE60" i="5" s="1"/>
  <c r="FE59" i="5"/>
  <c r="BS60" i="5" a="1"/>
  <c r="BS60" i="5" s="1"/>
  <c r="BS58" i="5" a="1"/>
  <c r="BS58" i="5" s="1"/>
  <c r="BS53" i="5"/>
  <c r="BS59" i="5"/>
  <c r="BS50" i="5"/>
  <c r="BS55" i="5"/>
  <c r="BS48" i="5"/>
  <c r="BS44" i="5"/>
  <c r="BS51" i="5"/>
  <c r="BS46" i="5"/>
  <c r="BS42" i="5"/>
  <c r="BS35" i="5"/>
  <c r="BS43" i="5"/>
  <c r="BS39" i="5"/>
  <c r="BS38" i="5"/>
  <c r="BS30" i="5"/>
  <c r="BS40" i="5" a="1"/>
  <c r="BS40" i="5" s="1"/>
  <c r="BS32" i="5"/>
  <c r="BS26" i="5"/>
  <c r="BS29" i="5"/>
  <c r="BS28" i="5"/>
  <c r="BS33" i="5"/>
  <c r="BS22" i="5"/>
  <c r="BS23" i="5"/>
  <c r="BS24" i="5"/>
  <c r="BS12" i="5"/>
  <c r="BS14" i="5"/>
  <c r="BS10" i="5" a="1"/>
  <c r="BS10" i="5" s="1"/>
  <c r="BS8" i="5"/>
  <c r="BS19" i="5"/>
  <c r="BS18" i="5"/>
  <c r="BS7" i="5"/>
  <c r="G59" i="5"/>
  <c r="G60" i="5" a="1"/>
  <c r="G60" i="5" s="1"/>
  <c r="G58" i="5" a="1"/>
  <c r="G58" i="5" s="1"/>
  <c r="G53" i="5"/>
  <c r="G51" i="5"/>
  <c r="G48" i="5"/>
  <c r="G50" i="5"/>
  <c r="G46" i="5"/>
  <c r="G43" i="5"/>
  <c r="G55" i="5"/>
  <c r="G33" i="5"/>
  <c r="G42" i="5"/>
  <c r="G39" i="5"/>
  <c r="G44" i="5"/>
  <c r="G38" i="5"/>
  <c r="G40" i="5" a="1"/>
  <c r="G40" i="5" s="1"/>
  <c r="G32" i="5"/>
  <c r="G29" i="5"/>
  <c r="G35" i="5"/>
  <c r="G30" i="5"/>
  <c r="G28" i="5"/>
  <c r="G22" i="5"/>
  <c r="G23" i="5"/>
  <c r="G18" i="5"/>
  <c r="G12" i="5"/>
  <c r="G24" i="5"/>
  <c r="G26" i="5"/>
  <c r="G14" i="5"/>
  <c r="G19" i="5"/>
  <c r="G8" i="5"/>
  <c r="G7" i="5"/>
  <c r="G10" i="5" a="1"/>
  <c r="G10" i="5" s="1"/>
  <c r="FG59" i="5"/>
  <c r="FG60" i="5" a="1"/>
  <c r="FG60" i="5" s="1"/>
  <c r="CU59" i="5"/>
  <c r="CU60" i="5" a="1"/>
  <c r="CU60" i="5" s="1"/>
  <c r="AI59" i="5"/>
  <c r="AI60" i="5" a="1"/>
  <c r="AI60" i="5" s="1"/>
  <c r="AI53" i="5"/>
  <c r="AI55" i="5"/>
  <c r="AI50" i="5"/>
  <c r="AI58" i="5" a="1"/>
  <c r="AI58" i="5" s="1"/>
  <c r="AI51" i="5"/>
  <c r="AI46" i="5"/>
  <c r="AI44" i="5"/>
  <c r="AI42" i="5"/>
  <c r="AI35" i="5"/>
  <c r="AI48" i="5"/>
  <c r="AI39" i="5"/>
  <c r="AI32" i="5"/>
  <c r="AI38" i="5"/>
  <c r="AI33" i="5"/>
  <c r="AI26" i="5"/>
  <c r="AI40" i="5" a="1"/>
  <c r="AI40" i="5" s="1"/>
  <c r="AI30" i="5"/>
  <c r="AI29" i="5"/>
  <c r="AI28" i="5"/>
  <c r="AI22" i="5"/>
  <c r="AI23" i="5"/>
  <c r="AI43" i="5"/>
  <c r="AI24" i="5"/>
  <c r="AI19" i="5"/>
  <c r="AI12" i="5"/>
  <c r="AI10" i="5" a="1"/>
  <c r="AI10" i="5" s="1"/>
  <c r="AI14" i="5"/>
  <c r="AI8" i="5"/>
  <c r="AI18" i="5"/>
  <c r="AI7" i="5"/>
  <c r="GI59" i="5"/>
  <c r="GI60" i="5" a="1"/>
  <c r="GI60" i="5" s="1"/>
  <c r="DJ60" i="5" a="1"/>
  <c r="DJ60" i="5" s="1"/>
  <c r="DJ59" i="5"/>
  <c r="DJ10" i="5" a="1"/>
  <c r="DJ10" i="5" s="1"/>
  <c r="AK59" i="5"/>
  <c r="AK60" i="5" a="1"/>
  <c r="AK60" i="5" s="1"/>
  <c r="AK53" i="5"/>
  <c r="AK55" i="5"/>
  <c r="AK58" i="5" a="1"/>
  <c r="AK58" i="5" s="1"/>
  <c r="AK51" i="5"/>
  <c r="AK46" i="5"/>
  <c r="AK50" i="5"/>
  <c r="AK44" i="5"/>
  <c r="AK42" i="5"/>
  <c r="AK43" i="5"/>
  <c r="AK40" i="5" a="1"/>
  <c r="AK40" i="5" s="1"/>
  <c r="AK39" i="5"/>
  <c r="AK32" i="5"/>
  <c r="AK38" i="5"/>
  <c r="AK48" i="5"/>
  <c r="AK33" i="5"/>
  <c r="AK30" i="5"/>
  <c r="AK28" i="5"/>
  <c r="AK35" i="5"/>
  <c r="AK29" i="5"/>
  <c r="AK19" i="5"/>
  <c r="AK26" i="5"/>
  <c r="AK24" i="5"/>
  <c r="AK22" i="5"/>
  <c r="AK12" i="5"/>
  <c r="AK23" i="5"/>
  <c r="AK14" i="5"/>
  <c r="AK8" i="5"/>
  <c r="AK18" i="5"/>
  <c r="AK10" i="5" a="1"/>
  <c r="AK10" i="5" s="1"/>
  <c r="AK7" i="5"/>
  <c r="GK60" i="5" a="1"/>
  <c r="GK60" i="5" s="1"/>
  <c r="GK59" i="5"/>
  <c r="DL59" i="5"/>
  <c r="DL60" i="5" a="1"/>
  <c r="DL60" i="5" s="1"/>
  <c r="DL10" i="5" a="1"/>
  <c r="DL10" i="5" s="1"/>
  <c r="GM60" i="5" a="1"/>
  <c r="GM60" i="5" s="1"/>
  <c r="GM59" i="5"/>
  <c r="DZ59" i="5"/>
  <c r="DZ60" i="5" a="1"/>
  <c r="DZ60" i="5" s="1"/>
  <c r="DZ10" i="5" a="1"/>
  <c r="DZ10" i="5" s="1"/>
  <c r="BP59" i="5"/>
  <c r="BP60" i="5" a="1"/>
  <c r="BP60" i="5" s="1"/>
  <c r="BP58" i="5" a="1"/>
  <c r="BP58" i="5" s="1"/>
  <c r="BP53" i="5"/>
  <c r="BP51" i="5"/>
  <c r="BP55" i="5"/>
  <c r="BP50" i="5"/>
  <c r="BP46" i="5"/>
  <c r="BP48" i="5"/>
  <c r="BP43" i="5"/>
  <c r="BP44" i="5"/>
  <c r="BP40" i="5" a="1"/>
  <c r="BP40" i="5" s="1"/>
  <c r="BP39" i="5"/>
  <c r="BP42" i="5"/>
  <c r="BP38" i="5"/>
  <c r="BP33" i="5"/>
  <c r="BP28" i="5"/>
  <c r="BP30" i="5"/>
  <c r="BP29" i="5"/>
  <c r="BP23" i="5"/>
  <c r="BP35" i="5"/>
  <c r="BP32" i="5"/>
  <c r="BP26" i="5"/>
  <c r="BP10" i="5" a="1"/>
  <c r="BP10" i="5" s="1"/>
  <c r="BP19" i="5"/>
  <c r="BP18" i="5"/>
  <c r="BP24" i="5"/>
  <c r="BP12" i="5"/>
  <c r="BP22" i="5"/>
  <c r="BP14" i="5"/>
  <c r="BP8" i="5"/>
  <c r="BP7" i="5"/>
  <c r="F60" i="5" a="1"/>
  <c r="F60" i="5" s="1"/>
  <c r="F59" i="5"/>
  <c r="F58" i="5" a="1"/>
  <c r="F58" i="5" s="1"/>
  <c r="F53" i="5"/>
  <c r="F48" i="5"/>
  <c r="F55" i="5"/>
  <c r="F51" i="5"/>
  <c r="F50" i="5"/>
  <c r="F46" i="5"/>
  <c r="F44" i="5"/>
  <c r="F42" i="5"/>
  <c r="F33" i="5"/>
  <c r="F39" i="5"/>
  <c r="F43" i="5"/>
  <c r="F40" i="5" a="1"/>
  <c r="F40" i="5" s="1"/>
  <c r="F30" i="5"/>
  <c r="F38" i="5"/>
  <c r="F32" i="5"/>
  <c r="F22" i="5"/>
  <c r="F28" i="5"/>
  <c r="F35" i="5"/>
  <c r="F19" i="5"/>
  <c r="F29" i="5"/>
  <c r="F23" i="5"/>
  <c r="F26" i="5"/>
  <c r="F24" i="5"/>
  <c r="F18" i="5"/>
  <c r="F8" i="5"/>
  <c r="F14" i="5"/>
  <c r="F12" i="5"/>
  <c r="F7" i="5"/>
  <c r="F10" i="5" a="1"/>
  <c r="F10" i="5" s="1"/>
  <c r="FF59" i="5"/>
  <c r="FF60" i="5" a="1"/>
  <c r="FF60" i="5" s="1"/>
  <c r="AH60" i="5" a="1"/>
  <c r="AH60" i="5" s="1"/>
  <c r="AH59" i="5"/>
  <c r="AH53" i="5"/>
  <c r="AH55" i="5"/>
  <c r="AH50" i="5"/>
  <c r="AH48" i="5"/>
  <c r="AH44" i="5"/>
  <c r="AH46" i="5"/>
  <c r="AH58" i="5" a="1"/>
  <c r="AH58" i="5" s="1"/>
  <c r="AH51" i="5"/>
  <c r="AH43" i="5"/>
  <c r="AH39" i="5"/>
  <c r="AH40" i="5" a="1"/>
  <c r="AH40" i="5" s="1"/>
  <c r="AH35" i="5"/>
  <c r="AH42" i="5"/>
  <c r="AH29" i="5"/>
  <c r="AH38" i="5"/>
  <c r="AH23" i="5"/>
  <c r="AH30" i="5"/>
  <c r="AH32" i="5"/>
  <c r="AH26" i="5"/>
  <c r="AH28" i="5"/>
  <c r="AH33" i="5"/>
  <c r="AH24" i="5"/>
  <c r="AH22" i="5"/>
  <c r="AH19" i="5"/>
  <c r="AH12" i="5"/>
  <c r="AH10" i="5" a="1"/>
  <c r="AH10" i="5" s="1"/>
  <c r="AH14" i="5"/>
  <c r="AH7" i="5"/>
  <c r="AH8" i="5"/>
  <c r="AH18" i="5"/>
  <c r="DV59" i="5"/>
  <c r="DV60" i="5" a="1"/>
  <c r="DV60" i="5" s="1"/>
  <c r="DV10" i="5" a="1"/>
  <c r="DV10" i="5" s="1"/>
  <c r="AY59" i="5"/>
  <c r="AY58" i="5" a="1"/>
  <c r="AY58" i="5" s="1"/>
  <c r="AY60" i="5" a="1"/>
  <c r="AY60" i="5" s="1"/>
  <c r="AY55" i="5"/>
  <c r="AY51" i="5"/>
  <c r="AY53" i="5"/>
  <c r="AY50" i="5"/>
  <c r="AY44" i="5"/>
  <c r="AY48" i="5"/>
  <c r="AY42" i="5"/>
  <c r="AY43" i="5"/>
  <c r="AY39" i="5"/>
  <c r="AY40" i="5" a="1"/>
  <c r="AY40" i="5" s="1"/>
  <c r="AY38" i="5"/>
  <c r="AY32" i="5"/>
  <c r="AY46" i="5"/>
  <c r="AY33" i="5"/>
  <c r="AY28" i="5"/>
  <c r="AY30" i="5"/>
  <c r="AY35" i="5"/>
  <c r="AY26" i="5"/>
  <c r="AY22" i="5"/>
  <c r="AY29" i="5"/>
  <c r="AY24" i="5"/>
  <c r="AY19" i="5"/>
  <c r="AY14" i="5"/>
  <c r="AY18" i="5"/>
  <c r="AY23" i="5"/>
  <c r="AY10" i="5" a="1"/>
  <c r="AY10" i="5" s="1"/>
  <c r="AY8" i="5"/>
  <c r="AY12" i="5"/>
  <c r="AY7" i="5"/>
  <c r="GY60" i="5" a="1"/>
  <c r="GY60" i="5" s="1"/>
  <c r="GY59" i="5"/>
  <c r="Z58" i="5" a="1"/>
  <c r="Z58" i="5" s="1"/>
  <c r="Z60" i="5" a="1"/>
  <c r="Z60" i="5" s="1"/>
  <c r="Z59" i="5"/>
  <c r="Z55" i="5"/>
  <c r="Z51" i="5"/>
  <c r="Z46" i="5"/>
  <c r="Z50" i="5"/>
  <c r="Z48" i="5"/>
  <c r="Z44" i="5"/>
  <c r="Z53" i="5"/>
  <c r="Z40" i="5" a="1"/>
  <c r="Z40" i="5" s="1"/>
  <c r="Z38" i="5"/>
  <c r="Z42" i="5"/>
  <c r="Z43" i="5"/>
  <c r="Z33" i="5"/>
  <c r="Z39" i="5"/>
  <c r="Z30" i="5"/>
  <c r="Z35" i="5"/>
  <c r="Z28" i="5"/>
  <c r="Z24" i="5"/>
  <c r="Z29" i="5"/>
  <c r="Z32" i="5"/>
  <c r="Z23" i="5"/>
  <c r="Z26" i="5"/>
  <c r="Z14" i="5"/>
  <c r="Z22" i="5"/>
  <c r="Z18" i="5"/>
  <c r="Z19" i="5"/>
  <c r="Z12" i="5"/>
  <c r="Z10" i="5" a="1"/>
  <c r="Z10" i="5" s="1"/>
  <c r="Z7" i="5"/>
  <c r="Z8" i="5"/>
  <c r="S60" i="5" a="1"/>
  <c r="S60" i="5" s="1"/>
  <c r="S59" i="5"/>
  <c r="S53" i="5"/>
  <c r="S58" i="5" a="1"/>
  <c r="S58" i="5" s="1"/>
  <c r="S51" i="5"/>
  <c r="S50" i="5"/>
  <c r="S46" i="5"/>
  <c r="S55" i="5"/>
  <c r="S44" i="5"/>
  <c r="S43" i="5"/>
  <c r="S48" i="5"/>
  <c r="S33" i="5"/>
  <c r="S39" i="5"/>
  <c r="S30" i="5"/>
  <c r="S38" i="5"/>
  <c r="S32" i="5"/>
  <c r="S29" i="5"/>
  <c r="S42" i="5"/>
  <c r="S40" i="5" a="1"/>
  <c r="S40" i="5" s="1"/>
  <c r="S28" i="5"/>
  <c r="S24" i="5"/>
  <c r="S26" i="5"/>
  <c r="S23" i="5"/>
  <c r="S22" i="5"/>
  <c r="S35" i="5"/>
  <c r="S19" i="5"/>
  <c r="S18" i="5"/>
  <c r="S12" i="5"/>
  <c r="S14" i="5"/>
  <c r="S8" i="5"/>
  <c r="S10" i="5" a="1"/>
  <c r="S10" i="5" s="1"/>
  <c r="S7" i="5"/>
  <c r="EI60" i="5" a="1"/>
  <c r="EI60" i="5" s="1"/>
  <c r="EI59" i="5"/>
  <c r="EI10" i="5" a="1"/>
  <c r="EI10" i="5" s="1"/>
  <c r="F81" i="6"/>
  <c r="GD60" i="5" a="1"/>
  <c r="GD60" i="5" s="1"/>
  <c r="GD59" i="5"/>
  <c r="AF60" i="5" a="1"/>
  <c r="AF60" i="5" s="1"/>
  <c r="AF58" i="5" a="1"/>
  <c r="AF58" i="5" s="1"/>
  <c r="AF59" i="5"/>
  <c r="AF53" i="5"/>
  <c r="AF55" i="5"/>
  <c r="AF46" i="5"/>
  <c r="AF50" i="5"/>
  <c r="AF43" i="5"/>
  <c r="AF51" i="5"/>
  <c r="AF44" i="5"/>
  <c r="AF42" i="5"/>
  <c r="AF39" i="5"/>
  <c r="AF48" i="5"/>
  <c r="AF35" i="5"/>
  <c r="AF30" i="5"/>
  <c r="AF32" i="5"/>
  <c r="AF40" i="5" a="1"/>
  <c r="AF40" i="5" s="1"/>
  <c r="AF33" i="5"/>
  <c r="AF28" i="5"/>
  <c r="AF38" i="5"/>
  <c r="AF29" i="5"/>
  <c r="AF24" i="5"/>
  <c r="AF26" i="5"/>
  <c r="AF22" i="5"/>
  <c r="AF18" i="5"/>
  <c r="AF23" i="5"/>
  <c r="AF19" i="5"/>
  <c r="AF12" i="5"/>
  <c r="AF10" i="5" a="1"/>
  <c r="AF10" i="5" s="1"/>
  <c r="AF7" i="5"/>
  <c r="AF8" i="5"/>
  <c r="AF14" i="5"/>
  <c r="DT59" i="5"/>
  <c r="DT60" i="5" a="1"/>
  <c r="DT60" i="5" s="1"/>
  <c r="DT10" i="5" a="1"/>
  <c r="DT10" i="5" s="1"/>
  <c r="BW60" i="5" a="1"/>
  <c r="BW60" i="5" s="1"/>
  <c r="BW59" i="5"/>
  <c r="BW55" i="5"/>
  <c r="BW51" i="5"/>
  <c r="BW58" i="5" a="1"/>
  <c r="BW58" i="5" s="1"/>
  <c r="BW48" i="5"/>
  <c r="BW53" i="5"/>
  <c r="BW50" i="5"/>
  <c r="BW44" i="5"/>
  <c r="BW46" i="5"/>
  <c r="BW42" i="5"/>
  <c r="BW43" i="5"/>
  <c r="BW39" i="5"/>
  <c r="BW38" i="5"/>
  <c r="BW32" i="5"/>
  <c r="BW40" i="5" a="1"/>
  <c r="BW40" i="5" s="1"/>
  <c r="BW35" i="5"/>
  <c r="BW28" i="5"/>
  <c r="BW33" i="5"/>
  <c r="BW30" i="5"/>
  <c r="BW29" i="5"/>
  <c r="BW24" i="5"/>
  <c r="BW22" i="5"/>
  <c r="BW26" i="5"/>
  <c r="BW14" i="5"/>
  <c r="BW18" i="5"/>
  <c r="BW23" i="5"/>
  <c r="BW10" i="5" a="1"/>
  <c r="BW10" i="5" s="1"/>
  <c r="BW12" i="5"/>
  <c r="BW19" i="5"/>
  <c r="BW7" i="5"/>
  <c r="BW8" i="5"/>
  <c r="DC60" i="5" a="1"/>
  <c r="DC60" i="5" s="1"/>
  <c r="DC59" i="5"/>
  <c r="DC10" i="5" a="1"/>
  <c r="DC10" i="5" s="1"/>
  <c r="DC50" i="5" s="1"/>
  <c r="EE59" i="5"/>
  <c r="EE60" i="5" a="1"/>
  <c r="EE60" i="5" s="1"/>
  <c r="EE10" i="5" a="1"/>
  <c r="EE10" i="5" s="1"/>
  <c r="EE43" i="5" s="1"/>
  <c r="GS59" i="5"/>
  <c r="GS60" i="5" a="1"/>
  <c r="GS60" i="5" s="1"/>
  <c r="I60" i="5" a="1"/>
  <c r="I60" i="5" s="1"/>
  <c r="I59" i="5"/>
  <c r="I58" i="5" a="1"/>
  <c r="I58" i="5" s="1"/>
  <c r="I51" i="5"/>
  <c r="I53" i="5"/>
  <c r="I55" i="5"/>
  <c r="I50" i="5"/>
  <c r="I46" i="5"/>
  <c r="I48" i="5"/>
  <c r="I44" i="5"/>
  <c r="I40" i="5" a="1"/>
  <c r="I40" i="5" s="1"/>
  <c r="I43" i="5"/>
  <c r="I42" i="5"/>
  <c r="I38" i="5"/>
  <c r="I32" i="5"/>
  <c r="I33" i="5"/>
  <c r="I39" i="5"/>
  <c r="I29" i="5"/>
  <c r="I23" i="5"/>
  <c r="I22" i="5"/>
  <c r="I35" i="5"/>
  <c r="I30" i="5"/>
  <c r="I28" i="5"/>
  <c r="I18" i="5"/>
  <c r="I10" i="5" a="1"/>
  <c r="I10" i="5" s="1"/>
  <c r="I26" i="5"/>
  <c r="I19" i="5"/>
  <c r="I24" i="5"/>
  <c r="I14" i="5"/>
  <c r="I7" i="5"/>
  <c r="I12" i="5"/>
  <c r="I8" i="5"/>
  <c r="CL60" i="5" a="1"/>
  <c r="CL60" i="5" s="1"/>
  <c r="CL59" i="5"/>
  <c r="CL43" i="5"/>
  <c r="CL10" i="5" a="1"/>
  <c r="CL10" i="5" s="1"/>
  <c r="O498" i="2"/>
  <c r="I71" i="6"/>
  <c r="BD59" i="5"/>
  <c r="BD58" i="5" a="1"/>
  <c r="BD58" i="5" s="1"/>
  <c r="BD53" i="5"/>
  <c r="BD60" i="5" a="1"/>
  <c r="BD60" i="5" s="1"/>
  <c r="BD55" i="5"/>
  <c r="BD50" i="5"/>
  <c r="BD48" i="5"/>
  <c r="BD46" i="5"/>
  <c r="BD51" i="5"/>
  <c r="BD43" i="5"/>
  <c r="BD44" i="5"/>
  <c r="BD42" i="5"/>
  <c r="BD33" i="5"/>
  <c r="BD39" i="5"/>
  <c r="BD30" i="5"/>
  <c r="BD35" i="5"/>
  <c r="BD40" i="5" a="1"/>
  <c r="BD40" i="5" s="1"/>
  <c r="BD38" i="5"/>
  <c r="BD26" i="5"/>
  <c r="BD32" i="5"/>
  <c r="BD29" i="5"/>
  <c r="BD24" i="5"/>
  <c r="BD28" i="5"/>
  <c r="BD22" i="5"/>
  <c r="BD18" i="5"/>
  <c r="BD12" i="5"/>
  <c r="BD23" i="5"/>
  <c r="BD19" i="5"/>
  <c r="BD10" i="5" a="1"/>
  <c r="BD10" i="5" s="1"/>
  <c r="BD8" i="5"/>
  <c r="BD14" i="5"/>
  <c r="BD7" i="5"/>
  <c r="ET60" i="5" a="1"/>
  <c r="ET60" i="5" s="1"/>
  <c r="ET59" i="5"/>
  <c r="ET10" i="5" a="1"/>
  <c r="ET10" i="5" s="1"/>
  <c r="FX59" i="5"/>
  <c r="FX60" i="5" a="1"/>
  <c r="FX60" i="5" s="1"/>
  <c r="D78" i="6"/>
  <c r="F78" i="6"/>
  <c r="B80" i="6"/>
  <c r="F80" i="6"/>
  <c r="F73" i="6"/>
  <c r="E70" i="6"/>
  <c r="E66" i="6"/>
  <c r="O501" i="2"/>
  <c r="BO59" i="5"/>
  <c r="BO58" i="5" a="1"/>
  <c r="BO58" i="5" s="1"/>
  <c r="G71" i="6"/>
  <c r="E71" i="6"/>
  <c r="BO55" i="5"/>
  <c r="BO53" i="5"/>
  <c r="BO48" i="5"/>
  <c r="BO60" i="5" a="1"/>
  <c r="BO60" i="5" s="1"/>
  <c r="BO51" i="5"/>
  <c r="CA51" i="5" s="1"/>
  <c r="HH51" i="5" s="1"/>
  <c r="BO50" i="5"/>
  <c r="BO46" i="5"/>
  <c r="BO44" i="5"/>
  <c r="BO43" i="5"/>
  <c r="BO40" i="5" a="1"/>
  <c r="BO40" i="5" s="1"/>
  <c r="BO33" i="5"/>
  <c r="BO42" i="5"/>
  <c r="BO38" i="5"/>
  <c r="BO29" i="5"/>
  <c r="BO28" i="5"/>
  <c r="BO39" i="5"/>
  <c r="CA39" i="5" s="1"/>
  <c r="HH39" i="5" s="1"/>
  <c r="BO26" i="5"/>
  <c r="BO30" i="5"/>
  <c r="BO23" i="5"/>
  <c r="BO35" i="5"/>
  <c r="BO32" i="5"/>
  <c r="BO19" i="5"/>
  <c r="BO18" i="5"/>
  <c r="BO10" i="5" a="1"/>
  <c r="BO10" i="5" s="1"/>
  <c r="BO24" i="5"/>
  <c r="BO12" i="5"/>
  <c r="BO14" i="5"/>
  <c r="BO22" i="5"/>
  <c r="CA22" i="5" s="1"/>
  <c r="HH22" i="5" s="1"/>
  <c r="BO8" i="5"/>
  <c r="BO7" i="5"/>
  <c r="EP59" i="5"/>
  <c r="EP60" i="5" a="1"/>
  <c r="EP60" i="5" s="1"/>
  <c r="EP10" i="5" a="1"/>
  <c r="EP10" i="5" s="1"/>
  <c r="EP43" i="5" s="1"/>
  <c r="CD59" i="5"/>
  <c r="CD60" i="5" a="1"/>
  <c r="CD60" i="5" s="1"/>
  <c r="CD58" i="5" a="1"/>
  <c r="CD58" i="5" s="1"/>
  <c r="CD53" i="5"/>
  <c r="CD50" i="5"/>
  <c r="CD55" i="5"/>
  <c r="CD44" i="5"/>
  <c r="CD46" i="5"/>
  <c r="CD51" i="5"/>
  <c r="CD48" i="5"/>
  <c r="CD43" i="5"/>
  <c r="CD35" i="5"/>
  <c r="CD40" i="5" a="1"/>
  <c r="CD40" i="5" s="1"/>
  <c r="CD38" i="5"/>
  <c r="CD42" i="5"/>
  <c r="CD33" i="5"/>
  <c r="CD30" i="5"/>
  <c r="CD29" i="5"/>
  <c r="CD39" i="5"/>
  <c r="CD26" i="5"/>
  <c r="CD23" i="5"/>
  <c r="CD32" i="5"/>
  <c r="CD28" i="5"/>
  <c r="CD19" i="5"/>
  <c r="CD12" i="5"/>
  <c r="CD14" i="5"/>
  <c r="CD18" i="5"/>
  <c r="CD7" i="5"/>
  <c r="CD22" i="5"/>
  <c r="CD8" i="5"/>
  <c r="CD10" i="5" a="1"/>
  <c r="CD10" i="5" s="1"/>
  <c r="CD24" i="5"/>
  <c r="R59" i="5"/>
  <c r="R60" i="5" a="1"/>
  <c r="R60" i="5" s="1"/>
  <c r="R53" i="5"/>
  <c r="R48" i="5"/>
  <c r="R44" i="5"/>
  <c r="R51" i="5"/>
  <c r="R50" i="5"/>
  <c r="R46" i="5"/>
  <c r="R58" i="5" a="1"/>
  <c r="R58" i="5" s="1"/>
  <c r="R42" i="5"/>
  <c r="R55" i="5"/>
  <c r="R40" i="5" a="1"/>
  <c r="R40" i="5" s="1"/>
  <c r="R33" i="5"/>
  <c r="R43" i="5"/>
  <c r="R39" i="5"/>
  <c r="R35" i="5"/>
  <c r="R38" i="5"/>
  <c r="R32" i="5"/>
  <c r="R30" i="5"/>
  <c r="R22" i="5"/>
  <c r="R19" i="5"/>
  <c r="R24" i="5"/>
  <c r="R26" i="5"/>
  <c r="R28" i="5"/>
  <c r="R29" i="5"/>
  <c r="R10" i="5" a="1"/>
  <c r="R10" i="5" s="1"/>
  <c r="R18" i="5"/>
  <c r="R23" i="5"/>
  <c r="R14" i="5"/>
  <c r="R8" i="5"/>
  <c r="R7" i="5"/>
  <c r="R12" i="5"/>
  <c r="FR60" i="5" a="1"/>
  <c r="FR60" i="5" s="1"/>
  <c r="FR59" i="5"/>
  <c r="CF60" i="5" a="1"/>
  <c r="CF60" i="5" s="1"/>
  <c r="CF59" i="5"/>
  <c r="CF53" i="5"/>
  <c r="CF55" i="5"/>
  <c r="CF51" i="5"/>
  <c r="CF48" i="5"/>
  <c r="CF58" i="5" a="1"/>
  <c r="CF58" i="5" s="1"/>
  <c r="CF50" i="5"/>
  <c r="CF44" i="5"/>
  <c r="CF42" i="5"/>
  <c r="CF40" i="5" a="1"/>
  <c r="CF40" i="5" s="1"/>
  <c r="CF39" i="5"/>
  <c r="CF46" i="5"/>
  <c r="CF33" i="5"/>
  <c r="CF30" i="5"/>
  <c r="CF43" i="5"/>
  <c r="CF38" i="5"/>
  <c r="CF32" i="5"/>
  <c r="CF23" i="5"/>
  <c r="CF35" i="5"/>
  <c r="CF29" i="5"/>
  <c r="CF28" i="5"/>
  <c r="CF26" i="5"/>
  <c r="CF24" i="5"/>
  <c r="CF22" i="5"/>
  <c r="CF19" i="5"/>
  <c r="CF14" i="5"/>
  <c r="CF10" i="5" a="1"/>
  <c r="CF10" i="5" s="1"/>
  <c r="CF8" i="5"/>
  <c r="CF18" i="5"/>
  <c r="CF7" i="5"/>
  <c r="CF12" i="5"/>
  <c r="T59" i="5"/>
  <c r="T58" i="5" a="1"/>
  <c r="T58" i="5" s="1"/>
  <c r="T60" i="5" a="1"/>
  <c r="T60" i="5" s="1"/>
  <c r="T53" i="5"/>
  <c r="T55" i="5"/>
  <c r="T48" i="5"/>
  <c r="T51" i="5"/>
  <c r="T50" i="5"/>
  <c r="T46" i="5"/>
  <c r="T44" i="5"/>
  <c r="T43" i="5"/>
  <c r="T39" i="5"/>
  <c r="T40" i="5" a="1"/>
  <c r="T40" i="5" s="1"/>
  <c r="T38" i="5"/>
  <c r="T32" i="5"/>
  <c r="T42" i="5"/>
  <c r="T33" i="5"/>
  <c r="T30" i="5"/>
  <c r="T35" i="5"/>
  <c r="T29" i="5"/>
  <c r="T26" i="5"/>
  <c r="T23" i="5"/>
  <c r="T22" i="5"/>
  <c r="T24" i="5"/>
  <c r="T19" i="5"/>
  <c r="T18" i="5"/>
  <c r="T12" i="5"/>
  <c r="T28" i="5"/>
  <c r="T14" i="5"/>
  <c r="T10" i="5" a="1"/>
  <c r="T10" i="5" s="1"/>
  <c r="T8" i="5"/>
  <c r="T7" i="5"/>
  <c r="FT60" i="5" a="1"/>
  <c r="FT60" i="5" s="1"/>
  <c r="FT59" i="5"/>
  <c r="DH59" i="5"/>
  <c r="DH60" i="5" a="1"/>
  <c r="DH60" i="5" s="1"/>
  <c r="DH10" i="5" a="1"/>
  <c r="DH10" i="5" s="1"/>
  <c r="AV59" i="5"/>
  <c r="AV58" i="5" a="1"/>
  <c r="AV58" i="5" s="1"/>
  <c r="AV53" i="5"/>
  <c r="AV55" i="5"/>
  <c r="AV51" i="5"/>
  <c r="AV46" i="5"/>
  <c r="AV60" i="5" a="1"/>
  <c r="AV60" i="5" s="1"/>
  <c r="AV48" i="5"/>
  <c r="AV50" i="5"/>
  <c r="AV42" i="5"/>
  <c r="AV40" i="5" a="1"/>
  <c r="AV40" i="5" s="1"/>
  <c r="AV43" i="5"/>
  <c r="AV44" i="5"/>
  <c r="AV35" i="5"/>
  <c r="AV32" i="5"/>
  <c r="AV38" i="5"/>
  <c r="AV23" i="5"/>
  <c r="AV33" i="5"/>
  <c r="AV39" i="5"/>
  <c r="AV30" i="5"/>
  <c r="AV29" i="5"/>
  <c r="AV26" i="5"/>
  <c r="AV22" i="5"/>
  <c r="AV19" i="5"/>
  <c r="AV24" i="5"/>
  <c r="AV10" i="5" a="1"/>
  <c r="AV10" i="5" s="1"/>
  <c r="AV14" i="5"/>
  <c r="AV8" i="5"/>
  <c r="AV18" i="5"/>
  <c r="AV7" i="5"/>
  <c r="AV12" i="5"/>
  <c r="AV28" i="5"/>
  <c r="GV59" i="5"/>
  <c r="GV60" i="5" a="1"/>
  <c r="GV60" i="5" s="1"/>
  <c r="DW59" i="5"/>
  <c r="DW60" i="5" a="1"/>
  <c r="DW60" i="5" s="1"/>
  <c r="DW10" i="5" a="1"/>
  <c r="DW10" i="5" s="1"/>
  <c r="AX60" i="5" a="1"/>
  <c r="AX60" i="5" s="1"/>
  <c r="AX58" i="5" a="1"/>
  <c r="AX58" i="5" s="1"/>
  <c r="AX55" i="5"/>
  <c r="AX51" i="5"/>
  <c r="AX46" i="5"/>
  <c r="AX53" i="5"/>
  <c r="AX59" i="5"/>
  <c r="AX50" i="5"/>
  <c r="AX44" i="5"/>
  <c r="AX48" i="5"/>
  <c r="AX38" i="5"/>
  <c r="AX40" i="5" a="1"/>
  <c r="AX40" i="5" s="1"/>
  <c r="AX42" i="5"/>
  <c r="AX43" i="5"/>
  <c r="AX32" i="5"/>
  <c r="AX33" i="5"/>
  <c r="AX39" i="5"/>
  <c r="AX24" i="5"/>
  <c r="AX30" i="5"/>
  <c r="AX28" i="5"/>
  <c r="AX35" i="5"/>
  <c r="AX26" i="5"/>
  <c r="AX29" i="5"/>
  <c r="AX23" i="5"/>
  <c r="AX19" i="5"/>
  <c r="AX14" i="5"/>
  <c r="AX22" i="5"/>
  <c r="AX18" i="5"/>
  <c r="AX8" i="5"/>
  <c r="AX12" i="5"/>
  <c r="AX10" i="5" a="1"/>
  <c r="AX10" i="5" s="1"/>
  <c r="AX7" i="5"/>
  <c r="GX60" i="5" a="1"/>
  <c r="GX60" i="5" s="1"/>
  <c r="GX59" i="5"/>
  <c r="DY60" i="5" a="1"/>
  <c r="DY60" i="5" s="1"/>
  <c r="DY59" i="5"/>
  <c r="DY10" i="5" a="1"/>
  <c r="DY10" i="5" s="1"/>
  <c r="DY48" i="5" s="1"/>
  <c r="O508" i="2"/>
  <c r="O493" i="2"/>
  <c r="AM60" i="5" a="1"/>
  <c r="AM60" i="5" s="1"/>
  <c r="AM59" i="5"/>
  <c r="AM55" i="5"/>
  <c r="AM58" i="5" a="1"/>
  <c r="AM58" i="5" s="1"/>
  <c r="AM51" i="5"/>
  <c r="AM50" i="5"/>
  <c r="AM53" i="5"/>
  <c r="AM48" i="5"/>
  <c r="AM44" i="5"/>
  <c r="AM40" i="5" a="1"/>
  <c r="AM40" i="5" s="1"/>
  <c r="AM42" i="5"/>
  <c r="AM46" i="5"/>
  <c r="AM43" i="5"/>
  <c r="AM39" i="5"/>
  <c r="AM38" i="5"/>
  <c r="AM32" i="5"/>
  <c r="AM33" i="5"/>
  <c r="AM30" i="5"/>
  <c r="AM28" i="5"/>
  <c r="AM29" i="5"/>
  <c r="AM23" i="5"/>
  <c r="AM35" i="5"/>
  <c r="AM26" i="5"/>
  <c r="AM14" i="5"/>
  <c r="AM18" i="5"/>
  <c r="AM12" i="5"/>
  <c r="AM8" i="5"/>
  <c r="AM10" i="5" a="1"/>
  <c r="AM10" i="5" s="1"/>
  <c r="AM22" i="5"/>
  <c r="AM19" i="5"/>
  <c r="AM7" i="5"/>
  <c r="AM24" i="5"/>
  <c r="AU60" i="5" a="1"/>
  <c r="AU60" i="5" s="1"/>
  <c r="AU59" i="5"/>
  <c r="AU53" i="5"/>
  <c r="AU58" i="5" a="1"/>
  <c r="AU58" i="5" s="1"/>
  <c r="AU50" i="5"/>
  <c r="AU55" i="5"/>
  <c r="AU48" i="5"/>
  <c r="AU51" i="5"/>
  <c r="AU44" i="5"/>
  <c r="AU46" i="5"/>
  <c r="AU42" i="5"/>
  <c r="AU39" i="5"/>
  <c r="AU35" i="5"/>
  <c r="AU43" i="5"/>
  <c r="AU40" i="5" a="1"/>
  <c r="AU40" i="5" s="1"/>
  <c r="AU26" i="5"/>
  <c r="AU33" i="5"/>
  <c r="AU29" i="5"/>
  <c r="AU32" i="5"/>
  <c r="AU24" i="5"/>
  <c r="AU30" i="5"/>
  <c r="AU38" i="5"/>
  <c r="AU28" i="5"/>
  <c r="AU12" i="5"/>
  <c r="AU19" i="5"/>
  <c r="AU22" i="5"/>
  <c r="AU14" i="5"/>
  <c r="AU8" i="5"/>
  <c r="AU23" i="5"/>
  <c r="AU18" i="5"/>
  <c r="AU7" i="5"/>
  <c r="AU10" i="5" a="1"/>
  <c r="AU10" i="5" s="1"/>
  <c r="EG59" i="5"/>
  <c r="EG60" i="5" a="1"/>
  <c r="EG60" i="5" s="1"/>
  <c r="EG10" i="5" a="1"/>
  <c r="EG10" i="5" s="1"/>
  <c r="H73" i="6"/>
  <c r="D27" i="4"/>
  <c r="CB60" i="5" a="1"/>
  <c r="CB60" i="5" s="1"/>
  <c r="CB58" i="5" a="1"/>
  <c r="CB58" i="5" s="1"/>
  <c r="CB55" i="5"/>
  <c r="CB59" i="5"/>
  <c r="CB53" i="5"/>
  <c r="CB51" i="5"/>
  <c r="CB46" i="5"/>
  <c r="CB50" i="5"/>
  <c r="CB43" i="5"/>
  <c r="CB48" i="5"/>
  <c r="CB40" i="5" a="1"/>
  <c r="CB40" i="5" s="1"/>
  <c r="CB44" i="5"/>
  <c r="CB42" i="5"/>
  <c r="CB39" i="5"/>
  <c r="CB33" i="5"/>
  <c r="CB38" i="5"/>
  <c r="CB32" i="5"/>
  <c r="CB28" i="5"/>
  <c r="CB26" i="5"/>
  <c r="CB35" i="5"/>
  <c r="CB23" i="5"/>
  <c r="CB29" i="5"/>
  <c r="CB30" i="5"/>
  <c r="CB24" i="5"/>
  <c r="CB22" i="5"/>
  <c r="CB18" i="5"/>
  <c r="CB19" i="5"/>
  <c r="CB12" i="5"/>
  <c r="CB7" i="5"/>
  <c r="CB8" i="5"/>
  <c r="CB14" i="5"/>
  <c r="CB10" i="5" a="1"/>
  <c r="CB10" i="5" s="1"/>
  <c r="CN10" i="5" s="1"/>
  <c r="HI10" i="5" s="1"/>
  <c r="C60" i="5" a="1"/>
  <c r="C60" i="5" s="1"/>
  <c r="C59" i="5"/>
  <c r="C55" i="5"/>
  <c r="C51" i="5"/>
  <c r="C58" i="5" a="1"/>
  <c r="C58" i="5" s="1"/>
  <c r="C53" i="5"/>
  <c r="C48" i="5"/>
  <c r="C50" i="5"/>
  <c r="C44" i="5"/>
  <c r="C42" i="5"/>
  <c r="C46" i="5"/>
  <c r="C43" i="5"/>
  <c r="C39" i="5"/>
  <c r="C38" i="5"/>
  <c r="C32" i="5"/>
  <c r="C40" i="5" a="1"/>
  <c r="C40" i="5" s="1"/>
  <c r="C35" i="5"/>
  <c r="C30" i="5"/>
  <c r="C28" i="5"/>
  <c r="C29" i="5"/>
  <c r="C26" i="5"/>
  <c r="C24" i="5"/>
  <c r="C33" i="5"/>
  <c r="C19" i="5"/>
  <c r="C14" i="5"/>
  <c r="C23" i="5"/>
  <c r="C22" i="5"/>
  <c r="C10" i="5" a="1"/>
  <c r="C10" i="5" s="1"/>
  <c r="C18" i="5"/>
  <c r="C8" i="5"/>
  <c r="C12" i="5"/>
  <c r="C7" i="5"/>
  <c r="FC60" i="5" a="1"/>
  <c r="FC60" i="5" s="1"/>
  <c r="FC59" i="5"/>
  <c r="CQ60" i="5" a="1"/>
  <c r="CQ60" i="5" s="1"/>
  <c r="CQ59" i="5"/>
  <c r="CQ10" i="5" a="1"/>
  <c r="CQ10" i="5" s="1"/>
  <c r="AE59" i="5"/>
  <c r="AE60" i="5" a="1"/>
  <c r="AE60" i="5" s="1"/>
  <c r="AE58" i="5" a="1"/>
  <c r="AE58" i="5" s="1"/>
  <c r="AE53" i="5"/>
  <c r="AE55" i="5"/>
  <c r="AE46" i="5"/>
  <c r="AE48" i="5"/>
  <c r="AE43" i="5"/>
  <c r="AE51" i="5"/>
  <c r="AE50" i="5"/>
  <c r="AE33" i="5"/>
  <c r="AE42" i="5"/>
  <c r="AE39" i="5"/>
  <c r="AE40" i="5" a="1"/>
  <c r="AE40" i="5" s="1"/>
  <c r="AE35" i="5"/>
  <c r="AE29" i="5"/>
  <c r="AE32" i="5"/>
  <c r="AE30" i="5"/>
  <c r="AE44" i="5"/>
  <c r="AE38" i="5"/>
  <c r="AE24" i="5"/>
  <c r="AE28" i="5"/>
  <c r="AE22" i="5"/>
  <c r="AE18" i="5"/>
  <c r="AE23" i="5"/>
  <c r="AE26" i="5"/>
  <c r="AE19" i="5"/>
  <c r="AE12" i="5"/>
  <c r="AE14" i="5"/>
  <c r="AE10" i="5" a="1"/>
  <c r="AE10" i="5" s="1"/>
  <c r="AE7" i="5"/>
  <c r="AE8" i="5"/>
  <c r="GE59" i="5"/>
  <c r="GE60" i="5" a="1"/>
  <c r="GE60" i="5" s="1"/>
  <c r="CS60" i="5" a="1"/>
  <c r="CS60" i="5" s="1"/>
  <c r="CS59" i="5"/>
  <c r="CS10" i="5" a="1"/>
  <c r="CS10" i="5" s="1"/>
  <c r="CS48" i="5" s="1"/>
  <c r="AG60" i="5" a="1"/>
  <c r="AG60" i="5" s="1"/>
  <c r="AG59" i="5"/>
  <c r="AG58" i="5" a="1"/>
  <c r="AG58" i="5" s="1"/>
  <c r="AG51" i="5"/>
  <c r="AG53" i="5"/>
  <c r="AG55" i="5"/>
  <c r="AG48" i="5"/>
  <c r="AG44" i="5"/>
  <c r="AG46" i="5"/>
  <c r="AG50" i="5"/>
  <c r="AG40" i="5" a="1"/>
  <c r="AG40" i="5" s="1"/>
  <c r="AG39" i="5"/>
  <c r="AG32" i="5"/>
  <c r="AG38" i="5"/>
  <c r="AG43" i="5"/>
  <c r="AG35" i="5"/>
  <c r="AG42" i="5"/>
  <c r="AG30" i="5"/>
  <c r="AG24" i="5"/>
  <c r="AG26" i="5"/>
  <c r="AG28" i="5"/>
  <c r="AG22" i="5"/>
  <c r="AG33" i="5"/>
  <c r="AG23" i="5"/>
  <c r="AG29" i="5"/>
  <c r="AG18" i="5"/>
  <c r="AG19" i="5"/>
  <c r="AG10" i="5" a="1"/>
  <c r="AG10" i="5" s="1"/>
  <c r="AG12" i="5"/>
  <c r="AG7" i="5"/>
  <c r="AG8" i="5"/>
  <c r="AG14" i="5"/>
  <c r="GG60" i="5" a="1"/>
  <c r="GG60" i="5" s="1"/>
  <c r="GG59" i="5"/>
  <c r="DU60" i="5" a="1"/>
  <c r="DU60" i="5" s="1"/>
  <c r="DU59" i="5"/>
  <c r="DU10" i="5" a="1"/>
  <c r="DU10" i="5" s="1"/>
  <c r="BI60" i="5" a="1"/>
  <c r="BI60" i="5" s="1"/>
  <c r="BI58" i="5" a="1"/>
  <c r="BI58" i="5" s="1"/>
  <c r="BI53" i="5"/>
  <c r="BI55" i="5"/>
  <c r="BI59" i="5"/>
  <c r="BI51" i="5"/>
  <c r="BI50" i="5"/>
  <c r="BI48" i="5"/>
  <c r="BI46" i="5"/>
  <c r="BI44" i="5"/>
  <c r="BI42" i="5"/>
  <c r="BI40" i="5" a="1"/>
  <c r="BI40" i="5" s="1"/>
  <c r="BI43" i="5"/>
  <c r="BI39" i="5"/>
  <c r="BI35" i="5"/>
  <c r="BI32" i="5"/>
  <c r="BI38" i="5"/>
  <c r="BI29" i="5"/>
  <c r="BI30" i="5"/>
  <c r="BI24" i="5"/>
  <c r="BI33" i="5"/>
  <c r="BI28" i="5"/>
  <c r="BI22" i="5"/>
  <c r="BI26" i="5"/>
  <c r="BI19" i="5"/>
  <c r="BI12" i="5"/>
  <c r="BI23" i="5"/>
  <c r="BI14" i="5"/>
  <c r="BI18" i="5"/>
  <c r="BI10" i="5" a="1"/>
  <c r="BI10" i="5" s="1"/>
  <c r="BI8" i="5"/>
  <c r="BI7" i="5"/>
  <c r="EJ60" i="5" a="1"/>
  <c r="EJ60" i="5" s="1"/>
  <c r="EJ59" i="5"/>
  <c r="EJ10" i="5" a="1"/>
  <c r="EJ10" i="5" s="1"/>
  <c r="BK60" i="5" a="1"/>
  <c r="BK60" i="5" s="1"/>
  <c r="BK59" i="5"/>
  <c r="BK55" i="5"/>
  <c r="BK51" i="5"/>
  <c r="BK58" i="5" a="1"/>
  <c r="BK58" i="5" s="1"/>
  <c r="BK53" i="5"/>
  <c r="BK44" i="5"/>
  <c r="BK42" i="5"/>
  <c r="BK50" i="5"/>
  <c r="BK46" i="5"/>
  <c r="BK43" i="5"/>
  <c r="BK39" i="5"/>
  <c r="BK38" i="5"/>
  <c r="BK32" i="5"/>
  <c r="BK48" i="5"/>
  <c r="BK33" i="5"/>
  <c r="BK28" i="5"/>
  <c r="BK35" i="5"/>
  <c r="BK29" i="5"/>
  <c r="BK40" i="5" a="1"/>
  <c r="BK40" i="5" s="1"/>
  <c r="BK26" i="5"/>
  <c r="BK23" i="5"/>
  <c r="BK24" i="5"/>
  <c r="BK30" i="5"/>
  <c r="BK14" i="5"/>
  <c r="BK19" i="5"/>
  <c r="BK18" i="5"/>
  <c r="BK22" i="5"/>
  <c r="BK10" i="5" a="1"/>
  <c r="BK10" i="5" s="1"/>
  <c r="BK8" i="5"/>
  <c r="BK7" i="5"/>
  <c r="BK12" i="5"/>
  <c r="EL59" i="5"/>
  <c r="EL60" i="5" a="1"/>
  <c r="EL60" i="5" s="1"/>
  <c r="EL48" i="5"/>
  <c r="EL10" i="5" a="1"/>
  <c r="EL10" i="5" s="1"/>
  <c r="O489" i="2"/>
  <c r="GW60" i="5" a="1"/>
  <c r="GW60" i="5" s="1"/>
  <c r="GW59" i="5"/>
  <c r="DG60" i="5" a="1"/>
  <c r="DG60" i="5" s="1"/>
  <c r="DG59" i="5"/>
  <c r="DG10" i="5" a="1"/>
  <c r="DG10" i="5" s="1"/>
  <c r="J79" i="6"/>
  <c r="F79" i="6"/>
  <c r="D79" i="6"/>
  <c r="FO59" i="5"/>
  <c r="FO60" i="5" a="1"/>
  <c r="FO60" i="5" s="1"/>
  <c r="EV59" i="5"/>
  <c r="EV60" i="5" a="1"/>
  <c r="EV60" i="5" s="1"/>
  <c r="EV10" i="5" a="1"/>
  <c r="EV10" i="5" s="1"/>
  <c r="AB60" i="5" a="1"/>
  <c r="AB60" i="5" s="1"/>
  <c r="K68" i="6"/>
  <c r="AB59" i="5"/>
  <c r="G68" i="6"/>
  <c r="E68" i="6"/>
  <c r="AB55" i="5"/>
  <c r="AB58" i="5" a="1"/>
  <c r="AB58" i="5" s="1"/>
  <c r="AB53" i="5"/>
  <c r="AB50" i="5"/>
  <c r="AB51" i="5"/>
  <c r="AB48" i="5"/>
  <c r="AB44" i="5"/>
  <c r="AB42" i="5"/>
  <c r="AB43" i="5"/>
  <c r="AB46" i="5"/>
  <c r="AB40" i="5" a="1"/>
  <c r="AB40" i="5" s="1"/>
  <c r="AB39" i="5"/>
  <c r="AB35" i="5"/>
  <c r="AB38" i="5"/>
  <c r="AB24" i="5"/>
  <c r="AB28" i="5"/>
  <c r="AB29" i="5"/>
  <c r="AB26" i="5"/>
  <c r="AB33" i="5"/>
  <c r="AB32" i="5"/>
  <c r="AB30" i="5"/>
  <c r="AB14" i="5"/>
  <c r="AB22" i="5"/>
  <c r="AB18" i="5"/>
  <c r="AB10" i="5" a="1"/>
  <c r="AB10" i="5" s="1"/>
  <c r="AB23" i="5"/>
  <c r="AB19" i="5"/>
  <c r="AB12" i="5"/>
  <c r="AN12" i="5" s="1"/>
  <c r="HE12" i="5" s="1"/>
  <c r="AB7" i="5"/>
  <c r="B68" i="6" s="1"/>
  <c r="AB8" i="5"/>
  <c r="J81" i="6"/>
  <c r="DP59" i="5"/>
  <c r="DP60" i="5" a="1"/>
  <c r="DP60" i="5" s="1"/>
  <c r="DP10" i="5" a="1"/>
  <c r="DP10" i="5" s="1"/>
  <c r="BF60" i="5" a="1"/>
  <c r="BF60" i="5" s="1"/>
  <c r="BF59" i="5"/>
  <c r="BF58" i="5" a="1"/>
  <c r="BF58" i="5" s="1"/>
  <c r="BF53" i="5"/>
  <c r="BF50" i="5"/>
  <c r="BF55" i="5"/>
  <c r="BF44" i="5"/>
  <c r="BF46" i="5"/>
  <c r="BF51" i="5"/>
  <c r="BF43" i="5"/>
  <c r="BF40" i="5" a="1"/>
  <c r="BF40" i="5" s="1"/>
  <c r="BF48" i="5"/>
  <c r="BF35" i="5"/>
  <c r="BF39" i="5"/>
  <c r="BF38" i="5"/>
  <c r="BF42" i="5"/>
  <c r="BF30" i="5"/>
  <c r="BF29" i="5"/>
  <c r="BF32" i="5"/>
  <c r="BF23" i="5"/>
  <c r="BF28" i="5"/>
  <c r="BF33" i="5"/>
  <c r="BF24" i="5"/>
  <c r="BF22" i="5"/>
  <c r="BF26" i="5"/>
  <c r="BF12" i="5"/>
  <c r="BF14" i="5"/>
  <c r="BF7" i="5"/>
  <c r="BF18" i="5"/>
  <c r="BF19" i="5"/>
  <c r="BF10" i="5" a="1"/>
  <c r="BF10" i="5" s="1"/>
  <c r="BF8" i="5"/>
  <c r="X59" i="5"/>
  <c r="X60" i="5" a="1"/>
  <c r="X60" i="5" s="1"/>
  <c r="X58" i="5" a="1"/>
  <c r="X58" i="5" s="1"/>
  <c r="X53" i="5"/>
  <c r="X55" i="5"/>
  <c r="X51" i="5"/>
  <c r="X50" i="5"/>
  <c r="X48" i="5"/>
  <c r="X42" i="5"/>
  <c r="X43" i="5"/>
  <c r="X44" i="5"/>
  <c r="X38" i="5"/>
  <c r="X32" i="5"/>
  <c r="X33" i="5"/>
  <c r="X40" i="5" a="1"/>
  <c r="X40" i="5" s="1"/>
  <c r="X46" i="5"/>
  <c r="X23" i="5"/>
  <c r="X35" i="5"/>
  <c r="X28" i="5"/>
  <c r="X30" i="5"/>
  <c r="X39" i="5"/>
  <c r="X19" i="5"/>
  <c r="X26" i="5"/>
  <c r="X10" i="5" a="1"/>
  <c r="X10" i="5" s="1"/>
  <c r="X24" i="5"/>
  <c r="X14" i="5"/>
  <c r="X8" i="5"/>
  <c r="X22" i="5"/>
  <c r="X18" i="5"/>
  <c r="X7" i="5"/>
  <c r="X29" i="5"/>
  <c r="X12" i="5"/>
  <c r="O482" i="2"/>
  <c r="H80" i="6"/>
  <c r="C68" i="6"/>
  <c r="B81" i="6"/>
  <c r="B76" i="6"/>
  <c r="O494" i="2"/>
  <c r="J73" i="6"/>
  <c r="D73" i="6"/>
  <c r="CO59" i="5"/>
  <c r="CO60" i="5" a="1"/>
  <c r="CO60" i="5" s="1"/>
  <c r="CO10" i="5" a="1"/>
  <c r="CO10" i="5" s="1"/>
  <c r="CO43" i="5" s="1"/>
  <c r="P59" i="5"/>
  <c r="P60" i="5" a="1"/>
  <c r="P60" i="5" s="1"/>
  <c r="P58" i="5" a="1"/>
  <c r="P58" i="5" s="1"/>
  <c r="P55" i="5"/>
  <c r="P53" i="5"/>
  <c r="P48" i="5"/>
  <c r="P44" i="5"/>
  <c r="P51" i="5"/>
  <c r="P50" i="5"/>
  <c r="P46" i="5"/>
  <c r="P42" i="5"/>
  <c r="P43" i="5"/>
  <c r="P40" i="5" a="1"/>
  <c r="P40" i="5" s="1"/>
  <c r="P39" i="5"/>
  <c r="P35" i="5"/>
  <c r="P30" i="5"/>
  <c r="P29" i="5"/>
  <c r="P28" i="5"/>
  <c r="P24" i="5"/>
  <c r="P38" i="5"/>
  <c r="P33" i="5"/>
  <c r="P32" i="5"/>
  <c r="P26" i="5"/>
  <c r="P14" i="5"/>
  <c r="P19" i="5"/>
  <c r="P18" i="5"/>
  <c r="P22" i="5"/>
  <c r="P12" i="5"/>
  <c r="P23" i="5"/>
  <c r="P8" i="5"/>
  <c r="P10" i="5" a="1"/>
  <c r="P10" i="5" s="1"/>
  <c r="P7" i="5"/>
  <c r="FP60" i="5" a="1"/>
  <c r="FP60" i="5" s="1"/>
  <c r="FP59" i="5"/>
  <c r="DD59" i="5"/>
  <c r="DD60" i="5" a="1"/>
  <c r="DD60" i="5" s="1"/>
  <c r="DD10" i="5" a="1"/>
  <c r="DD10" i="5" s="1"/>
  <c r="DD50" i="5" s="1"/>
  <c r="AR60" i="5" a="1"/>
  <c r="AR60" i="5" s="1"/>
  <c r="AR59" i="5"/>
  <c r="AR53" i="5"/>
  <c r="AR58" i="5" a="1"/>
  <c r="AR58" i="5" s="1"/>
  <c r="AR55" i="5"/>
  <c r="AR50" i="5"/>
  <c r="AR51" i="5"/>
  <c r="AR46" i="5"/>
  <c r="AR43" i="5"/>
  <c r="AR48" i="5"/>
  <c r="AR39" i="5"/>
  <c r="AR44" i="5"/>
  <c r="AR35" i="5"/>
  <c r="AR42" i="5"/>
  <c r="AR40" i="5" a="1"/>
  <c r="AR40" i="5" s="1"/>
  <c r="AR29" i="5"/>
  <c r="AR33" i="5"/>
  <c r="AR38" i="5"/>
  <c r="AR32" i="5"/>
  <c r="AR30" i="5"/>
  <c r="AR24" i="5"/>
  <c r="AR26" i="5"/>
  <c r="AR28" i="5"/>
  <c r="AR18" i="5"/>
  <c r="AR12" i="5"/>
  <c r="AR22" i="5"/>
  <c r="AR19" i="5"/>
  <c r="AR23" i="5"/>
  <c r="AR10" i="5" a="1"/>
  <c r="AR10" i="5" s="1"/>
  <c r="AR7" i="5"/>
  <c r="AR14" i="5"/>
  <c r="AR8" i="5"/>
  <c r="GR60" i="5" a="1"/>
  <c r="GR60" i="5" s="1"/>
  <c r="GR59" i="5"/>
  <c r="DF60" i="5" a="1"/>
  <c r="DF60" i="5" s="1"/>
  <c r="DF59" i="5"/>
  <c r="DF43" i="5"/>
  <c r="DF10" i="5" a="1"/>
  <c r="DF10" i="5" s="1"/>
  <c r="AT59" i="5"/>
  <c r="AT60" i="5" a="1"/>
  <c r="AT60" i="5" s="1"/>
  <c r="AT53" i="5"/>
  <c r="AT58" i="5" a="1"/>
  <c r="AT58" i="5" s="1"/>
  <c r="AT50" i="5"/>
  <c r="AT55" i="5"/>
  <c r="AT44" i="5"/>
  <c r="AT48" i="5"/>
  <c r="AT51" i="5"/>
  <c r="AT46" i="5"/>
  <c r="AT43" i="5"/>
  <c r="AT39" i="5"/>
  <c r="AT35" i="5"/>
  <c r="AT42" i="5"/>
  <c r="AT38" i="5"/>
  <c r="AT29" i="5"/>
  <c r="AT40" i="5" a="1"/>
  <c r="AT40" i="5" s="1"/>
  <c r="AT32" i="5"/>
  <c r="AT23" i="5"/>
  <c r="AT33" i="5"/>
  <c r="AT24" i="5"/>
  <c r="AT30" i="5"/>
  <c r="AT22" i="5"/>
  <c r="AT26" i="5"/>
  <c r="AT12" i="5"/>
  <c r="AT19" i="5"/>
  <c r="AT10" i="5" a="1"/>
  <c r="AT10" i="5" s="1"/>
  <c r="AT14" i="5"/>
  <c r="AT28" i="5"/>
  <c r="AT7" i="5"/>
  <c r="AT18" i="5"/>
  <c r="AT8" i="5"/>
  <c r="GT59" i="5"/>
  <c r="GT60" i="5" a="1"/>
  <c r="GT60" i="5" s="1"/>
  <c r="EH60" i="5" a="1"/>
  <c r="EH60" i="5" s="1"/>
  <c r="EH59" i="5"/>
  <c r="EH43" i="5"/>
  <c r="EH10" i="5" a="1"/>
  <c r="EH10" i="5" s="1"/>
  <c r="BV59" i="5"/>
  <c r="BV60" i="5" a="1"/>
  <c r="BV60" i="5" s="1"/>
  <c r="BV55" i="5"/>
  <c r="BV51" i="5"/>
  <c r="BV46" i="5"/>
  <c r="BV48" i="5"/>
  <c r="BV53" i="5"/>
  <c r="BV50" i="5"/>
  <c r="BV44" i="5"/>
  <c r="BV58" i="5" a="1"/>
  <c r="BV58" i="5" s="1"/>
  <c r="BV38" i="5"/>
  <c r="BV42" i="5"/>
  <c r="BV40" i="5" a="1"/>
  <c r="BV40" i="5" s="1"/>
  <c r="BV43" i="5"/>
  <c r="BV35" i="5"/>
  <c r="BV32" i="5"/>
  <c r="BV39" i="5"/>
  <c r="BV29" i="5"/>
  <c r="BV24" i="5"/>
  <c r="BV33" i="5"/>
  <c r="BV30" i="5"/>
  <c r="BV22" i="5"/>
  <c r="BV26" i="5"/>
  <c r="BV10" i="5" a="1"/>
  <c r="BV10" i="5" s="1"/>
  <c r="BV14" i="5"/>
  <c r="BV28" i="5"/>
  <c r="BV18" i="5"/>
  <c r="BV19" i="5"/>
  <c r="BV12" i="5"/>
  <c r="BV7" i="5"/>
  <c r="BV23" i="5"/>
  <c r="BV8" i="5"/>
  <c r="EW60" i="5" a="1"/>
  <c r="EW60" i="5" s="1"/>
  <c r="EW50" i="5"/>
  <c r="EW59" i="5"/>
  <c r="EW10" i="5" a="1"/>
  <c r="EW10" i="5" s="1"/>
  <c r="BX60" i="5" a="1"/>
  <c r="BX60" i="5" s="1"/>
  <c r="BX58" i="5" a="1"/>
  <c r="BX58" i="5" s="1"/>
  <c r="BX59" i="5"/>
  <c r="BX55" i="5"/>
  <c r="BX53" i="5"/>
  <c r="BX50" i="5"/>
  <c r="BX44" i="5"/>
  <c r="BX51" i="5"/>
  <c r="BX46" i="5"/>
  <c r="BX42" i="5"/>
  <c r="BX43" i="5"/>
  <c r="BX48" i="5"/>
  <c r="BX40" i="5" a="1"/>
  <c r="BX40" i="5" s="1"/>
  <c r="BX35" i="5"/>
  <c r="BX39" i="5"/>
  <c r="BX38" i="5"/>
  <c r="BX24" i="5"/>
  <c r="BX33" i="5"/>
  <c r="BX32" i="5"/>
  <c r="BX28" i="5"/>
  <c r="BX30" i="5"/>
  <c r="BX26" i="5"/>
  <c r="BX29" i="5"/>
  <c r="BX14" i="5"/>
  <c r="BX22" i="5"/>
  <c r="BX18" i="5"/>
  <c r="BX19" i="5"/>
  <c r="BX23" i="5"/>
  <c r="BX10" i="5" a="1"/>
  <c r="BX10" i="5" s="1"/>
  <c r="BX12" i="5"/>
  <c r="BX7" i="5"/>
  <c r="BX8" i="5"/>
  <c r="EY60" i="5" a="1"/>
  <c r="EY60" i="5" s="1"/>
  <c r="EY59" i="5"/>
  <c r="EY10" i="5" a="1"/>
  <c r="EY10" i="5" s="1"/>
  <c r="GZ60" i="5" a="1"/>
  <c r="GZ60" i="5" s="1"/>
  <c r="GZ59" i="5"/>
  <c r="D28" i="4"/>
  <c r="F77" i="6"/>
  <c r="D77" i="6"/>
  <c r="B77" i="6"/>
  <c r="H77" i="6"/>
  <c r="EO59" i="5"/>
  <c r="EO60" i="5" a="1"/>
  <c r="EO60" i="5" s="1"/>
  <c r="EO10" i="5" a="1"/>
  <c r="EO10" i="5" s="1"/>
  <c r="AW59" i="5"/>
  <c r="AW58" i="5" a="1"/>
  <c r="AW58" i="5" s="1"/>
  <c r="AW60" i="5" a="1"/>
  <c r="AW60" i="5" s="1"/>
  <c r="AW53" i="5"/>
  <c r="AW55" i="5"/>
  <c r="AW51" i="5"/>
  <c r="AW46" i="5"/>
  <c r="AW50" i="5"/>
  <c r="AW48" i="5"/>
  <c r="AW42" i="5"/>
  <c r="AW44" i="5"/>
  <c r="AW43" i="5"/>
  <c r="AW40" i="5" a="1"/>
  <c r="AW40" i="5" s="1"/>
  <c r="AW38" i="5"/>
  <c r="AW33" i="5"/>
  <c r="AW39" i="5"/>
  <c r="AW30" i="5"/>
  <c r="AW28" i="5"/>
  <c r="AW29" i="5"/>
  <c r="AW26" i="5"/>
  <c r="AW22" i="5"/>
  <c r="AW35" i="5"/>
  <c r="AW19" i="5"/>
  <c r="AW23" i="5"/>
  <c r="AW32" i="5"/>
  <c r="AW12" i="5"/>
  <c r="AW10" i="5" a="1"/>
  <c r="AW10" i="5" s="1"/>
  <c r="AW14" i="5"/>
  <c r="AW24" i="5"/>
  <c r="AW18" i="5"/>
  <c r="AW8" i="5"/>
  <c r="AW7" i="5"/>
  <c r="Q60" i="5" a="1"/>
  <c r="Q60" i="5" s="1"/>
  <c r="Q58" i="5" a="1"/>
  <c r="Q58" i="5" s="1"/>
  <c r="Q55" i="5"/>
  <c r="Q50" i="5"/>
  <c r="Q51" i="5"/>
  <c r="Q59" i="5"/>
  <c r="Q53" i="5"/>
  <c r="Q46" i="5"/>
  <c r="Q44" i="5"/>
  <c r="Q48" i="5"/>
  <c r="Q43" i="5"/>
  <c r="Q40" i="5" a="1"/>
  <c r="Q40" i="5" s="1"/>
  <c r="Q30" i="5"/>
  <c r="Q35" i="5"/>
  <c r="Q39" i="5"/>
  <c r="Q42" i="5"/>
  <c r="Q26" i="5"/>
  <c r="Q38" i="5"/>
  <c r="Q33" i="5"/>
  <c r="Q32" i="5"/>
  <c r="Q29" i="5"/>
  <c r="Q24" i="5"/>
  <c r="Q14" i="5"/>
  <c r="Q8" i="5"/>
  <c r="Q10" i="5" a="1"/>
  <c r="Q10" i="5" s="1"/>
  <c r="Q19" i="5"/>
  <c r="Q18" i="5"/>
  <c r="Q22" i="5"/>
  <c r="Q23" i="5"/>
  <c r="Q12" i="5"/>
  <c r="Q7" i="5"/>
  <c r="Q28" i="5"/>
  <c r="AD60" i="5" a="1"/>
  <c r="AD60" i="5" s="1"/>
  <c r="AD59" i="5"/>
  <c r="AD58" i="5" a="1"/>
  <c r="AD58" i="5" s="1"/>
  <c r="AD53" i="5"/>
  <c r="AD48" i="5"/>
  <c r="AD51" i="5"/>
  <c r="AD44" i="5"/>
  <c r="AD55" i="5"/>
  <c r="AD46" i="5"/>
  <c r="AD42" i="5"/>
  <c r="AD40" i="5" a="1"/>
  <c r="AD40" i="5" s="1"/>
  <c r="AD50" i="5"/>
  <c r="AD33" i="5"/>
  <c r="AD43" i="5"/>
  <c r="AD35" i="5"/>
  <c r="AD30" i="5"/>
  <c r="AD39" i="5"/>
  <c r="AD38" i="5"/>
  <c r="AD29" i="5"/>
  <c r="AD26" i="5"/>
  <c r="AD22" i="5"/>
  <c r="AD19" i="5"/>
  <c r="AD32" i="5"/>
  <c r="AD24" i="5"/>
  <c r="AD28" i="5"/>
  <c r="AD18" i="5"/>
  <c r="AD23" i="5"/>
  <c r="AD12" i="5"/>
  <c r="AD10" i="5" a="1"/>
  <c r="AD10" i="5" s="1"/>
  <c r="AD7" i="5"/>
  <c r="AD8" i="5"/>
  <c r="AD14" i="5"/>
  <c r="GF60" i="5" a="1"/>
  <c r="GF60" i="5" s="1"/>
  <c r="GF59" i="5"/>
  <c r="BY60" i="5" a="1"/>
  <c r="BY60" i="5" s="1"/>
  <c r="BY58" i="5" a="1"/>
  <c r="BY58" i="5" s="1"/>
  <c r="BY59" i="5"/>
  <c r="BY50" i="5"/>
  <c r="BY55" i="5"/>
  <c r="BY51" i="5"/>
  <c r="BY53" i="5"/>
  <c r="BY43" i="5"/>
  <c r="BY48" i="5"/>
  <c r="BY30" i="5"/>
  <c r="BY42" i="5"/>
  <c r="BY44" i="5"/>
  <c r="BY46" i="5"/>
  <c r="BY40" i="5" a="1"/>
  <c r="BY40" i="5" s="1"/>
  <c r="BY32" i="5"/>
  <c r="BY39" i="5"/>
  <c r="BY33" i="5"/>
  <c r="BY38" i="5"/>
  <c r="BY28" i="5"/>
  <c r="BY26" i="5"/>
  <c r="BY29" i="5"/>
  <c r="BY24" i="5"/>
  <c r="BY22" i="5"/>
  <c r="BY35" i="5"/>
  <c r="BY23" i="5"/>
  <c r="BY14" i="5"/>
  <c r="BY8" i="5"/>
  <c r="BY18" i="5"/>
  <c r="BY19" i="5"/>
  <c r="BY10" i="5" a="1"/>
  <c r="BY10" i="5" s="1"/>
  <c r="BY12" i="5"/>
  <c r="BY7" i="5"/>
  <c r="E67" i="6"/>
  <c r="H78" i="6"/>
  <c r="O507" i="2"/>
  <c r="CH60" i="5" a="1"/>
  <c r="CH60" i="5" s="1"/>
  <c r="CH58" i="5" a="1"/>
  <c r="CH58" i="5" s="1"/>
  <c r="CH59" i="5"/>
  <c r="CH55" i="5"/>
  <c r="CH51" i="5"/>
  <c r="CH53" i="5"/>
  <c r="CH46" i="5"/>
  <c r="CH50" i="5"/>
  <c r="CH44" i="5"/>
  <c r="CH48" i="5"/>
  <c r="CH40" i="5" a="1"/>
  <c r="CH40" i="5" s="1"/>
  <c r="CH39" i="5"/>
  <c r="CH38" i="5"/>
  <c r="CH43" i="5"/>
  <c r="CH42" i="5"/>
  <c r="CH35" i="5"/>
  <c r="CH29" i="5"/>
  <c r="CH24" i="5"/>
  <c r="CH30" i="5"/>
  <c r="CH33" i="5"/>
  <c r="CH26" i="5"/>
  <c r="CH32" i="5"/>
  <c r="CH28" i="5"/>
  <c r="CH19" i="5"/>
  <c r="CH14" i="5"/>
  <c r="CH23" i="5"/>
  <c r="CH18" i="5"/>
  <c r="CH22" i="5"/>
  <c r="CH10" i="5" a="1"/>
  <c r="CH10" i="5" s="1"/>
  <c r="CH8" i="5"/>
  <c r="CH12" i="5"/>
  <c r="CH7" i="5"/>
  <c r="D33" i="4"/>
  <c r="D81" i="6"/>
  <c r="D76" i="6"/>
  <c r="EM60" i="5" a="1"/>
  <c r="EM60" i="5" s="1"/>
  <c r="EM50" i="5"/>
  <c r="EM59" i="5"/>
  <c r="EM43" i="5"/>
  <c r="EM10" i="5" a="1"/>
  <c r="EM10" i="5" s="1"/>
  <c r="D24" i="4"/>
  <c r="O469" i="2"/>
  <c r="DB59" i="5"/>
  <c r="F74" i="6"/>
  <c r="DB60" i="5" a="1"/>
  <c r="DB60" i="5" s="1"/>
  <c r="J74" i="6"/>
  <c r="H74" i="6"/>
  <c r="DB10" i="5" a="1"/>
  <c r="DB10" i="5" s="1"/>
  <c r="DB48" i="5" s="1"/>
  <c r="AC59" i="5"/>
  <c r="AC60" i="5" a="1"/>
  <c r="AC60" i="5" s="1"/>
  <c r="AC55" i="5"/>
  <c r="AC50" i="5"/>
  <c r="AC51" i="5"/>
  <c r="AC58" i="5" a="1"/>
  <c r="AC58" i="5" s="1"/>
  <c r="AC53" i="5"/>
  <c r="AC48" i="5"/>
  <c r="AC43" i="5"/>
  <c r="AC46" i="5"/>
  <c r="AC30" i="5"/>
  <c r="AC42" i="5"/>
  <c r="AC39" i="5"/>
  <c r="AC40" i="5" a="1"/>
  <c r="AC40" i="5" s="1"/>
  <c r="AC35" i="5"/>
  <c r="AC38" i="5"/>
  <c r="AC44" i="5"/>
  <c r="AC28" i="5"/>
  <c r="AC29" i="5"/>
  <c r="AC33" i="5"/>
  <c r="AC32" i="5"/>
  <c r="AC26" i="5"/>
  <c r="AC14" i="5"/>
  <c r="AC8" i="5"/>
  <c r="AC24" i="5"/>
  <c r="AC22" i="5"/>
  <c r="AC10" i="5" a="1"/>
  <c r="AC10" i="5" s="1"/>
  <c r="AC18" i="5"/>
  <c r="AC23" i="5"/>
  <c r="AC19" i="5"/>
  <c r="D68" i="6" s="1"/>
  <c r="O68" i="6" s="1"/>
  <c r="AC12" i="5"/>
  <c r="AC7" i="5"/>
  <c r="GC60" i="5" a="1"/>
  <c r="GC60" i="5" s="1"/>
  <c r="GC59" i="5"/>
  <c r="DQ59" i="5"/>
  <c r="DQ60" i="5" a="1"/>
  <c r="DQ60" i="5" s="1"/>
  <c r="DQ48" i="5"/>
  <c r="DQ43" i="5"/>
  <c r="DQ10" i="5" a="1"/>
  <c r="DQ10" i="5" s="1"/>
  <c r="DQ7" i="5" s="1"/>
  <c r="DQ8" i="5" s="1"/>
  <c r="BE55" i="5"/>
  <c r="BE58" i="5" a="1"/>
  <c r="BE58" i="5" s="1"/>
  <c r="BE60" i="5" a="1"/>
  <c r="BE60" i="5" s="1"/>
  <c r="BE51" i="5"/>
  <c r="BE53" i="5"/>
  <c r="BE59" i="5"/>
  <c r="BE44" i="5"/>
  <c r="BE50" i="5"/>
  <c r="BE48" i="5"/>
  <c r="BE46" i="5"/>
  <c r="BE39" i="5"/>
  <c r="BE40" i="5" a="1"/>
  <c r="BE40" i="5" s="1"/>
  <c r="BE35" i="5"/>
  <c r="BE42" i="5"/>
  <c r="BE38" i="5"/>
  <c r="BE33" i="5"/>
  <c r="BE32" i="5"/>
  <c r="BE29" i="5"/>
  <c r="BE43" i="5"/>
  <c r="BE30" i="5"/>
  <c r="BE28" i="5"/>
  <c r="BE26" i="5"/>
  <c r="BE22" i="5"/>
  <c r="BE18" i="5"/>
  <c r="BE24" i="5"/>
  <c r="BE23" i="5"/>
  <c r="BE19" i="5"/>
  <c r="BE12" i="5"/>
  <c r="BE14" i="5"/>
  <c r="BE7" i="5"/>
  <c r="BE10" i="5" a="1"/>
  <c r="BE10" i="5" s="1"/>
  <c r="BE8" i="5"/>
  <c r="C33" i="4"/>
  <c r="F33" i="4" s="1"/>
  <c r="C30" i="4"/>
  <c r="C36" i="4"/>
  <c r="F36" i="4" s="1"/>
  <c r="CJ43" i="5" s="1"/>
  <c r="C32" i="4"/>
  <c r="C29" i="4"/>
  <c r="C35" i="4"/>
  <c r="C38" i="4"/>
  <c r="F38" i="4" s="1"/>
  <c r="ET50" i="5" s="1"/>
  <c r="C34" i="4"/>
  <c r="F34" i="4" s="1"/>
  <c r="C31" i="4"/>
  <c r="C28" i="4"/>
  <c r="C37" i="4"/>
  <c r="F37" i="4" s="1"/>
  <c r="DG48" i="5" s="1"/>
  <c r="C24" i="4"/>
  <c r="F24" i="4" s="1"/>
  <c r="DI7" i="5" s="1"/>
  <c r="DI8" i="5" s="1"/>
  <c r="C27" i="4"/>
  <c r="F27" i="4" s="1"/>
  <c r="CW24" i="5" s="1"/>
  <c r="DS59" i="5"/>
  <c r="DS60" i="5" a="1"/>
  <c r="DS60" i="5" s="1"/>
  <c r="DS50" i="5"/>
  <c r="DS43" i="5"/>
  <c r="DS10" i="5" a="1"/>
  <c r="DS10" i="5" s="1"/>
  <c r="BG60" i="5" a="1"/>
  <c r="BG60" i="5" s="1"/>
  <c r="BG59" i="5"/>
  <c r="BG58" i="5" a="1"/>
  <c r="BG58" i="5" s="1"/>
  <c r="BG53" i="5"/>
  <c r="BG50" i="5"/>
  <c r="BG55" i="5"/>
  <c r="BG51" i="5"/>
  <c r="BG48" i="5"/>
  <c r="BG44" i="5"/>
  <c r="BG42" i="5"/>
  <c r="BG46" i="5"/>
  <c r="BG35" i="5"/>
  <c r="BG40" i="5" a="1"/>
  <c r="BG40" i="5" s="1"/>
  <c r="BG39" i="5"/>
  <c r="BG32" i="5"/>
  <c r="BG43" i="5"/>
  <c r="BG26" i="5"/>
  <c r="BG38" i="5"/>
  <c r="BG29" i="5"/>
  <c r="BG33" i="5"/>
  <c r="BG30" i="5"/>
  <c r="BG24" i="5"/>
  <c r="BG28" i="5"/>
  <c r="BG22" i="5"/>
  <c r="BG12" i="5"/>
  <c r="BG23" i="5"/>
  <c r="BG10" i="5" a="1"/>
  <c r="BG10" i="5" s="1"/>
  <c r="BG14" i="5"/>
  <c r="BG8" i="5"/>
  <c r="BG19" i="5"/>
  <c r="BG18" i="5"/>
  <c r="BG7" i="5"/>
  <c r="EU59" i="5"/>
  <c r="EU60" i="5" a="1"/>
  <c r="EU60" i="5" s="1"/>
  <c r="EU50" i="5"/>
  <c r="EU43" i="5"/>
  <c r="EU10" i="5" a="1"/>
  <c r="EU10" i="5" s="1"/>
  <c r="CI60" i="5" a="1"/>
  <c r="CI60" i="5" s="1"/>
  <c r="CI58" i="5" a="1"/>
  <c r="CI58" i="5" s="1"/>
  <c r="CI59" i="5"/>
  <c r="CI55" i="5"/>
  <c r="CI51" i="5"/>
  <c r="CI50" i="5"/>
  <c r="CI44" i="5"/>
  <c r="CI48" i="5"/>
  <c r="CI42" i="5"/>
  <c r="CI43" i="5"/>
  <c r="CI39" i="5"/>
  <c r="CI38" i="5"/>
  <c r="CI32" i="5"/>
  <c r="CI40" i="5" a="1"/>
  <c r="CI40" i="5" s="1"/>
  <c r="CI53" i="5"/>
  <c r="CI35" i="5"/>
  <c r="CI28" i="5"/>
  <c r="CI46" i="5"/>
  <c r="CI29" i="5"/>
  <c r="CI30" i="5"/>
  <c r="CI33" i="5"/>
  <c r="CI24" i="5"/>
  <c r="CI22" i="5"/>
  <c r="CI26" i="5"/>
  <c r="CI14" i="5"/>
  <c r="CI23" i="5"/>
  <c r="CI18" i="5"/>
  <c r="CI10" i="5" a="1"/>
  <c r="CI10" i="5" s="1"/>
  <c r="CI8" i="5"/>
  <c r="CI19" i="5"/>
  <c r="CI12" i="5"/>
  <c r="CI7" i="5"/>
  <c r="J59" i="5"/>
  <c r="J60" i="5" a="1"/>
  <c r="J60" i="5" s="1"/>
  <c r="J53" i="5"/>
  <c r="J55" i="5"/>
  <c r="J50" i="5"/>
  <c r="J44" i="5"/>
  <c r="J46" i="5"/>
  <c r="J43" i="5"/>
  <c r="J58" i="5" a="1"/>
  <c r="J58" i="5" s="1"/>
  <c r="J48" i="5"/>
  <c r="J40" i="5" a="1"/>
  <c r="J40" i="5" s="1"/>
  <c r="J35" i="5"/>
  <c r="J51" i="5"/>
  <c r="J42" i="5"/>
  <c r="J38" i="5"/>
  <c r="J33" i="5"/>
  <c r="J29" i="5"/>
  <c r="J39" i="5"/>
  <c r="J23" i="5"/>
  <c r="J28" i="5"/>
  <c r="J22" i="5"/>
  <c r="J32" i="5"/>
  <c r="J26" i="5"/>
  <c r="J30" i="5"/>
  <c r="J12" i="5"/>
  <c r="J10" i="5" a="1"/>
  <c r="J10" i="5" s="1"/>
  <c r="J24" i="5"/>
  <c r="J14" i="5"/>
  <c r="J19" i="5"/>
  <c r="J18" i="5"/>
  <c r="J7" i="5"/>
  <c r="J8" i="5"/>
  <c r="FJ59" i="5"/>
  <c r="FJ60" i="5" a="1"/>
  <c r="FJ60" i="5" s="1"/>
  <c r="CK60" i="5" a="1"/>
  <c r="CK60" i="5" s="1"/>
  <c r="CK59" i="5"/>
  <c r="CK43" i="5"/>
  <c r="CK10" i="5" a="1"/>
  <c r="CK10" i="5" s="1"/>
  <c r="CK48" i="5" s="1"/>
  <c r="L59" i="5"/>
  <c r="L60" i="5" a="1"/>
  <c r="L60" i="5" s="1"/>
  <c r="L53" i="5"/>
  <c r="L55" i="5"/>
  <c r="L58" i="5" a="1"/>
  <c r="L58" i="5" s="1"/>
  <c r="L50" i="5"/>
  <c r="L48" i="5"/>
  <c r="L51" i="5"/>
  <c r="L46" i="5"/>
  <c r="L42" i="5"/>
  <c r="L44" i="5"/>
  <c r="L40" i="5" a="1"/>
  <c r="L40" i="5" s="1"/>
  <c r="L33" i="5"/>
  <c r="L39" i="5"/>
  <c r="L43" i="5"/>
  <c r="L38" i="5"/>
  <c r="L23" i="5"/>
  <c r="L28" i="5"/>
  <c r="L29" i="5"/>
  <c r="L30" i="5"/>
  <c r="L22" i="5"/>
  <c r="L32" i="5"/>
  <c r="L24" i="5"/>
  <c r="L26" i="5"/>
  <c r="L19" i="5"/>
  <c r="L35" i="5"/>
  <c r="L14" i="5"/>
  <c r="L8" i="5"/>
  <c r="L18" i="5"/>
  <c r="L7" i="5"/>
  <c r="L10" i="5" a="1"/>
  <c r="L10" i="5" s="1"/>
  <c r="L12" i="5"/>
  <c r="FL59" i="5"/>
  <c r="FL60" i="5" a="1"/>
  <c r="FL60" i="5" s="1"/>
  <c r="O518" i="2"/>
  <c r="AZ59" i="5"/>
  <c r="AZ60" i="5" a="1"/>
  <c r="AZ60" i="5" s="1"/>
  <c r="AZ55" i="5"/>
  <c r="AZ53" i="5"/>
  <c r="AZ58" i="5" a="1"/>
  <c r="AZ58" i="5" s="1"/>
  <c r="AZ50" i="5"/>
  <c r="AZ44" i="5"/>
  <c r="AZ48" i="5"/>
  <c r="AZ42" i="5"/>
  <c r="AZ51" i="5"/>
  <c r="AZ43" i="5"/>
  <c r="AZ46" i="5"/>
  <c r="AZ40" i="5" a="1"/>
  <c r="AZ40" i="5" s="1"/>
  <c r="AZ33" i="5"/>
  <c r="AZ38" i="5"/>
  <c r="AZ39" i="5"/>
  <c r="AZ30" i="5"/>
  <c r="AZ24" i="5"/>
  <c r="AZ35" i="5"/>
  <c r="AZ28" i="5"/>
  <c r="AZ29" i="5"/>
  <c r="AZ23" i="5"/>
  <c r="AZ26" i="5"/>
  <c r="AZ19" i="5"/>
  <c r="AZ14" i="5"/>
  <c r="AZ22" i="5"/>
  <c r="AZ18" i="5"/>
  <c r="AZ10" i="5" a="1"/>
  <c r="AZ10" i="5" s="1"/>
  <c r="AZ32" i="5"/>
  <c r="AZ8" i="5"/>
  <c r="AZ12" i="5"/>
  <c r="AZ7" i="5"/>
  <c r="O512" i="2"/>
  <c r="CM10" i="5" a="1"/>
  <c r="CM10" i="5" s="1"/>
  <c r="D59" i="5"/>
  <c r="D55" i="5"/>
  <c r="J66" i="6" s="1"/>
  <c r="R66" i="6" s="1"/>
  <c r="D60" i="5" a="1"/>
  <c r="D60" i="5" s="1"/>
  <c r="D58" i="5" a="1"/>
  <c r="D58" i="5" s="1"/>
  <c r="D53" i="5"/>
  <c r="D51" i="5"/>
  <c r="D50" i="5"/>
  <c r="D44" i="5"/>
  <c r="D42" i="5"/>
  <c r="D46" i="5"/>
  <c r="D43" i="5"/>
  <c r="D40" i="5" a="1"/>
  <c r="D40" i="5" s="1"/>
  <c r="D48" i="5"/>
  <c r="D35" i="5"/>
  <c r="D39" i="5"/>
  <c r="D26" i="5"/>
  <c r="D24" i="5"/>
  <c r="D38" i="5"/>
  <c r="D32" i="5"/>
  <c r="D30" i="5"/>
  <c r="D29" i="5"/>
  <c r="D28" i="5"/>
  <c r="D33" i="5"/>
  <c r="D19" i="5"/>
  <c r="D14" i="5"/>
  <c r="D23" i="5"/>
  <c r="D10" i="5" a="1"/>
  <c r="D10" i="5" s="1"/>
  <c r="D22" i="5"/>
  <c r="D18" i="5"/>
  <c r="D8" i="5"/>
  <c r="D12" i="5"/>
  <c r="D7" i="5"/>
  <c r="B60" i="5" a="1"/>
  <c r="B60" i="5" s="1"/>
  <c r="I66" i="6"/>
  <c r="G66" i="6"/>
  <c r="B58" i="5" a="1"/>
  <c r="B58" i="5" s="1"/>
  <c r="N58" i="5" s="1"/>
  <c r="HC58" i="5" s="1"/>
  <c r="B55" i="5"/>
  <c r="B51" i="5"/>
  <c r="B46" i="5"/>
  <c r="B53" i="5"/>
  <c r="B48" i="5"/>
  <c r="N48" i="5" s="1"/>
  <c r="HC48" i="5" s="1"/>
  <c r="B50" i="5"/>
  <c r="B44" i="5"/>
  <c r="B59" i="5"/>
  <c r="B38" i="5"/>
  <c r="B42" i="5"/>
  <c r="B39" i="5"/>
  <c r="B43" i="5"/>
  <c r="N43" i="5" s="1"/>
  <c r="HC43" i="5" s="1"/>
  <c r="B35" i="5"/>
  <c r="N35" i="5" s="1"/>
  <c r="HC35" i="5" s="1"/>
  <c r="B30" i="5"/>
  <c r="B29" i="5"/>
  <c r="B28" i="5"/>
  <c r="B26" i="5"/>
  <c r="B24" i="5"/>
  <c r="B40" i="5" a="1"/>
  <c r="B40" i="5" s="1"/>
  <c r="B33" i="5"/>
  <c r="B32" i="5"/>
  <c r="B19" i="5"/>
  <c r="B14" i="5"/>
  <c r="B23" i="5"/>
  <c r="B22" i="5"/>
  <c r="B18" i="5"/>
  <c r="B8" i="5"/>
  <c r="B12" i="5"/>
  <c r="B7" i="5"/>
  <c r="N7" i="5" s="1"/>
  <c r="HC7" i="5" s="1"/>
  <c r="B10" i="5" a="1"/>
  <c r="B10" i="5" s="1"/>
  <c r="N10" i="5" s="1"/>
  <c r="HC10" i="5" s="1"/>
  <c r="BM60" i="5" a="1"/>
  <c r="BM60" i="5" s="1"/>
  <c r="BM59" i="5"/>
  <c r="BM50" i="5"/>
  <c r="BM55" i="5"/>
  <c r="BM51" i="5"/>
  <c r="BM58" i="5" a="1"/>
  <c r="BM58" i="5" s="1"/>
  <c r="BM53" i="5"/>
  <c r="BM48" i="5"/>
  <c r="BM44" i="5"/>
  <c r="BM46" i="5"/>
  <c r="BM43" i="5"/>
  <c r="BM30" i="5"/>
  <c r="BM40" i="5" a="1"/>
  <c r="BM40" i="5" s="1"/>
  <c r="BM42" i="5"/>
  <c r="BM33" i="5"/>
  <c r="BM38" i="5"/>
  <c r="BM39" i="5"/>
  <c r="BM28" i="5"/>
  <c r="BM35" i="5"/>
  <c r="BM32" i="5"/>
  <c r="BM26" i="5"/>
  <c r="BM29" i="5"/>
  <c r="BM14" i="5"/>
  <c r="BM8" i="5"/>
  <c r="BM23" i="5"/>
  <c r="BM19" i="5"/>
  <c r="BM18" i="5"/>
  <c r="BM24" i="5"/>
  <c r="BM10" i="5" a="1"/>
  <c r="BM10" i="5" s="1"/>
  <c r="BM22" i="5"/>
  <c r="BM7" i="5"/>
  <c r="BM12" i="5"/>
  <c r="H81" i="6"/>
  <c r="K60" i="5" a="1"/>
  <c r="K60" i="5" s="1"/>
  <c r="K59" i="5"/>
  <c r="K53" i="5"/>
  <c r="K55" i="5"/>
  <c r="K50" i="5"/>
  <c r="K58" i="5" a="1"/>
  <c r="K58" i="5" s="1"/>
  <c r="K46" i="5"/>
  <c r="K48" i="5"/>
  <c r="K42" i="5"/>
  <c r="K40" i="5" a="1"/>
  <c r="K40" i="5" s="1"/>
  <c r="K35" i="5"/>
  <c r="K51" i="5"/>
  <c r="K44" i="5"/>
  <c r="K32" i="5"/>
  <c r="K33" i="5"/>
  <c r="K39" i="5"/>
  <c r="K26" i="5"/>
  <c r="K43" i="5"/>
  <c r="K38" i="5"/>
  <c r="K28" i="5"/>
  <c r="K29" i="5"/>
  <c r="K23" i="5"/>
  <c r="K24" i="5"/>
  <c r="K30" i="5"/>
  <c r="K22" i="5"/>
  <c r="K12" i="5"/>
  <c r="K14" i="5"/>
  <c r="K8" i="5"/>
  <c r="K19" i="5"/>
  <c r="K18" i="5"/>
  <c r="K7" i="5"/>
  <c r="K10" i="5" a="1"/>
  <c r="K10" i="5" s="1"/>
  <c r="E69" i="6"/>
  <c r="AO60" i="5" a="1"/>
  <c r="AO60" i="5" s="1"/>
  <c r="AO58" i="5" a="1"/>
  <c r="AO58" i="5" s="1"/>
  <c r="AO55" i="5"/>
  <c r="AO50" i="5"/>
  <c r="AO59" i="5"/>
  <c r="AO51" i="5"/>
  <c r="K69" i="6"/>
  <c r="AO53" i="5"/>
  <c r="AO48" i="5"/>
  <c r="BA48" i="5" s="1"/>
  <c r="HF48" i="5" s="1"/>
  <c r="AO46" i="5"/>
  <c r="AO44" i="5"/>
  <c r="AO43" i="5"/>
  <c r="AO30" i="5"/>
  <c r="AO40" i="5" a="1"/>
  <c r="AO40" i="5" s="1"/>
  <c r="HF33" i="5"/>
  <c r="AO35" i="5"/>
  <c r="AO39" i="5"/>
  <c r="AO38" i="5"/>
  <c r="AO32" i="5"/>
  <c r="AO28" i="5"/>
  <c r="AO42" i="5"/>
  <c r="AO26" i="5"/>
  <c r="BA26" i="5" s="1"/>
  <c r="HF26" i="5" s="1"/>
  <c r="AO29" i="5"/>
  <c r="AO23" i="5"/>
  <c r="AO33" i="5"/>
  <c r="BA33" i="5" s="1"/>
  <c r="AO24" i="5"/>
  <c r="AO14" i="5"/>
  <c r="AO8" i="5"/>
  <c r="BA8" i="5" s="1"/>
  <c r="HF8" i="5" s="1"/>
  <c r="AO18" i="5"/>
  <c r="AO22" i="5"/>
  <c r="AO19" i="5"/>
  <c r="AO10" i="5" a="1"/>
  <c r="AO10" i="5" s="1"/>
  <c r="AO7" i="5"/>
  <c r="AO12" i="5"/>
  <c r="BA12" i="5" s="1"/>
  <c r="HF12" i="5" s="1"/>
  <c r="ER59" i="5"/>
  <c r="ER60" i="5" a="1"/>
  <c r="ER60" i="5" s="1"/>
  <c r="ER50" i="5"/>
  <c r="ER43" i="5"/>
  <c r="ER48" i="5"/>
  <c r="ER46" i="5" s="1"/>
  <c r="ER10" i="5" a="1"/>
  <c r="ER10" i="5" s="1"/>
  <c r="CW60" i="5" a="1"/>
  <c r="CW60" i="5" s="1"/>
  <c r="CW59" i="5"/>
  <c r="CW43" i="5"/>
  <c r="CW48" i="5"/>
  <c r="CW39" i="5"/>
  <c r="CW10" i="5" a="1"/>
  <c r="CW10" i="5" s="1"/>
  <c r="I68" i="6"/>
  <c r="I69" i="6"/>
  <c r="O485" i="2"/>
  <c r="DO60" i="5" a="1"/>
  <c r="DO60" i="5" s="1"/>
  <c r="D75" i="6"/>
  <c r="B75" i="6"/>
  <c r="DO59" i="5"/>
  <c r="DO50" i="5"/>
  <c r="DO48" i="5"/>
  <c r="DO43" i="5"/>
  <c r="DO10" i="5" a="1"/>
  <c r="DO10" i="5" s="1"/>
  <c r="AP60" i="5" a="1"/>
  <c r="AP60" i="5" s="1"/>
  <c r="AP58" i="5" a="1"/>
  <c r="AP58" i="5" s="1"/>
  <c r="AP59" i="5"/>
  <c r="AP53" i="5"/>
  <c r="AP48" i="5"/>
  <c r="AP50" i="5"/>
  <c r="AP44" i="5"/>
  <c r="AP51" i="5"/>
  <c r="AP55" i="5"/>
  <c r="AP46" i="5"/>
  <c r="AP42" i="5"/>
  <c r="AP40" i="5" a="1"/>
  <c r="AP40" i="5" s="1"/>
  <c r="AP33" i="5"/>
  <c r="AP43" i="5"/>
  <c r="AP39" i="5"/>
  <c r="AP35" i="5"/>
  <c r="AP38" i="5"/>
  <c r="AP28" i="5"/>
  <c r="AP29" i="5"/>
  <c r="AP22" i="5"/>
  <c r="AP30" i="5"/>
  <c r="AP32" i="5"/>
  <c r="AP19" i="5"/>
  <c r="AP24" i="5"/>
  <c r="AP26" i="5"/>
  <c r="AP23" i="5"/>
  <c r="AP10" i="5" a="1"/>
  <c r="AP10" i="5" s="1"/>
  <c r="AP18" i="5"/>
  <c r="AP7" i="5"/>
  <c r="AP14" i="5"/>
  <c r="AP12" i="5"/>
  <c r="AP8" i="5"/>
  <c r="GP59" i="5"/>
  <c r="GP60" i="5" a="1"/>
  <c r="GP60" i="5" s="1"/>
  <c r="ED60" i="5" a="1"/>
  <c r="ED60" i="5" s="1"/>
  <c r="ED59" i="5"/>
  <c r="ED48" i="5"/>
  <c r="ED43" i="5"/>
  <c r="ED10" i="5" a="1"/>
  <c r="ED10" i="5" s="1"/>
  <c r="ED50" i="5" s="1"/>
  <c r="BR59" i="5"/>
  <c r="BR58" i="5" a="1"/>
  <c r="BR58" i="5" s="1"/>
  <c r="BR53" i="5"/>
  <c r="BR60" i="5" a="1"/>
  <c r="BR60" i="5" s="1"/>
  <c r="BR50" i="5"/>
  <c r="BR51" i="5"/>
  <c r="BR44" i="5"/>
  <c r="BR55" i="5"/>
  <c r="BR46" i="5"/>
  <c r="BR48" i="5"/>
  <c r="BR43" i="5"/>
  <c r="BR35" i="5"/>
  <c r="BR39" i="5"/>
  <c r="BR42" i="5"/>
  <c r="BR38" i="5"/>
  <c r="BR40" i="5" a="1"/>
  <c r="BR40" i="5" s="1"/>
  <c r="BR33" i="5"/>
  <c r="BR29" i="5"/>
  <c r="BR30" i="5"/>
  <c r="BR23" i="5"/>
  <c r="BR32" i="5"/>
  <c r="BR28" i="5"/>
  <c r="BR24" i="5"/>
  <c r="BR12" i="5"/>
  <c r="BR22" i="5"/>
  <c r="BR14" i="5"/>
  <c r="BR26" i="5"/>
  <c r="BR8" i="5"/>
  <c r="BR7" i="5"/>
  <c r="BR18" i="5"/>
  <c r="BR19" i="5"/>
  <c r="BR10" i="5" a="1"/>
  <c r="BR10" i="5" s="1"/>
  <c r="F25" i="4"/>
  <c r="DG12" i="5" s="1"/>
  <c r="EF59" i="5"/>
  <c r="EF60" i="5" a="1"/>
  <c r="EF60" i="5" s="1"/>
  <c r="EF50" i="5"/>
  <c r="EF12" i="5"/>
  <c r="EF10" i="5" a="1"/>
  <c r="EF10" i="5" s="1"/>
  <c r="EF43" i="5" s="1"/>
  <c r="BT59" i="5"/>
  <c r="BT60" i="5" a="1"/>
  <c r="BT60" i="5" s="1"/>
  <c r="BT58" i="5" a="1"/>
  <c r="BT58" i="5" s="1"/>
  <c r="BT53" i="5"/>
  <c r="BT55" i="5"/>
  <c r="BT50" i="5"/>
  <c r="BT51" i="5"/>
  <c r="BT46" i="5"/>
  <c r="BT42" i="5"/>
  <c r="BT43" i="5"/>
  <c r="BT39" i="5"/>
  <c r="BT48" i="5"/>
  <c r="BT44" i="5"/>
  <c r="BT40" i="5" a="1"/>
  <c r="BT40" i="5" s="1"/>
  <c r="BT35" i="5"/>
  <c r="BT32" i="5"/>
  <c r="BT38" i="5"/>
  <c r="BT23" i="5"/>
  <c r="BT30" i="5"/>
  <c r="BT29" i="5"/>
  <c r="BT33" i="5"/>
  <c r="BT28" i="5"/>
  <c r="BT24" i="5"/>
  <c r="BT22" i="5"/>
  <c r="BT19" i="5"/>
  <c r="BT26" i="5"/>
  <c r="BT14" i="5"/>
  <c r="BT8" i="5"/>
  <c r="BT18" i="5"/>
  <c r="BT7" i="5"/>
  <c r="BT12" i="5"/>
  <c r="BT10" i="5" a="1"/>
  <c r="BT10" i="5" s="1"/>
  <c r="H60" i="5" a="1"/>
  <c r="H60" i="5" s="1"/>
  <c r="H59" i="5"/>
  <c r="H58" i="5" a="1"/>
  <c r="H58" i="5" s="1"/>
  <c r="H53" i="5"/>
  <c r="H55" i="5"/>
  <c r="H51" i="5"/>
  <c r="H48" i="5"/>
  <c r="H50" i="5"/>
  <c r="H46" i="5"/>
  <c r="H43" i="5"/>
  <c r="H42" i="5"/>
  <c r="H39" i="5"/>
  <c r="H44" i="5"/>
  <c r="H40" i="5" a="1"/>
  <c r="H40" i="5" s="1"/>
  <c r="H38" i="5"/>
  <c r="H33" i="5"/>
  <c r="H35" i="5"/>
  <c r="H30" i="5"/>
  <c r="H28" i="5"/>
  <c r="H29" i="5"/>
  <c r="H23" i="5"/>
  <c r="H32" i="5"/>
  <c r="H26" i="5"/>
  <c r="H24" i="5"/>
  <c r="H18" i="5"/>
  <c r="H22" i="5"/>
  <c r="H12" i="5"/>
  <c r="H19" i="5"/>
  <c r="H8" i="5"/>
  <c r="H14" i="5"/>
  <c r="H10" i="5" a="1"/>
  <c r="H10" i="5" s="1"/>
  <c r="H7" i="5"/>
  <c r="FH60" i="5" a="1"/>
  <c r="FH60" i="5" s="1"/>
  <c r="FH59" i="5"/>
  <c r="CV60" i="5" a="1"/>
  <c r="CV60" i="5" s="1"/>
  <c r="CV59" i="5"/>
  <c r="CV10" i="5" a="1"/>
  <c r="CV10" i="5" s="1"/>
  <c r="W58" i="5" a="1"/>
  <c r="W58" i="5" s="1"/>
  <c r="W53" i="5"/>
  <c r="W60" i="5" a="1"/>
  <c r="W60" i="5" s="1"/>
  <c r="W59" i="5"/>
  <c r="W55" i="5"/>
  <c r="W50" i="5"/>
  <c r="W51" i="5"/>
  <c r="W44" i="5"/>
  <c r="W48" i="5"/>
  <c r="W42" i="5"/>
  <c r="W40" i="5" a="1"/>
  <c r="W40" i="5" s="1"/>
  <c r="W35" i="5"/>
  <c r="W43" i="5"/>
  <c r="W38" i="5"/>
  <c r="W33" i="5"/>
  <c r="W26" i="5"/>
  <c r="W46" i="5"/>
  <c r="W28" i="5"/>
  <c r="W39" i="5"/>
  <c r="W30" i="5"/>
  <c r="W32" i="5"/>
  <c r="W22" i="5"/>
  <c r="W23" i="5"/>
  <c r="W29" i="5"/>
  <c r="W12" i="5"/>
  <c r="W10" i="5" a="1"/>
  <c r="W10" i="5" s="1"/>
  <c r="W24" i="5"/>
  <c r="W14" i="5"/>
  <c r="W8" i="5"/>
  <c r="W19" i="5"/>
  <c r="W18" i="5"/>
  <c r="W7" i="5"/>
  <c r="FW59" i="5"/>
  <c r="FW60" i="5" a="1"/>
  <c r="FW60" i="5" s="1"/>
  <c r="CX60" i="5" a="1"/>
  <c r="CX60" i="5" s="1"/>
  <c r="CX59" i="5"/>
  <c r="CX50" i="5"/>
  <c r="CX43" i="5"/>
  <c r="CX10" i="5" a="1"/>
  <c r="CX10" i="5" s="1"/>
  <c r="Y60" i="5" a="1"/>
  <c r="Y60" i="5" s="1"/>
  <c r="Y53" i="5"/>
  <c r="Y55" i="5"/>
  <c r="Y59" i="5"/>
  <c r="Y51" i="5"/>
  <c r="Y46" i="5"/>
  <c r="Y50" i="5"/>
  <c r="Y58" i="5" a="1"/>
  <c r="Y58" i="5" s="1"/>
  <c r="Y48" i="5"/>
  <c r="Y42" i="5"/>
  <c r="Y40" i="5" a="1"/>
  <c r="Y40" i="5" s="1"/>
  <c r="Y43" i="5"/>
  <c r="Y33" i="5"/>
  <c r="Y44" i="5"/>
  <c r="Y38" i="5"/>
  <c r="Y35" i="5"/>
  <c r="Y28" i="5"/>
  <c r="Y29" i="5"/>
  <c r="Y32" i="5"/>
  <c r="Y22" i="5"/>
  <c r="Y23" i="5"/>
  <c r="Y19" i="5"/>
  <c r="Y30" i="5"/>
  <c r="Y24" i="5"/>
  <c r="Y39" i="5"/>
  <c r="Y12" i="5"/>
  <c r="Y14" i="5"/>
  <c r="Y26" i="5"/>
  <c r="Y8" i="5"/>
  <c r="Y18" i="5"/>
  <c r="Y10" i="5" a="1"/>
  <c r="Y10" i="5" s="1"/>
  <c r="Y7" i="5"/>
  <c r="FY60" i="5" a="1"/>
  <c r="FY60" i="5" s="1"/>
  <c r="FY59" i="5"/>
  <c r="FM59" i="5"/>
  <c r="FM60" i="5" a="1"/>
  <c r="FM60" i="5" s="1"/>
  <c r="CR59" i="5"/>
  <c r="CR60" i="5" a="1"/>
  <c r="CR60" i="5" s="1"/>
  <c r="CR50" i="5"/>
  <c r="CR14" i="5"/>
  <c r="CR10" i="5" a="1"/>
  <c r="CR10" i="5" s="1"/>
  <c r="CR12" i="5"/>
  <c r="D80" i="6"/>
  <c r="FB60" i="5" a="1"/>
  <c r="FB60" i="5" s="1"/>
  <c r="B78" i="6"/>
  <c r="J78" i="6"/>
  <c r="FB59" i="5"/>
  <c r="BL60" i="5" a="1"/>
  <c r="BL60" i="5" s="1"/>
  <c r="BL58" i="5" a="1"/>
  <c r="BL58" i="5" s="1"/>
  <c r="BL59" i="5"/>
  <c r="BL55" i="5"/>
  <c r="BL53" i="5"/>
  <c r="BL51" i="5"/>
  <c r="BL44" i="5"/>
  <c r="BL50" i="5"/>
  <c r="BL40" i="5" a="1"/>
  <c r="BL40" i="5" s="1"/>
  <c r="BL42" i="5"/>
  <c r="BL46" i="5"/>
  <c r="BL43" i="5"/>
  <c r="BL32" i="5"/>
  <c r="BL48" i="5"/>
  <c r="BL33" i="5"/>
  <c r="BL39" i="5"/>
  <c r="BL24" i="5"/>
  <c r="BL38" i="5"/>
  <c r="BL28" i="5"/>
  <c r="BL30" i="5"/>
  <c r="BL35" i="5"/>
  <c r="BL22" i="5"/>
  <c r="BL26" i="5"/>
  <c r="BL23" i="5"/>
  <c r="BL14" i="5"/>
  <c r="BL19" i="5"/>
  <c r="BL18" i="5"/>
  <c r="BL29" i="5"/>
  <c r="BL10" i="5" a="1"/>
  <c r="BL10" i="5" s="1"/>
  <c r="BL8" i="5"/>
  <c r="BL7" i="5"/>
  <c r="BL12" i="5"/>
  <c r="G70" i="6"/>
  <c r="GB60" i="5" a="1"/>
  <c r="GB60" i="5" s="1"/>
  <c r="GB59" i="5"/>
  <c r="J80" i="6"/>
  <c r="FI60" i="5" a="1"/>
  <c r="FI60" i="5" s="1"/>
  <c r="FI59" i="5"/>
  <c r="J76" i="6"/>
  <c r="HR60" i="5"/>
  <c r="GO60" i="5" a="1"/>
  <c r="GO60" i="5" s="1"/>
  <c r="HA60" i="5" s="1"/>
  <c r="F52" i="4" s="1"/>
  <c r="GO59" i="5"/>
  <c r="FV59" i="5"/>
  <c r="FV60" i="5" a="1"/>
  <c r="FV60" i="5" s="1"/>
  <c r="O495" i="2"/>
  <c r="D30" i="4" s="1"/>
  <c r="D74" i="6"/>
  <c r="H75" i="6"/>
  <c r="B73" i="6"/>
  <c r="H71" i="6"/>
  <c r="Q71" i="6" s="1"/>
  <c r="O504" i="2"/>
  <c r="D35" i="4" s="1"/>
  <c r="CZ59" i="5"/>
  <c r="CZ60" i="5" a="1"/>
  <c r="CZ60" i="5" s="1"/>
  <c r="CZ50" i="5"/>
  <c r="CZ43" i="5"/>
  <c r="CZ10" i="5" a="1"/>
  <c r="CZ10" i="5" s="1"/>
  <c r="CZ48" i="5" s="1"/>
  <c r="CZ46" i="5" s="1"/>
  <c r="EB59" i="5"/>
  <c r="EN59" i="5" s="1"/>
  <c r="HM59" i="5" s="1"/>
  <c r="EB60" i="5" a="1"/>
  <c r="EB60" i="5" s="1"/>
  <c r="EN60" i="5" s="1"/>
  <c r="EB48" i="5"/>
  <c r="EB43" i="5"/>
  <c r="EB50" i="5"/>
  <c r="EB10" i="5" a="1"/>
  <c r="EB10" i="5" s="1"/>
  <c r="BC59" i="5"/>
  <c r="BC60" i="5" a="1"/>
  <c r="BC60" i="5" s="1"/>
  <c r="BC58" i="5" a="1"/>
  <c r="BC58" i="5" s="1"/>
  <c r="BC53" i="5"/>
  <c r="BC48" i="5"/>
  <c r="BC55" i="5"/>
  <c r="BC50" i="5"/>
  <c r="BC46" i="5"/>
  <c r="BC51" i="5"/>
  <c r="BC43" i="5"/>
  <c r="BC40" i="5" a="1"/>
  <c r="BC40" i="5" s="1"/>
  <c r="BC33" i="5"/>
  <c r="BC44" i="5"/>
  <c r="BC42" i="5"/>
  <c r="BC39" i="5"/>
  <c r="BC38" i="5"/>
  <c r="BC35" i="5"/>
  <c r="BC29" i="5"/>
  <c r="BC30" i="5"/>
  <c r="BC28" i="5"/>
  <c r="BC32" i="5"/>
  <c r="BC23" i="5"/>
  <c r="BC24" i="5"/>
  <c r="BC26" i="5"/>
  <c r="BC22" i="5"/>
  <c r="BC18" i="5"/>
  <c r="BC12" i="5"/>
  <c r="BC14" i="5"/>
  <c r="BC10" i="5" a="1"/>
  <c r="BC10" i="5" s="1"/>
  <c r="BC8" i="5"/>
  <c r="BC7" i="5"/>
  <c r="BC19" i="5"/>
  <c r="EQ60" i="5" a="1"/>
  <c r="EQ60" i="5" s="1"/>
  <c r="EQ59" i="5"/>
  <c r="EQ48" i="5"/>
  <c r="EQ50" i="5"/>
  <c r="EQ46" i="5"/>
  <c r="EQ39" i="5"/>
  <c r="EQ43" i="5"/>
  <c r="EQ10" i="5" a="1"/>
  <c r="EQ10" i="5" s="1"/>
  <c r="CE60" i="5" a="1"/>
  <c r="CE60" i="5" s="1"/>
  <c r="CE59" i="5"/>
  <c r="CE53" i="5"/>
  <c r="CE50" i="5"/>
  <c r="CE51" i="5"/>
  <c r="CE48" i="5"/>
  <c r="CE58" i="5" a="1"/>
  <c r="CE58" i="5" s="1"/>
  <c r="CE40" i="5" a="1"/>
  <c r="CE40" i="5" s="1"/>
  <c r="CE55" i="5"/>
  <c r="CE44" i="5"/>
  <c r="CE42" i="5"/>
  <c r="CE35" i="5"/>
  <c r="CE39" i="5"/>
  <c r="CE46" i="5"/>
  <c r="CE33" i="5"/>
  <c r="CE43" i="5"/>
  <c r="CE38" i="5"/>
  <c r="CE26" i="5"/>
  <c r="CE30" i="5"/>
  <c r="CE29" i="5"/>
  <c r="CE32" i="5"/>
  <c r="CE23" i="5"/>
  <c r="CE24" i="5"/>
  <c r="CE19" i="5"/>
  <c r="CE12" i="5"/>
  <c r="CE28" i="5"/>
  <c r="CE14" i="5"/>
  <c r="CE8" i="5"/>
  <c r="CE22" i="5"/>
  <c r="CE18" i="5"/>
  <c r="CE7" i="5"/>
  <c r="CE10" i="5" a="1"/>
  <c r="CE10" i="5" s="1"/>
  <c r="ES59" i="5"/>
  <c r="ES60" i="5" a="1"/>
  <c r="ES60" i="5" s="1"/>
  <c r="ES46" i="5"/>
  <c r="ES48" i="5"/>
  <c r="ES43" i="5"/>
  <c r="ES24" i="5"/>
  <c r="ES10" i="5" a="1"/>
  <c r="ES10" i="5" s="1"/>
  <c r="ES50" i="5" s="1"/>
  <c r="ES7" i="5"/>
  <c r="ES8" i="5" s="1"/>
  <c r="ES12" i="5"/>
  <c r="CG59" i="5"/>
  <c r="CG60" i="5" a="1"/>
  <c r="CG60" i="5" s="1"/>
  <c r="CG53" i="5"/>
  <c r="CG55" i="5"/>
  <c r="CG51" i="5"/>
  <c r="CG58" i="5" a="1"/>
  <c r="CG58" i="5" s="1"/>
  <c r="CG46" i="5"/>
  <c r="CG48" i="5"/>
  <c r="CG50" i="5"/>
  <c r="CG44" i="5"/>
  <c r="CG42" i="5"/>
  <c r="CG39" i="5"/>
  <c r="CG43" i="5"/>
  <c r="CG38" i="5"/>
  <c r="CG32" i="5"/>
  <c r="CG35" i="5"/>
  <c r="CG33" i="5"/>
  <c r="CG29" i="5"/>
  <c r="CG30" i="5"/>
  <c r="CG23" i="5"/>
  <c r="CG40" i="5" a="1"/>
  <c r="CG40" i="5" s="1"/>
  <c r="CG26" i="5"/>
  <c r="CG22" i="5"/>
  <c r="CG19" i="5"/>
  <c r="CG28" i="5"/>
  <c r="CG12" i="5"/>
  <c r="CG10" i="5" a="1"/>
  <c r="CG10" i="5" s="1"/>
  <c r="CG14" i="5"/>
  <c r="CG24" i="5"/>
  <c r="CG18" i="5"/>
  <c r="CG8" i="5"/>
  <c r="CG7" i="5"/>
  <c r="U60" i="5" a="1"/>
  <c r="U60" i="5" s="1"/>
  <c r="U59" i="5"/>
  <c r="U51" i="5"/>
  <c r="U53" i="5"/>
  <c r="U58" i="5" a="1"/>
  <c r="U58" i="5" s="1"/>
  <c r="U55" i="5"/>
  <c r="U48" i="5"/>
  <c r="U50" i="5"/>
  <c r="U46" i="5"/>
  <c r="U39" i="5"/>
  <c r="U43" i="5"/>
  <c r="U42" i="5"/>
  <c r="U44" i="5"/>
  <c r="U38" i="5"/>
  <c r="U33" i="5"/>
  <c r="U32" i="5"/>
  <c r="U30" i="5"/>
  <c r="U40" i="5" a="1"/>
  <c r="U40" i="5" s="1"/>
  <c r="U35" i="5"/>
  <c r="U28" i="5"/>
  <c r="U26" i="5"/>
  <c r="U19" i="5"/>
  <c r="U18" i="5"/>
  <c r="U24" i="5"/>
  <c r="U10" i="5" a="1"/>
  <c r="U10" i="5" s="1"/>
  <c r="U29" i="5"/>
  <c r="U23" i="5"/>
  <c r="U8" i="5"/>
  <c r="U7" i="5"/>
  <c r="U22" i="5"/>
  <c r="U12" i="5"/>
  <c r="U14" i="5"/>
  <c r="FU60" i="5" a="1"/>
  <c r="FU60" i="5" s="1"/>
  <c r="FU59" i="5"/>
  <c r="DI60" i="5" a="1"/>
  <c r="DI60" i="5" s="1"/>
  <c r="DI59" i="5"/>
  <c r="DI50" i="5"/>
  <c r="DI48" i="5"/>
  <c r="DI43" i="5"/>
  <c r="DI39" i="5"/>
  <c r="DI46" i="5"/>
  <c r="DI24" i="5"/>
  <c r="DI12" i="5"/>
  <c r="DI14" i="5" s="1"/>
  <c r="DI10" i="5" a="1"/>
  <c r="DI10" i="5" s="1"/>
  <c r="AJ59" i="5"/>
  <c r="AJ60" i="5" a="1"/>
  <c r="AJ60" i="5" s="1"/>
  <c r="AJ53" i="5"/>
  <c r="AJ55" i="5"/>
  <c r="AJ58" i="5" a="1"/>
  <c r="AJ58" i="5" s="1"/>
  <c r="AJ51" i="5"/>
  <c r="AJ50" i="5"/>
  <c r="AJ46" i="5"/>
  <c r="AJ44" i="5"/>
  <c r="AJ42" i="5"/>
  <c r="AJ40" i="5" a="1"/>
  <c r="AJ40" i="5" s="1"/>
  <c r="AJ48" i="5"/>
  <c r="AJ39" i="5"/>
  <c r="AJ38" i="5"/>
  <c r="AJ33" i="5"/>
  <c r="AJ23" i="5"/>
  <c r="AJ30" i="5"/>
  <c r="AJ32" i="5"/>
  <c r="AJ43" i="5"/>
  <c r="AJ28" i="5"/>
  <c r="F68" i="6" s="1"/>
  <c r="P68" i="6" s="1"/>
  <c r="T68" i="6" s="1"/>
  <c r="AJ35" i="5"/>
  <c r="AJ26" i="5"/>
  <c r="AJ22" i="5"/>
  <c r="AJ29" i="5"/>
  <c r="AJ19" i="5"/>
  <c r="AJ24" i="5"/>
  <c r="AJ14" i="5"/>
  <c r="AJ8" i="5"/>
  <c r="AJ18" i="5"/>
  <c r="AJ7" i="5"/>
  <c r="AJ12" i="5"/>
  <c r="AJ10" i="5" a="1"/>
  <c r="AJ10" i="5" s="1"/>
  <c r="GJ59" i="5"/>
  <c r="GJ60" i="5" a="1"/>
  <c r="GJ60" i="5" s="1"/>
  <c r="DK60" i="5" a="1"/>
  <c r="DK60" i="5" s="1"/>
  <c r="DK59" i="5"/>
  <c r="DK48" i="5"/>
  <c r="DK43" i="5"/>
  <c r="DK39" i="5"/>
  <c r="DK24" i="5"/>
  <c r="DK10" i="5" a="1"/>
  <c r="DK10" i="5" s="1"/>
  <c r="DK50" i="5" s="1"/>
  <c r="AL60" i="5" a="1"/>
  <c r="AL60" i="5" s="1"/>
  <c r="AL59" i="5"/>
  <c r="AL58" i="5" a="1"/>
  <c r="AL58" i="5" s="1"/>
  <c r="AL55" i="5"/>
  <c r="AL51" i="5"/>
  <c r="AL46" i="5"/>
  <c r="AL50" i="5"/>
  <c r="AL53" i="5"/>
  <c r="AL48" i="5"/>
  <c r="AL44" i="5"/>
  <c r="AL38" i="5"/>
  <c r="AL43" i="5"/>
  <c r="AL42" i="5"/>
  <c r="AL33" i="5"/>
  <c r="AL39" i="5"/>
  <c r="AL40" i="5" a="1"/>
  <c r="AL40" i="5" s="1"/>
  <c r="AL32" i="5"/>
  <c r="AL24" i="5"/>
  <c r="AL28" i="5"/>
  <c r="AL35" i="5"/>
  <c r="AL30" i="5"/>
  <c r="AL22" i="5"/>
  <c r="AL23" i="5"/>
  <c r="AL29" i="5"/>
  <c r="AL19" i="5"/>
  <c r="AL14" i="5"/>
  <c r="AL26" i="5"/>
  <c r="AL18" i="5"/>
  <c r="AL12" i="5"/>
  <c r="AL8" i="5"/>
  <c r="AL10" i="5" a="1"/>
  <c r="AL10" i="5" s="1"/>
  <c r="AL7" i="5"/>
  <c r="GL60" i="5" a="1"/>
  <c r="GL60" i="5" s="1"/>
  <c r="GL59" i="5"/>
  <c r="O486" i="2"/>
  <c r="FZ60" i="5" a="1"/>
  <c r="FZ60" i="5" s="1"/>
  <c r="FZ59" i="5"/>
  <c r="M60" i="5" a="1"/>
  <c r="M60" i="5" s="1"/>
  <c r="M53" i="5"/>
  <c r="M55" i="5"/>
  <c r="M58" i="5" a="1"/>
  <c r="M58" i="5" s="1"/>
  <c r="M51" i="5"/>
  <c r="M59" i="5"/>
  <c r="M50" i="5"/>
  <c r="M46" i="5"/>
  <c r="M48" i="5"/>
  <c r="M42" i="5"/>
  <c r="M44" i="5"/>
  <c r="M43" i="5"/>
  <c r="M40" i="5" a="1"/>
  <c r="M40" i="5" s="1"/>
  <c r="M39" i="5"/>
  <c r="M35" i="5"/>
  <c r="M30" i="5"/>
  <c r="M38" i="5"/>
  <c r="M28" i="5"/>
  <c r="M29" i="5"/>
  <c r="M32" i="5"/>
  <c r="M23" i="5"/>
  <c r="M26" i="5"/>
  <c r="M19" i="5"/>
  <c r="M33" i="5"/>
  <c r="M12" i="5"/>
  <c r="M22" i="5"/>
  <c r="M14" i="5"/>
  <c r="M24" i="5"/>
  <c r="M18" i="5"/>
  <c r="M8" i="5"/>
  <c r="M7" i="5"/>
  <c r="M10" i="5" a="1"/>
  <c r="M10" i="5" s="1"/>
  <c r="CR18" i="5" l="1"/>
  <c r="CR19" i="5" s="1"/>
  <c r="ED46" i="5"/>
  <c r="DK46" i="5"/>
  <c r="BA55" i="5"/>
  <c r="HF55" i="5" s="1"/>
  <c r="J69" i="6"/>
  <c r="R69" i="6" s="1"/>
  <c r="W69" i="6" s="1"/>
  <c r="DV24" i="5"/>
  <c r="EI24" i="5"/>
  <c r="DH24" i="5"/>
  <c r="DZ24" i="5"/>
  <c r="EH24" i="5"/>
  <c r="EP24" i="5"/>
  <c r="EL24" i="5"/>
  <c r="EE24" i="5"/>
  <c r="DY24" i="5"/>
  <c r="DY23" i="5" s="1"/>
  <c r="DB24" i="5"/>
  <c r="ER24" i="5"/>
  <c r="EQ24" i="5"/>
  <c r="DW24" i="5"/>
  <c r="CQ24" i="5"/>
  <c r="CK24" i="5"/>
  <c r="ED24" i="5"/>
  <c r="DS24" i="5"/>
  <c r="DC24" i="5"/>
  <c r="DQ24" i="5"/>
  <c r="EU24" i="5"/>
  <c r="DP24" i="5"/>
  <c r="EM24" i="5"/>
  <c r="CZ24" i="5"/>
  <c r="EB24" i="5"/>
  <c r="EY24" i="5"/>
  <c r="DY39" i="5"/>
  <c r="CL39" i="5"/>
  <c r="DU39" i="5"/>
  <c r="EP39" i="5"/>
  <c r="DG39" i="5"/>
  <c r="EE39" i="5"/>
  <c r="EU39" i="5"/>
  <c r="DD39" i="5"/>
  <c r="DD38" i="5" s="1"/>
  <c r="DO39" i="5"/>
  <c r="CX39" i="5"/>
  <c r="EH39" i="5"/>
  <c r="EM39" i="5"/>
  <c r="DQ39" i="5"/>
  <c r="EY39" i="5"/>
  <c r="CS39" i="5"/>
  <c r="CR39" i="5"/>
  <c r="DH39" i="5"/>
  <c r="CQ39" i="5"/>
  <c r="CK39" i="5"/>
  <c r="ES39" i="5"/>
  <c r="EI39" i="5"/>
  <c r="EF24" i="5"/>
  <c r="N14" i="5"/>
  <c r="HC14" i="5" s="1"/>
  <c r="ES14" i="5"/>
  <c r="F47" i="4"/>
  <c r="HM60" i="5"/>
  <c r="N40" i="5"/>
  <c r="HC40" i="5" s="1"/>
  <c r="H66" i="6"/>
  <c r="Q66" i="6" s="1"/>
  <c r="DO46" i="5"/>
  <c r="CR26" i="5"/>
  <c r="DI23" i="5"/>
  <c r="CZ39" i="5"/>
  <c r="CR24" i="5"/>
  <c r="CR23" i="5" s="1"/>
  <c r="CR48" i="5"/>
  <c r="CR46" i="5" s="1"/>
  <c r="CX24" i="5"/>
  <c r="CV48" i="5"/>
  <c r="CV46" i="5" s="1"/>
  <c r="CW12" i="5"/>
  <c r="BA22" i="5"/>
  <c r="HF22" i="5" s="1"/>
  <c r="BA35" i="5"/>
  <c r="HF35" i="5" s="1"/>
  <c r="BA46" i="5"/>
  <c r="HF46" i="5" s="1"/>
  <c r="BA59" i="5"/>
  <c r="HF59" i="5" s="1"/>
  <c r="N22" i="5"/>
  <c r="HC22" i="5" s="1"/>
  <c r="N33" i="5"/>
  <c r="HC33" i="5" s="1"/>
  <c r="N55" i="5"/>
  <c r="HC55" i="5" s="1"/>
  <c r="F32" i="4"/>
  <c r="DB43" i="5"/>
  <c r="EO7" i="5"/>
  <c r="DD48" i="5"/>
  <c r="DD46" i="5" s="1"/>
  <c r="CO7" i="5"/>
  <c r="DP12" i="5"/>
  <c r="EV7" i="5"/>
  <c r="EV8" i="5" s="1"/>
  <c r="DG50" i="5"/>
  <c r="DG46" i="5" s="1"/>
  <c r="DU7" i="5"/>
  <c r="DU8" i="5" s="1"/>
  <c r="EG39" i="5"/>
  <c r="DH30" i="5"/>
  <c r="FN59" i="5"/>
  <c r="HO59" i="5" s="1"/>
  <c r="CV39" i="5"/>
  <c r="EF7" i="5"/>
  <c r="EF8" i="5" s="1"/>
  <c r="BA50" i="5"/>
  <c r="HF50" i="5" s="1"/>
  <c r="N23" i="5"/>
  <c r="HC23" i="5" s="1"/>
  <c r="N50" i="5"/>
  <c r="HC50" i="5" s="1"/>
  <c r="DS39" i="5"/>
  <c r="DB7" i="5"/>
  <c r="DB39" i="5"/>
  <c r="EM12" i="5"/>
  <c r="EM48" i="5"/>
  <c r="EM46" i="5" s="1"/>
  <c r="EW48" i="5"/>
  <c r="EW46" i="5" s="1"/>
  <c r="B66" i="6"/>
  <c r="N66" i="6" s="1"/>
  <c r="W66" i="6" s="1"/>
  <c r="AN30" i="5"/>
  <c r="HE30" i="5" s="1"/>
  <c r="AN35" i="5"/>
  <c r="HE35" i="5" s="1"/>
  <c r="EV50" i="5"/>
  <c r="DU24" i="5"/>
  <c r="EB12" i="5"/>
  <c r="HA59" i="5"/>
  <c r="HR59" i="5" s="1"/>
  <c r="CV43" i="5"/>
  <c r="CW7" i="5"/>
  <c r="CW8" i="5" s="1"/>
  <c r="ER39" i="5"/>
  <c r="BA18" i="5"/>
  <c r="HF18" i="5" s="1"/>
  <c r="BA29" i="5"/>
  <c r="HF29" i="5" s="1"/>
  <c r="CK50" i="5"/>
  <c r="CK46" i="5" s="1"/>
  <c r="F30" i="4"/>
  <c r="DQ50" i="5"/>
  <c r="DQ46" i="5" s="1"/>
  <c r="DN60" i="5"/>
  <c r="EO43" i="5"/>
  <c r="EO39" i="5"/>
  <c r="EO12" i="5"/>
  <c r="EO42" i="5"/>
  <c r="FA59" i="5"/>
  <c r="HN59" i="5" s="1"/>
  <c r="EH7" i="5"/>
  <c r="EH8" i="5" s="1"/>
  <c r="DF42" i="5"/>
  <c r="N68" i="6"/>
  <c r="S68" i="6" s="1"/>
  <c r="AN40" i="5"/>
  <c r="HE40" i="5" s="1"/>
  <c r="AN58" i="5"/>
  <c r="HE58" i="5" s="1"/>
  <c r="DY46" i="5"/>
  <c r="BA58" i="5"/>
  <c r="HF58" i="5" s="1"/>
  <c r="BA7" i="5"/>
  <c r="HF7" i="5" s="1"/>
  <c r="B69" i="6"/>
  <c r="N69" i="6" s="1"/>
  <c r="N19" i="5"/>
  <c r="HC19" i="5" s="1"/>
  <c r="D66" i="6"/>
  <c r="O66" i="6" s="1"/>
  <c r="S66" i="6" s="1"/>
  <c r="N24" i="5"/>
  <c r="HC24" i="5" s="1"/>
  <c r="N39" i="5"/>
  <c r="HC39" i="5" s="1"/>
  <c r="N53" i="5"/>
  <c r="HC53" i="5" s="1"/>
  <c r="CM39" i="5"/>
  <c r="CM24" i="5"/>
  <c r="CM50" i="5"/>
  <c r="CM12" i="5"/>
  <c r="CM43" i="5"/>
  <c r="CM14" i="5"/>
  <c r="CM48" i="5"/>
  <c r="CM7" i="5"/>
  <c r="CM8" i="5" s="1"/>
  <c r="CM30" i="5"/>
  <c r="EU7" i="5"/>
  <c r="EU8" i="5" s="1"/>
  <c r="EH48" i="5"/>
  <c r="EH46" i="5" s="1"/>
  <c r="DW48" i="5"/>
  <c r="EI48" i="5"/>
  <c r="CL48" i="5"/>
  <c r="CL46" i="5" s="1"/>
  <c r="DH48" i="5"/>
  <c r="EP48" i="5"/>
  <c r="EY48" i="5"/>
  <c r="DN59" i="5"/>
  <c r="HK59" i="5" s="1"/>
  <c r="DG14" i="5"/>
  <c r="J72" i="6"/>
  <c r="EP12" i="5"/>
  <c r="CA28" i="5"/>
  <c r="HH28" i="5" s="1"/>
  <c r="F71" i="6"/>
  <c r="P71" i="6" s="1"/>
  <c r="T71" i="6" s="1"/>
  <c r="CA60" i="5"/>
  <c r="HH60" i="5" s="1"/>
  <c r="EJ48" i="5"/>
  <c r="EJ43" i="5"/>
  <c r="EJ12" i="5"/>
  <c r="EJ50" i="5"/>
  <c r="EJ30" i="5"/>
  <c r="EJ7" i="5"/>
  <c r="EJ8" i="5" s="1"/>
  <c r="EJ24" i="5"/>
  <c r="J70" i="6"/>
  <c r="R70" i="6" s="1"/>
  <c r="W70" i="6" s="1"/>
  <c r="CX12" i="5"/>
  <c r="CX26" i="5" s="1"/>
  <c r="CZ7" i="5"/>
  <c r="CZ8" i="5" s="1"/>
  <c r="CR30" i="5"/>
  <c r="CR43" i="5"/>
  <c r="CV7" i="5"/>
  <c r="CV8" i="5" s="1"/>
  <c r="ED7" i="5"/>
  <c r="ED8" i="5" s="1"/>
  <c r="ED39" i="5"/>
  <c r="CW14" i="5"/>
  <c r="CW50" i="5"/>
  <c r="CW46" i="5" s="1"/>
  <c r="ER30" i="5"/>
  <c r="BA14" i="5"/>
  <c r="HF14" i="5" s="1"/>
  <c r="BA42" i="5"/>
  <c r="HF42" i="5" s="1"/>
  <c r="BA60" i="5"/>
  <c r="HF60" i="5" s="1"/>
  <c r="N12" i="5"/>
  <c r="HC12" i="5" s="1"/>
  <c r="N26" i="5"/>
  <c r="HC26" i="5" s="1"/>
  <c r="N42" i="5"/>
  <c r="HC42" i="5" s="1"/>
  <c r="DS48" i="5"/>
  <c r="DS46" i="5" s="1"/>
  <c r="F28" i="4"/>
  <c r="DI26" i="5" s="1"/>
  <c r="DQ12" i="5"/>
  <c r="AN19" i="5"/>
  <c r="HE19" i="5" s="1"/>
  <c r="AN43" i="5"/>
  <c r="HE43" i="5" s="1"/>
  <c r="EJ39" i="5"/>
  <c r="H72" i="6"/>
  <c r="EG48" i="5"/>
  <c r="CO30" i="5"/>
  <c r="CO50" i="5"/>
  <c r="CO48" i="5"/>
  <c r="CO39" i="5"/>
  <c r="CO24" i="5"/>
  <c r="CO12" i="5"/>
  <c r="DK7" i="5"/>
  <c r="DK8" i="5" s="1"/>
  <c r="EB42" i="5"/>
  <c r="FN60" i="5"/>
  <c r="CX7" i="5"/>
  <c r="CX8" i="5" s="1"/>
  <c r="CX48" i="5"/>
  <c r="CX46" i="5" s="1"/>
  <c r="CV24" i="5"/>
  <c r="CV50" i="5"/>
  <c r="EF14" i="5"/>
  <c r="EF48" i="5"/>
  <c r="EF46" i="5" s="1"/>
  <c r="ED12" i="5"/>
  <c r="EA59" i="5"/>
  <c r="HL59" i="5" s="1"/>
  <c r="ER42" i="5"/>
  <c r="BA10" i="5"/>
  <c r="HF10" i="5" s="1"/>
  <c r="BA24" i="5"/>
  <c r="HF24" i="5" s="1"/>
  <c r="BA28" i="5"/>
  <c r="HF28" i="5" s="1"/>
  <c r="F69" i="6"/>
  <c r="P69" i="6" s="1"/>
  <c r="BA53" i="5"/>
  <c r="HF53" i="5" s="1"/>
  <c r="EU48" i="5"/>
  <c r="EU46" i="5" s="1"/>
  <c r="DQ40" i="5" a="1"/>
  <c r="DQ40" i="5" s="1"/>
  <c r="EW24" i="5"/>
  <c r="EW39" i="5"/>
  <c r="EW7" i="5"/>
  <c r="EW8" i="5" s="1"/>
  <c r="EW30" i="5"/>
  <c r="EW12" i="5"/>
  <c r="EW26" i="5" s="1"/>
  <c r="EW43" i="5"/>
  <c r="DA60" i="5"/>
  <c r="AN29" i="5"/>
  <c r="HE29" i="5" s="1"/>
  <c r="EL39" i="5"/>
  <c r="DC48" i="5"/>
  <c r="DC46" i="5" s="1"/>
  <c r="CL7" i="5"/>
  <c r="CL8" i="5" s="1"/>
  <c r="DY7" i="5"/>
  <c r="DY8" i="5" s="1"/>
  <c r="EL7" i="5"/>
  <c r="EL8" i="5" s="1"/>
  <c r="DH7" i="5"/>
  <c r="DH8" i="5" s="1"/>
  <c r="DW7" i="5"/>
  <c r="DW8" i="5" s="1"/>
  <c r="ET7" i="5"/>
  <c r="ET8" i="5" s="1"/>
  <c r="EP7" i="5"/>
  <c r="EP8" i="5" s="1"/>
  <c r="DG7" i="5"/>
  <c r="DG8" i="5" s="1"/>
  <c r="EY7" i="5"/>
  <c r="EY8" i="5" s="1"/>
  <c r="EI7" i="5"/>
  <c r="EI8" i="5" s="1"/>
  <c r="AA43" i="5"/>
  <c r="HD43" i="5" s="1"/>
  <c r="DK30" i="5"/>
  <c r="EQ7" i="5"/>
  <c r="EQ8" i="5" s="1"/>
  <c r="EB39" i="5"/>
  <c r="DK42" i="5"/>
  <c r="EB7" i="5"/>
  <c r="GN59" i="5"/>
  <c r="HQ59" i="5" s="1"/>
  <c r="CV12" i="5"/>
  <c r="CV26" i="5" s="1"/>
  <c r="EF39" i="5"/>
  <c r="DO24" i="5"/>
  <c r="ER12" i="5"/>
  <c r="BA40" i="5"/>
  <c r="HF40" i="5" s="1"/>
  <c r="H69" i="6"/>
  <c r="Q69" i="6" s="1"/>
  <c r="N8" i="5"/>
  <c r="HC8" i="5" s="1"/>
  <c r="N28" i="5"/>
  <c r="HC28" i="5" s="1"/>
  <c r="N38" i="5"/>
  <c r="HC38" i="5" s="1"/>
  <c r="N46" i="5"/>
  <c r="HC46" i="5" s="1"/>
  <c r="N60" i="5"/>
  <c r="HC60" i="5" s="1"/>
  <c r="DS12" i="5"/>
  <c r="I51" i="4"/>
  <c r="I48" i="4"/>
  <c r="EY40" i="5" s="1" a="1"/>
  <c r="EY40" i="5" s="1"/>
  <c r="I45" i="4"/>
  <c r="I52" i="4"/>
  <c r="I49" i="4"/>
  <c r="I46" i="4"/>
  <c r="I43" i="4"/>
  <c r="I50" i="4"/>
  <c r="I47" i="4"/>
  <c r="I44" i="4"/>
  <c r="DQ42" i="5"/>
  <c r="DB50" i="5"/>
  <c r="DB46" i="5" s="1"/>
  <c r="EY50" i="5"/>
  <c r="DA59" i="5"/>
  <c r="HJ59" i="5" s="1"/>
  <c r="AN10" i="5"/>
  <c r="HE10" i="5" s="1"/>
  <c r="DU48" i="5"/>
  <c r="CQ12" i="5"/>
  <c r="CQ26" i="5" s="1"/>
  <c r="CQ43" i="5"/>
  <c r="CQ40" i="5" a="1"/>
  <c r="CQ40" i="5" s="1"/>
  <c r="CQ30" i="5"/>
  <c r="CQ14" i="5"/>
  <c r="CQ50" i="5"/>
  <c r="CQ48" i="5"/>
  <c r="CQ7" i="5"/>
  <c r="CQ8" i="5" s="1"/>
  <c r="EA60" i="5"/>
  <c r="DH12" i="5"/>
  <c r="EV12" i="5"/>
  <c r="EV26" i="5" s="1"/>
  <c r="DJ12" i="5"/>
  <c r="DL12" i="5"/>
  <c r="ET12" i="5"/>
  <c r="ET26" i="5" s="1"/>
  <c r="DY12" i="5"/>
  <c r="DY26" i="5" s="1"/>
  <c r="EY12" i="5"/>
  <c r="EE12" i="5"/>
  <c r="EE26" i="5" s="1"/>
  <c r="EH12" i="5"/>
  <c r="EL12" i="5"/>
  <c r="CL12" i="5"/>
  <c r="DW12" i="5"/>
  <c r="ER7" i="5"/>
  <c r="ER8" i="5" s="1"/>
  <c r="BA32" i="5"/>
  <c r="HF32" i="5" s="1"/>
  <c r="BA30" i="5"/>
  <c r="HF30" i="5" s="1"/>
  <c r="N29" i="5"/>
  <c r="HC29" i="5" s="1"/>
  <c r="N59" i="5"/>
  <c r="HC59" i="5" s="1"/>
  <c r="CK7" i="5"/>
  <c r="CK8" i="5" s="1"/>
  <c r="DL50" i="5"/>
  <c r="DW50" i="5"/>
  <c r="EH50" i="5"/>
  <c r="EL50" i="5"/>
  <c r="EL46" i="5" s="1"/>
  <c r="DV50" i="5"/>
  <c r="DH50" i="5"/>
  <c r="DY50" i="5"/>
  <c r="EM7" i="5"/>
  <c r="EM8" i="5" s="1"/>
  <c r="EO50" i="5"/>
  <c r="CS7" i="5"/>
  <c r="CS8" i="5" s="1"/>
  <c r="CN43" i="5"/>
  <c r="HI43" i="5" s="1"/>
  <c r="EP50" i="5"/>
  <c r="CA18" i="5"/>
  <c r="HH18" i="5" s="1"/>
  <c r="DT40" i="5" a="1"/>
  <c r="DT40" i="5" s="1"/>
  <c r="EI12" i="5"/>
  <c r="BN38" i="5"/>
  <c r="HG38" i="5" s="1"/>
  <c r="EK14" i="5"/>
  <c r="EK48" i="5"/>
  <c r="EK46" i="5" s="1"/>
  <c r="EK43" i="5"/>
  <c r="EK50" i="5"/>
  <c r="EK42" i="5"/>
  <c r="EK24" i="5"/>
  <c r="EK30" i="5"/>
  <c r="EK12" i="5"/>
  <c r="EK26" i="5" s="1"/>
  <c r="EK7" i="5"/>
  <c r="EK8" i="5" s="1"/>
  <c r="DK12" i="5"/>
  <c r="EQ12" i="5"/>
  <c r="H68" i="6"/>
  <c r="Q68" i="6" s="1"/>
  <c r="GN60" i="5"/>
  <c r="CR7" i="5"/>
  <c r="CR8" i="5" s="1"/>
  <c r="BA23" i="5"/>
  <c r="HF23" i="5" s="1"/>
  <c r="BA38" i="5"/>
  <c r="HF38" i="5" s="1"/>
  <c r="BA43" i="5"/>
  <c r="HF43" i="5" s="1"/>
  <c r="BA51" i="5"/>
  <c r="HF51" i="5" s="1"/>
  <c r="N30" i="5"/>
  <c r="HC30" i="5" s="1"/>
  <c r="N44" i="5"/>
  <c r="HC44" i="5" s="1"/>
  <c r="N51" i="5"/>
  <c r="HC51" i="5" s="1"/>
  <c r="CK12" i="5"/>
  <c r="EU12" i="5"/>
  <c r="EU26" i="5" s="1"/>
  <c r="F35" i="4"/>
  <c r="DB30" i="5"/>
  <c r="EO24" i="5"/>
  <c r="EO48" i="5"/>
  <c r="CA19" i="5"/>
  <c r="HH19" i="5" s="1"/>
  <c r="D71" i="6"/>
  <c r="O71" i="6" s="1"/>
  <c r="S71" i="6" s="1"/>
  <c r="CA40" i="5"/>
  <c r="HH40" i="5" s="1"/>
  <c r="F66" i="6"/>
  <c r="P66" i="6" s="1"/>
  <c r="T66" i="6" s="1"/>
  <c r="EK39" i="5"/>
  <c r="EB46" i="5"/>
  <c r="CZ12" i="5"/>
  <c r="DO7" i="5"/>
  <c r="DO12" i="5"/>
  <c r="BA19" i="5"/>
  <c r="HF19" i="5" s="1"/>
  <c r="D69" i="6"/>
  <c r="O69" i="6" s="1"/>
  <c r="S69" i="6" s="1"/>
  <c r="BA39" i="5"/>
  <c r="HF39" i="5" s="1"/>
  <c r="BA44" i="5"/>
  <c r="HF44" i="5" s="1"/>
  <c r="N18" i="5"/>
  <c r="HC18" i="5" s="1"/>
  <c r="N32" i="5"/>
  <c r="HC32" i="5" s="1"/>
  <c r="DS7" i="5"/>
  <c r="DS8" i="5" s="1"/>
  <c r="DB12" i="5"/>
  <c r="DF12" i="5"/>
  <c r="DF26" i="5" s="1"/>
  <c r="DF48" i="5"/>
  <c r="DF24" i="5"/>
  <c r="DF7" i="5"/>
  <c r="DF8" i="5" s="1"/>
  <c r="DF39" i="5"/>
  <c r="DF50" i="5"/>
  <c r="DF30" i="5"/>
  <c r="CO14" i="5"/>
  <c r="DP48" i="5"/>
  <c r="DP46" i="5" s="1"/>
  <c r="AN51" i="5"/>
  <c r="HE51" i="5" s="1"/>
  <c r="AN60" i="5"/>
  <c r="HE60" i="5" s="1"/>
  <c r="DU12" i="5"/>
  <c r="CS43" i="5"/>
  <c r="CS30" i="5"/>
  <c r="CS24" i="5"/>
  <c r="CS40" i="5" a="1"/>
  <c r="CS40" i="5" s="1"/>
  <c r="CS12" i="5"/>
  <c r="CS26" i="5" s="1"/>
  <c r="CS50" i="5"/>
  <c r="CS46" i="5" s="1"/>
  <c r="CS42" i="5"/>
  <c r="D72" i="6"/>
  <c r="EG7" i="5"/>
  <c r="EG8" i="5" s="1"/>
  <c r="EE50" i="5"/>
  <c r="DY43" i="5"/>
  <c r="CA24" i="5"/>
  <c r="HH24" i="5" s="1"/>
  <c r="CA50" i="5"/>
  <c r="HH50" i="5" s="1"/>
  <c r="ET43" i="5"/>
  <c r="DT12" i="5"/>
  <c r="DT26" i="5" s="1"/>
  <c r="DT30" i="5"/>
  <c r="DT50" i="5"/>
  <c r="DV43" i="5"/>
  <c r="DL30" i="5"/>
  <c r="CJ39" i="5"/>
  <c r="CN39" i="5" s="1"/>
  <c r="HI39" i="5" s="1"/>
  <c r="DP7" i="5"/>
  <c r="DP8" i="5" s="1"/>
  <c r="DP50" i="5"/>
  <c r="AN28" i="5"/>
  <c r="HE28" i="5" s="1"/>
  <c r="AN50" i="5"/>
  <c r="HE50" i="5" s="1"/>
  <c r="EV43" i="5"/>
  <c r="DG30" i="5"/>
  <c r="DU43" i="5"/>
  <c r="EG30" i="5"/>
  <c r="CA7" i="5"/>
  <c r="HH7" i="5" s="1"/>
  <c r="B71" i="6"/>
  <c r="N71" i="6" s="1"/>
  <c r="U71" i="6" s="1"/>
  <c r="CA10" i="5"/>
  <c r="HH10" i="5" s="1"/>
  <c r="CA30" i="5"/>
  <c r="HH30" i="5" s="1"/>
  <c r="CA33" i="5"/>
  <c r="HH33" i="5" s="1"/>
  <c r="ET42" i="5"/>
  <c r="CL50" i="5"/>
  <c r="EE42" i="5"/>
  <c r="DT24" i="5"/>
  <c r="DT23" i="5" s="1"/>
  <c r="EI42" i="5"/>
  <c r="BN24" i="5"/>
  <c r="HG24" i="5" s="1"/>
  <c r="EY43" i="5"/>
  <c r="DD43" i="5"/>
  <c r="AN24" i="5"/>
  <c r="HE24" i="5" s="1"/>
  <c r="AN46" i="5"/>
  <c r="HE46" i="5" s="1"/>
  <c r="AN53" i="5"/>
  <c r="HE53" i="5" s="1"/>
  <c r="EV24" i="5"/>
  <c r="EV23" i="5" s="1"/>
  <c r="EV39" i="5"/>
  <c r="EL43" i="5"/>
  <c r="CN59" i="5"/>
  <c r="HI59" i="5" s="1"/>
  <c r="EG43" i="5"/>
  <c r="DY42" i="5"/>
  <c r="DW39" i="5"/>
  <c r="CA8" i="5"/>
  <c r="HH8" i="5" s="1"/>
  <c r="CA26" i="5"/>
  <c r="HH26" i="5" s="1"/>
  <c r="CA58" i="5"/>
  <c r="HH58" i="5" s="1"/>
  <c r="ET24" i="5"/>
  <c r="DC39" i="5"/>
  <c r="DT7" i="5"/>
  <c r="DT8" i="5" s="1"/>
  <c r="EI43" i="5"/>
  <c r="BN10" i="5"/>
  <c r="HG10" i="5" s="1"/>
  <c r="DD30" i="5"/>
  <c r="J67" i="6"/>
  <c r="R67" i="6" s="1"/>
  <c r="DP39" i="5"/>
  <c r="AN23" i="5"/>
  <c r="HE23" i="5" s="1"/>
  <c r="AN32" i="5"/>
  <c r="HE32" i="5" s="1"/>
  <c r="HE31" i="5" s="1"/>
  <c r="AN38" i="5"/>
  <c r="HE38" i="5" s="1"/>
  <c r="AN42" i="5"/>
  <c r="HE42" i="5" s="1"/>
  <c r="EV30" i="5"/>
  <c r="EV48" i="5"/>
  <c r="EV46" i="5" s="1"/>
  <c r="GA60" i="5"/>
  <c r="DY40" i="5" a="1"/>
  <c r="DY40" i="5" s="1"/>
  <c r="DH43" i="5"/>
  <c r="CA48" i="5"/>
  <c r="HH48" i="5" s="1"/>
  <c r="CL24" i="5"/>
  <c r="CL42" i="5"/>
  <c r="DC12" i="5"/>
  <c r="DC42" i="5"/>
  <c r="DT14" i="5"/>
  <c r="DZ39" i="5"/>
  <c r="DZ7" i="5"/>
  <c r="DZ8" i="5" s="1"/>
  <c r="DZ50" i="5"/>
  <c r="DZ43" i="5"/>
  <c r="DZ30" i="5"/>
  <c r="DZ48" i="5"/>
  <c r="DZ46" i="5" s="1"/>
  <c r="DZ42" i="5"/>
  <c r="DZ12" i="5"/>
  <c r="DZ26" i="5" s="1"/>
  <c r="BN55" i="5"/>
  <c r="HG55" i="5" s="1"/>
  <c r="AA42" i="5"/>
  <c r="HD42" i="5" s="1"/>
  <c r="CA32" i="5"/>
  <c r="HH32" i="5" s="1"/>
  <c r="CA43" i="5"/>
  <c r="HH43" i="5" s="1"/>
  <c r="DT48" i="5"/>
  <c r="DT39" i="5"/>
  <c r="AA59" i="5"/>
  <c r="HD59" i="5" s="1"/>
  <c r="DD24" i="5"/>
  <c r="DD42" i="5"/>
  <c r="DP40" i="5" a="1"/>
  <c r="DP40" i="5" s="1"/>
  <c r="AN39" i="5"/>
  <c r="HE39" i="5" s="1"/>
  <c r="AN55" i="5"/>
  <c r="HE55" i="5" s="1"/>
  <c r="J68" i="6"/>
  <c r="R68" i="6" s="1"/>
  <c r="W68" i="6" s="1"/>
  <c r="EV14" i="5"/>
  <c r="GA59" i="5"/>
  <c r="HP59" i="5" s="1"/>
  <c r="DG24" i="5"/>
  <c r="EL30" i="5"/>
  <c r="DU40" i="5" a="1"/>
  <c r="DU40" i="5" s="1"/>
  <c r="DU50" i="5"/>
  <c r="CN60" i="5"/>
  <c r="EG12" i="5"/>
  <c r="DY30" i="5"/>
  <c r="DW43" i="5"/>
  <c r="CA14" i="5"/>
  <c r="HH14" i="5" s="1"/>
  <c r="CA29" i="5"/>
  <c r="HH29" i="5" s="1"/>
  <c r="CA53" i="5"/>
  <c r="HH53" i="5" s="1"/>
  <c r="ET48" i="5"/>
  <c r="ET46" i="5" s="1"/>
  <c r="DC40" i="5" a="1"/>
  <c r="DC40" i="5" s="1"/>
  <c r="DT43" i="5"/>
  <c r="BN32" i="5"/>
  <c r="HG32" i="5" s="1"/>
  <c r="HG31" i="5" s="1"/>
  <c r="CP43" i="5"/>
  <c r="CP24" i="5"/>
  <c r="CP42" i="5"/>
  <c r="CP12" i="5"/>
  <c r="CP26" i="5" s="1"/>
  <c r="CP39" i="5"/>
  <c r="CP14" i="5"/>
  <c r="CP40" i="5" a="1"/>
  <c r="CP40" i="5" s="1"/>
  <c r="CP7" i="5"/>
  <c r="CP8" i="5" s="1"/>
  <c r="CP48" i="5"/>
  <c r="CP30" i="5"/>
  <c r="D67" i="6"/>
  <c r="O67" i="6" s="1"/>
  <c r="H67" i="6"/>
  <c r="Q67" i="6" s="1"/>
  <c r="DP43" i="5"/>
  <c r="AN8" i="5"/>
  <c r="HE8" i="5" s="1"/>
  <c r="AN18" i="5"/>
  <c r="HE18" i="5" s="1"/>
  <c r="AN33" i="5"/>
  <c r="HE33" i="5" s="1"/>
  <c r="AN44" i="5"/>
  <c r="HE44" i="5" s="1"/>
  <c r="DY14" i="5"/>
  <c r="DW30" i="5"/>
  <c r="CA35" i="5"/>
  <c r="HH35" i="5" s="1"/>
  <c r="CA44" i="5"/>
  <c r="HH44" i="5" s="1"/>
  <c r="EE48" i="5"/>
  <c r="EE46" i="5" s="1"/>
  <c r="EI50" i="5"/>
  <c r="BN22" i="5"/>
  <c r="HG22" i="5" s="1"/>
  <c r="AA10" i="5"/>
  <c r="HD10" i="5" s="1"/>
  <c r="DD12" i="5"/>
  <c r="DD40" i="5" a="1"/>
  <c r="DD40" i="5" s="1"/>
  <c r="D29" i="4"/>
  <c r="F29" i="4" s="1"/>
  <c r="D31" i="4"/>
  <c r="F31" i="4" s="1"/>
  <c r="AN7" i="5"/>
  <c r="HE7" i="5" s="1"/>
  <c r="AN22" i="5"/>
  <c r="HE22" i="5" s="1"/>
  <c r="DU42" i="5"/>
  <c r="B72" i="6"/>
  <c r="CN24" i="5"/>
  <c r="HI24" i="5" s="1"/>
  <c r="F72" i="6"/>
  <c r="EG24" i="5"/>
  <c r="EG42" i="5"/>
  <c r="EG50" i="5"/>
  <c r="CA12" i="5"/>
  <c r="HH12" i="5" s="1"/>
  <c r="CA23" i="5"/>
  <c r="HH23" i="5" s="1"/>
  <c r="CA38" i="5"/>
  <c r="HH38" i="5" s="1"/>
  <c r="CA55" i="5"/>
  <c r="HH55" i="5" s="1"/>
  <c r="J71" i="6"/>
  <c r="R71" i="6" s="1"/>
  <c r="W71" i="6" s="1"/>
  <c r="ET39" i="5"/>
  <c r="D32" i="4"/>
  <c r="DT42" i="5"/>
  <c r="DJ42" i="5"/>
  <c r="FA60" i="5"/>
  <c r="DD7" i="5"/>
  <c r="DD8" i="5" s="1"/>
  <c r="AN48" i="5"/>
  <c r="HE48" i="5" s="1"/>
  <c r="DG43" i="5"/>
  <c r="CA42" i="5"/>
  <c r="HH42" i="5" s="1"/>
  <c r="EE30" i="5"/>
  <c r="EE7" i="5"/>
  <c r="EE8" i="5" s="1"/>
  <c r="DC30" i="5"/>
  <c r="AA35" i="5"/>
  <c r="HD35" i="5" s="1"/>
  <c r="AA51" i="5"/>
  <c r="HD51" i="5" s="1"/>
  <c r="DP30" i="5"/>
  <c r="AN14" i="5"/>
  <c r="HE14" i="5" s="1"/>
  <c r="AN26" i="5"/>
  <c r="HE26" i="5" s="1"/>
  <c r="AN59" i="5"/>
  <c r="HE59" i="5" s="1"/>
  <c r="CA46" i="5"/>
  <c r="HH46" i="5" s="1"/>
  <c r="EE14" i="5"/>
  <c r="DC7" i="5"/>
  <c r="DC8" i="5" s="1"/>
  <c r="DC43" i="5"/>
  <c r="BN50" i="5"/>
  <c r="HG50" i="5" s="1"/>
  <c r="CP50" i="5"/>
  <c r="DL7" i="5"/>
  <c r="DL8" i="5" s="1"/>
  <c r="DJ7" i="5"/>
  <c r="DJ8" i="5" s="1"/>
  <c r="DJ39" i="5"/>
  <c r="DJ50" i="5"/>
  <c r="BN12" i="5"/>
  <c r="HG12" i="5" s="1"/>
  <c r="BN23" i="5"/>
  <c r="HG23" i="5" s="1"/>
  <c r="BN51" i="5"/>
  <c r="HG51" i="5" s="1"/>
  <c r="BN53" i="5"/>
  <c r="HG53" i="5" s="1"/>
  <c r="AA8" i="5"/>
  <c r="HD8" i="5" s="1"/>
  <c r="AA38" i="5"/>
  <c r="HD38" i="5" s="1"/>
  <c r="DV39" i="5"/>
  <c r="BN19" i="5"/>
  <c r="HG19" i="5" s="1"/>
  <c r="D70" i="6"/>
  <c r="O70" i="6" s="1"/>
  <c r="BN42" i="5"/>
  <c r="HG42" i="5" s="1"/>
  <c r="BN58" i="5"/>
  <c r="HG58" i="5" s="1"/>
  <c r="CY10" i="5" a="1"/>
  <c r="CY10" i="5" s="1"/>
  <c r="CJ14" i="5"/>
  <c r="AA23" i="5"/>
  <c r="HD23" i="5" s="1"/>
  <c r="AA39" i="5"/>
  <c r="HD39" i="5" s="1"/>
  <c r="DJ48" i="5"/>
  <c r="BN29" i="5"/>
  <c r="HG29" i="5" s="1"/>
  <c r="BN39" i="5"/>
  <c r="HG39" i="5" s="1"/>
  <c r="BN46" i="5"/>
  <c r="HG46" i="5" s="1"/>
  <c r="AA12" i="5"/>
  <c r="HD12" i="5" s="1"/>
  <c r="AA24" i="5"/>
  <c r="HD24" i="5" s="1"/>
  <c r="AA28" i="5"/>
  <c r="HD28" i="5" s="1"/>
  <c r="DL42" i="5"/>
  <c r="C49" i="4"/>
  <c r="EZ10" i="5" a="1"/>
  <c r="EZ10" i="5" s="1"/>
  <c r="BN44" i="5"/>
  <c r="HG44" i="5" s="1"/>
  <c r="CT10" i="5" a="1"/>
  <c r="CT10" i="5" s="1"/>
  <c r="DA10" i="5" s="1"/>
  <c r="HJ10" i="5" s="1"/>
  <c r="CJ40" i="5" a="1"/>
  <c r="CJ40" i="5" s="1"/>
  <c r="CJ50" i="5"/>
  <c r="CN50" i="5" s="1"/>
  <c r="HI50" i="5" s="1"/>
  <c r="AA60" i="5"/>
  <c r="HD60" i="5" s="1"/>
  <c r="DV12" i="5"/>
  <c r="DV48" i="5"/>
  <c r="DV46" i="5" s="1"/>
  <c r="DJ43" i="5"/>
  <c r="BN7" i="5"/>
  <c r="HG7" i="5" s="1"/>
  <c r="B70" i="6"/>
  <c r="N70" i="6" s="1"/>
  <c r="BN18" i="5"/>
  <c r="HG18" i="5" s="1"/>
  <c r="BN26" i="5"/>
  <c r="HG26" i="5" s="1"/>
  <c r="BN43" i="5"/>
  <c r="HG43" i="5" s="1"/>
  <c r="DX10" i="5" a="1"/>
  <c r="DX10" i="5" s="1"/>
  <c r="CJ7" i="5"/>
  <c r="CN7" i="5" s="1"/>
  <c r="HI7" i="5" s="1"/>
  <c r="CJ30" i="5"/>
  <c r="AA18" i="5"/>
  <c r="HD18" i="5" s="1"/>
  <c r="AA33" i="5"/>
  <c r="HD33" i="5" s="1"/>
  <c r="AA58" i="5"/>
  <c r="HD58" i="5" s="1"/>
  <c r="F67" i="6"/>
  <c r="P67" i="6" s="1"/>
  <c r="T67" i="6" s="1"/>
  <c r="BN28" i="5"/>
  <c r="HG28" i="5" s="1"/>
  <c r="F70" i="6"/>
  <c r="P70" i="6" s="1"/>
  <c r="T70" i="6" s="1"/>
  <c r="BN60" i="5"/>
  <c r="HG60" i="5" s="1"/>
  <c r="DE10" i="5" a="1"/>
  <c r="DE10" i="5" s="1"/>
  <c r="DN10" i="5" s="1"/>
  <c r="HK10" i="5" s="1"/>
  <c r="CJ12" i="5"/>
  <c r="CJ26" i="5" s="1"/>
  <c r="CJ24" i="5"/>
  <c r="CJ48" i="5"/>
  <c r="CJ46" i="5" s="1"/>
  <c r="AA19" i="5"/>
  <c r="HD19" i="5" s="1"/>
  <c r="AA30" i="5"/>
  <c r="HD30" i="5" s="1"/>
  <c r="AA46" i="5"/>
  <c r="HD46" i="5" s="1"/>
  <c r="AA55" i="5"/>
  <c r="HD55" i="5" s="1"/>
  <c r="DV7" i="5"/>
  <c r="DV8" i="5" s="1"/>
  <c r="DV30" i="5"/>
  <c r="DL39" i="5"/>
  <c r="BN30" i="5"/>
  <c r="BN59" i="5"/>
  <c r="HG59" i="5" s="1"/>
  <c r="EX10" i="5" a="1"/>
  <c r="EX10" i="5" s="1"/>
  <c r="FA10" i="5" s="1"/>
  <c r="HN10" i="5" s="1"/>
  <c r="DR10" i="5" a="1"/>
  <c r="DR10" i="5" s="1"/>
  <c r="DM10" i="5" a="1"/>
  <c r="DM10" i="5" s="1"/>
  <c r="AA26" i="5"/>
  <c r="HD26" i="5" s="1"/>
  <c r="AA40" i="5"/>
  <c r="HD40" i="5" s="1"/>
  <c r="AA53" i="5"/>
  <c r="HD53" i="5" s="1"/>
  <c r="DV40" i="5" a="1"/>
  <c r="DV40" i="5" s="1"/>
  <c r="DL24" i="5"/>
  <c r="DL48" i="5"/>
  <c r="DJ24" i="5"/>
  <c r="DJ40" i="5" a="1"/>
  <c r="DJ40" i="5" s="1"/>
  <c r="CU10" i="5" a="1"/>
  <c r="CU10" i="5" s="1"/>
  <c r="BN14" i="5"/>
  <c r="HG14" i="5" s="1"/>
  <c r="AA7" i="5"/>
  <c r="HD7" i="5" s="1"/>
  <c r="B67" i="6"/>
  <c r="N67" i="6" s="1"/>
  <c r="AA50" i="5"/>
  <c r="HD50" i="5" s="1"/>
  <c r="AA44" i="5"/>
  <c r="HD44" i="5" s="1"/>
  <c r="CA59" i="5"/>
  <c r="HH59" i="5" s="1"/>
  <c r="DL43" i="5"/>
  <c r="DJ30" i="5"/>
  <c r="EC10" i="5" a="1"/>
  <c r="EC10" i="5" s="1"/>
  <c r="BN35" i="5"/>
  <c r="HG35" i="5" s="1"/>
  <c r="BN33" i="5"/>
  <c r="HG33" i="5" s="1"/>
  <c r="BN48" i="5"/>
  <c r="HG48" i="5" s="1"/>
  <c r="AA14" i="5"/>
  <c r="HD14" i="5" s="1"/>
  <c r="AA32" i="5"/>
  <c r="HD32" i="5" s="1"/>
  <c r="BN8" i="5"/>
  <c r="HG8" i="5" s="1"/>
  <c r="BN40" i="5"/>
  <c r="HG40" i="5" s="1"/>
  <c r="H70" i="6"/>
  <c r="Q70" i="6" s="1"/>
  <c r="AA22" i="5"/>
  <c r="HD22" i="5" s="1"/>
  <c r="AA29" i="5"/>
  <c r="HD29" i="5" s="1"/>
  <c r="AA48" i="5"/>
  <c r="HD48" i="5" s="1"/>
  <c r="EY29" i="5" l="1"/>
  <c r="DY29" i="5"/>
  <c r="EM29" i="5"/>
  <c r="DH29" i="5"/>
  <c r="EL29" i="5"/>
  <c r="EP29" i="5"/>
  <c r="EH29" i="5"/>
  <c r="DG29" i="5"/>
  <c r="DL29" i="5"/>
  <c r="EI29" i="5"/>
  <c r="EE29" i="5"/>
  <c r="CK29" i="5"/>
  <c r="DO29" i="5"/>
  <c r="EB29" i="5"/>
  <c r="DD29" i="5"/>
  <c r="ET29" i="5"/>
  <c r="EQ29" i="5"/>
  <c r="ED29" i="5"/>
  <c r="EV29" i="5"/>
  <c r="EG29" i="5"/>
  <c r="ES29" i="5"/>
  <c r="DI29" i="5"/>
  <c r="CL29" i="5"/>
  <c r="CZ29" i="5"/>
  <c r="DQ29" i="5"/>
  <c r="CS29" i="5"/>
  <c r="CX29" i="5"/>
  <c r="DJ29" i="5"/>
  <c r="CR29" i="5"/>
  <c r="DB29" i="5"/>
  <c r="DW29" i="5"/>
  <c r="CO29" i="5"/>
  <c r="CP29" i="5"/>
  <c r="EJ29" i="5"/>
  <c r="EW29" i="5"/>
  <c r="CQ29" i="5"/>
  <c r="DC29" i="5"/>
  <c r="CJ29" i="5"/>
  <c r="DK29" i="5"/>
  <c r="DZ29" i="5"/>
  <c r="DT29" i="5"/>
  <c r="DP29" i="5"/>
  <c r="EO29" i="5"/>
  <c r="DV29" i="5"/>
  <c r="CW29" i="5"/>
  <c r="CV29" i="5"/>
  <c r="EK29" i="5"/>
  <c r="DF29" i="5"/>
  <c r="EU29" i="5"/>
  <c r="ER29" i="5"/>
  <c r="DS29" i="5"/>
  <c r="CM29" i="5"/>
  <c r="EF29" i="5"/>
  <c r="DU29" i="5"/>
  <c r="EZ42" i="5"/>
  <c r="EZ40" i="5" a="1"/>
  <c r="EZ40" i="5" s="1"/>
  <c r="EZ48" i="5"/>
  <c r="EZ46" i="5" s="1"/>
  <c r="EZ24" i="5"/>
  <c r="EZ23" i="5" s="1"/>
  <c r="EZ29" i="5"/>
  <c r="EZ14" i="5"/>
  <c r="EZ30" i="5"/>
  <c r="EZ12" i="5"/>
  <c r="EZ26" i="5" s="1"/>
  <c r="EZ39" i="5"/>
  <c r="EZ50" i="5"/>
  <c r="EZ7" i="5"/>
  <c r="EZ8" i="5" s="1"/>
  <c r="EZ43" i="5"/>
  <c r="CP23" i="5"/>
  <c r="EG26" i="5"/>
  <c r="EG14" i="5"/>
  <c r="DB26" i="5"/>
  <c r="DB14" i="5"/>
  <c r="EP42" i="5"/>
  <c r="EY42" i="5"/>
  <c r="DP42" i="5"/>
  <c r="DV42" i="5"/>
  <c r="DH42" i="5"/>
  <c r="EM42" i="5"/>
  <c r="EL42" i="5"/>
  <c r="EH42" i="5"/>
  <c r="ES42" i="5"/>
  <c r="FA42" i="5" s="1"/>
  <c r="HN42" i="5" s="1"/>
  <c r="DI42" i="5"/>
  <c r="EV42" i="5"/>
  <c r="DW42" i="5"/>
  <c r="DB42" i="5"/>
  <c r="DS42" i="5"/>
  <c r="EQ42" i="5"/>
  <c r="CQ42" i="5"/>
  <c r="CX42" i="5"/>
  <c r="DG42" i="5"/>
  <c r="ED42" i="5"/>
  <c r="CZ42" i="5"/>
  <c r="CJ42" i="5"/>
  <c r="CN42" i="5" s="1"/>
  <c r="HI42" i="5" s="1"/>
  <c r="CK42" i="5"/>
  <c r="CV42" i="5"/>
  <c r="DO42" i="5"/>
  <c r="CV14" i="5"/>
  <c r="EJ42" i="5"/>
  <c r="CW40" i="5" a="1"/>
  <c r="CW40" i="5" s="1"/>
  <c r="CR40" i="5" a="1"/>
  <c r="CR40" i="5" s="1"/>
  <c r="CR38" i="5" s="1"/>
  <c r="CR42" i="5"/>
  <c r="EI46" i="5"/>
  <c r="ET30" i="5"/>
  <c r="CL30" i="5"/>
  <c r="EH30" i="5"/>
  <c r="EI30" i="5"/>
  <c r="EY30" i="5"/>
  <c r="DS30" i="5"/>
  <c r="ED30" i="5"/>
  <c r="EQ30" i="5"/>
  <c r="CW30" i="5"/>
  <c r="DO30" i="5"/>
  <c r="CZ30" i="5"/>
  <c r="EP30" i="5"/>
  <c r="DU30" i="5"/>
  <c r="CX30" i="5"/>
  <c r="EF30" i="5"/>
  <c r="EB30" i="5"/>
  <c r="EN30" i="5" s="1"/>
  <c r="HM30" i="5" s="1"/>
  <c r="DI30" i="5"/>
  <c r="EU30" i="5"/>
  <c r="ES30" i="5"/>
  <c r="CV30" i="5"/>
  <c r="EM30" i="5"/>
  <c r="CK30" i="5"/>
  <c r="CN30" i="5" s="1"/>
  <c r="HI30" i="5" s="1"/>
  <c r="DQ30" i="5"/>
  <c r="DS38" i="5"/>
  <c r="EG38" i="5"/>
  <c r="EU42" i="5"/>
  <c r="CX23" i="5"/>
  <c r="EW40" i="5" a="1"/>
  <c r="EW40" i="5" s="1"/>
  <c r="EW38" i="5" s="1"/>
  <c r="EU23" i="5"/>
  <c r="EE23" i="5"/>
  <c r="U67" i="6"/>
  <c r="V67" i="6"/>
  <c r="HI60" i="5"/>
  <c r="F43" i="4"/>
  <c r="F50" i="4"/>
  <c r="HP60" i="5"/>
  <c r="CN48" i="5"/>
  <c r="HI48" i="5" s="1"/>
  <c r="CZ14" i="5"/>
  <c r="CZ26" i="5"/>
  <c r="EH40" i="5" a="1"/>
  <c r="EH40" i="5" s="1"/>
  <c r="ED40" i="5" a="1"/>
  <c r="ED40" i="5" s="1"/>
  <c r="EB40" i="5" a="1"/>
  <c r="EB40" i="5" s="1"/>
  <c r="EM40" i="5" a="1"/>
  <c r="EM40" i="5" s="1"/>
  <c r="EL40" i="5" a="1"/>
  <c r="EL40" i="5" s="1"/>
  <c r="EL38" i="5" s="1"/>
  <c r="EN7" i="5"/>
  <c r="HM7" i="5" s="1"/>
  <c r="C76" i="6"/>
  <c r="N76" i="6" s="1"/>
  <c r="EB8" i="5"/>
  <c r="EN8" i="5" s="1"/>
  <c r="HM8" i="5" s="1"/>
  <c r="F49" i="4"/>
  <c r="HO60" i="5"/>
  <c r="CW18" i="5"/>
  <c r="CW19" i="5"/>
  <c r="EP14" i="5"/>
  <c r="EP26" i="5"/>
  <c r="DW46" i="5"/>
  <c r="DG26" i="5"/>
  <c r="DG23" i="5" s="1"/>
  <c r="EU14" i="5"/>
  <c r="CQ38" i="5"/>
  <c r="EE38" i="5"/>
  <c r="DQ23" i="5"/>
  <c r="DD26" i="5"/>
  <c r="DD14" i="5"/>
  <c r="CY43" i="5"/>
  <c r="CY42" i="5"/>
  <c r="CY24" i="5"/>
  <c r="CY40" i="5" a="1"/>
  <c r="CY40" i="5" s="1"/>
  <c r="CY12" i="5"/>
  <c r="CY26" i="5" s="1"/>
  <c r="CY50" i="5"/>
  <c r="CY29" i="5"/>
  <c r="CY7" i="5"/>
  <c r="CY8" i="5" s="1"/>
  <c r="CY30" i="5"/>
  <c r="CY48" i="5"/>
  <c r="CY39" i="5"/>
  <c r="S67" i="6"/>
  <c r="DZ38" i="5"/>
  <c r="CK14" i="5"/>
  <c r="CK26" i="5"/>
  <c r="CK23" i="5" s="1"/>
  <c r="F51" i="4"/>
  <c r="HQ60" i="5"/>
  <c r="DL26" i="5"/>
  <c r="DL23" i="5" s="1"/>
  <c r="DL14" i="5"/>
  <c r="ED38" i="5"/>
  <c r="CM38" i="5"/>
  <c r="DG38" i="5"/>
  <c r="EP23" i="5"/>
  <c r="DJ38" i="5"/>
  <c r="DT18" i="5"/>
  <c r="DT19" i="5"/>
  <c r="CN12" i="5"/>
  <c r="HI12" i="5" s="1"/>
  <c r="CO18" i="5"/>
  <c r="EK38" i="5"/>
  <c r="U68" i="6"/>
  <c r="V68" i="6"/>
  <c r="DJ26" i="5"/>
  <c r="DJ23" i="5" s="1"/>
  <c r="DJ14" i="5"/>
  <c r="CL40" i="5" a="1"/>
  <c r="CL40" i="5" s="1"/>
  <c r="CK40" i="5" a="1"/>
  <c r="CK40" i="5" s="1"/>
  <c r="CK38" i="5" s="1"/>
  <c r="EN39" i="5"/>
  <c r="HM39" i="5" s="1"/>
  <c r="EB38" i="5"/>
  <c r="EW14" i="5"/>
  <c r="EG46" i="5"/>
  <c r="CM40" i="5" a="1"/>
  <c r="CM40" i="5" s="1"/>
  <c r="EO26" i="5"/>
  <c r="EO23" i="5" s="1"/>
  <c r="CX14" i="5"/>
  <c r="DN7" i="5"/>
  <c r="HK7" i="5" s="1"/>
  <c r="C74" i="6"/>
  <c r="N74" i="6" s="1"/>
  <c r="DB8" i="5"/>
  <c r="EC43" i="5"/>
  <c r="EN43" i="5" s="1"/>
  <c r="HM43" i="5" s="1"/>
  <c r="EC30" i="5"/>
  <c r="EC48" i="5"/>
  <c r="EC7" i="5"/>
  <c r="EC8" i="5" s="1"/>
  <c r="EC50" i="5"/>
  <c r="EN50" i="5" s="1"/>
  <c r="HM50" i="5" s="1"/>
  <c r="EC29" i="5"/>
  <c r="EC40" i="5" a="1"/>
  <c r="EC40" i="5" s="1"/>
  <c r="EC24" i="5"/>
  <c r="EC12" i="5"/>
  <c r="EC26" i="5" s="1"/>
  <c r="EC42" i="5"/>
  <c r="EN42" i="5" s="1"/>
  <c r="HM42" i="5" s="1"/>
  <c r="EC39" i="5"/>
  <c r="DL46" i="5"/>
  <c r="EG40" i="5" a="1"/>
  <c r="EG40" i="5" s="1"/>
  <c r="CP46" i="5"/>
  <c r="DD23" i="5"/>
  <c r="DC38" i="5"/>
  <c r="EI40" i="5" a="1"/>
  <c r="EI40" i="5" s="1"/>
  <c r="HC31" i="5"/>
  <c r="EQ14" i="5"/>
  <c r="EQ26" i="5"/>
  <c r="HF31" i="5"/>
  <c r="DU46" i="5"/>
  <c r="DZ40" i="5" a="1"/>
  <c r="DZ40" i="5" s="1"/>
  <c r="DO40" i="5" a="1"/>
  <c r="DO40" i="5" s="1"/>
  <c r="DW40" i="5" a="1"/>
  <c r="DW40" i="5" s="1"/>
  <c r="DS40" i="5" a="1"/>
  <c r="DS40" i="5" s="1"/>
  <c r="V69" i="6"/>
  <c r="U69" i="6"/>
  <c r="EW23" i="5"/>
  <c r="ED14" i="5"/>
  <c r="ED26" i="5"/>
  <c r="ED23" i="5" s="1"/>
  <c r="EJ26" i="5"/>
  <c r="EJ23" i="5" s="1"/>
  <c r="DP26" i="5"/>
  <c r="DP14" i="5"/>
  <c r="CZ38" i="5"/>
  <c r="ES19" i="5"/>
  <c r="ES18" i="5"/>
  <c r="CS38" i="5"/>
  <c r="DU38" i="5"/>
  <c r="DZ23" i="5"/>
  <c r="CO46" i="5"/>
  <c r="DQ26" i="5"/>
  <c r="DQ14" i="5"/>
  <c r="DY18" i="5"/>
  <c r="DY19" i="5" s="1"/>
  <c r="U70" i="6"/>
  <c r="V70" i="6"/>
  <c r="S70" i="6"/>
  <c r="DZ14" i="5"/>
  <c r="DC26" i="5"/>
  <c r="DC23" i="5" s="1"/>
  <c r="DC14" i="5"/>
  <c r="ET23" i="5"/>
  <c r="CS14" i="5"/>
  <c r="DK14" i="5"/>
  <c r="DK26" i="5"/>
  <c r="DK23" i="5" s="1"/>
  <c r="DH14" i="5"/>
  <c r="DH26" i="5"/>
  <c r="DH23" i="5" s="1"/>
  <c r="EO14" i="5"/>
  <c r="DA12" i="5"/>
  <c r="HJ12" i="5" s="1"/>
  <c r="CO26" i="5"/>
  <c r="EJ40" i="5" a="1"/>
  <c r="EJ40" i="5" s="1"/>
  <c r="EF42" i="5"/>
  <c r="CO8" i="5"/>
  <c r="EN10" i="5"/>
  <c r="HM10" i="5" s="1"/>
  <c r="V66" i="6"/>
  <c r="U66" i="6"/>
  <c r="ES26" i="5"/>
  <c r="ES23" i="5" s="1"/>
  <c r="EY38" i="5"/>
  <c r="CL38" i="5"/>
  <c r="CW42" i="5"/>
  <c r="EG23" i="5"/>
  <c r="DU14" i="5"/>
  <c r="DU26" i="5"/>
  <c r="DU23" i="5" s="1"/>
  <c r="C75" i="6"/>
  <c r="N75" i="6" s="1"/>
  <c r="DO8" i="5"/>
  <c r="EY26" i="5"/>
  <c r="EY14" i="5"/>
  <c r="CQ19" i="5"/>
  <c r="CQ18" i="5"/>
  <c r="DV14" i="5"/>
  <c r="DV26" i="5"/>
  <c r="ET14" i="5"/>
  <c r="EE40" i="5" a="1"/>
  <c r="EE40" i="5" s="1"/>
  <c r="DF14" i="5"/>
  <c r="EI26" i="5"/>
  <c r="EI23" i="5" s="1"/>
  <c r="EI14" i="5"/>
  <c r="DW14" i="5"/>
  <c r="DW26" i="5"/>
  <c r="DW23" i="5" s="1"/>
  <c r="F46" i="4"/>
  <c r="HL60" i="5"/>
  <c r="ER26" i="5"/>
  <c r="ER14" i="5"/>
  <c r="CO42" i="5"/>
  <c r="CM46" i="5"/>
  <c r="CN46" i="5" s="1"/>
  <c r="HI46" i="5" s="1"/>
  <c r="FA43" i="5"/>
  <c r="HN43" i="5" s="1"/>
  <c r="EF23" i="5"/>
  <c r="DQ38" i="5"/>
  <c r="DY38" i="5"/>
  <c r="CQ23" i="5"/>
  <c r="CJ18" i="5"/>
  <c r="CJ19" i="5"/>
  <c r="DV38" i="5"/>
  <c r="CP18" i="5"/>
  <c r="CP19" i="5" s="1"/>
  <c r="DT38" i="5"/>
  <c r="CL14" i="5"/>
  <c r="CL26" i="5"/>
  <c r="DG40" i="5" a="1"/>
  <c r="DG40" i="5" s="1"/>
  <c r="DL40" i="5" a="1"/>
  <c r="DL40" i="5" s="1"/>
  <c r="DL38" i="5" s="1"/>
  <c r="DI40" i="5" a="1"/>
  <c r="DI40" i="5" s="1"/>
  <c r="DI38" i="5" s="1"/>
  <c r="DH40" i="5" a="1"/>
  <c r="DH40" i="5" s="1"/>
  <c r="DH38" i="5" s="1"/>
  <c r="DF40" i="5" a="1"/>
  <c r="DF40" i="5" s="1"/>
  <c r="DF38" i="5" s="1"/>
  <c r="DK40" i="5" a="1"/>
  <c r="DK40" i="5" s="1"/>
  <c r="DK38" i="5" s="1"/>
  <c r="CO40" i="5" a="1"/>
  <c r="CO40" i="5" s="1"/>
  <c r="EJ38" i="5"/>
  <c r="CM19" i="5"/>
  <c r="CM18" i="5"/>
  <c r="EO8" i="5"/>
  <c r="C77" i="6"/>
  <c r="N77" i="6" s="1"/>
  <c r="EM38" i="5"/>
  <c r="EY23" i="5"/>
  <c r="DV23" i="5"/>
  <c r="DE42" i="5"/>
  <c r="DE12" i="5"/>
  <c r="DE26" i="5" s="1"/>
  <c r="DE39" i="5"/>
  <c r="DE24" i="5"/>
  <c r="DE23" i="5" s="1"/>
  <c r="DE40" i="5" a="1"/>
  <c r="DE40" i="5" s="1"/>
  <c r="DE43" i="5"/>
  <c r="DE7" i="5"/>
  <c r="DE8" i="5" s="1"/>
  <c r="DE48" i="5"/>
  <c r="DE46" i="5" s="1"/>
  <c r="DN46" i="5" s="1"/>
  <c r="HK46" i="5" s="1"/>
  <c r="DE29" i="5"/>
  <c r="DE50" i="5"/>
  <c r="DE30" i="5"/>
  <c r="DN30" i="5" s="1"/>
  <c r="HK30" i="5" s="1"/>
  <c r="DP23" i="5"/>
  <c r="HD31" i="5"/>
  <c r="DM39" i="5"/>
  <c r="DM12" i="5"/>
  <c r="DM26" i="5" s="1"/>
  <c r="DM29" i="5"/>
  <c r="DM7" i="5"/>
  <c r="DM8" i="5" s="1"/>
  <c r="DM50" i="5"/>
  <c r="DM30" i="5"/>
  <c r="DM43" i="5"/>
  <c r="DM24" i="5"/>
  <c r="DM23" i="5" s="1"/>
  <c r="DM42" i="5"/>
  <c r="DM48" i="5"/>
  <c r="DM46" i="5" s="1"/>
  <c r="DM40" i="5" a="1"/>
  <c r="DM40" i="5" s="1"/>
  <c r="CJ8" i="5"/>
  <c r="CN8" i="5" s="1"/>
  <c r="HI8" i="5" s="1"/>
  <c r="C72" i="6"/>
  <c r="N72" i="6" s="1"/>
  <c r="DT46" i="5"/>
  <c r="CL23" i="5"/>
  <c r="DP38" i="5"/>
  <c r="CS23" i="5"/>
  <c r="EL14" i="5"/>
  <c r="EL26" i="5"/>
  <c r="EL23" i="5" s="1"/>
  <c r="EP40" i="5" a="1"/>
  <c r="EP40" i="5" s="1"/>
  <c r="EP38" i="5" s="1"/>
  <c r="ES40" i="5" a="1"/>
  <c r="ES40" i="5" s="1"/>
  <c r="ES38" i="5" s="1"/>
  <c r="EU40" i="5" a="1"/>
  <c r="EU40" i="5" s="1"/>
  <c r="EU38" i="5" s="1"/>
  <c r="EV40" i="5" a="1"/>
  <c r="EV40" i="5" s="1"/>
  <c r="EV38" i="5" s="1"/>
  <c r="ER40" i="5" a="1"/>
  <c r="ER40" i="5" s="1"/>
  <c r="ER38" i="5" s="1"/>
  <c r="EO40" i="5" a="1"/>
  <c r="EO40" i="5" s="1"/>
  <c r="EO38" i="5" s="1"/>
  <c r="EQ40" i="5" a="1"/>
  <c r="EQ40" i="5" s="1"/>
  <c r="EQ38" i="5" s="1"/>
  <c r="HJ60" i="5"/>
  <c r="F44" i="4"/>
  <c r="CV23" i="5"/>
  <c r="CO23" i="5"/>
  <c r="EJ46" i="5"/>
  <c r="EY46" i="5"/>
  <c r="HK60" i="5"/>
  <c r="F45" i="4"/>
  <c r="EM26" i="5"/>
  <c r="EM14" i="5"/>
  <c r="CX40" i="5" a="1"/>
  <c r="CX40" i="5" s="1"/>
  <c r="CW26" i="5"/>
  <c r="CW23" i="5" s="1"/>
  <c r="EJ14" i="5"/>
  <c r="V71" i="6"/>
  <c r="CV40" i="5" a="1"/>
  <c r="CV40" i="5" s="1"/>
  <c r="CV38" i="5" s="1"/>
  <c r="EH38" i="5"/>
  <c r="EN24" i="5"/>
  <c r="HM24" i="5" s="1"/>
  <c r="EB23" i="5"/>
  <c r="EQ23" i="5"/>
  <c r="DR40" i="5" a="1"/>
  <c r="DR40" i="5" s="1"/>
  <c r="DR12" i="5"/>
  <c r="DR26" i="5" s="1"/>
  <c r="DR50" i="5"/>
  <c r="EA50" i="5" s="1"/>
  <c r="HL50" i="5" s="1"/>
  <c r="DR30" i="5"/>
  <c r="DR24" i="5"/>
  <c r="DR23" i="5" s="1"/>
  <c r="DR7" i="5"/>
  <c r="DR8" i="5" s="1"/>
  <c r="DR42" i="5"/>
  <c r="DR29" i="5"/>
  <c r="DR39" i="5"/>
  <c r="DR43" i="5"/>
  <c r="EA43" i="5" s="1"/>
  <c r="HL43" i="5" s="1"/>
  <c r="DR14" i="5"/>
  <c r="DR48" i="5"/>
  <c r="DR46" i="5" s="1"/>
  <c r="CJ23" i="5"/>
  <c r="DX42" i="5"/>
  <c r="DX40" i="5" a="1"/>
  <c r="DX40" i="5" s="1"/>
  <c r="DX39" i="5"/>
  <c r="DX12" i="5"/>
  <c r="DX26" i="5" s="1"/>
  <c r="DX29" i="5"/>
  <c r="DX7" i="5"/>
  <c r="DX8" i="5" s="1"/>
  <c r="DX50" i="5"/>
  <c r="DX43" i="5"/>
  <c r="DX24" i="5"/>
  <c r="DX23" i="5" s="1"/>
  <c r="DX48" i="5"/>
  <c r="DX30" i="5"/>
  <c r="DX14" i="5"/>
  <c r="DJ46" i="5"/>
  <c r="CP38" i="5"/>
  <c r="EV18" i="5"/>
  <c r="EV19" i="5" s="1"/>
  <c r="DW38" i="5"/>
  <c r="DF23" i="5"/>
  <c r="EO46" i="5"/>
  <c r="EK23" i="5"/>
  <c r="EH14" i="5"/>
  <c r="EH26" i="5"/>
  <c r="EH23" i="5" s="1"/>
  <c r="CQ46" i="5"/>
  <c r="EW42" i="5"/>
  <c r="ET40" i="5" a="1"/>
  <c r="ET40" i="5" s="1"/>
  <c r="ET38" i="5" s="1"/>
  <c r="EP46" i="5"/>
  <c r="CM26" i="5"/>
  <c r="CM23" i="5" s="1"/>
  <c r="CZ40" i="5" a="1"/>
  <c r="CZ40" i="5" s="1"/>
  <c r="DN43" i="5"/>
  <c r="HK43" i="5" s="1"/>
  <c r="EA10" i="5"/>
  <c r="HL10" i="5" s="1"/>
  <c r="CX38" i="5"/>
  <c r="CZ23" i="5"/>
  <c r="ER23" i="5"/>
  <c r="EF26" i="5"/>
  <c r="C50" i="4"/>
  <c r="FE10" i="5" a="1"/>
  <c r="FE10" i="5" s="1"/>
  <c r="FF10" i="5" a="1"/>
  <c r="FF10" i="5" s="1"/>
  <c r="FG10" i="5" a="1"/>
  <c r="FG10" i="5" s="1"/>
  <c r="FK10" i="5" a="1"/>
  <c r="FK10" i="5" s="1"/>
  <c r="FD10" i="5" a="1"/>
  <c r="FD10" i="5" s="1"/>
  <c r="FJ10" i="5" a="1"/>
  <c r="FJ10" i="5" s="1"/>
  <c r="FC10" i="5" a="1"/>
  <c r="FC10" i="5" s="1"/>
  <c r="FM10" i="5" a="1"/>
  <c r="FM10" i="5" s="1"/>
  <c r="FH10" i="5" a="1"/>
  <c r="FH10" i="5" s="1"/>
  <c r="FL10" i="5" a="1"/>
  <c r="FL10" i="5" s="1"/>
  <c r="FI10" i="5" a="1"/>
  <c r="FI10" i="5" s="1"/>
  <c r="FB10" i="5" a="1"/>
  <c r="FB10" i="5" s="1"/>
  <c r="CU30" i="5"/>
  <c r="CU24" i="5"/>
  <c r="CU23" i="5" s="1"/>
  <c r="CU42" i="5"/>
  <c r="CU43" i="5"/>
  <c r="CU39" i="5"/>
  <c r="CU14" i="5"/>
  <c r="CU48" i="5"/>
  <c r="CU46" i="5" s="1"/>
  <c r="CU12" i="5"/>
  <c r="CU26" i="5" s="1"/>
  <c r="CU50" i="5"/>
  <c r="CU29" i="5"/>
  <c r="CU7" i="5"/>
  <c r="CU8" i="5" s="1"/>
  <c r="CU40" i="5" a="1"/>
  <c r="CU40" i="5" s="1"/>
  <c r="EX40" i="5" a="1"/>
  <c r="EX40" i="5" s="1"/>
  <c r="EX24" i="5"/>
  <c r="EX42" i="5"/>
  <c r="EX12" i="5"/>
  <c r="EX26" i="5" s="1"/>
  <c r="EX29" i="5"/>
  <c r="EX48" i="5"/>
  <c r="EX46" i="5" s="1"/>
  <c r="EX30" i="5"/>
  <c r="EX43" i="5"/>
  <c r="EX39" i="5"/>
  <c r="EX7" i="5"/>
  <c r="EX8" i="5" s="1"/>
  <c r="EX50" i="5"/>
  <c r="FA50" i="5" s="1"/>
  <c r="HN50" i="5" s="1"/>
  <c r="CT50" i="5"/>
  <c r="DA50" i="5" s="1"/>
  <c r="HJ50" i="5" s="1"/>
  <c r="CT7" i="5"/>
  <c r="CT8" i="5" s="1"/>
  <c r="CT40" i="5" a="1"/>
  <c r="CT40" i="5" s="1"/>
  <c r="CT30" i="5"/>
  <c r="DA30" i="5" s="1"/>
  <c r="HJ30" i="5" s="1"/>
  <c r="CT39" i="5"/>
  <c r="CT42" i="5"/>
  <c r="CT24" i="5"/>
  <c r="CT23" i="5" s="1"/>
  <c r="CT12" i="5"/>
  <c r="CT26" i="5" s="1"/>
  <c r="CT48" i="5"/>
  <c r="CT46" i="5" s="1"/>
  <c r="CT29" i="5"/>
  <c r="CT43" i="5"/>
  <c r="DA43" i="5" s="1"/>
  <c r="HJ43" i="5" s="1"/>
  <c r="EE18" i="5"/>
  <c r="EE19" i="5"/>
  <c r="F48" i="4"/>
  <c r="HN60" i="5"/>
  <c r="HH31" i="5"/>
  <c r="W67" i="6"/>
  <c r="DF46" i="5"/>
  <c r="DO14" i="5"/>
  <c r="DO26" i="5"/>
  <c r="DO23" i="5" s="1"/>
  <c r="EK40" i="5" a="1"/>
  <c r="EK40" i="5" s="1"/>
  <c r="DN50" i="5"/>
  <c r="HK50" i="5" s="1"/>
  <c r="DS26" i="5"/>
  <c r="DS23" i="5" s="1"/>
  <c r="DS14" i="5"/>
  <c r="T69" i="6"/>
  <c r="DA39" i="5"/>
  <c r="HJ39" i="5" s="1"/>
  <c r="CO38" i="5"/>
  <c r="DH46" i="5"/>
  <c r="CM42" i="5"/>
  <c r="EB14" i="5"/>
  <c r="EB26" i="5"/>
  <c r="DN39" i="5"/>
  <c r="HK39" i="5" s="1"/>
  <c r="DB40" i="5" a="1"/>
  <c r="DB40" i="5" s="1"/>
  <c r="EF40" i="5" a="1"/>
  <c r="EF40" i="5" s="1"/>
  <c r="EF38" i="5" s="1"/>
  <c r="EI38" i="5"/>
  <c r="EA39" i="5"/>
  <c r="HL39" i="5" s="1"/>
  <c r="DO38" i="5"/>
  <c r="EM23" i="5"/>
  <c r="DN24" i="5"/>
  <c r="HK24" i="5" s="1"/>
  <c r="DB23" i="5"/>
  <c r="EO30" i="5"/>
  <c r="FA23" i="5" l="1"/>
  <c r="HN23" i="5" s="1"/>
  <c r="EA23" i="5"/>
  <c r="HL23" i="5" s="1"/>
  <c r="FA38" i="5"/>
  <c r="HN38" i="5" s="1"/>
  <c r="DA40" i="5"/>
  <c r="I73" i="6"/>
  <c r="Q73" i="6" s="1"/>
  <c r="DW18" i="5"/>
  <c r="DW19" i="5" s="1"/>
  <c r="EY18" i="5"/>
  <c r="EY19" i="5"/>
  <c r="EO18" i="5"/>
  <c r="EW18" i="5"/>
  <c r="EW19" i="5" s="1"/>
  <c r="EA42" i="5"/>
  <c r="HL42" i="5" s="1"/>
  <c r="DN14" i="5"/>
  <c r="HK14" i="5" s="1"/>
  <c r="DB18" i="5"/>
  <c r="DB19" i="5"/>
  <c r="EZ19" i="5"/>
  <c r="EZ18" i="5"/>
  <c r="CV32" i="5"/>
  <c r="CV33" i="5"/>
  <c r="CV28" i="5"/>
  <c r="EJ33" i="5"/>
  <c r="EJ32" i="5"/>
  <c r="EJ28" i="5" s="1"/>
  <c r="EJ22" i="5" s="1"/>
  <c r="DI33" i="5"/>
  <c r="DI28" i="5" s="1"/>
  <c r="DI22" i="5" s="1"/>
  <c r="DI32" i="5"/>
  <c r="EI32" i="5"/>
  <c r="EI28" i="5" s="1"/>
  <c r="EI22" i="5" s="1"/>
  <c r="EI33" i="5"/>
  <c r="FA48" i="5"/>
  <c r="HN48" i="5" s="1"/>
  <c r="DR38" i="5"/>
  <c r="ED18" i="5"/>
  <c r="ED19" i="5" s="1"/>
  <c r="CT38" i="5"/>
  <c r="DA38" i="5" s="1"/>
  <c r="HJ38" i="5" s="1"/>
  <c r="EX14" i="5"/>
  <c r="CU38" i="5"/>
  <c r="FD30" i="5"/>
  <c r="FD48" i="5"/>
  <c r="FD46" i="5" s="1"/>
  <c r="FD29" i="5"/>
  <c r="FD12" i="5"/>
  <c r="FD26" i="5" s="1"/>
  <c r="FD24" i="5"/>
  <c r="FD7" i="5"/>
  <c r="FD8" i="5" s="1"/>
  <c r="FD50" i="5"/>
  <c r="FD39" i="5"/>
  <c r="FD40" i="5" a="1"/>
  <c r="FD40" i="5" s="1"/>
  <c r="FD42" i="5"/>
  <c r="FD43" i="5"/>
  <c r="FD14" i="5"/>
  <c r="DR33" i="5"/>
  <c r="DR32" i="5"/>
  <c r="DR28" i="5" s="1"/>
  <c r="DR22" i="5" s="1"/>
  <c r="DA24" i="5"/>
  <c r="HJ24" i="5" s="1"/>
  <c r="EI18" i="5"/>
  <c r="EI19" i="5" s="1"/>
  <c r="EC23" i="5"/>
  <c r="EC22" i="5" s="1"/>
  <c r="CJ38" i="5"/>
  <c r="CN38" i="5" s="1"/>
  <c r="HI38" i="5" s="1"/>
  <c r="CO19" i="5"/>
  <c r="CY14" i="5"/>
  <c r="DN26" i="5"/>
  <c r="HK26" i="5" s="1"/>
  <c r="EZ33" i="5"/>
  <c r="EZ32" i="5"/>
  <c r="EZ28" i="5" s="1"/>
  <c r="EZ22" i="5" s="1"/>
  <c r="CN26" i="5"/>
  <c r="HI26" i="5" s="1"/>
  <c r="CW32" i="5"/>
  <c r="CW28" i="5" s="1"/>
  <c r="CW22" i="5" s="1"/>
  <c r="CW33" i="5"/>
  <c r="CP32" i="5"/>
  <c r="CP28" i="5" s="1"/>
  <c r="CP22" i="5" s="1"/>
  <c r="CP33" i="5"/>
  <c r="ES28" i="5"/>
  <c r="ES22" i="5" s="1"/>
  <c r="ES33" i="5"/>
  <c r="ES32" i="5"/>
  <c r="DL32" i="5"/>
  <c r="DL28" i="5" s="1"/>
  <c r="DL22" i="5" s="1"/>
  <c r="DL33" i="5"/>
  <c r="EX33" i="5"/>
  <c r="EX32" i="5"/>
  <c r="EX28" i="5"/>
  <c r="CU18" i="5"/>
  <c r="CU19" i="5" s="1"/>
  <c r="FJ40" i="5" a="1"/>
  <c r="FJ40" i="5" s="1"/>
  <c r="FJ12" i="5"/>
  <c r="FJ26" i="5" s="1"/>
  <c r="FJ42" i="5"/>
  <c r="FJ14" i="5"/>
  <c r="FJ29" i="5"/>
  <c r="FJ50" i="5"/>
  <c r="FJ39" i="5"/>
  <c r="FJ7" i="5"/>
  <c r="FJ8" i="5" s="1"/>
  <c r="FJ48" i="5"/>
  <c r="FJ46" i="5" s="1"/>
  <c r="FJ43" i="5"/>
  <c r="FJ30" i="5"/>
  <c r="FJ24" i="5"/>
  <c r="FJ23" i="5" s="1"/>
  <c r="DS19" i="5"/>
  <c r="DS18" i="5"/>
  <c r="FK39" i="5"/>
  <c r="FK50" i="5"/>
  <c r="FK7" i="5"/>
  <c r="FK8" i="5" s="1"/>
  <c r="FK48" i="5"/>
  <c r="FK46" i="5" s="1"/>
  <c r="FK42" i="5"/>
  <c r="FK29" i="5"/>
  <c r="FK24" i="5"/>
  <c r="FK23" i="5" s="1"/>
  <c r="FK12" i="5"/>
  <c r="FK26" i="5" s="1"/>
  <c r="FK43" i="5"/>
  <c r="FK30" i="5"/>
  <c r="FK40" i="5" a="1"/>
  <c r="FK40" i="5" s="1"/>
  <c r="CV22" i="5"/>
  <c r="DE33" i="5"/>
  <c r="DE32" i="5"/>
  <c r="DE28" i="5" s="1"/>
  <c r="DE22" i="5" s="1"/>
  <c r="EA8" i="5"/>
  <c r="HL8" i="5" s="1"/>
  <c r="DH18" i="5"/>
  <c r="DH19" i="5" s="1"/>
  <c r="CK18" i="5"/>
  <c r="CK19" i="5" s="1"/>
  <c r="EU18" i="5"/>
  <c r="EU19" i="5"/>
  <c r="DN12" i="5"/>
  <c r="HK12" i="5" s="1"/>
  <c r="DV33" i="5"/>
  <c r="DV32" i="5"/>
  <c r="DV28" i="5" s="1"/>
  <c r="DV22" i="5" s="1"/>
  <c r="DA29" i="5"/>
  <c r="HJ29" i="5" s="1"/>
  <c r="CO33" i="5"/>
  <c r="CO32" i="5"/>
  <c r="EG33" i="5"/>
  <c r="EG32" i="5"/>
  <c r="EG28" i="5"/>
  <c r="DG32" i="5"/>
  <c r="DG28" i="5" s="1"/>
  <c r="DG22" i="5" s="1"/>
  <c r="DG33" i="5"/>
  <c r="EA38" i="5"/>
  <c r="HL38" i="5" s="1"/>
  <c r="FC29" i="5"/>
  <c r="FC7" i="5"/>
  <c r="FC8" i="5" s="1"/>
  <c r="FC42" i="5"/>
  <c r="FC50" i="5"/>
  <c r="FC39" i="5"/>
  <c r="FC38" i="5" s="1"/>
  <c r="FC40" i="5" a="1"/>
  <c r="FC40" i="5" s="1"/>
  <c r="FC24" i="5"/>
  <c r="FC43" i="5"/>
  <c r="FC12" i="5"/>
  <c r="FC26" i="5" s="1"/>
  <c r="FC48" i="5"/>
  <c r="FC46" i="5" s="1"/>
  <c r="FC30" i="5"/>
  <c r="FC14" i="5"/>
  <c r="FA29" i="5"/>
  <c r="HN29" i="5" s="1"/>
  <c r="EO28" i="5"/>
  <c r="EO22" i="5" s="1"/>
  <c r="EO32" i="5"/>
  <c r="EO33" i="5"/>
  <c r="FF24" i="5"/>
  <c r="FF7" i="5"/>
  <c r="FF8" i="5" s="1"/>
  <c r="FF50" i="5"/>
  <c r="FF30" i="5"/>
  <c r="FF29" i="5"/>
  <c r="FF12" i="5"/>
  <c r="FF26" i="5" s="1"/>
  <c r="FF14" i="5"/>
  <c r="FF48" i="5"/>
  <c r="FF42" i="5"/>
  <c r="FF43" i="5"/>
  <c r="FF39" i="5"/>
  <c r="FF40" i="5" a="1"/>
  <c r="FF40" i="5" s="1"/>
  <c r="DM14" i="5"/>
  <c r="DN48" i="5"/>
  <c r="HK48" i="5" s="1"/>
  <c r="CN18" i="5"/>
  <c r="HI18" i="5" s="1"/>
  <c r="EA7" i="5"/>
  <c r="HL7" i="5" s="1"/>
  <c r="DK18" i="5"/>
  <c r="DK19" i="5" s="1"/>
  <c r="DP19" i="5"/>
  <c r="DP18" i="5"/>
  <c r="CY23" i="5"/>
  <c r="DU33" i="5"/>
  <c r="DU32" i="5"/>
  <c r="DU28" i="5" s="1"/>
  <c r="DU22" i="5" s="1"/>
  <c r="DP32" i="5"/>
  <c r="DP28" i="5" s="1"/>
  <c r="DP22" i="5" s="1"/>
  <c r="DP33" i="5"/>
  <c r="DN29" i="5"/>
  <c r="HK29" i="5" s="1"/>
  <c r="DB33" i="5"/>
  <c r="DB32" i="5"/>
  <c r="ED33" i="5"/>
  <c r="ED32" i="5"/>
  <c r="ED28" i="5"/>
  <c r="ED22" i="5" s="1"/>
  <c r="EP32" i="5"/>
  <c r="EP28" i="5" s="1"/>
  <c r="EP22" i="5" s="1"/>
  <c r="EP33" i="5"/>
  <c r="DF19" i="5"/>
  <c r="DF18" i="5"/>
  <c r="EH33" i="5"/>
  <c r="EH32" i="5"/>
  <c r="EH28" i="5" s="1"/>
  <c r="EH22" i="5" s="1"/>
  <c r="FE42" i="5"/>
  <c r="FE29" i="5"/>
  <c r="FE48" i="5"/>
  <c r="FE12" i="5"/>
  <c r="FE26" i="5" s="1"/>
  <c r="FE7" i="5"/>
  <c r="FE8" i="5" s="1"/>
  <c r="FE40" i="5" a="1"/>
  <c r="FE40" i="5" s="1"/>
  <c r="FE24" i="5"/>
  <c r="FE23" i="5" s="1"/>
  <c r="FE50" i="5"/>
  <c r="FE39" i="5"/>
  <c r="FE30" i="5"/>
  <c r="FE43" i="5"/>
  <c r="DX38" i="5"/>
  <c r="EF18" i="5"/>
  <c r="EF19" i="5" s="1"/>
  <c r="C73" i="6"/>
  <c r="N73" i="6" s="1"/>
  <c r="CS18" i="5"/>
  <c r="DQ18" i="5"/>
  <c r="DQ19" i="5"/>
  <c r="DJ19" i="5"/>
  <c r="DJ18" i="5"/>
  <c r="EF32" i="5"/>
  <c r="EF28" i="5" s="1"/>
  <c r="EF22" i="5" s="1"/>
  <c r="EF33" i="5"/>
  <c r="DT33" i="5"/>
  <c r="DT32" i="5"/>
  <c r="DT28" i="5" s="1"/>
  <c r="DT22" i="5" s="1"/>
  <c r="CR32" i="5"/>
  <c r="CR33" i="5"/>
  <c r="CR28" i="5" s="1"/>
  <c r="CR22" i="5" s="1"/>
  <c r="EQ28" i="5"/>
  <c r="EQ22" i="5" s="1"/>
  <c r="EQ33" i="5"/>
  <c r="EQ32" i="5"/>
  <c r="EL33" i="5"/>
  <c r="EL32" i="5"/>
  <c r="EL28" i="5" s="1"/>
  <c r="EL22" i="5" s="1"/>
  <c r="DA42" i="5"/>
  <c r="HJ42" i="5" s="1"/>
  <c r="EG18" i="5"/>
  <c r="EG19" i="5" s="1"/>
  <c r="EV33" i="5"/>
  <c r="EV32" i="5"/>
  <c r="EV28" i="5"/>
  <c r="EV22" i="5" s="1"/>
  <c r="EV35" i="5" s="1"/>
  <c r="EV44" i="5" s="1"/>
  <c r="EV51" i="5" s="1"/>
  <c r="EX23" i="5"/>
  <c r="EN26" i="5"/>
  <c r="HM26" i="5" s="1"/>
  <c r="CT14" i="5"/>
  <c r="FN10" i="5"/>
  <c r="HO10" i="5" s="1"/>
  <c r="FB42" i="5"/>
  <c r="FB7" i="5"/>
  <c r="FB40" i="5" a="1"/>
  <c r="FB40" i="5" s="1"/>
  <c r="FB43" i="5"/>
  <c r="FB50" i="5"/>
  <c r="FB24" i="5"/>
  <c r="FB48" i="5"/>
  <c r="FB39" i="5"/>
  <c r="FB12" i="5"/>
  <c r="FB29" i="5"/>
  <c r="FB30" i="5"/>
  <c r="C51" i="4"/>
  <c r="FQ10" i="5" a="1"/>
  <c r="FQ10" i="5" s="1"/>
  <c r="FR10" i="5" a="1"/>
  <c r="FR10" i="5" s="1"/>
  <c r="FP10" i="5" a="1"/>
  <c r="FP10" i="5" s="1"/>
  <c r="FX10" i="5" a="1"/>
  <c r="FX10" i="5" s="1"/>
  <c r="FT10" i="5" a="1"/>
  <c r="FT10" i="5" s="1"/>
  <c r="FU10" i="5" a="1"/>
  <c r="FU10" i="5" s="1"/>
  <c r="FZ10" i="5" a="1"/>
  <c r="FZ10" i="5" s="1"/>
  <c r="FO10" i="5" a="1"/>
  <c r="FO10" i="5" s="1"/>
  <c r="FW10" i="5" a="1"/>
  <c r="FW10" i="5" s="1"/>
  <c r="FS10" i="5" a="1"/>
  <c r="FS10" i="5" s="1"/>
  <c r="FY10" i="5" a="1"/>
  <c r="FY10" i="5" s="1"/>
  <c r="FV10" i="5" a="1"/>
  <c r="FV10" i="5" s="1"/>
  <c r="EM18" i="5"/>
  <c r="EM19" i="5"/>
  <c r="EA24" i="5"/>
  <c r="HL24" i="5" s="1"/>
  <c r="DE14" i="5"/>
  <c r="FA8" i="5"/>
  <c r="HN8" i="5" s="1"/>
  <c r="ET18" i="5"/>
  <c r="ET19" i="5"/>
  <c r="DU18" i="5"/>
  <c r="DU19" i="5" s="1"/>
  <c r="DA8" i="5"/>
  <c r="HJ8" i="5" s="1"/>
  <c r="EA40" i="5"/>
  <c r="I75" i="6"/>
  <c r="Q75" i="6" s="1"/>
  <c r="EC46" i="5"/>
  <c r="EN46" i="5" s="1"/>
  <c r="HM46" i="5" s="1"/>
  <c r="EN48" i="5"/>
  <c r="HM48" i="5" s="1"/>
  <c r="CX18" i="5"/>
  <c r="CX19" i="5"/>
  <c r="EN40" i="5"/>
  <c r="I76" i="6"/>
  <c r="Q76" i="6" s="1"/>
  <c r="EA30" i="5"/>
  <c r="HL30" i="5" s="1"/>
  <c r="CM32" i="5"/>
  <c r="CM28" i="5" s="1"/>
  <c r="CM22" i="5" s="1"/>
  <c r="CM33" i="5"/>
  <c r="DZ32" i="5"/>
  <c r="DZ28" i="5"/>
  <c r="DZ33" i="5"/>
  <c r="DJ33" i="5"/>
  <c r="DJ32" i="5"/>
  <c r="DJ28" i="5" s="1"/>
  <c r="DJ22" i="5" s="1"/>
  <c r="ET33" i="5"/>
  <c r="ET28" i="5" s="1"/>
  <c r="ET22" i="5" s="1"/>
  <c r="ET32" i="5"/>
  <c r="DH28" i="5"/>
  <c r="DH22" i="5" s="1"/>
  <c r="DH33" i="5"/>
  <c r="DH32" i="5"/>
  <c r="DN40" i="5"/>
  <c r="I74" i="6"/>
  <c r="Q74" i="6" s="1"/>
  <c r="FG48" i="5"/>
  <c r="FG46" i="5" s="1"/>
  <c r="FG29" i="5"/>
  <c r="FG24" i="5"/>
  <c r="FG23" i="5" s="1"/>
  <c r="FG7" i="5"/>
  <c r="FG8" i="5" s="1"/>
  <c r="FG50" i="5"/>
  <c r="FG42" i="5"/>
  <c r="FG40" i="5" a="1"/>
  <c r="FG40" i="5" s="1"/>
  <c r="FG39" i="5"/>
  <c r="FG30" i="5"/>
  <c r="FG12" i="5"/>
  <c r="FG26" i="5" s="1"/>
  <c r="FG43" i="5"/>
  <c r="DX32" i="5"/>
  <c r="DX33" i="5"/>
  <c r="DX28" i="5"/>
  <c r="DX22" i="5" s="1"/>
  <c r="EJ18" i="5"/>
  <c r="EJ19" i="5"/>
  <c r="EL18" i="5"/>
  <c r="EL19" i="5"/>
  <c r="EC33" i="5"/>
  <c r="EC32" i="5"/>
  <c r="EC28" i="5"/>
  <c r="CN40" i="5"/>
  <c r="DW28" i="5"/>
  <c r="DW22" i="5" s="1"/>
  <c r="DW33" i="5"/>
  <c r="DW32" i="5"/>
  <c r="DB38" i="5"/>
  <c r="FA30" i="5"/>
  <c r="HN30" i="5" s="1"/>
  <c r="EB18" i="5"/>
  <c r="FA24" i="5"/>
  <c r="HN24" i="5" s="1"/>
  <c r="FI12" i="5"/>
  <c r="FI26" i="5" s="1"/>
  <c r="FI30" i="5"/>
  <c r="FI7" i="5"/>
  <c r="FI8" i="5" s="1"/>
  <c r="FI50" i="5"/>
  <c r="FI29" i="5"/>
  <c r="FI24" i="5"/>
  <c r="FI43" i="5"/>
  <c r="FI40" i="5" a="1"/>
  <c r="FI40" i="5" s="1"/>
  <c r="FI42" i="5"/>
  <c r="FI48" i="5"/>
  <c r="FI46" i="5" s="1"/>
  <c r="FI39" i="5"/>
  <c r="FI38" i="5" s="1"/>
  <c r="I72" i="6"/>
  <c r="Q72" i="6" s="1"/>
  <c r="DM32" i="5"/>
  <c r="DM33" i="5"/>
  <c r="DM28" i="5" s="1"/>
  <c r="DM22" i="5" s="1"/>
  <c r="FA7" i="5"/>
  <c r="HN7" i="5" s="1"/>
  <c r="ER18" i="5"/>
  <c r="ER19" i="5" s="1"/>
  <c r="EG22" i="5"/>
  <c r="DA7" i="5"/>
  <c r="HJ7" i="5" s="1"/>
  <c r="CY38" i="5"/>
  <c r="EP18" i="5"/>
  <c r="EP19" i="5" s="1"/>
  <c r="DS33" i="5"/>
  <c r="DS28" i="5"/>
  <c r="DS22" i="5" s="1"/>
  <c r="DS32" i="5"/>
  <c r="DK32" i="5"/>
  <c r="DK28" i="5" s="1"/>
  <c r="DK22" i="5" s="1"/>
  <c r="DK33" i="5"/>
  <c r="CX33" i="5"/>
  <c r="CX32" i="5"/>
  <c r="CX28" i="5" s="1"/>
  <c r="CX22" i="5" s="1"/>
  <c r="DD32" i="5"/>
  <c r="DD33" i="5"/>
  <c r="DD28" i="5"/>
  <c r="DD22" i="5" s="1"/>
  <c r="EM32" i="5"/>
  <c r="EM28" i="5" s="1"/>
  <c r="EM22" i="5" s="1"/>
  <c r="EM33" i="5"/>
  <c r="EN12" i="5"/>
  <c r="HM12" i="5" s="1"/>
  <c r="EA26" i="5"/>
  <c r="HL26" i="5" s="1"/>
  <c r="CT32" i="5"/>
  <c r="CT28" i="5" s="1"/>
  <c r="CT22" i="5" s="1"/>
  <c r="CT33" i="5"/>
  <c r="EX38" i="5"/>
  <c r="CU32" i="5"/>
  <c r="CU28" i="5" s="1"/>
  <c r="CU22" i="5" s="1"/>
  <c r="CU33" i="5"/>
  <c r="FL29" i="5"/>
  <c r="FL24" i="5"/>
  <c r="FL23" i="5" s="1"/>
  <c r="FL14" i="5"/>
  <c r="FL39" i="5"/>
  <c r="FL7" i="5"/>
  <c r="FL8" i="5" s="1"/>
  <c r="FL50" i="5"/>
  <c r="FL12" i="5"/>
  <c r="FL26" i="5" s="1"/>
  <c r="FL42" i="5"/>
  <c r="FL40" i="5" a="1"/>
  <c r="FL40" i="5" s="1"/>
  <c r="FL30" i="5"/>
  <c r="FL43" i="5"/>
  <c r="FL48" i="5"/>
  <c r="FL46" i="5" s="1"/>
  <c r="DX18" i="5"/>
  <c r="DX19" i="5" s="1"/>
  <c r="CN23" i="5"/>
  <c r="HI23" i="5" s="1"/>
  <c r="FA40" i="5"/>
  <c r="I77" i="6"/>
  <c r="Q77" i="6" s="1"/>
  <c r="CL19" i="5"/>
  <c r="CL18" i="5"/>
  <c r="DV18" i="5"/>
  <c r="DV19" i="5"/>
  <c r="DA48" i="5"/>
  <c r="HJ48" i="5" s="1"/>
  <c r="FA39" i="5"/>
  <c r="HN39" i="5" s="1"/>
  <c r="FA26" i="5"/>
  <c r="HN26" i="5" s="1"/>
  <c r="EK18" i="5"/>
  <c r="EK19" i="5" s="1"/>
  <c r="DL18" i="5"/>
  <c r="DL19" i="5" s="1"/>
  <c r="CY46" i="5"/>
  <c r="DA46" i="5" s="1"/>
  <c r="HJ46" i="5" s="1"/>
  <c r="DD19" i="5"/>
  <c r="DD18" i="5"/>
  <c r="ER33" i="5"/>
  <c r="ER28" i="5" s="1"/>
  <c r="ER22" i="5" s="1"/>
  <c r="ER32" i="5"/>
  <c r="CJ32" i="5"/>
  <c r="CJ33" i="5"/>
  <c r="CN29" i="5"/>
  <c r="HI29" i="5" s="1"/>
  <c r="CS33" i="5"/>
  <c r="CS32" i="5"/>
  <c r="CS28" i="5" s="1"/>
  <c r="CS22" i="5" s="1"/>
  <c r="EN29" i="5"/>
  <c r="HM29" i="5" s="1"/>
  <c r="EB33" i="5"/>
  <c r="EN33" i="5" s="1"/>
  <c r="HM33" i="5" s="1"/>
  <c r="EB32" i="5"/>
  <c r="DY28" i="5"/>
  <c r="DY22" i="5" s="1"/>
  <c r="DY58" i="5" s="1" a="1"/>
  <c r="DY58" i="5" s="1"/>
  <c r="DY33" i="5"/>
  <c r="DY32" i="5"/>
  <c r="FA46" i="5"/>
  <c r="HN46" i="5" s="1"/>
  <c r="DN23" i="5"/>
  <c r="HK23" i="5" s="1"/>
  <c r="EA14" i="5"/>
  <c r="HL14" i="5" s="1"/>
  <c r="DO18" i="5"/>
  <c r="DO19" i="5"/>
  <c r="FH48" i="5"/>
  <c r="FH46" i="5" s="1"/>
  <c r="FH24" i="5"/>
  <c r="FH23" i="5" s="1"/>
  <c r="FH43" i="5"/>
  <c r="FH39" i="5"/>
  <c r="FH38" i="5" s="1"/>
  <c r="FH42" i="5"/>
  <c r="FH12" i="5"/>
  <c r="FH26" i="5" s="1"/>
  <c r="FH50" i="5"/>
  <c r="FH30" i="5"/>
  <c r="FH7" i="5"/>
  <c r="FH8" i="5" s="1"/>
  <c r="FH29" i="5"/>
  <c r="FH40" i="5" a="1"/>
  <c r="FH40" i="5" s="1"/>
  <c r="FH14" i="5"/>
  <c r="EH19" i="5"/>
  <c r="EH18" i="5"/>
  <c r="DM38" i="5"/>
  <c r="DE38" i="5"/>
  <c r="DC18" i="5"/>
  <c r="DC19" i="5" s="1"/>
  <c r="DZ22" i="5"/>
  <c r="EC38" i="5"/>
  <c r="EN38" i="5" s="1"/>
  <c r="HM38" i="5" s="1"/>
  <c r="FA12" i="5"/>
  <c r="HN12" i="5" s="1"/>
  <c r="CW38" i="5"/>
  <c r="EZ38" i="5"/>
  <c r="EU32" i="5"/>
  <c r="EU28" i="5" s="1"/>
  <c r="EU22" i="5" s="1"/>
  <c r="EU33" i="5"/>
  <c r="DC32" i="5"/>
  <c r="DC28" i="5" s="1"/>
  <c r="DC22" i="5" s="1"/>
  <c r="DC33" i="5"/>
  <c r="DQ32" i="5"/>
  <c r="DQ28" i="5" s="1"/>
  <c r="DQ22" i="5" s="1"/>
  <c r="DQ33" i="5"/>
  <c r="EA29" i="5"/>
  <c r="HL29" i="5" s="1"/>
  <c r="DO33" i="5"/>
  <c r="EA33" i="5" s="1"/>
  <c r="HL33" i="5" s="1"/>
  <c r="DO32" i="5"/>
  <c r="EY32" i="5"/>
  <c r="EY28" i="5" s="1"/>
  <c r="EY22" i="5" s="1"/>
  <c r="EY33" i="5"/>
  <c r="EA12" i="5"/>
  <c r="HL12" i="5" s="1"/>
  <c r="FM39" i="5"/>
  <c r="FM38" i="5" s="1"/>
  <c r="FM12" i="5"/>
  <c r="FM26" i="5" s="1"/>
  <c r="FM29" i="5"/>
  <c r="FM14" i="5"/>
  <c r="FM30" i="5"/>
  <c r="FM50" i="5"/>
  <c r="FM7" i="5"/>
  <c r="FM8" i="5" s="1"/>
  <c r="FM42" i="5"/>
  <c r="FM43" i="5"/>
  <c r="FM24" i="5"/>
  <c r="FM23" i="5" s="1"/>
  <c r="FM48" i="5"/>
  <c r="FM40" i="5" a="1"/>
  <c r="FM40" i="5" s="1"/>
  <c r="EK22" i="5"/>
  <c r="DX46" i="5"/>
  <c r="EA46" i="5" s="1"/>
  <c r="HL46" i="5" s="1"/>
  <c r="DR18" i="5"/>
  <c r="DR19" i="5"/>
  <c r="EN23" i="5"/>
  <c r="HM23" i="5" s="1"/>
  <c r="EA48" i="5"/>
  <c r="HL48" i="5" s="1"/>
  <c r="DA26" i="5"/>
  <c r="HJ26" i="5" s="1"/>
  <c r="DN8" i="5"/>
  <c r="HK8" i="5" s="1"/>
  <c r="CZ18" i="5"/>
  <c r="CZ19" i="5" s="1"/>
  <c r="DF32" i="5"/>
  <c r="DF33" i="5"/>
  <c r="DF28" i="5" s="1"/>
  <c r="DF22" i="5" s="1"/>
  <c r="CQ33" i="5"/>
  <c r="CQ32" i="5"/>
  <c r="CQ28" i="5" s="1"/>
  <c r="CQ22" i="5" s="1"/>
  <c r="CZ33" i="5"/>
  <c r="CZ32" i="5"/>
  <c r="CZ28" i="5" s="1"/>
  <c r="CZ22" i="5" s="1"/>
  <c r="CK33" i="5"/>
  <c r="CK32" i="5"/>
  <c r="CK28" i="5" s="1"/>
  <c r="CK22" i="5" s="1"/>
  <c r="DZ18" i="5"/>
  <c r="DZ19" i="5"/>
  <c r="EQ18" i="5"/>
  <c r="EQ19" i="5" s="1"/>
  <c r="EC14" i="5"/>
  <c r="CY33" i="5"/>
  <c r="CY32" i="5"/>
  <c r="CY28" i="5"/>
  <c r="CV18" i="5"/>
  <c r="CV19" i="5" s="1"/>
  <c r="DI18" i="5"/>
  <c r="DI19" i="5" s="1"/>
  <c r="DN42" i="5"/>
  <c r="HK42" i="5" s="1"/>
  <c r="CN14" i="5"/>
  <c r="HI14" i="5" s="1"/>
  <c r="EK28" i="5"/>
  <c r="EK32" i="5"/>
  <c r="EK33" i="5"/>
  <c r="EW32" i="5"/>
  <c r="EW33" i="5"/>
  <c r="EW28" i="5"/>
  <c r="EW22" i="5" s="1"/>
  <c r="CL32" i="5"/>
  <c r="CL28" i="5" s="1"/>
  <c r="CL22" i="5" s="1"/>
  <c r="CL33" i="5"/>
  <c r="EE32" i="5"/>
  <c r="EE28" i="5" s="1"/>
  <c r="EE22" i="5" s="1"/>
  <c r="EE33" i="5"/>
  <c r="ES58" i="5" l="1" a="1"/>
  <c r="ES58" i="5" s="1"/>
  <c r="ES35" i="5"/>
  <c r="ES44" i="5" s="1"/>
  <c r="ES51" i="5" s="1"/>
  <c r="EI35" i="5"/>
  <c r="EI44" i="5" s="1"/>
  <c r="EI51" i="5" s="1"/>
  <c r="EI58" i="5" a="1"/>
  <c r="EI58" i="5" s="1"/>
  <c r="CR35" i="5"/>
  <c r="CR44" i="5" s="1"/>
  <c r="CR51" i="5" s="1"/>
  <c r="CR58" i="5" a="1"/>
  <c r="CR58" i="5" s="1"/>
  <c r="CP35" i="5"/>
  <c r="CP44" i="5" s="1"/>
  <c r="CP51" i="5" s="1"/>
  <c r="CP58" i="5" a="1"/>
  <c r="CP58" i="5" s="1"/>
  <c r="EW58" i="5" a="1"/>
  <c r="EW58" i="5" s="1"/>
  <c r="EW35" i="5"/>
  <c r="EW44" i="5" s="1"/>
  <c r="EW51" i="5" s="1"/>
  <c r="EQ35" i="5"/>
  <c r="EQ44" i="5" s="1"/>
  <c r="EQ51" i="5" s="1"/>
  <c r="EQ58" i="5" a="1"/>
  <c r="EQ58" i="5" s="1"/>
  <c r="DU58" i="5" a="1"/>
  <c r="DU58" i="5" s="1"/>
  <c r="DU35" i="5"/>
  <c r="DU44" i="5" s="1"/>
  <c r="DU51" i="5" s="1"/>
  <c r="EV53" i="5"/>
  <c r="EV55" i="5" s="1"/>
  <c r="DT35" i="5"/>
  <c r="DT44" i="5" s="1"/>
  <c r="DT51" i="5" s="1"/>
  <c r="DT58" i="5" a="1"/>
  <c r="DT58" i="5" s="1"/>
  <c r="CU58" i="5" a="1"/>
  <c r="CU58" i="5" s="1"/>
  <c r="CU35" i="5"/>
  <c r="CU44" i="5" s="1"/>
  <c r="CU51" i="5" s="1"/>
  <c r="CW58" i="5" a="1"/>
  <c r="CW58" i="5" s="1"/>
  <c r="CW35" i="5"/>
  <c r="CW44" i="5" s="1"/>
  <c r="CW51" i="5" s="1"/>
  <c r="EP58" i="5" a="1"/>
  <c r="EP58" i="5" s="1"/>
  <c r="EP35" i="5"/>
  <c r="EP44" i="5" s="1"/>
  <c r="EP51" i="5" s="1"/>
  <c r="DC58" i="5" a="1"/>
  <c r="DC58" i="5" s="1"/>
  <c r="DC35" i="5"/>
  <c r="DC44" i="5" s="1"/>
  <c r="DC51" i="5" s="1"/>
  <c r="CM58" i="5" a="1"/>
  <c r="CM58" i="5" s="1"/>
  <c r="CM35" i="5"/>
  <c r="CM44" i="5" s="1"/>
  <c r="CM51" i="5" s="1"/>
  <c r="DW58" i="5" a="1"/>
  <c r="DW58" i="5" s="1"/>
  <c r="DW35" i="5"/>
  <c r="DW44" i="5" s="1"/>
  <c r="DW51" i="5" s="1"/>
  <c r="CZ35" i="5"/>
  <c r="CZ44" i="5" s="1"/>
  <c r="CZ51" i="5" s="1"/>
  <c r="CZ58" i="5" a="1"/>
  <c r="CZ58" i="5" s="1"/>
  <c r="DL58" i="5" a="1"/>
  <c r="DL58" i="5" s="1"/>
  <c r="DL35" i="5"/>
  <c r="DL44" i="5" s="1"/>
  <c r="DL51" i="5" s="1"/>
  <c r="DX58" i="5" a="1"/>
  <c r="DX58" i="5" s="1"/>
  <c r="DX35" i="5"/>
  <c r="DX44" i="5" s="1"/>
  <c r="DX51" i="5" s="1"/>
  <c r="ER58" i="5" a="1"/>
  <c r="ER58" i="5" s="1"/>
  <c r="ER35" i="5"/>
  <c r="ER44" i="5" s="1"/>
  <c r="ER51" i="5" s="1"/>
  <c r="EG58" i="5" a="1"/>
  <c r="EG58" i="5" s="1"/>
  <c r="EG35" i="5"/>
  <c r="EG44" i="5" s="1"/>
  <c r="EG51" i="5" s="1"/>
  <c r="ED58" i="5" a="1"/>
  <c r="ED58" i="5" s="1"/>
  <c r="ED35" i="5"/>
  <c r="ED44" i="5" s="1"/>
  <c r="ED51" i="5" s="1"/>
  <c r="CK58" i="5" a="1"/>
  <c r="CK58" i="5" s="1"/>
  <c r="CK35" i="5"/>
  <c r="CK44" i="5" s="1"/>
  <c r="CK51" i="5" s="1"/>
  <c r="E72" i="6"/>
  <c r="O72" i="6" s="1"/>
  <c r="S72" i="6" s="1"/>
  <c r="CN19" i="5"/>
  <c r="HI19" i="5" s="1"/>
  <c r="DK35" i="5"/>
  <c r="DK44" i="5" s="1"/>
  <c r="DK51" i="5" s="1"/>
  <c r="DK58" i="5" a="1"/>
  <c r="DK58" i="5" s="1"/>
  <c r="DH35" i="5"/>
  <c r="DH44" i="5" s="1"/>
  <c r="DH51" i="5" s="1"/>
  <c r="DH58" i="5" a="1"/>
  <c r="DH58" i="5" s="1"/>
  <c r="EE35" i="5"/>
  <c r="EE44" i="5" s="1"/>
  <c r="EE51" i="5" s="1"/>
  <c r="EE58" i="5" a="1"/>
  <c r="EE58" i="5" s="1"/>
  <c r="CV58" i="5" a="1"/>
  <c r="CV58" i="5" s="1"/>
  <c r="CV35" i="5"/>
  <c r="CV44" i="5" s="1"/>
  <c r="CV51" i="5" s="1"/>
  <c r="CQ58" i="5" a="1"/>
  <c r="CQ58" i="5" s="1"/>
  <c r="CQ35" i="5"/>
  <c r="CQ44" i="5" s="1"/>
  <c r="CQ51" i="5" s="1"/>
  <c r="U73" i="6"/>
  <c r="CN32" i="5"/>
  <c r="HI32" i="5" s="1"/>
  <c r="HI31" i="5" s="1"/>
  <c r="EK35" i="5"/>
  <c r="EK44" i="5" s="1"/>
  <c r="EK51" i="5" s="1"/>
  <c r="EK58" i="5" a="1"/>
  <c r="EK58" i="5" s="1"/>
  <c r="FI23" i="5"/>
  <c r="DN38" i="5"/>
  <c r="HK38" i="5" s="1"/>
  <c r="FS40" i="5" a="1"/>
  <c r="FS40" i="5" s="1"/>
  <c r="FS39" i="5"/>
  <c r="FS38" i="5" s="1"/>
  <c r="FS12" i="5"/>
  <c r="FS26" i="5" s="1"/>
  <c r="FS48" i="5"/>
  <c r="FS46" i="5" s="1"/>
  <c r="FS29" i="5"/>
  <c r="FS24" i="5"/>
  <c r="FS7" i="5"/>
  <c r="FS8" i="5" s="1"/>
  <c r="FS43" i="5"/>
  <c r="FS42" i="5"/>
  <c r="FS50" i="5"/>
  <c r="FS30" i="5"/>
  <c r="FN29" i="5"/>
  <c r="HO29" i="5" s="1"/>
  <c r="FB33" i="5"/>
  <c r="FB32" i="5"/>
  <c r="FN32" i="5" s="1"/>
  <c r="HO32" i="5" s="1"/>
  <c r="CT18" i="5"/>
  <c r="DA18" i="5" s="1"/>
  <c r="HJ18" i="5" s="1"/>
  <c r="CT19" i="5"/>
  <c r="DA14" i="5"/>
  <c r="HJ14" i="5" s="1"/>
  <c r="DG18" i="5"/>
  <c r="DG19" i="5" s="1"/>
  <c r="DN33" i="5"/>
  <c r="HK33" i="5" s="1"/>
  <c r="DP58" i="5" a="1"/>
  <c r="DP58" i="5" s="1"/>
  <c r="DP35" i="5"/>
  <c r="DP44" i="5" s="1"/>
  <c r="DP51" i="5" s="1"/>
  <c r="DA32" i="5"/>
  <c r="HJ32" i="5" s="1"/>
  <c r="DS35" i="5"/>
  <c r="DS44" i="5" s="1"/>
  <c r="DS51" i="5" s="1"/>
  <c r="DS58" i="5" a="1"/>
  <c r="DS58" i="5" s="1"/>
  <c r="CY18" i="5"/>
  <c r="CY19" i="5"/>
  <c r="FD33" i="5"/>
  <c r="FD32" i="5"/>
  <c r="FD28" i="5" s="1"/>
  <c r="EZ35" i="5"/>
  <c r="EZ44" i="5" s="1"/>
  <c r="EZ51" i="5" s="1"/>
  <c r="EZ58" i="5" a="1"/>
  <c r="EZ58" i="5" s="1"/>
  <c r="EY35" i="5"/>
  <c r="EY44" i="5" s="1"/>
  <c r="EY51" i="5" s="1"/>
  <c r="EY58" i="5" a="1"/>
  <c r="EY58" i="5" s="1"/>
  <c r="DZ58" i="5" a="1"/>
  <c r="DZ58" i="5" s="1"/>
  <c r="DZ35" i="5"/>
  <c r="DZ44" i="5" s="1"/>
  <c r="DZ51" i="5" s="1"/>
  <c r="DO28" i="5"/>
  <c r="FL38" i="5"/>
  <c r="FI33" i="5"/>
  <c r="FI32" i="5"/>
  <c r="FI28" i="5" s="1"/>
  <c r="EL58" i="5" a="1"/>
  <c r="EL58" i="5" s="1"/>
  <c r="EL35" i="5"/>
  <c r="EL44" i="5" s="1"/>
  <c r="EL51" i="5" s="1"/>
  <c r="ET58" i="5" a="1"/>
  <c r="ET58" i="5" s="1"/>
  <c r="ET35" i="5"/>
  <c r="ET44" i="5" s="1"/>
  <c r="ET51" i="5" s="1"/>
  <c r="FW24" i="5"/>
  <c r="FW42" i="5"/>
  <c r="FW40" i="5" a="1"/>
  <c r="FW40" i="5" s="1"/>
  <c r="FW12" i="5"/>
  <c r="FW26" i="5" s="1"/>
  <c r="FW43" i="5"/>
  <c r="FW48" i="5"/>
  <c r="FW46" i="5" s="1"/>
  <c r="FW30" i="5"/>
  <c r="FW7" i="5"/>
  <c r="FW8" i="5" s="1"/>
  <c r="FW29" i="5"/>
  <c r="FW50" i="5"/>
  <c r="FW39" i="5"/>
  <c r="FN12" i="5"/>
  <c r="HO12" i="5" s="1"/>
  <c r="FB26" i="5"/>
  <c r="FN26" i="5" s="1"/>
  <c r="HO26" i="5" s="1"/>
  <c r="FA33" i="5"/>
  <c r="HN33" i="5" s="1"/>
  <c r="CO28" i="5"/>
  <c r="FJ22" i="5"/>
  <c r="DA19" i="5"/>
  <c r="HJ19" i="5" s="1"/>
  <c r="FM18" i="5"/>
  <c r="FM19" i="5"/>
  <c r="CX58" i="5" a="1"/>
  <c r="CX58" i="5" s="1"/>
  <c r="CX35" i="5"/>
  <c r="CX44" i="5" s="1"/>
  <c r="CX51" i="5" s="1"/>
  <c r="EA32" i="5"/>
  <c r="HL32" i="5" s="1"/>
  <c r="EN32" i="5"/>
  <c r="HM32" i="5" s="1"/>
  <c r="FL18" i="5"/>
  <c r="FL19" i="5" s="1"/>
  <c r="U76" i="6"/>
  <c r="GA10" i="5"/>
  <c r="HP10" i="5" s="1"/>
  <c r="FO39" i="5"/>
  <c r="FO12" i="5"/>
  <c r="FO14" i="5" s="1"/>
  <c r="FO50" i="5"/>
  <c r="FO48" i="5"/>
  <c r="FO43" i="5"/>
  <c r="FO42" i="5"/>
  <c r="FO29" i="5"/>
  <c r="FO30" i="5"/>
  <c r="FO24" i="5"/>
  <c r="FO40" i="5" a="1"/>
  <c r="FO40" i="5" s="1"/>
  <c r="FO7" i="5"/>
  <c r="FB14" i="5"/>
  <c r="EX22" i="5"/>
  <c r="FA22" i="5" s="1"/>
  <c r="HN22" i="5" s="1"/>
  <c r="FE38" i="5"/>
  <c r="FF46" i="5"/>
  <c r="FA32" i="5"/>
  <c r="HN32" i="5" s="1"/>
  <c r="DA33" i="5"/>
  <c r="HJ33" i="5" s="1"/>
  <c r="DI58" i="5" a="1"/>
  <c r="DI58" i="5" s="1"/>
  <c r="DI35" i="5"/>
  <c r="DI44" i="5" s="1"/>
  <c r="DI51" i="5" s="1"/>
  <c r="FZ50" i="5"/>
  <c r="FZ29" i="5"/>
  <c r="FZ12" i="5"/>
  <c r="FZ26" i="5" s="1"/>
  <c r="FZ48" i="5"/>
  <c r="FZ46" i="5" s="1"/>
  <c r="FZ39" i="5"/>
  <c r="FZ38" i="5" s="1"/>
  <c r="FZ7" i="5"/>
  <c r="FZ8" i="5" s="1"/>
  <c r="FZ42" i="5"/>
  <c r="FZ24" i="5"/>
  <c r="FZ23" i="5" s="1"/>
  <c r="FZ40" i="5" a="1"/>
  <c r="FZ40" i="5" s="1"/>
  <c r="FZ30" i="5"/>
  <c r="FZ43" i="5"/>
  <c r="FA28" i="5"/>
  <c r="HN28" i="5" s="1"/>
  <c r="G77" i="6"/>
  <c r="P77" i="6" s="1"/>
  <c r="FL32" i="5"/>
  <c r="FL33" i="5"/>
  <c r="FL28" i="5"/>
  <c r="FL22" i="5" s="1"/>
  <c r="FU40" i="5" a="1"/>
  <c r="FU40" i="5" s="1"/>
  <c r="FU39" i="5"/>
  <c r="FU24" i="5"/>
  <c r="FU23" i="5" s="1"/>
  <c r="FU29" i="5"/>
  <c r="FU7" i="5"/>
  <c r="FU8" i="5" s="1"/>
  <c r="FU30" i="5"/>
  <c r="FU43" i="5"/>
  <c r="FU48" i="5"/>
  <c r="FU14" i="5"/>
  <c r="FU12" i="5"/>
  <c r="FU26" i="5" s="1"/>
  <c r="FU50" i="5"/>
  <c r="FU42" i="5"/>
  <c r="DV58" i="5" a="1"/>
  <c r="DV58" i="5" s="1"/>
  <c r="DV35" i="5"/>
  <c r="DV44" i="5" s="1"/>
  <c r="DV51" i="5" s="1"/>
  <c r="FG32" i="5"/>
  <c r="FG28" i="5" s="1"/>
  <c r="FG22" i="5" s="1"/>
  <c r="FG33" i="5"/>
  <c r="DE18" i="5"/>
  <c r="DE19" i="5" s="1"/>
  <c r="FN24" i="5"/>
  <c r="HO24" i="5" s="1"/>
  <c r="FB23" i="5"/>
  <c r="FF32" i="5"/>
  <c r="FF33" i="5"/>
  <c r="FF28" i="5"/>
  <c r="FC18" i="5"/>
  <c r="FC19" i="5" s="1"/>
  <c r="G44" i="4"/>
  <c r="HJ40" i="5"/>
  <c r="EV58" i="5" a="1"/>
  <c r="EV58" i="5" s="1"/>
  <c r="DY35" i="5"/>
  <c r="DY44" i="5" s="1"/>
  <c r="DY51" i="5" s="1"/>
  <c r="FH18" i="5"/>
  <c r="FH19" i="5" s="1"/>
  <c r="EA19" i="5"/>
  <c r="HL19" i="5" s="1"/>
  <c r="E75" i="6"/>
  <c r="O75" i="6" s="1"/>
  <c r="S75" i="6" s="1"/>
  <c r="FT40" i="5" a="1"/>
  <c r="FT40" i="5" s="1"/>
  <c r="FT39" i="5"/>
  <c r="FT30" i="5"/>
  <c r="FT12" i="5"/>
  <c r="FT26" i="5" s="1"/>
  <c r="FT48" i="5"/>
  <c r="FT7" i="5"/>
  <c r="FT8" i="5" s="1"/>
  <c r="FT24" i="5"/>
  <c r="FT23" i="5" s="1"/>
  <c r="FT43" i="5"/>
  <c r="FT42" i="5"/>
  <c r="FT50" i="5"/>
  <c r="FT29" i="5"/>
  <c r="EA18" i="5"/>
  <c r="HL18" i="5" s="1"/>
  <c r="V72" i="6"/>
  <c r="U72" i="6"/>
  <c r="FI14" i="5"/>
  <c r="FG14" i="5"/>
  <c r="FX43" i="5"/>
  <c r="FX50" i="5"/>
  <c r="FX24" i="5"/>
  <c r="FX23" i="5" s="1"/>
  <c r="FX42" i="5"/>
  <c r="FX40" i="5" a="1"/>
  <c r="FX40" i="5" s="1"/>
  <c r="FX29" i="5"/>
  <c r="FX39" i="5"/>
  <c r="FX38" i="5" s="1"/>
  <c r="FX7" i="5"/>
  <c r="FX8" i="5" s="1"/>
  <c r="FX12" i="5"/>
  <c r="FX26" i="5" s="1"/>
  <c r="FX30" i="5"/>
  <c r="FX48" i="5"/>
  <c r="FN50" i="5"/>
  <c r="HO50" i="5" s="1"/>
  <c r="CS19" i="5"/>
  <c r="E73" i="6" s="1"/>
  <c r="O73" i="6" s="1"/>
  <c r="DM19" i="5"/>
  <c r="DM18" i="5"/>
  <c r="DN18" i="5" s="1"/>
  <c r="HK18" i="5" s="1"/>
  <c r="FJ38" i="5"/>
  <c r="FF18" i="5"/>
  <c r="FF19" i="5"/>
  <c r="FP39" i="5"/>
  <c r="FP30" i="5"/>
  <c r="FP12" i="5"/>
  <c r="FP26" i="5" s="1"/>
  <c r="FP43" i="5"/>
  <c r="FP40" i="5" a="1"/>
  <c r="FP40" i="5" s="1"/>
  <c r="FP48" i="5"/>
  <c r="FP42" i="5"/>
  <c r="FP29" i="5"/>
  <c r="FP7" i="5"/>
  <c r="FP8" i="5" s="1"/>
  <c r="FP24" i="5"/>
  <c r="FP23" i="5" s="1"/>
  <c r="FP50" i="5"/>
  <c r="FN43" i="5"/>
  <c r="HO43" i="5" s="1"/>
  <c r="FD38" i="5"/>
  <c r="G47" i="4"/>
  <c r="HM40" i="5"/>
  <c r="DJ58" i="5" a="1"/>
  <c r="DJ58" i="5" s="1"/>
  <c r="DJ35" i="5"/>
  <c r="DJ44" i="5" s="1"/>
  <c r="DJ51" i="5" s="1"/>
  <c r="DF35" i="5"/>
  <c r="DF44" i="5" s="1"/>
  <c r="DF51" i="5" s="1"/>
  <c r="DF58" i="5" a="1"/>
  <c r="DF58" i="5" s="1"/>
  <c r="FN48" i="5"/>
  <c r="HO48" i="5" s="1"/>
  <c r="FB46" i="5"/>
  <c r="DQ58" i="5" a="1"/>
  <c r="DQ58" i="5" s="1"/>
  <c r="DQ35" i="5"/>
  <c r="DQ44" i="5" s="1"/>
  <c r="DQ51" i="5" s="1"/>
  <c r="FK33" i="5"/>
  <c r="FK32" i="5"/>
  <c r="FK28" i="5" s="1"/>
  <c r="FK22" i="5" s="1"/>
  <c r="DD58" i="5" a="1"/>
  <c r="DD58" i="5" s="1"/>
  <c r="DD35" i="5"/>
  <c r="DD44" i="5" s="1"/>
  <c r="DD51" i="5" s="1"/>
  <c r="U74" i="6"/>
  <c r="U75" i="6"/>
  <c r="V75" i="6"/>
  <c r="EM35" i="5"/>
  <c r="EM44" i="5" s="1"/>
  <c r="EM51" i="5" s="1"/>
  <c r="EM58" i="5" a="1"/>
  <c r="EM58" i="5" s="1"/>
  <c r="FR40" i="5" a="1"/>
  <c r="FR40" i="5" s="1"/>
  <c r="FR43" i="5"/>
  <c r="FR30" i="5"/>
  <c r="FR48" i="5"/>
  <c r="FR39" i="5"/>
  <c r="FR12" i="5"/>
  <c r="FR26" i="5" s="1"/>
  <c r="FR7" i="5"/>
  <c r="FR8" i="5" s="1"/>
  <c r="FR50" i="5"/>
  <c r="FR42" i="5"/>
  <c r="FR24" i="5"/>
  <c r="FR23" i="5" s="1"/>
  <c r="FR29" i="5"/>
  <c r="FR14" i="5"/>
  <c r="FN40" i="5"/>
  <c r="I78" i="6"/>
  <c r="Q78" i="6" s="1"/>
  <c r="FE46" i="5"/>
  <c r="CY22" i="5"/>
  <c r="FJ32" i="5"/>
  <c r="FJ33" i="5"/>
  <c r="FJ28" i="5"/>
  <c r="DA23" i="5"/>
  <c r="HJ23" i="5" s="1"/>
  <c r="EH35" i="5"/>
  <c r="EH44" i="5" s="1"/>
  <c r="EH51" i="5" s="1"/>
  <c r="EH58" i="5" a="1"/>
  <c r="EH58" i="5" s="1"/>
  <c r="DR35" i="5"/>
  <c r="DR44" i="5" s="1"/>
  <c r="DR51" i="5" s="1"/>
  <c r="DR58" i="5" a="1"/>
  <c r="DR58" i="5" s="1"/>
  <c r="EB28" i="5"/>
  <c r="G43" i="4"/>
  <c r="HI40" i="5"/>
  <c r="FM46" i="5"/>
  <c r="EB19" i="5"/>
  <c r="HK40" i="5"/>
  <c r="G45" i="4"/>
  <c r="G46" i="4"/>
  <c r="HL40" i="5"/>
  <c r="FQ48" i="5"/>
  <c r="FQ46" i="5" s="1"/>
  <c r="FQ7" i="5"/>
  <c r="FQ8" i="5" s="1"/>
  <c r="FQ29" i="5"/>
  <c r="FQ12" i="5"/>
  <c r="FQ26" i="5" s="1"/>
  <c r="FQ40" i="5" a="1"/>
  <c r="FQ40" i="5" s="1"/>
  <c r="FQ30" i="5"/>
  <c r="FQ42" i="5"/>
  <c r="FQ24" i="5"/>
  <c r="FQ39" i="5"/>
  <c r="FQ43" i="5"/>
  <c r="FQ50" i="5"/>
  <c r="FN7" i="5"/>
  <c r="HO7" i="5" s="1"/>
  <c r="C78" i="6"/>
  <c r="N78" i="6" s="1"/>
  <c r="FB8" i="5"/>
  <c r="FN8" i="5" s="1"/>
  <c r="HO8" i="5" s="1"/>
  <c r="EF58" i="5" a="1"/>
  <c r="EF58" i="5" s="1"/>
  <c r="EF35" i="5"/>
  <c r="EF44" i="5" s="1"/>
  <c r="EF51" i="5" s="1"/>
  <c r="FE33" i="5"/>
  <c r="FE28" i="5" s="1"/>
  <c r="FE22" i="5" s="1"/>
  <c r="FE32" i="5"/>
  <c r="FF23" i="5"/>
  <c r="EU58" i="5" a="1"/>
  <c r="EU58" i="5" s="1"/>
  <c r="EU35" i="5"/>
  <c r="EU44" i="5" s="1"/>
  <c r="EU51" i="5" s="1"/>
  <c r="FK38" i="5"/>
  <c r="FJ18" i="5"/>
  <c r="FJ19" i="5"/>
  <c r="FA18" i="5"/>
  <c r="HN18" i="5" s="1"/>
  <c r="FD18" i="5"/>
  <c r="FD19" i="5" s="1"/>
  <c r="FC33" i="5"/>
  <c r="FC28" i="5" s="1"/>
  <c r="FC32" i="5"/>
  <c r="FM33" i="5"/>
  <c r="FM32" i="5"/>
  <c r="FM28" i="5" s="1"/>
  <c r="FM22" i="5" s="1"/>
  <c r="FH32" i="5"/>
  <c r="FH28" i="5" s="1"/>
  <c r="FH22" i="5" s="1"/>
  <c r="FH33" i="5"/>
  <c r="EC18" i="5"/>
  <c r="EN18" i="5" s="1"/>
  <c r="HM18" i="5" s="1"/>
  <c r="CN33" i="5"/>
  <c r="HI33" i="5" s="1"/>
  <c r="U77" i="6"/>
  <c r="EN14" i="5"/>
  <c r="HM14" i="5" s="1"/>
  <c r="FV39" i="5"/>
  <c r="FV24" i="5"/>
  <c r="FV43" i="5"/>
  <c r="FV50" i="5"/>
  <c r="FV40" i="5" a="1"/>
  <c r="FV40" i="5" s="1"/>
  <c r="FV7" i="5"/>
  <c r="FV8" i="5" s="1"/>
  <c r="FV42" i="5"/>
  <c r="FV12" i="5"/>
  <c r="FV26" i="5" s="1"/>
  <c r="FV29" i="5"/>
  <c r="FV48" i="5"/>
  <c r="FV30" i="5"/>
  <c r="C52" i="4"/>
  <c r="GK10" i="5" a="1"/>
  <c r="GK10" i="5" s="1"/>
  <c r="GH10" i="5" a="1"/>
  <c r="GH10" i="5" s="1"/>
  <c r="GE10" i="5" a="1"/>
  <c r="GE10" i="5" s="1"/>
  <c r="GI10" i="5" a="1"/>
  <c r="GI10" i="5" s="1"/>
  <c r="GF10" i="5" a="1"/>
  <c r="GF10" i="5" s="1"/>
  <c r="GD10" i="5" a="1"/>
  <c r="GD10" i="5" s="1"/>
  <c r="GG10" i="5" a="1"/>
  <c r="GG10" i="5" s="1"/>
  <c r="GM10" i="5" a="1"/>
  <c r="GM10" i="5" s="1"/>
  <c r="GC10" i="5" a="1"/>
  <c r="GC10" i="5" s="1"/>
  <c r="GL10" i="5" a="1"/>
  <c r="GL10" i="5" s="1"/>
  <c r="GB10" i="5" a="1"/>
  <c r="GB10" i="5" s="1"/>
  <c r="GJ10" i="5" a="1"/>
  <c r="GJ10" i="5" s="1"/>
  <c r="FN42" i="5"/>
  <c r="HO42" i="5" s="1"/>
  <c r="DN32" i="5"/>
  <c r="HK32" i="5" s="1"/>
  <c r="FC23" i="5"/>
  <c r="FK14" i="5"/>
  <c r="FD23" i="5"/>
  <c r="EO19" i="5"/>
  <c r="EJ58" i="5" a="1"/>
  <c r="EJ58" i="5" s="1"/>
  <c r="EJ35" i="5"/>
  <c r="EJ44" i="5" s="1"/>
  <c r="EJ51" i="5" s="1"/>
  <c r="FN39" i="5"/>
  <c r="HO39" i="5" s="1"/>
  <c r="FB38" i="5"/>
  <c r="EX18" i="5"/>
  <c r="EX19" i="5"/>
  <c r="CL35" i="5"/>
  <c r="CL44" i="5" s="1"/>
  <c r="CL51" i="5" s="1"/>
  <c r="CL58" i="5" a="1"/>
  <c r="CL58" i="5" s="1"/>
  <c r="CJ28" i="5"/>
  <c r="HN40" i="5"/>
  <c r="G48" i="4"/>
  <c r="FG38" i="5"/>
  <c r="FY43" i="5"/>
  <c r="FY24" i="5"/>
  <c r="FY23" i="5" s="1"/>
  <c r="FY40" i="5" a="1"/>
  <c r="FY40" i="5" s="1"/>
  <c r="FY42" i="5"/>
  <c r="FY12" i="5"/>
  <c r="FY26" i="5" s="1"/>
  <c r="FY14" i="5"/>
  <c r="FY50" i="5"/>
  <c r="FY29" i="5"/>
  <c r="FY7" i="5"/>
  <c r="FY8" i="5" s="1"/>
  <c r="FY48" i="5"/>
  <c r="FY46" i="5" s="1"/>
  <c r="FY39" i="5"/>
  <c r="FY30" i="5"/>
  <c r="FN30" i="5"/>
  <c r="HO30" i="5" s="1"/>
  <c r="FE14" i="5"/>
  <c r="DB28" i="5"/>
  <c r="FF38" i="5"/>
  <c r="FA14" i="5"/>
  <c r="HN14" i="5" s="1"/>
  <c r="FH58" i="5" l="1" a="1"/>
  <c r="FH58" i="5" s="1"/>
  <c r="FH35" i="5"/>
  <c r="FH44" i="5" s="1"/>
  <c r="FH51" i="5" s="1"/>
  <c r="FO18" i="5"/>
  <c r="FO19" i="5" s="1"/>
  <c r="FL58" i="5" a="1"/>
  <c r="FL58" i="5" s="1"/>
  <c r="FL35" i="5"/>
  <c r="FL44" i="5" s="1"/>
  <c r="FL51" i="5" s="1"/>
  <c r="S73" i="6"/>
  <c r="V73" i="6"/>
  <c r="DE58" i="5" a="1"/>
  <c r="DE58" i="5" s="1"/>
  <c r="DE35" i="5"/>
  <c r="DE44" i="5" s="1"/>
  <c r="DE51" i="5" s="1"/>
  <c r="DN19" i="5"/>
  <c r="HK19" i="5" s="1"/>
  <c r="E74" i="6"/>
  <c r="O74" i="6" s="1"/>
  <c r="GA42" i="5"/>
  <c r="HP42" i="5" s="1"/>
  <c r="FW28" i="5"/>
  <c r="FW32" i="5"/>
  <c r="FW33" i="5"/>
  <c r="FS23" i="5"/>
  <c r="DL55" i="5"/>
  <c r="DL53" i="5"/>
  <c r="EQ53" i="5"/>
  <c r="EQ55" i="5"/>
  <c r="GG48" i="5"/>
  <c r="GG46" i="5" s="1"/>
  <c r="GG40" i="5" a="1"/>
  <c r="GG40" i="5" s="1"/>
  <c r="GG43" i="5"/>
  <c r="GG42" i="5"/>
  <c r="GG12" i="5"/>
  <c r="GG26" i="5" s="1"/>
  <c r="GG24" i="5"/>
  <c r="GG50" i="5"/>
  <c r="GG39" i="5"/>
  <c r="GG30" i="5"/>
  <c r="GG29" i="5"/>
  <c r="GG7" i="5"/>
  <c r="GG8" i="5" s="1"/>
  <c r="U78" i="6"/>
  <c r="FT38" i="5"/>
  <c r="DV53" i="5"/>
  <c r="DV55" i="5" s="1"/>
  <c r="FU38" i="5"/>
  <c r="GA43" i="5"/>
  <c r="HP43" i="5" s="1"/>
  <c r="CT58" i="5" a="1"/>
  <c r="CT58" i="5" s="1"/>
  <c r="CT35" i="5"/>
  <c r="CT44" i="5" s="1"/>
  <c r="CT51" i="5" s="1"/>
  <c r="FS14" i="5"/>
  <c r="CW53" i="5"/>
  <c r="CW55" i="5"/>
  <c r="EW55" i="5"/>
  <c r="EW53" i="5"/>
  <c r="FA19" i="5"/>
  <c r="HN19" i="5" s="1"/>
  <c r="EO35" i="5"/>
  <c r="EO58" i="5" a="1"/>
  <c r="EO58" i="5" s="1"/>
  <c r="E77" i="6"/>
  <c r="O77" i="6" s="1"/>
  <c r="GD30" i="5"/>
  <c r="GD42" i="5"/>
  <c r="GD40" i="5" a="1"/>
  <c r="GD40" i="5" s="1"/>
  <c r="GD39" i="5"/>
  <c r="GD43" i="5"/>
  <c r="GD12" i="5"/>
  <c r="GD26" i="5" s="1"/>
  <c r="GD50" i="5"/>
  <c r="GD24" i="5"/>
  <c r="GD29" i="5"/>
  <c r="GD48" i="5"/>
  <c r="GD46" i="5" s="1"/>
  <c r="GD7" i="5"/>
  <c r="GD8" i="5" s="1"/>
  <c r="EC19" i="5"/>
  <c r="FQ32" i="5"/>
  <c r="FQ28" i="5" s="1"/>
  <c r="FQ33" i="5"/>
  <c r="EN28" i="5"/>
  <c r="HM28" i="5" s="1"/>
  <c r="G76" i="6"/>
  <c r="P76" i="6" s="1"/>
  <c r="T76" i="6" s="1"/>
  <c r="EB22" i="5"/>
  <c r="EN22" i="5" s="1"/>
  <c r="HM22" i="5" s="1"/>
  <c r="HO40" i="5"/>
  <c r="G49" i="4"/>
  <c r="FP38" i="5"/>
  <c r="GA48" i="5"/>
  <c r="HP48" i="5" s="1"/>
  <c r="FO46" i="5"/>
  <c r="CX55" i="5"/>
  <c r="CX53" i="5"/>
  <c r="FS32" i="5"/>
  <c r="FS33" i="5"/>
  <c r="FS28" i="5"/>
  <c r="CQ53" i="5"/>
  <c r="CQ55" i="5" s="1"/>
  <c r="CK53" i="5"/>
  <c r="CK55" i="5"/>
  <c r="GM39" i="5"/>
  <c r="GM38" i="5" s="1"/>
  <c r="GM14" i="5"/>
  <c r="GM12" i="5"/>
  <c r="GM26" i="5" s="1"/>
  <c r="GM7" i="5"/>
  <c r="GM8" i="5" s="1"/>
  <c r="GM43" i="5"/>
  <c r="GM42" i="5"/>
  <c r="GM24" i="5"/>
  <c r="GM48" i="5"/>
  <c r="GM50" i="5"/>
  <c r="GM30" i="5"/>
  <c r="GM29" i="5"/>
  <c r="GM40" i="5" a="1"/>
  <c r="GM40" i="5" s="1"/>
  <c r="EF53" i="5"/>
  <c r="EF55" i="5" s="1"/>
  <c r="GF42" i="5"/>
  <c r="GF50" i="5"/>
  <c r="GF43" i="5"/>
  <c r="GF12" i="5"/>
  <c r="GF26" i="5" s="1"/>
  <c r="GF24" i="5"/>
  <c r="GF14" i="5"/>
  <c r="GF40" i="5" a="1"/>
  <c r="GF40" i="5" s="1"/>
  <c r="GF7" i="5"/>
  <c r="GF8" i="5" s="1"/>
  <c r="GF39" i="5"/>
  <c r="GF48" i="5"/>
  <c r="GF46" i="5" s="1"/>
  <c r="GF29" i="5"/>
  <c r="GF30" i="5"/>
  <c r="FR18" i="5"/>
  <c r="FR19" i="5" s="1"/>
  <c r="CV55" i="5"/>
  <c r="CV53" i="5"/>
  <c r="FN46" i="5"/>
  <c r="HO46" i="5" s="1"/>
  <c r="FM58" i="5" a="1"/>
  <c r="FM58" i="5" s="1"/>
  <c r="FM35" i="5"/>
  <c r="FM44" i="5" s="1"/>
  <c r="FM51" i="5" s="1"/>
  <c r="DA28" i="5"/>
  <c r="HJ28" i="5" s="1"/>
  <c r="G73" i="6"/>
  <c r="P73" i="6" s="1"/>
  <c r="T73" i="6" s="1"/>
  <c r="CO22" i="5"/>
  <c r="EA28" i="5"/>
  <c r="HL28" i="5" s="1"/>
  <c r="G75" i="6"/>
  <c r="P75" i="6" s="1"/>
  <c r="T75" i="6" s="1"/>
  <c r="DO22" i="5"/>
  <c r="FN33" i="5"/>
  <c r="HO33" i="5" s="1"/>
  <c r="FY38" i="5"/>
  <c r="FR32" i="5"/>
  <c r="FR28" i="5" s="1"/>
  <c r="FR22" i="5" s="1"/>
  <c r="FR33" i="5"/>
  <c r="FX32" i="5"/>
  <c r="FX28" i="5" s="1"/>
  <c r="FX22" i="5" s="1"/>
  <c r="FX33" i="5"/>
  <c r="EH53" i="5"/>
  <c r="EH55" i="5" s="1"/>
  <c r="FP28" i="5"/>
  <c r="FP22" i="5" s="1"/>
  <c r="FP32" i="5"/>
  <c r="FP33" i="5"/>
  <c r="FN23" i="5"/>
  <c r="HO23" i="5" s="1"/>
  <c r="FU18" i="5"/>
  <c r="FU19" i="5" s="1"/>
  <c r="T77" i="6"/>
  <c r="FZ33" i="5"/>
  <c r="FZ28" i="5"/>
  <c r="FZ22" i="5" s="1"/>
  <c r="FZ32" i="5"/>
  <c r="FN14" i="5"/>
  <c r="HO14" i="5" s="1"/>
  <c r="FB18" i="5"/>
  <c r="FB19" i="5" s="1"/>
  <c r="GA39" i="5"/>
  <c r="HP39" i="5" s="1"/>
  <c r="FO38" i="5"/>
  <c r="DZ53" i="5"/>
  <c r="DZ55" i="5"/>
  <c r="DS55" i="5"/>
  <c r="DS53" i="5"/>
  <c r="EG53" i="5"/>
  <c r="EG55" i="5" s="1"/>
  <c r="DT53" i="5"/>
  <c r="DT55" i="5" s="1"/>
  <c r="CR55" i="5"/>
  <c r="CR53" i="5"/>
  <c r="CU53" i="5"/>
  <c r="CU55" i="5" s="1"/>
  <c r="GA12" i="5"/>
  <c r="HP12" i="5" s="1"/>
  <c r="FO26" i="5"/>
  <c r="GA26" i="5" s="1"/>
  <c r="HP26" i="5" s="1"/>
  <c r="FB28" i="5"/>
  <c r="DW53" i="5"/>
  <c r="DW55" i="5"/>
  <c r="FY32" i="5"/>
  <c r="FY33" i="5"/>
  <c r="FY28" i="5" s="1"/>
  <c r="FY22" i="5" s="1"/>
  <c r="DM35" i="5"/>
  <c r="DM44" i="5" s="1"/>
  <c r="DM51" i="5" s="1"/>
  <c r="DM58" i="5" a="1"/>
  <c r="DM58" i="5" s="1"/>
  <c r="FU46" i="5"/>
  <c r="GA7" i="5"/>
  <c r="HP7" i="5" s="1"/>
  <c r="FO8" i="5"/>
  <c r="GA8" i="5" s="1"/>
  <c r="HP8" i="5" s="1"/>
  <c r="C79" i="6"/>
  <c r="N79" i="6" s="1"/>
  <c r="EE55" i="5"/>
  <c r="EE53" i="5"/>
  <c r="CM55" i="5"/>
  <c r="CM53" i="5"/>
  <c r="FK18" i="5"/>
  <c r="FK19" i="5" s="1"/>
  <c r="GH7" i="5"/>
  <c r="GH8" i="5" s="1"/>
  <c r="GH48" i="5"/>
  <c r="GH30" i="5"/>
  <c r="GH43" i="5"/>
  <c r="GH39" i="5"/>
  <c r="GH50" i="5"/>
  <c r="GH40" i="5" a="1"/>
  <c r="GH40" i="5" s="1"/>
  <c r="GH29" i="5"/>
  <c r="GH14" i="5"/>
  <c r="GH42" i="5"/>
  <c r="GH24" i="5"/>
  <c r="GH12" i="5"/>
  <c r="GH26" i="5" s="1"/>
  <c r="CL55" i="5"/>
  <c r="CL53" i="5"/>
  <c r="GK30" i="5"/>
  <c r="GK29" i="5"/>
  <c r="GK50" i="5"/>
  <c r="GK7" i="5"/>
  <c r="GK8" i="5" s="1"/>
  <c r="GK43" i="5"/>
  <c r="GK42" i="5"/>
  <c r="GK48" i="5"/>
  <c r="GK46" i="5" s="1"/>
  <c r="GK24" i="5"/>
  <c r="GK23" i="5" s="1"/>
  <c r="GK12" i="5"/>
  <c r="GK26" i="5" s="1"/>
  <c r="GK40" i="5" a="1"/>
  <c r="GK40" i="5" s="1"/>
  <c r="GK14" i="5"/>
  <c r="GK39" i="5"/>
  <c r="FV23" i="5"/>
  <c r="FQ38" i="5"/>
  <c r="DF53" i="5"/>
  <c r="DF55" i="5" s="1"/>
  <c r="FP46" i="5"/>
  <c r="CS58" i="5" a="1"/>
  <c r="CS58" i="5" s="1"/>
  <c r="CS35" i="5"/>
  <c r="CS44" i="5" s="1"/>
  <c r="CS51" i="5" s="1"/>
  <c r="GA40" i="5"/>
  <c r="I79" i="6"/>
  <c r="Q79" i="6" s="1"/>
  <c r="FW23" i="5"/>
  <c r="DP55" i="5"/>
  <c r="DP53" i="5"/>
  <c r="FI22" i="5"/>
  <c r="ER55" i="5"/>
  <c r="ER53" i="5"/>
  <c r="EI53" i="5"/>
  <c r="EI55" i="5" s="1"/>
  <c r="GI50" i="5"/>
  <c r="GI29" i="5"/>
  <c r="GI48" i="5"/>
  <c r="GI46" i="5" s="1"/>
  <c r="GI30" i="5"/>
  <c r="GI7" i="5"/>
  <c r="GI8" i="5" s="1"/>
  <c r="GI43" i="5"/>
  <c r="GI24" i="5"/>
  <c r="GI14" i="5"/>
  <c r="GI40" i="5" a="1"/>
  <c r="GI40" i="5" s="1"/>
  <c r="GI42" i="5"/>
  <c r="GI39" i="5"/>
  <c r="GI12" i="5"/>
  <c r="GI26" i="5" s="1"/>
  <c r="DR53" i="5"/>
  <c r="DR55" i="5" s="1"/>
  <c r="CP55" i="5"/>
  <c r="CP53" i="5"/>
  <c r="FC22" i="5"/>
  <c r="FC35" i="5" s="1"/>
  <c r="FC44" i="5" s="1"/>
  <c r="FC51" i="5" s="1"/>
  <c r="GJ48" i="5"/>
  <c r="GJ29" i="5"/>
  <c r="GJ39" i="5"/>
  <c r="GJ38" i="5" s="1"/>
  <c r="GJ24" i="5"/>
  <c r="GJ23" i="5" s="1"/>
  <c r="GJ7" i="5"/>
  <c r="GJ8" i="5" s="1"/>
  <c r="GJ30" i="5"/>
  <c r="GJ42" i="5"/>
  <c r="GJ40" i="5" a="1"/>
  <c r="GJ40" i="5" s="1"/>
  <c r="GJ14" i="5"/>
  <c r="GJ50" i="5"/>
  <c r="GJ43" i="5"/>
  <c r="GJ12" i="5"/>
  <c r="GJ26" i="5" s="1"/>
  <c r="GQ10" i="5" a="1"/>
  <c r="GQ10" i="5" s="1"/>
  <c r="GU10" i="5" a="1"/>
  <c r="GU10" i="5" s="1"/>
  <c r="GY10" i="5" a="1"/>
  <c r="GY10" i="5" s="1"/>
  <c r="GV10" i="5" a="1"/>
  <c r="GV10" i="5" s="1"/>
  <c r="GT10" i="5" a="1"/>
  <c r="GT10" i="5" s="1"/>
  <c r="GZ10" i="5" a="1"/>
  <c r="GZ10" i="5" s="1"/>
  <c r="GR10" i="5" a="1"/>
  <c r="GR10" i="5" s="1"/>
  <c r="GS10" i="5" a="1"/>
  <c r="GS10" i="5" s="1"/>
  <c r="GX10" i="5" a="1"/>
  <c r="GX10" i="5" s="1"/>
  <c r="GO10" i="5" a="1"/>
  <c r="GO10" i="5" s="1"/>
  <c r="GW10" i="5" a="1"/>
  <c r="GW10" i="5" s="1"/>
  <c r="GP10" i="5" a="1"/>
  <c r="GP10" i="5" s="1"/>
  <c r="FV38" i="5"/>
  <c r="FF22" i="5"/>
  <c r="FQ23" i="5"/>
  <c r="GN10" i="5"/>
  <c r="HQ10" i="5" s="1"/>
  <c r="GB29" i="5"/>
  <c r="GB40" i="5" a="1"/>
  <c r="GB40" i="5" s="1"/>
  <c r="GB24" i="5"/>
  <c r="GB50" i="5"/>
  <c r="GB48" i="5"/>
  <c r="GB14" i="5"/>
  <c r="GB12" i="5"/>
  <c r="GB43" i="5"/>
  <c r="GB30" i="5"/>
  <c r="GB42" i="5"/>
  <c r="GB7" i="5"/>
  <c r="GB39" i="5"/>
  <c r="FQ14" i="5"/>
  <c r="DJ53" i="5"/>
  <c r="DJ55" i="5"/>
  <c r="FT14" i="5"/>
  <c r="DY53" i="5"/>
  <c r="DY55" i="5" s="1"/>
  <c r="GA24" i="5"/>
  <c r="HP24" i="5" s="1"/>
  <c r="FW38" i="5"/>
  <c r="ET53" i="5"/>
  <c r="ET55" i="5"/>
  <c r="EY55" i="5"/>
  <c r="EY53" i="5"/>
  <c r="DH53" i="5"/>
  <c r="DH55" i="5"/>
  <c r="DC53" i="5"/>
  <c r="DC55" i="5"/>
  <c r="DU53" i="5"/>
  <c r="DU55" i="5" s="1"/>
  <c r="ES53" i="5"/>
  <c r="ES55" i="5" s="1"/>
  <c r="DQ53" i="5"/>
  <c r="DQ55" i="5" s="1"/>
  <c r="FT32" i="5"/>
  <c r="FT28" i="5" s="1"/>
  <c r="FT22" i="5" s="1"/>
  <c r="FT33" i="5"/>
  <c r="CY58" i="5" a="1"/>
  <c r="CY58" i="5" s="1"/>
  <c r="CY35" i="5"/>
  <c r="CY44" i="5" s="1"/>
  <c r="CY51" i="5" s="1"/>
  <c r="CZ53" i="5"/>
  <c r="CZ55" i="5" s="1"/>
  <c r="EU53" i="5"/>
  <c r="EU55" i="5" s="1"/>
  <c r="FY19" i="5"/>
  <c r="FY18" i="5"/>
  <c r="EX35" i="5"/>
  <c r="EX44" i="5" s="1"/>
  <c r="EX51" i="5" s="1"/>
  <c r="EX58" i="5" a="1"/>
  <c r="EX58" i="5" s="1"/>
  <c r="EN19" i="5"/>
  <c r="HM19" i="5" s="1"/>
  <c r="E76" i="6"/>
  <c r="O76" i="6" s="1"/>
  <c r="EB58" i="5" a="1"/>
  <c r="EB58" i="5" s="1"/>
  <c r="EB35" i="5"/>
  <c r="FP14" i="5"/>
  <c r="DN28" i="5"/>
  <c r="HK28" i="5" s="1"/>
  <c r="G74" i="6"/>
  <c r="P74" i="6" s="1"/>
  <c r="T74" i="6" s="1"/>
  <c r="DB22" i="5"/>
  <c r="FN38" i="5"/>
  <c r="HO38" i="5" s="1"/>
  <c r="GL42" i="5"/>
  <c r="GL43" i="5"/>
  <c r="GL39" i="5"/>
  <c r="GL38" i="5" s="1"/>
  <c r="GL14" i="5"/>
  <c r="GL30" i="5"/>
  <c r="GL50" i="5"/>
  <c r="GL40" i="5" a="1"/>
  <c r="GL40" i="5" s="1"/>
  <c r="GL48" i="5"/>
  <c r="GL46" i="5" s="1"/>
  <c r="GL24" i="5"/>
  <c r="GL23" i="5" s="1"/>
  <c r="GL7" i="5"/>
  <c r="GL8" i="5" s="1"/>
  <c r="GL29" i="5"/>
  <c r="GL12" i="5"/>
  <c r="GL26" i="5" s="1"/>
  <c r="FV46" i="5"/>
  <c r="FR38" i="5"/>
  <c r="DD55" i="5"/>
  <c r="DD53" i="5"/>
  <c r="FX46" i="5"/>
  <c r="FG19" i="5"/>
  <c r="FG18" i="5"/>
  <c r="FT46" i="5"/>
  <c r="FZ14" i="5"/>
  <c r="DI55" i="5"/>
  <c r="DI53" i="5"/>
  <c r="GA30" i="5"/>
  <c r="HP30" i="5" s="1"/>
  <c r="FW14" i="5"/>
  <c r="EK53" i="5"/>
  <c r="EK55" i="5" s="1"/>
  <c r="DX55" i="5"/>
  <c r="DX53" i="5"/>
  <c r="EJ53" i="5"/>
  <c r="EJ55" i="5" s="1"/>
  <c r="FV33" i="5"/>
  <c r="FV32" i="5"/>
  <c r="FV28" i="5" s="1"/>
  <c r="FD22" i="5"/>
  <c r="FD58" i="5" s="1" a="1"/>
  <c r="FD58" i="5" s="1"/>
  <c r="FJ58" i="5" a="1"/>
  <c r="FJ58" i="5" s="1"/>
  <c r="FJ35" i="5"/>
  <c r="FJ44" i="5" s="1"/>
  <c r="FJ51" i="5" s="1"/>
  <c r="FF35" i="5"/>
  <c r="FF44" i="5" s="1"/>
  <c r="FF51" i="5" s="1"/>
  <c r="FF58" i="5" a="1"/>
  <c r="FF58" i="5" s="1"/>
  <c r="GA50" i="5"/>
  <c r="HP50" i="5" s="1"/>
  <c r="G72" i="6"/>
  <c r="P72" i="6" s="1"/>
  <c r="T72" i="6" s="1"/>
  <c r="CN28" i="5"/>
  <c r="HI28" i="5" s="1"/>
  <c r="CJ22" i="5"/>
  <c r="EM55" i="5"/>
  <c r="EM53" i="5"/>
  <c r="ED55" i="5"/>
  <c r="ED53" i="5"/>
  <c r="GE42" i="5"/>
  <c r="GE40" i="5" a="1"/>
  <c r="GE40" i="5" s="1"/>
  <c r="GE30" i="5"/>
  <c r="GE12" i="5"/>
  <c r="GE26" i="5" s="1"/>
  <c r="GE48" i="5"/>
  <c r="GE46" i="5" s="1"/>
  <c r="GE29" i="5"/>
  <c r="GE50" i="5"/>
  <c r="GE24" i="5"/>
  <c r="GE14" i="5"/>
  <c r="GE7" i="5"/>
  <c r="GE8" i="5" s="1"/>
  <c r="GE39" i="5"/>
  <c r="GE38" i="5" s="1"/>
  <c r="GE43" i="5"/>
  <c r="FE19" i="5"/>
  <c r="FE18" i="5"/>
  <c r="GC50" i="5"/>
  <c r="GC40" i="5" a="1"/>
  <c r="GC40" i="5" s="1"/>
  <c r="GC43" i="5"/>
  <c r="GC39" i="5"/>
  <c r="GC24" i="5"/>
  <c r="GC12" i="5"/>
  <c r="GC26" i="5" s="1"/>
  <c r="GC7" i="5"/>
  <c r="GC8" i="5" s="1"/>
  <c r="GC29" i="5"/>
  <c r="GC42" i="5"/>
  <c r="GC30" i="5"/>
  <c r="GC48" i="5"/>
  <c r="FV14" i="5"/>
  <c r="FR46" i="5"/>
  <c r="FX14" i="5"/>
  <c r="FI19" i="5"/>
  <c r="FI18" i="5"/>
  <c r="FU32" i="5"/>
  <c r="FU28" i="5" s="1"/>
  <c r="FU22" i="5" s="1"/>
  <c r="FU33" i="5"/>
  <c r="GA29" i="5"/>
  <c r="HP29" i="5" s="1"/>
  <c r="FO32" i="5"/>
  <c r="FO28" i="5" s="1"/>
  <c r="FO33" i="5"/>
  <c r="EL53" i="5"/>
  <c r="EL55" i="5" s="1"/>
  <c r="EZ53" i="5"/>
  <c r="EZ55" i="5"/>
  <c r="DG58" i="5" a="1"/>
  <c r="DG58" i="5" s="1"/>
  <c r="DG35" i="5"/>
  <c r="DG44" i="5" s="1"/>
  <c r="DG51" i="5" s="1"/>
  <c r="DK53" i="5"/>
  <c r="DK55" i="5"/>
  <c r="EP55" i="5"/>
  <c r="EP53" i="5"/>
  <c r="FN19" i="5" l="1"/>
  <c r="HO19" i="5" s="1"/>
  <c r="E78" i="6"/>
  <c r="O78" i="6" s="1"/>
  <c r="FR58" i="5" a="1"/>
  <c r="FR58" i="5" s="1"/>
  <c r="FR35" i="5"/>
  <c r="FR44" i="5" s="1"/>
  <c r="FR51" i="5" s="1"/>
  <c r="FK58" i="5" a="1"/>
  <c r="FK58" i="5" s="1"/>
  <c r="FK35" i="5"/>
  <c r="FK44" i="5" s="1"/>
  <c r="FK51" i="5" s="1"/>
  <c r="FU58" i="5" a="1"/>
  <c r="FU58" i="5" s="1"/>
  <c r="FU35" i="5"/>
  <c r="FU44" i="5" s="1"/>
  <c r="FU51" i="5" s="1"/>
  <c r="FC53" i="5"/>
  <c r="FC55" i="5" s="1"/>
  <c r="GA28" i="5"/>
  <c r="HP28" i="5" s="1"/>
  <c r="G79" i="6"/>
  <c r="P79" i="6" s="1"/>
  <c r="FV18" i="5"/>
  <c r="FV19" i="5" s="1"/>
  <c r="GL32" i="5"/>
  <c r="GL28" i="5" s="1"/>
  <c r="GL22" i="5" s="1"/>
  <c r="GL33" i="5"/>
  <c r="DN22" i="5"/>
  <c r="HK22" i="5" s="1"/>
  <c r="DB35" i="5"/>
  <c r="DB58" i="5" a="1"/>
  <c r="DB58" i="5" s="1"/>
  <c r="DN58" i="5" s="1"/>
  <c r="HK58" i="5" s="1"/>
  <c r="FO23" i="5"/>
  <c r="GN43" i="5"/>
  <c r="HQ43" i="5" s="1"/>
  <c r="GP43" i="5"/>
  <c r="GP42" i="5"/>
  <c r="GP40" i="5" a="1"/>
  <c r="GP40" i="5" s="1"/>
  <c r="GP29" i="5"/>
  <c r="GP39" i="5"/>
  <c r="GP38" i="5" s="1"/>
  <c r="GP24" i="5"/>
  <c r="GP12" i="5"/>
  <c r="GP26" i="5" s="1"/>
  <c r="GP14" i="5"/>
  <c r="GP50" i="5"/>
  <c r="GP30" i="5"/>
  <c r="GP7" i="5"/>
  <c r="GP8" i="5" s="1"/>
  <c r="GP48" i="5"/>
  <c r="GP46" i="5" s="1"/>
  <c r="FW22" i="5"/>
  <c r="GG38" i="5"/>
  <c r="FS22" i="5"/>
  <c r="FC58" i="5" a="1"/>
  <c r="FC58" i="5" s="1"/>
  <c r="GN12" i="5"/>
  <c r="HQ12" i="5" s="1"/>
  <c r="GB26" i="5"/>
  <c r="GN26" i="5" s="1"/>
  <c r="HQ26" i="5" s="1"/>
  <c r="GW48" i="5"/>
  <c r="GW7" i="5"/>
  <c r="GW8" i="5" s="1"/>
  <c r="GW42" i="5"/>
  <c r="GW39" i="5"/>
  <c r="GW40" i="5" a="1"/>
  <c r="GW40" i="5" s="1"/>
  <c r="GW12" i="5"/>
  <c r="GW26" i="5" s="1"/>
  <c r="GW50" i="5"/>
  <c r="GW29" i="5"/>
  <c r="GW30" i="5"/>
  <c r="GW24" i="5"/>
  <c r="GW23" i="5" s="1"/>
  <c r="GW43" i="5"/>
  <c r="U79" i="6"/>
  <c r="GH23" i="5"/>
  <c r="DM53" i="5"/>
  <c r="DM55" i="5" s="1"/>
  <c r="EA22" i="5"/>
  <c r="HL22" i="5" s="1"/>
  <c r="DO35" i="5"/>
  <c r="DO58" i="5" a="1"/>
  <c r="DO58" i="5" s="1"/>
  <c r="EA58" i="5" s="1"/>
  <c r="HL58" i="5" s="1"/>
  <c r="EC58" i="5" a="1"/>
  <c r="EC58" i="5" s="1"/>
  <c r="EC35" i="5"/>
  <c r="EC44" i="5" s="1"/>
  <c r="EC51" i="5" s="1"/>
  <c r="GC33" i="5"/>
  <c r="GC28" i="5" s="1"/>
  <c r="GC32" i="5"/>
  <c r="FZ18" i="5"/>
  <c r="FZ19" i="5" s="1"/>
  <c r="GB19" i="5"/>
  <c r="GB18" i="5"/>
  <c r="HA10" i="5"/>
  <c r="HR10" i="5" s="1"/>
  <c r="GO50" i="5"/>
  <c r="GO30" i="5"/>
  <c r="HA30" i="5" s="1"/>
  <c r="HR30" i="5" s="1"/>
  <c r="GO39" i="5"/>
  <c r="GO12" i="5"/>
  <c r="GO43" i="5"/>
  <c r="GO42" i="5"/>
  <c r="GO7" i="5"/>
  <c r="GO48" i="5"/>
  <c r="GO29" i="5"/>
  <c r="GO40" i="5" a="1"/>
  <c r="GO40" i="5" s="1"/>
  <c r="GO24" i="5"/>
  <c r="G50" i="4"/>
  <c r="HP40" i="5"/>
  <c r="FN18" i="5"/>
  <c r="HO18" i="5" s="1"/>
  <c r="GA46" i="5"/>
  <c r="HP46" i="5" s="1"/>
  <c r="S77" i="6"/>
  <c r="V77" i="6"/>
  <c r="GG23" i="5"/>
  <c r="GE18" i="5"/>
  <c r="GE19" i="5" s="1"/>
  <c r="FP18" i="5"/>
  <c r="FP19" i="5"/>
  <c r="GN48" i="5"/>
  <c r="HQ48" i="5" s="1"/>
  <c r="GB46" i="5"/>
  <c r="GJ19" i="5"/>
  <c r="GJ18" i="5"/>
  <c r="GI33" i="5"/>
  <c r="GI32" i="5"/>
  <c r="GI28" i="5" s="1"/>
  <c r="FA58" i="5"/>
  <c r="HN58" i="5" s="1"/>
  <c r="FL53" i="5"/>
  <c r="FL55" i="5"/>
  <c r="GC23" i="5"/>
  <c r="GE23" i="5"/>
  <c r="GE22" i="5" s="1"/>
  <c r="CN22" i="5"/>
  <c r="HI22" i="5" s="1"/>
  <c r="CJ58" i="5" a="1"/>
  <c r="CJ58" i="5" s="1"/>
  <c r="CN58" i="5" s="1"/>
  <c r="HI58" i="5" s="1"/>
  <c r="CJ35" i="5"/>
  <c r="EB44" i="5"/>
  <c r="CY55" i="5"/>
  <c r="CY53" i="5"/>
  <c r="FT18" i="5"/>
  <c r="FT19" i="5" s="1"/>
  <c r="GN50" i="5"/>
  <c r="HQ50" i="5" s="1"/>
  <c r="GS40" i="5" a="1"/>
  <c r="GS40" i="5" s="1"/>
  <c r="GS30" i="5"/>
  <c r="GS14" i="5"/>
  <c r="GS50" i="5"/>
  <c r="GS29" i="5"/>
  <c r="GS48" i="5"/>
  <c r="GS24" i="5"/>
  <c r="GS39" i="5"/>
  <c r="GS38" i="5" s="1"/>
  <c r="GS43" i="5"/>
  <c r="GS7" i="5"/>
  <c r="GS8" i="5" s="1"/>
  <c r="GS42" i="5"/>
  <c r="GS12" i="5"/>
  <c r="GS26" i="5" s="1"/>
  <c r="GH32" i="5"/>
  <c r="GH33" i="5"/>
  <c r="GH28" i="5"/>
  <c r="DA22" i="5"/>
  <c r="HJ22" i="5" s="1"/>
  <c r="CO58" i="5" a="1"/>
  <c r="CO58" i="5" s="1"/>
  <c r="DA58" i="5" s="1"/>
  <c r="HJ58" i="5" s="1"/>
  <c r="CO35" i="5"/>
  <c r="GF33" i="5"/>
  <c r="GF32" i="5"/>
  <c r="GF28" i="5" s="1"/>
  <c r="GD14" i="5"/>
  <c r="FA35" i="5"/>
  <c r="HN35" i="5" s="1"/>
  <c r="EO44" i="5"/>
  <c r="GC38" i="5"/>
  <c r="FG35" i="5"/>
  <c r="FG44" i="5" s="1"/>
  <c r="FG51" i="5" s="1"/>
  <c r="FG58" i="5" a="1"/>
  <c r="FG58" i="5" s="1"/>
  <c r="EN58" i="5"/>
  <c r="HM58" i="5" s="1"/>
  <c r="GN24" i="5"/>
  <c r="HQ24" i="5" s="1"/>
  <c r="GB23" i="5"/>
  <c r="GR12" i="5"/>
  <c r="GR26" i="5" s="1"/>
  <c r="GR30" i="5"/>
  <c r="GR48" i="5"/>
  <c r="GR39" i="5"/>
  <c r="GR29" i="5"/>
  <c r="GR43" i="5"/>
  <c r="GR7" i="5"/>
  <c r="GR8" i="5" s="1"/>
  <c r="GR50" i="5"/>
  <c r="GR40" i="5" a="1"/>
  <c r="GR40" i="5" s="1"/>
  <c r="GR42" i="5"/>
  <c r="GR24" i="5"/>
  <c r="GR23" i="5" s="1"/>
  <c r="GD33" i="5"/>
  <c r="GD32" i="5"/>
  <c r="GD28" i="5" s="1"/>
  <c r="FD35" i="5"/>
  <c r="FD44" i="5" s="1"/>
  <c r="FD51" i="5" s="1"/>
  <c r="DG53" i="5"/>
  <c r="DG55" i="5"/>
  <c r="GM18" i="5"/>
  <c r="GM19" i="5" s="1"/>
  <c r="FI35" i="5"/>
  <c r="FI44" i="5" s="1"/>
  <c r="FI51" i="5" s="1"/>
  <c r="FI58" i="5" a="1"/>
  <c r="FI58" i="5" s="1"/>
  <c r="FX18" i="5"/>
  <c r="FX19" i="5" s="1"/>
  <c r="GE32" i="5"/>
  <c r="GE28" i="5"/>
  <c r="GE33" i="5"/>
  <c r="S76" i="6"/>
  <c r="V76" i="6"/>
  <c r="GN40" i="5"/>
  <c r="I80" i="6"/>
  <c r="Q80" i="6" s="1"/>
  <c r="GZ14" i="5"/>
  <c r="GZ39" i="5"/>
  <c r="GZ38" i="5" s="1"/>
  <c r="GZ29" i="5"/>
  <c r="GZ7" i="5"/>
  <c r="GZ8" i="5" s="1"/>
  <c r="GZ40" i="5" a="1"/>
  <c r="GZ40" i="5" s="1"/>
  <c r="GZ24" i="5"/>
  <c r="GZ12" i="5"/>
  <c r="GZ26" i="5" s="1"/>
  <c r="GZ42" i="5"/>
  <c r="GZ50" i="5"/>
  <c r="GZ48" i="5"/>
  <c r="GZ43" i="5"/>
  <c r="GZ30" i="5"/>
  <c r="GI38" i="5"/>
  <c r="GF38" i="5"/>
  <c r="GM32" i="5"/>
  <c r="GM28" i="5" s="1"/>
  <c r="GM33" i="5"/>
  <c r="GD23" i="5"/>
  <c r="GX42" i="5"/>
  <c r="GX29" i="5"/>
  <c r="GX30" i="5"/>
  <c r="GX12" i="5"/>
  <c r="GX26" i="5" s="1"/>
  <c r="GX7" i="5"/>
  <c r="GX8" i="5" s="1"/>
  <c r="GX40" i="5" a="1"/>
  <c r="GX40" i="5" s="1"/>
  <c r="GX24" i="5"/>
  <c r="GX23" i="5" s="1"/>
  <c r="GX48" i="5"/>
  <c r="GX46" i="5" s="1"/>
  <c r="GX43" i="5"/>
  <c r="GX50" i="5"/>
  <c r="GX39" i="5"/>
  <c r="CS53" i="5"/>
  <c r="CS55" i="5" s="1"/>
  <c r="GH18" i="5"/>
  <c r="GH19" i="5" s="1"/>
  <c r="GL18" i="5"/>
  <c r="GL19" i="5" s="1"/>
  <c r="FQ18" i="5"/>
  <c r="GA18" i="5" s="1"/>
  <c r="HP18" i="5" s="1"/>
  <c r="FQ19" i="5"/>
  <c r="GN29" i="5"/>
  <c r="HQ29" i="5" s="1"/>
  <c r="GB28" i="5"/>
  <c r="GB32" i="5"/>
  <c r="GB33" i="5"/>
  <c r="GT40" i="5" a="1"/>
  <c r="GT40" i="5" s="1"/>
  <c r="GT12" i="5"/>
  <c r="GT26" i="5" s="1"/>
  <c r="GT43" i="5"/>
  <c r="GT50" i="5"/>
  <c r="GT42" i="5"/>
  <c r="GT14" i="5"/>
  <c r="GT30" i="5"/>
  <c r="GT29" i="5"/>
  <c r="GT24" i="5"/>
  <c r="GT23" i="5" s="1"/>
  <c r="GT39" i="5"/>
  <c r="GT38" i="5" s="1"/>
  <c r="GT48" i="5"/>
  <c r="GT46" i="5" s="1"/>
  <c r="GT7" i="5"/>
  <c r="GT8" i="5" s="1"/>
  <c r="GH38" i="5"/>
  <c r="FN28" i="5"/>
  <c r="HO28" i="5" s="1"/>
  <c r="G78" i="6"/>
  <c r="P78" i="6" s="1"/>
  <c r="T78" i="6" s="1"/>
  <c r="FM53" i="5"/>
  <c r="FM55" i="5"/>
  <c r="S74" i="6"/>
  <c r="V74" i="6"/>
  <c r="GN39" i="5"/>
  <c r="HQ39" i="5" s="1"/>
  <c r="GB38" i="5"/>
  <c r="GG14" i="5"/>
  <c r="GC46" i="5"/>
  <c r="FF55" i="5"/>
  <c r="FF53" i="5"/>
  <c r="EX53" i="5"/>
  <c r="EX55" i="5" s="1"/>
  <c r="FQ22" i="5"/>
  <c r="DE53" i="5"/>
  <c r="DE55" i="5"/>
  <c r="GA14" i="5"/>
  <c r="HP14" i="5" s="1"/>
  <c r="GV40" i="5" a="1"/>
  <c r="GV40" i="5" s="1"/>
  <c r="GV39" i="5"/>
  <c r="GV38" i="5" s="1"/>
  <c r="GV24" i="5"/>
  <c r="GV29" i="5"/>
  <c r="GV48" i="5"/>
  <c r="GV46" i="5" s="1"/>
  <c r="GV30" i="5"/>
  <c r="GV50" i="5"/>
  <c r="GV7" i="5"/>
  <c r="GV8" i="5" s="1"/>
  <c r="GV42" i="5"/>
  <c r="GV12" i="5"/>
  <c r="GV26" i="5" s="1"/>
  <c r="GV43" i="5"/>
  <c r="GK32" i="5"/>
  <c r="GK28" i="5" s="1"/>
  <c r="GK22" i="5" s="1"/>
  <c r="GK33" i="5"/>
  <c r="GN7" i="5"/>
  <c r="HQ7" i="5" s="1"/>
  <c r="C80" i="6"/>
  <c r="N80" i="6" s="1"/>
  <c r="GB8" i="5"/>
  <c r="GN8" i="5" s="1"/>
  <c r="HQ8" i="5" s="1"/>
  <c r="GY42" i="5"/>
  <c r="GY43" i="5"/>
  <c r="GY39" i="5"/>
  <c r="GY24" i="5"/>
  <c r="GY50" i="5"/>
  <c r="GY12" i="5"/>
  <c r="GY26" i="5" s="1"/>
  <c r="GY48" i="5"/>
  <c r="GY7" i="5"/>
  <c r="GY8" i="5" s="1"/>
  <c r="GY40" i="5" a="1"/>
  <c r="GY40" i="5" s="1"/>
  <c r="GY29" i="5"/>
  <c r="GY30" i="5"/>
  <c r="GI18" i="5"/>
  <c r="GI19" i="5"/>
  <c r="FV22" i="5"/>
  <c r="GF18" i="5"/>
  <c r="GF19" i="5"/>
  <c r="GM46" i="5"/>
  <c r="GA33" i="5"/>
  <c r="HP33" i="5" s="1"/>
  <c r="GC14" i="5"/>
  <c r="FJ53" i="5"/>
  <c r="FJ55" i="5"/>
  <c r="FW18" i="5"/>
  <c r="FW19" i="5" s="1"/>
  <c r="GN42" i="5"/>
  <c r="HQ42" i="5" s="1"/>
  <c r="GU50" i="5"/>
  <c r="GU40" i="5" a="1"/>
  <c r="GU40" i="5" s="1"/>
  <c r="GU7" i="5"/>
  <c r="GU8" i="5" s="1"/>
  <c r="GU48" i="5"/>
  <c r="GU46" i="5" s="1"/>
  <c r="GU29" i="5"/>
  <c r="GU43" i="5"/>
  <c r="GU24" i="5"/>
  <c r="GU23" i="5" s="1"/>
  <c r="GU39" i="5"/>
  <c r="GU14" i="5"/>
  <c r="GU42" i="5"/>
  <c r="GU30" i="5"/>
  <c r="GU12" i="5"/>
  <c r="GU26" i="5" s="1"/>
  <c r="GJ32" i="5"/>
  <c r="GJ28" i="5" s="1"/>
  <c r="GJ22" i="5" s="1"/>
  <c r="GJ33" i="5"/>
  <c r="GI23" i="5"/>
  <c r="GK38" i="5"/>
  <c r="GH46" i="5"/>
  <c r="FB22" i="5"/>
  <c r="FN22" i="5" s="1"/>
  <c r="HO22" i="5" s="1"/>
  <c r="GF23" i="5"/>
  <c r="GM23" i="5"/>
  <c r="GD38" i="5"/>
  <c r="FS19" i="5"/>
  <c r="FS18" i="5"/>
  <c r="GG33" i="5"/>
  <c r="GG32" i="5"/>
  <c r="GG28" i="5" s="1"/>
  <c r="FH53" i="5"/>
  <c r="FH55" i="5"/>
  <c r="GA32" i="5"/>
  <c r="HP32" i="5" s="1"/>
  <c r="FE58" i="5" a="1"/>
  <c r="FE58" i="5" s="1"/>
  <c r="FE35" i="5"/>
  <c r="FE44" i="5" s="1"/>
  <c r="FE51" i="5" s="1"/>
  <c r="FY58" i="5" a="1"/>
  <c r="FY58" i="5" s="1"/>
  <c r="FY35" i="5"/>
  <c r="FY44" i="5" s="1"/>
  <c r="FY51" i="5" s="1"/>
  <c r="GN30" i="5"/>
  <c r="HQ30" i="5" s="1"/>
  <c r="GQ40" i="5" a="1"/>
  <c r="GQ40" i="5" s="1"/>
  <c r="GQ43" i="5"/>
  <c r="GQ42" i="5"/>
  <c r="GQ39" i="5"/>
  <c r="GQ38" i="5" s="1"/>
  <c r="GQ12" i="5"/>
  <c r="GQ26" i="5" s="1"/>
  <c r="GQ50" i="5"/>
  <c r="GQ24" i="5"/>
  <c r="GQ23" i="5" s="1"/>
  <c r="GQ7" i="5"/>
  <c r="GQ8" i="5" s="1"/>
  <c r="GQ30" i="5"/>
  <c r="GQ29" i="5"/>
  <c r="GQ48" i="5"/>
  <c r="GJ46" i="5"/>
  <c r="GK18" i="5"/>
  <c r="GK19" i="5" s="1"/>
  <c r="GA38" i="5"/>
  <c r="HP38" i="5" s="1"/>
  <c r="CT53" i="5"/>
  <c r="CT55" i="5"/>
  <c r="FZ35" i="5" l="1"/>
  <c r="FZ44" i="5" s="1"/>
  <c r="FZ51" i="5" s="1"/>
  <c r="FZ58" i="5" a="1"/>
  <c r="FZ58" i="5" s="1"/>
  <c r="GA19" i="5"/>
  <c r="HP19" i="5" s="1"/>
  <c r="FT35" i="5"/>
  <c r="FT44" i="5" s="1"/>
  <c r="FT51" i="5" s="1"/>
  <c r="FT58" i="5" a="1"/>
  <c r="FT58" i="5" s="1"/>
  <c r="FW35" i="5"/>
  <c r="FW44" i="5" s="1"/>
  <c r="FW51" i="5" s="1"/>
  <c r="FW58" i="5" a="1"/>
  <c r="FW58" i="5" s="1"/>
  <c r="GK58" i="5" a="1"/>
  <c r="GK58" i="5" s="1"/>
  <c r="GK35" i="5"/>
  <c r="GK44" i="5" s="1"/>
  <c r="GK51" i="5" s="1"/>
  <c r="GL58" i="5" a="1"/>
  <c r="GL58" i="5" s="1"/>
  <c r="GL35" i="5"/>
  <c r="GL44" i="5" s="1"/>
  <c r="GL51" i="5" s="1"/>
  <c r="FX35" i="5"/>
  <c r="FX44" i="5" s="1"/>
  <c r="FX51" i="5" s="1"/>
  <c r="FX58" i="5" a="1"/>
  <c r="FX58" i="5" s="1"/>
  <c r="GE58" i="5" a="1"/>
  <c r="GE58" i="5" s="1"/>
  <c r="GE35" i="5"/>
  <c r="GE44" i="5" s="1"/>
  <c r="GE51" i="5" s="1"/>
  <c r="FV35" i="5"/>
  <c r="FV44" i="5" s="1"/>
  <c r="FV51" i="5" s="1"/>
  <c r="FV58" i="5" a="1"/>
  <c r="FV58" i="5" s="1"/>
  <c r="GZ18" i="5"/>
  <c r="GZ19" i="5" s="1"/>
  <c r="FG55" i="5"/>
  <c r="FG53" i="5"/>
  <c r="HA24" i="5"/>
  <c r="HR24" i="5" s="1"/>
  <c r="GV14" i="5"/>
  <c r="HA42" i="5"/>
  <c r="HR42" i="5" s="1"/>
  <c r="GP18" i="5"/>
  <c r="GP19" i="5" s="1"/>
  <c r="E79" i="6"/>
  <c r="O79" i="6" s="1"/>
  <c r="GS33" i="5"/>
  <c r="GS32" i="5"/>
  <c r="GS28" i="5" s="1"/>
  <c r="EC55" i="5"/>
  <c r="EC53" i="5"/>
  <c r="GI22" i="5"/>
  <c r="FQ58" i="5" a="1"/>
  <c r="FQ58" i="5" s="1"/>
  <c r="FQ35" i="5"/>
  <c r="FQ44" i="5" s="1"/>
  <c r="FQ51" i="5" s="1"/>
  <c r="GQ46" i="5"/>
  <c r="GQ32" i="5"/>
  <c r="GQ33" i="5"/>
  <c r="GQ28" i="5"/>
  <c r="GQ22" i="5" s="1"/>
  <c r="GM22" i="5"/>
  <c r="GM58" i="5" s="1" a="1"/>
  <c r="GM58" i="5" s="1"/>
  <c r="GU18" i="5"/>
  <c r="GU19" i="5" s="1"/>
  <c r="FE53" i="5"/>
  <c r="FE55" i="5" s="1"/>
  <c r="GF22" i="5"/>
  <c r="GF35" i="5" s="1"/>
  <c r="GF44" i="5" s="1"/>
  <c r="GF51" i="5" s="1"/>
  <c r="GU38" i="5"/>
  <c r="GV33" i="5"/>
  <c r="GV28" i="5"/>
  <c r="GV32" i="5"/>
  <c r="GN33" i="5"/>
  <c r="HQ33" i="5" s="1"/>
  <c r="GX38" i="5"/>
  <c r="GD22" i="5"/>
  <c r="GZ23" i="5"/>
  <c r="GS23" i="5"/>
  <c r="EN44" i="5"/>
  <c r="HM44" i="5" s="1"/>
  <c r="EB51" i="5"/>
  <c r="HA43" i="5"/>
  <c r="HR43" i="5" s="1"/>
  <c r="GW46" i="5"/>
  <c r="GN46" i="5"/>
  <c r="HQ46" i="5" s="1"/>
  <c r="GT33" i="5"/>
  <c r="GT32" i="5"/>
  <c r="GT28" i="5" s="1"/>
  <c r="GT22" i="5" s="1"/>
  <c r="GY23" i="5"/>
  <c r="GC18" i="5"/>
  <c r="GC19" i="5"/>
  <c r="GY46" i="5"/>
  <c r="GV23" i="5"/>
  <c r="GN32" i="5"/>
  <c r="HQ32" i="5" s="1"/>
  <c r="GN23" i="5"/>
  <c r="HQ23" i="5" s="1"/>
  <c r="GB22" i="5"/>
  <c r="DA35" i="5"/>
  <c r="HJ35" i="5" s="1"/>
  <c r="CO44" i="5"/>
  <c r="GS46" i="5"/>
  <c r="EN35" i="5"/>
  <c r="HM35" i="5" s="1"/>
  <c r="HA12" i="5"/>
  <c r="HR12" i="5" s="1"/>
  <c r="GO26" i="5"/>
  <c r="HA26" i="5" s="1"/>
  <c r="HR26" i="5" s="1"/>
  <c r="GP23" i="5"/>
  <c r="FU53" i="5"/>
  <c r="FU55" i="5" s="1"/>
  <c r="GN28" i="5"/>
  <c r="HQ28" i="5" s="1"/>
  <c r="G80" i="6"/>
  <c r="P80" i="6" s="1"/>
  <c r="GJ35" i="5"/>
  <c r="GJ44" i="5" s="1"/>
  <c r="GJ51" i="5" s="1"/>
  <c r="GJ58" i="5" a="1"/>
  <c r="GJ58" i="5" s="1"/>
  <c r="HA39" i="5"/>
  <c r="HR39" i="5" s="1"/>
  <c r="GO38" i="5"/>
  <c r="GU32" i="5"/>
  <c r="GU33" i="5"/>
  <c r="GU28" i="5"/>
  <c r="GU22" i="5" s="1"/>
  <c r="GY14" i="5"/>
  <c r="FI53" i="5"/>
  <c r="FI55" i="5"/>
  <c r="GS18" i="5"/>
  <c r="GS19" i="5"/>
  <c r="HA50" i="5"/>
  <c r="HR50" i="5" s="1"/>
  <c r="GW33" i="5"/>
  <c r="GW28" i="5"/>
  <c r="GW22" i="5" s="1"/>
  <c r="GW32" i="5"/>
  <c r="GG18" i="5"/>
  <c r="GG19" i="5" s="1"/>
  <c r="FR53" i="5"/>
  <c r="FR55" i="5"/>
  <c r="GY38" i="5"/>
  <c r="GT18" i="5"/>
  <c r="GT19" i="5" s="1"/>
  <c r="U80" i="6"/>
  <c r="GC22" i="5"/>
  <c r="HA40" i="5"/>
  <c r="I81" i="6"/>
  <c r="Q81" i="6" s="1"/>
  <c r="GN18" i="5"/>
  <c r="HQ18" i="5" s="1"/>
  <c r="EA35" i="5"/>
  <c r="HL35" i="5" s="1"/>
  <c r="DO44" i="5"/>
  <c r="GW14" i="5"/>
  <c r="GN38" i="5"/>
  <c r="HQ38" i="5" s="1"/>
  <c r="FK53" i="5"/>
  <c r="FK55" i="5"/>
  <c r="GI35" i="5"/>
  <c r="GI44" i="5" s="1"/>
  <c r="GI51" i="5" s="1"/>
  <c r="GI58" i="5" a="1"/>
  <c r="GI58" i="5" s="1"/>
  <c r="HQ40" i="5"/>
  <c r="G51" i="4"/>
  <c r="GR33" i="5"/>
  <c r="GR28" i="5"/>
  <c r="GR22" i="5" s="1"/>
  <c r="GR32" i="5"/>
  <c r="FA44" i="5"/>
  <c r="HN44" i="5" s="1"/>
  <c r="EO51" i="5"/>
  <c r="S78" i="6"/>
  <c r="V78" i="6"/>
  <c r="HA29" i="5"/>
  <c r="HR29" i="5" s="1"/>
  <c r="GO32" i="5"/>
  <c r="GO33" i="5"/>
  <c r="GB58" i="5" a="1"/>
  <c r="GB58" i="5" s="1"/>
  <c r="GZ46" i="5"/>
  <c r="GR38" i="5"/>
  <c r="HA48" i="5"/>
  <c r="HR48" i="5" s="1"/>
  <c r="GO46" i="5"/>
  <c r="GN14" i="5"/>
  <c r="HQ14" i="5" s="1"/>
  <c r="GA23" i="5"/>
  <c r="HP23" i="5" s="1"/>
  <c r="FO22" i="5"/>
  <c r="FB35" i="5"/>
  <c r="CJ44" i="5"/>
  <c r="CN35" i="5"/>
  <c r="HI35" i="5" s="1"/>
  <c r="GP33" i="5"/>
  <c r="GP32" i="5"/>
  <c r="GP28" i="5" s="1"/>
  <c r="FP58" i="5" a="1"/>
  <c r="FP58" i="5" s="1"/>
  <c r="FP35" i="5"/>
  <c r="FP44" i="5" s="1"/>
  <c r="FP51" i="5" s="1"/>
  <c r="GX28" i="5"/>
  <c r="GX22" i="5" s="1"/>
  <c r="GX33" i="5"/>
  <c r="GX32" i="5"/>
  <c r="FD53" i="5"/>
  <c r="FD55" i="5"/>
  <c r="GR46" i="5"/>
  <c r="GD19" i="5"/>
  <c r="GD18" i="5"/>
  <c r="GG22" i="5"/>
  <c r="HA7" i="5"/>
  <c r="HR7" i="5" s="1"/>
  <c r="C81" i="6"/>
  <c r="N81" i="6" s="1"/>
  <c r="GO8" i="5"/>
  <c r="HA8" i="5" s="1"/>
  <c r="HR8" i="5" s="1"/>
  <c r="GW38" i="5"/>
  <c r="FB58" i="5" a="1"/>
  <c r="FB58" i="5" s="1"/>
  <c r="FN58" i="5" s="1"/>
  <c r="HO58" i="5" s="1"/>
  <c r="GZ32" i="5"/>
  <c r="GZ33" i="5"/>
  <c r="GZ28" i="5"/>
  <c r="FS58" i="5" a="1"/>
  <c r="FS58" i="5" s="1"/>
  <c r="FS35" i="5"/>
  <c r="FS44" i="5" s="1"/>
  <c r="FS51" i="5" s="1"/>
  <c r="GQ14" i="5"/>
  <c r="FY53" i="5"/>
  <c r="FY55" i="5"/>
  <c r="GY32" i="5"/>
  <c r="GY33" i="5"/>
  <c r="GY28" i="5"/>
  <c r="GX14" i="5"/>
  <c r="GR14" i="5"/>
  <c r="GO14" i="5"/>
  <c r="GH22" i="5"/>
  <c r="GH58" i="5" s="1" a="1"/>
  <c r="GH58" i="5" s="1"/>
  <c r="DN35" i="5"/>
  <c r="HK35" i="5" s="1"/>
  <c r="DB44" i="5"/>
  <c r="GT35" i="5" l="1"/>
  <c r="GT44" i="5" s="1"/>
  <c r="GT51" i="5" s="1"/>
  <c r="GT58" i="5" a="1"/>
  <c r="GT58" i="5" s="1"/>
  <c r="GG58" i="5" a="1"/>
  <c r="GG58" i="5" s="1"/>
  <c r="GG35" i="5"/>
  <c r="GG44" i="5" s="1"/>
  <c r="GG51" i="5" s="1"/>
  <c r="GZ58" i="5" a="1"/>
  <c r="GZ58" i="5" s="1"/>
  <c r="GZ35" i="5"/>
  <c r="GZ44" i="5" s="1"/>
  <c r="GZ51" i="5" s="1"/>
  <c r="GF53" i="5"/>
  <c r="GF55" i="5" s="1"/>
  <c r="GU35" i="5"/>
  <c r="GU44" i="5" s="1"/>
  <c r="GU51" i="5" s="1"/>
  <c r="GU58" i="5" a="1"/>
  <c r="GU58" i="5" s="1"/>
  <c r="CJ51" i="5"/>
  <c r="CN44" i="5"/>
  <c r="HI44" i="5" s="1"/>
  <c r="FN35" i="5"/>
  <c r="HO35" i="5" s="1"/>
  <c r="FB44" i="5"/>
  <c r="HA38" i="5"/>
  <c r="HR38" i="5" s="1"/>
  <c r="GY22" i="5"/>
  <c r="S79" i="6"/>
  <c r="V79" i="6"/>
  <c r="GF58" i="5" a="1"/>
  <c r="GF58" i="5" s="1"/>
  <c r="DN44" i="5"/>
  <c r="HK44" i="5" s="1"/>
  <c r="DB51" i="5"/>
  <c r="GD58" i="5" a="1"/>
  <c r="GD58" i="5" s="1"/>
  <c r="GD35" i="5"/>
  <c r="GD44" i="5" s="1"/>
  <c r="GD51" i="5" s="1"/>
  <c r="GN19" i="5"/>
  <c r="HQ19" i="5" s="1"/>
  <c r="HA14" i="5"/>
  <c r="HR14" i="5" s="1"/>
  <c r="GO18" i="5"/>
  <c r="GO19" i="5"/>
  <c r="HA33" i="5"/>
  <c r="HR33" i="5" s="1"/>
  <c r="GR19" i="5"/>
  <c r="GR18" i="5"/>
  <c r="GA22" i="5"/>
  <c r="HP22" i="5" s="1"/>
  <c r="FO35" i="5"/>
  <c r="FO58" i="5" a="1"/>
  <c r="FO58" i="5" s="1"/>
  <c r="GA58" i="5" s="1"/>
  <c r="HP58" i="5" s="1"/>
  <c r="GO28" i="5"/>
  <c r="DA44" i="5"/>
  <c r="HJ44" i="5" s="1"/>
  <c r="CO51" i="5"/>
  <c r="GM35" i="5"/>
  <c r="GM44" i="5" s="1"/>
  <c r="GM51" i="5" s="1"/>
  <c r="HA32" i="5"/>
  <c r="HR32" i="5" s="1"/>
  <c r="GI55" i="5"/>
  <c r="GI53" i="5"/>
  <c r="GS58" i="5" a="1"/>
  <c r="GS58" i="5" s="1"/>
  <c r="GJ53" i="5"/>
  <c r="GJ55" i="5"/>
  <c r="FQ55" i="5"/>
  <c r="FQ53" i="5"/>
  <c r="GV18" i="5"/>
  <c r="GV19" i="5"/>
  <c r="FV53" i="5"/>
  <c r="FV55" i="5"/>
  <c r="HA46" i="5"/>
  <c r="HR46" i="5" s="1"/>
  <c r="GO23" i="5"/>
  <c r="GE55" i="5"/>
  <c r="GE53" i="5"/>
  <c r="GN22" i="5"/>
  <c r="HQ22" i="5" s="1"/>
  <c r="FA51" i="5"/>
  <c r="HN51" i="5" s="1"/>
  <c r="EO55" i="5"/>
  <c r="EO53" i="5"/>
  <c r="FA53" i="5" s="1"/>
  <c r="HN53" i="5" s="1"/>
  <c r="FW53" i="5"/>
  <c r="FW55" i="5"/>
  <c r="GK53" i="5"/>
  <c r="GK55" i="5"/>
  <c r="FP55" i="5"/>
  <c r="FP53" i="5"/>
  <c r="GW18" i="5"/>
  <c r="GW19" i="5" s="1"/>
  <c r="EA44" i="5"/>
  <c r="HL44" i="5" s="1"/>
  <c r="DO51" i="5"/>
  <c r="GV22" i="5"/>
  <c r="EN51" i="5"/>
  <c r="HM51" i="5" s="1"/>
  <c r="EB53" i="5"/>
  <c r="EN53" i="5" s="1"/>
  <c r="HM53" i="5" s="1"/>
  <c r="GX18" i="5"/>
  <c r="GX19" i="5" s="1"/>
  <c r="GQ18" i="5"/>
  <c r="GQ19" i="5"/>
  <c r="GB35" i="5"/>
  <c r="T79" i="6"/>
  <c r="GY19" i="5"/>
  <c r="GY18" i="5"/>
  <c r="GP22" i="5"/>
  <c r="GP58" i="5" s="1" a="1"/>
  <c r="GP58" i="5" s="1"/>
  <c r="FX53" i="5"/>
  <c r="FX55" i="5" s="1"/>
  <c r="FT53" i="5"/>
  <c r="FT55" i="5"/>
  <c r="GN58" i="5"/>
  <c r="HQ58" i="5" s="1"/>
  <c r="GC35" i="5"/>
  <c r="GC44" i="5" s="1"/>
  <c r="GC51" i="5" s="1"/>
  <c r="GC58" i="5" a="1"/>
  <c r="GC58" i="5" s="1"/>
  <c r="GS22" i="5"/>
  <c r="GS35" i="5" s="1"/>
  <c r="GS44" i="5" s="1"/>
  <c r="GS51" i="5" s="1"/>
  <c r="GH35" i="5"/>
  <c r="GH44" i="5" s="1"/>
  <c r="GH51" i="5" s="1"/>
  <c r="E80" i="6"/>
  <c r="O80" i="6" s="1"/>
  <c r="U81" i="6"/>
  <c r="GZ22" i="5"/>
  <c r="FS53" i="5"/>
  <c r="FS55" i="5"/>
  <c r="HR40" i="5"/>
  <c r="G52" i="4"/>
  <c r="GL53" i="5"/>
  <c r="GL55" i="5" s="1"/>
  <c r="FZ53" i="5"/>
  <c r="FZ55" i="5" s="1"/>
  <c r="GS53" i="5" l="1"/>
  <c r="GS55" i="5"/>
  <c r="GX58" i="5" a="1"/>
  <c r="GX58" i="5" s="1"/>
  <c r="GX35" i="5"/>
  <c r="GX44" i="5" s="1"/>
  <c r="GX51" i="5" s="1"/>
  <c r="GW58" i="5" a="1"/>
  <c r="GW58" i="5" s="1"/>
  <c r="GW35" i="5"/>
  <c r="GW44" i="5" s="1"/>
  <c r="GW51" i="5" s="1"/>
  <c r="HA28" i="5"/>
  <c r="HR28" i="5" s="1"/>
  <c r="G81" i="6"/>
  <c r="P81" i="6" s="1"/>
  <c r="FA55" i="5"/>
  <c r="K77" i="6"/>
  <c r="R77" i="6" s="1"/>
  <c r="W77" i="6" s="1"/>
  <c r="DN51" i="5"/>
  <c r="HK51" i="5" s="1"/>
  <c r="DB55" i="5"/>
  <c r="DB53" i="5"/>
  <c r="DN53" i="5" s="1"/>
  <c r="HK53" i="5" s="1"/>
  <c r="GU53" i="5"/>
  <c r="GU55" i="5" s="1"/>
  <c r="GA35" i="5"/>
  <c r="HP35" i="5" s="1"/>
  <c r="FO44" i="5"/>
  <c r="GY58" i="5" a="1"/>
  <c r="GY58" i="5" s="1"/>
  <c r="GY35" i="5"/>
  <c r="GY44" i="5" s="1"/>
  <c r="GY51" i="5" s="1"/>
  <c r="GH53" i="5"/>
  <c r="GH55" i="5" s="1"/>
  <c r="GN35" i="5"/>
  <c r="HQ35" i="5" s="1"/>
  <c r="GB44" i="5"/>
  <c r="GZ55" i="5"/>
  <c r="GZ53" i="5"/>
  <c r="S80" i="6"/>
  <c r="V80" i="6"/>
  <c r="EA51" i="5"/>
  <c r="HL51" i="5" s="1"/>
  <c r="DO55" i="5"/>
  <c r="DO53" i="5"/>
  <c r="EA53" i="5" s="1"/>
  <c r="HL53" i="5" s="1"/>
  <c r="GQ58" i="5" a="1"/>
  <c r="GQ58" i="5" s="1"/>
  <c r="GQ35" i="5"/>
  <c r="GQ44" i="5" s="1"/>
  <c r="GQ51" i="5" s="1"/>
  <c r="GR58" i="5" a="1"/>
  <c r="GR58" i="5" s="1"/>
  <c r="GR35" i="5"/>
  <c r="GR44" i="5" s="1"/>
  <c r="GR51" i="5" s="1"/>
  <c r="GC53" i="5"/>
  <c r="GC55" i="5" s="1"/>
  <c r="HA23" i="5"/>
  <c r="HR23" i="5" s="1"/>
  <c r="GO22" i="5"/>
  <c r="HA22" i="5" s="1"/>
  <c r="HR22" i="5" s="1"/>
  <c r="GG53" i="5"/>
  <c r="GG55" i="5" s="1"/>
  <c r="HA19" i="5"/>
  <c r="HR19" i="5" s="1"/>
  <c r="E81" i="6"/>
  <c r="O81" i="6" s="1"/>
  <c r="HA18" i="5"/>
  <c r="HR18" i="5" s="1"/>
  <c r="FN44" i="5"/>
  <c r="HO44" i="5" s="1"/>
  <c r="FB51" i="5"/>
  <c r="GT53" i="5"/>
  <c r="GT55" i="5" s="1"/>
  <c r="T80" i="6"/>
  <c r="GM53" i="5"/>
  <c r="GM55" i="5" s="1"/>
  <c r="GP35" i="5"/>
  <c r="GP44" i="5" s="1"/>
  <c r="GP51" i="5" s="1"/>
  <c r="GV58" i="5" a="1"/>
  <c r="GV58" i="5" s="1"/>
  <c r="GV35" i="5"/>
  <c r="GV44" i="5" s="1"/>
  <c r="GV51" i="5" s="1"/>
  <c r="DA51" i="5"/>
  <c r="HJ51" i="5" s="1"/>
  <c r="CO53" i="5"/>
  <c r="DA53" i="5" s="1"/>
  <c r="HJ53" i="5" s="1"/>
  <c r="EB55" i="5"/>
  <c r="GD55" i="5"/>
  <c r="GD53" i="5"/>
  <c r="CJ55" i="5"/>
  <c r="CJ53" i="5"/>
  <c r="CN53" i="5" s="1"/>
  <c r="HI53" i="5" s="1"/>
  <c r="CN51" i="5"/>
  <c r="HI51" i="5" s="1"/>
  <c r="EN55" i="5" l="1"/>
  <c r="K76" i="6"/>
  <c r="R76" i="6" s="1"/>
  <c r="W76" i="6" s="1"/>
  <c r="FN51" i="5"/>
  <c r="HO51" i="5" s="1"/>
  <c r="FB53" i="5"/>
  <c r="FN53" i="5" s="1"/>
  <c r="HO53" i="5" s="1"/>
  <c r="GN44" i="5"/>
  <c r="HQ44" i="5" s="1"/>
  <c r="GB51" i="5"/>
  <c r="CO55" i="5"/>
  <c r="E48" i="4"/>
  <c r="L48" i="4" s="1"/>
  <c r="HN55" i="5"/>
  <c r="GR53" i="5"/>
  <c r="GR55" i="5"/>
  <c r="GO35" i="5"/>
  <c r="T81" i="6"/>
  <c r="DN55" i="5"/>
  <c r="K74" i="6"/>
  <c r="R74" i="6" s="1"/>
  <c r="W74" i="6" s="1"/>
  <c r="GQ53" i="5"/>
  <c r="GQ55" i="5"/>
  <c r="GV53" i="5"/>
  <c r="GV55" i="5"/>
  <c r="GO58" i="5" a="1"/>
  <c r="GO58" i="5" s="1"/>
  <c r="HA58" i="5" s="1"/>
  <c r="HR58" i="5" s="1"/>
  <c r="GY53" i="5"/>
  <c r="GY55" i="5" s="1"/>
  <c r="S81" i="6"/>
  <c r="V81" i="6"/>
  <c r="GW53" i="5"/>
  <c r="GW55" i="5"/>
  <c r="EA55" i="5"/>
  <c r="K75" i="6"/>
  <c r="R75" i="6" s="1"/>
  <c r="W75" i="6" s="1"/>
  <c r="GA44" i="5"/>
  <c r="HP44" i="5" s="1"/>
  <c r="FO51" i="5"/>
  <c r="GX53" i="5"/>
  <c r="GX55" i="5" s="1"/>
  <c r="GP55" i="5"/>
  <c r="GP53" i="5"/>
  <c r="K72" i="6"/>
  <c r="R72" i="6" s="1"/>
  <c r="W72" i="6" s="1"/>
  <c r="CN55" i="5"/>
  <c r="DA55" i="5" l="1"/>
  <c r="K73" i="6"/>
  <c r="R73" i="6" s="1"/>
  <c r="W73" i="6" s="1"/>
  <c r="GA51" i="5"/>
  <c r="HP51" i="5" s="1"/>
  <c r="FO55" i="5"/>
  <c r="FO53" i="5"/>
  <c r="GA53" i="5" s="1"/>
  <c r="HP53" i="5" s="1"/>
  <c r="GN51" i="5"/>
  <c r="HQ51" i="5" s="1"/>
  <c r="GB53" i="5"/>
  <c r="GN53" i="5" s="1"/>
  <c r="HQ53" i="5" s="1"/>
  <c r="FB55" i="5"/>
  <c r="HL55" i="5"/>
  <c r="E46" i="4"/>
  <c r="L46" i="4" s="1"/>
  <c r="HK55" i="5"/>
  <c r="E45" i="4"/>
  <c r="L45" i="4" s="1"/>
  <c r="E43" i="4"/>
  <c r="L43" i="4" s="1"/>
  <c r="HI55" i="5"/>
  <c r="HA35" i="5"/>
  <c r="HR35" i="5" s="1"/>
  <c r="GO44" i="5"/>
  <c r="HM55" i="5"/>
  <c r="E47" i="4"/>
  <c r="L47" i="4" s="1"/>
  <c r="FN55" i="5" l="1"/>
  <c r="K78" i="6"/>
  <c r="R78" i="6" s="1"/>
  <c r="W78" i="6" s="1"/>
  <c r="GB55" i="5"/>
  <c r="HA44" i="5"/>
  <c r="HR44" i="5" s="1"/>
  <c r="GO51" i="5"/>
  <c r="GA55" i="5"/>
  <c r="K79" i="6"/>
  <c r="R79" i="6" s="1"/>
  <c r="W79" i="6" s="1"/>
  <c r="E44" i="4"/>
  <c r="L44" i="4" s="1"/>
  <c r="HJ55" i="5"/>
  <c r="HA51" i="5" l="1"/>
  <c r="HR51" i="5" s="1"/>
  <c r="GO53" i="5"/>
  <c r="HA53" i="5" s="1"/>
  <c r="HR53" i="5" s="1"/>
  <c r="GN55" i="5"/>
  <c r="K80" i="6"/>
  <c r="R80" i="6" s="1"/>
  <c r="W80" i="6" s="1"/>
  <c r="E50" i="4"/>
  <c r="L50" i="4" s="1"/>
  <c r="HP55" i="5"/>
  <c r="E49" i="4"/>
  <c r="L49" i="4" s="1"/>
  <c r="HO55" i="5"/>
  <c r="E51" i="4" l="1"/>
  <c r="L51" i="4" s="1"/>
  <c r="HQ55" i="5"/>
  <c r="GO55" i="5"/>
  <c r="HA55" i="5" l="1"/>
  <c r="K81" i="6"/>
  <c r="R81" i="6" s="1"/>
  <c r="W81" i="6" s="1"/>
  <c r="E52" i="4" l="1"/>
  <c r="L52" i="4" s="1"/>
  <c r="HR5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<sst xmlns="http://schemas.openxmlformats.org/spreadsheetml/2006/main" count="659" uniqueCount="183">
  <si>
    <t>Ficohsa</t>
  </si>
  <si>
    <t>ESTADO DE RESULTADOS</t>
  </si>
  <si>
    <t>ENERO A MAYO</t>
  </si>
  <si>
    <t>ACUMULADO</t>
  </si>
  <si>
    <t>Primas</t>
  </si>
  <si>
    <t>Seguro Directo</t>
  </si>
  <si>
    <t>(-) Devoluciones y Cancelaciones de Primas</t>
  </si>
  <si>
    <t>PRIMAS DIRECTAS NETAS</t>
  </si>
  <si>
    <t>(+) Por Reaseguro Tomado Local</t>
  </si>
  <si>
    <t>(+) Por Reaseguro Tomado del Exterior</t>
  </si>
  <si>
    <t xml:space="preserve">(-) Devoluciones y Cancelaciones de Primas </t>
  </si>
  <si>
    <t>TOTAL DE PRIMAS NETAS</t>
  </si>
  <si>
    <t>(-) Primas por Reaseguro Cedido</t>
  </si>
  <si>
    <t>PRIMAS NETAS DE RETENCIÓN</t>
  </si>
  <si>
    <t>VARIACIONES EN RESERVAS TÉCNICAS Y MATEMÁTICAS</t>
  </si>
  <si>
    <t>(-) Variaciones Gastos</t>
  </si>
  <si>
    <t>(+) Variaciones Productos</t>
  </si>
  <si>
    <t>PRIMAS NETAS DE RETENCIÓN DEVENGADAS</t>
  </si>
  <si>
    <t>(-) COSTO DE ADQUISICIÓN Y SINIESTRALIDAD</t>
  </si>
  <si>
    <t>ADQUISICIÓN</t>
  </si>
  <si>
    <t>(+) Gastos de Adquisición y Renovación</t>
  </si>
  <si>
    <t>(-) Comisiones y Participaciones por Reaseguro Cedido</t>
  </si>
  <si>
    <t>SINIESTRALIDAD</t>
  </si>
  <si>
    <t>(+) Gastos Por Obligaciones Contractuales</t>
  </si>
  <si>
    <t>(+) Participa. Reaseguradoras en Salvamentos y Recup.</t>
  </si>
  <si>
    <t>(+) Variación en Reservas de Reclamaciones de Seguro de Caución (Neto)</t>
  </si>
  <si>
    <t>(-) Recuperaciones por Reaseguro Cedido</t>
  </si>
  <si>
    <t>(-) Salvamentos y Recuperaciones</t>
  </si>
  <si>
    <t>UTILIDAD BRUTA EN OPERACIONES DE SEGUROS</t>
  </si>
  <si>
    <t>(-) GASTOS Y PRODUCTOS DE OPERACIONES</t>
  </si>
  <si>
    <t>(+) Egresos por Inversiones</t>
  </si>
  <si>
    <t>(+) Gastos de Administración</t>
  </si>
  <si>
    <t>(-) Derechos de Emisión de Pólizas (Neto)</t>
  </si>
  <si>
    <t>(-) Productos de Inversiones</t>
  </si>
  <si>
    <t>UTILIDAD (PÉRDIDA) EN OPERACIÓN</t>
  </si>
  <si>
    <t>OTROS PRODUCTOS Y GASTOS</t>
  </si>
  <si>
    <t>(+) Otros Productos</t>
  </si>
  <si>
    <t>(-) Otros Gastos</t>
  </si>
  <si>
    <t>UTILIDAD NETA (PÉRDIDA) EN OPERACIÓN</t>
  </si>
  <si>
    <t>(+) Productos de Ejercicios Anteriores</t>
  </si>
  <si>
    <t>(-) Gastos de Ejercicios Anteriores</t>
  </si>
  <si>
    <t>UTILIDAD (PÉRDIDA)</t>
  </si>
  <si>
    <t>(-) Impuesto Sobre la Renta</t>
  </si>
  <si>
    <t>UTILIDAD (PÉRDIDA) NETA</t>
  </si>
  <si>
    <t>G&amp;T</t>
  </si>
  <si>
    <t>SISA</t>
  </si>
  <si>
    <t>ROBLE</t>
  </si>
  <si>
    <t>TRABAJADORES</t>
  </si>
  <si>
    <t>MAPFRE</t>
  </si>
  <si>
    <t>AGROMERCANTIL</t>
  </si>
  <si>
    <t>RURAL</t>
  </si>
  <si>
    <t>MERCADO</t>
  </si>
  <si>
    <t>Concepto</t>
  </si>
  <si>
    <t>Primas Brutas</t>
  </si>
  <si>
    <t>(-) Devoluciones y Cancelaciones</t>
  </si>
  <si>
    <t>Primas Netas</t>
  </si>
  <si>
    <t>Primas por Reaseguro Cedido</t>
  </si>
  <si>
    <t>PRIMAS NETAS DE RETENCION</t>
  </si>
  <si>
    <t>VARIACIONES EN RESERVAS TECNICAS Y MATEMÁTICAS</t>
  </si>
  <si>
    <t xml:space="preserve">Menos: </t>
  </si>
  <si>
    <t>Variaciones Gastos</t>
  </si>
  <si>
    <t>PRIMAS NETAS DE RETENCION DEVENGADAS</t>
  </si>
  <si>
    <t>Menos:</t>
  </si>
  <si>
    <t>COSTO DE ADQUISICION Y SINIESTRALIDAD</t>
  </si>
  <si>
    <t>ADQUISICION</t>
  </si>
  <si>
    <t>Gastos de Adquisicion y Renovacion</t>
  </si>
  <si>
    <t>Comisiones y Participaciones por Reaseguro Cedido</t>
  </si>
  <si>
    <t>Gastos por Obligaciones Contractuales</t>
  </si>
  <si>
    <t>Participacion de reaseguradoras en salvamentos y recuperaciones</t>
  </si>
  <si>
    <t>Recuperaciones por Reaseguro Cedido</t>
  </si>
  <si>
    <t>Salvamento y recuperaciones</t>
  </si>
  <si>
    <t>GASTOS Y PRODUCTOS DE OPERACIONES</t>
  </si>
  <si>
    <t>Egresos por Inversiones</t>
  </si>
  <si>
    <t>Gastos de Administración</t>
  </si>
  <si>
    <t>Derechos de Emisión de Pólizas (Neto)</t>
  </si>
  <si>
    <t>Productos de Inversiones</t>
  </si>
  <si>
    <t>UTILIDAD (PERDIDA) OPERACIÓN</t>
  </si>
  <si>
    <t>Mas:</t>
  </si>
  <si>
    <t>Otros Productos</t>
  </si>
  <si>
    <t>Menos</t>
  </si>
  <si>
    <t>Otros Gastos</t>
  </si>
  <si>
    <t>UTILIDAD (PERDIDA) NETA ANTES DE IMPUESTO</t>
  </si>
  <si>
    <t>ISR</t>
  </si>
  <si>
    <t>Resultado despues de Impuesto</t>
  </si>
  <si>
    <t>SUPUESTOS DE PROYECCIÓN – SEGUROS AGROMERCANTIL</t>
  </si>
  <si>
    <t>1. PARÁMETROS GENERALES</t>
  </si>
  <si>
    <t>Crecimiento anual compuesto propio de Primas Netas (2020-2025)</t>
  </si>
  <si>
    <t>Crecimiento del mercado (Total Primas Netas ene-ago 2026 vs ene-ago 2025)</t>
  </si>
  <si>
    <t>Peso de la información propia (vs. mercado)</t>
  </si>
  <si>
    <t>Crecimiento anual combinado (referencia inicial – el crecimiento por año se define en la sección 4)</t>
  </si>
  <si>
    <t>Tasa de ISR</t>
  </si>
  <si>
    <t>Último mes real disponible</t>
  </si>
  <si>
    <t>Inicio ventana histórica (últimos 24 meses)</t>
  </si>
  <si>
    <t>2. ESTACIONALIDAD (peso de cada mes en las Primas Netas del año)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</si>
  <si>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</si>
  <si>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</si>
  <si>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</si>
  <si>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</si>
  <si>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</si>
  <si>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</si>
  <si>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</si>
  <si>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</si>
  <si>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</si>
  <si>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</si>
  <si>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</si>
  <si>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</si>
  <si>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</si>
  <si>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</si>
  <si>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Peso promedio utilizado</t>
  </si>
  <si>
    <t>3. RUBROS COMO % DE SU BASE (punto medio propio / mercado)</t>
  </si>
  <si>
    <t>Rubro</t>
  </si>
  <si>
    <t>Base</t>
  </si>
  <si>
    <t>% Propio (últimos 24 meses)</t>
  </si>
  <si>
    <t>% Mercado (2025 + ene-ago 2026)</t>
  </si>
  <si>
    <t>Peso propio</t>
  </si>
  <si>
    <t>% Utilizado</t>
  </si>
  <si>
    <t>Devoluciones y Cancelaciones</t>
  </si>
  <si>
    <t>% de Primas Brutas</t>
  </si>
  <si>
    <t>% de Primas Netas (comportamiento 2026)</t>
  </si>
  <si>
    <t>Variaciones en Reservas Técnicas (neto)</t>
  </si>
  <si>
    <t>Factor sobre el aumento de Primas Netas de Retención vs mismo mes año anterior</t>
  </si>
  <si>
    <t>Gastos de Adquisición y Renovación</t>
  </si>
  <si>
    <t>% de Primas Netas</t>
  </si>
  <si>
    <t>% de Primas Cedidas</t>
  </si>
  <si>
    <t>Participación de reaseguradoras en salvamentos</t>
  </si>
  <si>
    <t>% de Gastos por Oblig. Contractuales</t>
  </si>
  <si>
    <t>4. CRECIMIENTO Y METAS POR AÑO (celdas amarillas editables)</t>
  </si>
  <si>
    <t>Crecimiento Primas Netas</t>
  </si>
  <si>
    <t>Primas Netas anuales</t>
  </si>
  <si>
    <t>Meta Utilidad Neta (opcional)</t>
  </si>
  <si>
    <t>Utilidad Neta proyectada</t>
  </si>
  <si>
    <t>Ajuste a Gastos de Administración</t>
  </si>
  <si>
    <t>Gastos Admin. % Primas Netas</t>
  </si>
  <si>
    <t>Crecimiento sugerido (referencia)</t>
  </si>
  <si>
    <t>Gastos Admin. % Primas Netas (editable)</t>
  </si>
  <si>
    <t>Meta Utilidad Neta % Primas Netas (opcional)</t>
  </si>
  <si>
    <t>Meta Utilidad Neta usada</t>
  </si>
  <si>
    <t>Utilidad Neta % Primas Netas (resultado)</t>
  </si>
  <si>
    <t>Instrucciones: escriba el % de crecimiento de Primas Netas de cada año en las celdas amarillas B44:B52 (2027-2035). La columna H muestra la sugerencia inicial (converge del crecimiento combinado al del mercado). 2026 se calcula con los meses reales + proyección.</t>
  </si>
  <si>
    <t>Gastos de Administración: escriba en I43:I52 el % de Primas Netas deseado para cada año (por defecto = F34). Utilidad Neta: escriba en J43:J52 la meta como % de Primas Netas; el modelo ajusta los Gastos de Administración para alcanzarla (si hay meta en D o J, ésta prevalece sobre el % de I). La columna G y L son resultados, no se editan.</t>
  </si>
  <si>
    <t>SEGUROS AGROMERCANTIL – ESTADO DE RESULTADOS REAL Y PROYECTADO (ene-2020 a dic-2035)</t>
  </si>
  <si>
    <t>Blanco = Real | Naranja = Proyección | Azul = Acumulado anual. Supuestos y metas en la hoja "Supuestos Proyeccion".</t>
  </si>
  <si>
    <t>Tipo</t>
  </si>
  <si>
    <t>Acumulado</t>
  </si>
  <si>
    <t>Resumen anual</t>
  </si>
  <si>
    <t>Acumulado 2020</t>
  </si>
  <si>
    <t>Acumulado 2021</t>
  </si>
  <si>
    <t>Acumulado 2022</t>
  </si>
  <si>
    <t>Acumulado 2023</t>
  </si>
  <si>
    <t>Acumulado 2024</t>
  </si>
  <si>
    <t>Acumulado 2025</t>
  </si>
  <si>
    <t>Acumulado 2026</t>
  </si>
  <si>
    <t>Acumulado 2027</t>
  </si>
  <si>
    <t>Acumulado 2028</t>
  </si>
  <si>
    <t>Acumulado 2029</t>
  </si>
  <si>
    <t>Acumulado 2030</t>
  </si>
  <si>
    <t>Acumulado 2031</t>
  </si>
  <si>
    <t>Acumulado 2032</t>
  </si>
  <si>
    <t>Acumulado 2033</t>
  </si>
  <si>
    <t>Acumulado 2034</t>
  </si>
  <si>
    <t>Acumulado 2035</t>
  </si>
  <si>
    <t>Cálculos auxiliares para metas (no modificar)</t>
  </si>
  <si>
    <t>Utilidad antes de impuesto sin ajuste por meta</t>
  </si>
  <si>
    <t>Utilidad neta real del mes</t>
  </si>
  <si>
    <t>Ajuste a Gastos de Administración por meta</t>
  </si>
  <si>
    <t>SEGUROS AGROMERCANTIL – COMPORTAMIENTO HISTÓRICO Y PROYECTADO (cifras anuales en millones de Quetzales)</t>
  </si>
  <si>
    <t>Azul = Real | Naranja = Proyección (2026 combina meses reales y proyectados). Derecha: gráficos de relación entre variables. Los datos se actualizan automáticamente desde "Proyeccion Agromercantil".</t>
  </si>
  <si>
    <t>Gráficos de relación: la línea punteada verde (Resultado) usa el eje derecho. A partir de 2026 los valores incluyen proyección.</t>
  </si>
  <si>
    <t>DATOS PARA GRÁFICOS INDIVIDUALES</t>
  </si>
  <si>
    <t>DATOS PARA GRÁFICOS DE RELACIÓN</t>
  </si>
  <si>
    <t>Primas Netas de Retención Devengadas</t>
  </si>
  <si>
    <t>Siniestralidad</t>
  </si>
  <si>
    <t>Resultado después de Impuesto</t>
  </si>
  <si>
    <t>Totales anuales (Real + Proyección)</t>
  </si>
  <si>
    <t>Relaciones (%)</t>
  </si>
  <si>
    <t>Real</t>
  </si>
  <si>
    <t>Proyección</t>
  </si>
  <si>
    <t>Primas Netas Ret. Devengadas</t>
  </si>
  <si>
    <t>Devengadas % Primas Brutas</t>
  </si>
  <si>
    <t>Siniestralidad % Devengadas</t>
  </si>
  <si>
    <t>Gastos Admin. % Primas Brutas</t>
  </si>
  <si>
    <t>Gastos Admin. % Devengadas</t>
  </si>
  <si>
    <t>Resultado % Primas Brutas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</si>
</sst>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rgb="FF1F4E78"/>
      <name val="Aptos Narrow"/>
      <family val="2"/>
      <scheme val="minor"/>
    </font>
    <font>
      <b/>
      <sz val="12"/>
      <color rgb="FF1F4E78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595959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" fontId="0" fillId="2" borderId="0" xfId="0" applyNumberFormat="1" applyFill="1"/>
    <xf numFmtId="0" fontId="5" fillId="3" borderId="0" xfId="0" applyFont="1" applyFill="1" applyAlignment="1">
      <alignment horizontal="center" vertical="center"/>
    </xf>
    <xf numFmtId="0" fontId="0" fillId="2" borderId="0" xfId="0" applyFill="1"/>
    <xf numFmtId="0" fontId="2" fillId="4" borderId="0" xfId="0" applyFont="1" applyFill="1"/>
    <xf numFmtId="17" fontId="2" fillId="4" borderId="0" xfId="0" applyNumberFormat="1" applyFont="1" applyFill="1"/>
    <xf numFmtId="0" fontId="2" fillId="3" borderId="0" xfId="0" applyFont="1" applyFill="1"/>
    <xf numFmtId="0" fontId="2" fillId="0" borderId="0" xfId="0" applyFont="1"/>
    <xf numFmtId="4" fontId="0" fillId="0" borderId="0" xfId="0" applyNumberFormat="1"/>
    <xf numFmtId="0" fontId="0" fillId="3" borderId="0" xfId="0" applyFill="1"/>
    <xf numFmtId="0" fontId="4" fillId="0" borderId="1" xfId="0" applyFont="1" applyBorder="1"/>
    <xf numFmtId="4" fontId="4" fillId="0" borderId="1" xfId="0" applyNumberFormat="1" applyFont="1" applyBorder="1"/>
    <xf numFmtId="0" fontId="4" fillId="3" borderId="1" xfId="0" applyFont="1" applyFill="1" applyBorder="1"/>
    <xf numFmtId="0" fontId="0" fillId="4" borderId="0" xfId="0" applyFill="1"/>
    <xf numFmtId="4" fontId="0" fillId="4" borderId="0" xfId="0" applyNumberFormat="1" applyFill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" fontId="0" fillId="5" borderId="0" xfId="0" applyNumberFormat="1" applyFill="1"/>
    <xf numFmtId="0" fontId="0" fillId="5" borderId="0" xfId="0" applyFill="1"/>
    <xf numFmtId="0" fontId="6" fillId="6" borderId="0" xfId="0" applyFont="1" applyFill="1" applyAlignment="1">
      <alignment horizontal="center"/>
    </xf>
    <xf numFmtId="17" fontId="6" fillId="6" borderId="0" xfId="0" applyNumberFormat="1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0" fontId="4" fillId="7" borderId="0" xfId="0" applyFont="1" applyFill="1"/>
    <xf numFmtId="164" fontId="4" fillId="7" borderId="0" xfId="0" applyNumberFormat="1" applyFont="1" applyFill="1"/>
    <xf numFmtId="0" fontId="0" fillId="0" borderId="2" xfId="0" applyBorder="1"/>
    <xf numFmtId="164" fontId="0" fillId="0" borderId="2" xfId="0" applyNumberFormat="1" applyBorder="1"/>
    <xf numFmtId="164" fontId="4" fillId="0" borderId="0" xfId="0" applyNumberFormat="1" applyFont="1"/>
    <xf numFmtId="0" fontId="7" fillId="8" borderId="0" xfId="0" applyFont="1" applyFill="1"/>
    <xf numFmtId="164" fontId="7" fillId="8" borderId="0" xfId="0" applyNumberFormat="1" applyFont="1" applyFill="1"/>
    <xf numFmtId="0" fontId="8" fillId="0" borderId="0" xfId="0" applyFont="1"/>
    <xf numFmtId="0" fontId="9" fillId="0" borderId="0" xfId="0" applyFont="1"/>
    <xf numFmtId="10" fontId="0" fillId="0" borderId="0" xfId="0" applyNumberFormat="1"/>
    <xf numFmtId="9" fontId="10" fillId="9" borderId="0" xfId="0" applyNumberFormat="1" applyFont="1" applyFill="1"/>
    <xf numFmtId="17" fontId="0" fillId="0" borderId="0" xfId="0" applyNumberFormat="1"/>
    <xf numFmtId="0" fontId="6" fillId="10" borderId="0" xfId="0" applyFont="1" applyFill="1" applyAlignment="1">
      <alignment wrapText="1"/>
    </xf>
    <xf numFmtId="10" fontId="4" fillId="0" borderId="0" xfId="0" applyNumberFormat="1" applyFont="1"/>
    <xf numFmtId="0" fontId="0" fillId="0" borderId="0" xfId="0" applyAlignment="1">
      <alignment wrapText="1"/>
    </xf>
    <xf numFmtId="10" fontId="11" fillId="0" borderId="0" xfId="0" applyNumberFormat="1" applyFont="1"/>
    <xf numFmtId="164" fontId="10" fillId="9" borderId="0" xfId="0" applyNumberFormat="1" applyFont="1" applyFill="1"/>
    <xf numFmtId="10" fontId="0" fillId="9" borderId="0" xfId="0" applyNumberFormat="1" applyFill="1"/>
    <xf numFmtId="10" fontId="12" fillId="9" borderId="0" xfId="0" applyNumberFormat="1" applyFont="1" applyFill="1"/>
    <xf numFmtId="10" fontId="13" fillId="0" borderId="0" xfId="0" applyNumberFormat="1" applyFont="1"/>
    <xf numFmtId="0" fontId="14" fillId="0" borderId="0" xfId="0" applyFont="1"/>
    <xf numFmtId="9" fontId="0" fillId="0" borderId="0" xfId="1" applyFont="1"/>
    <xf numFmtId="0" fontId="4" fillId="0" borderId="0" xfId="0" applyFont="1" applyAlignment="1">
      <alignment horizontal="center"/>
    </xf>
    <xf numFmtId="0" fontId="6" fillId="10" borderId="0" xfId="0" applyFont="1" applyFill="1" applyAlignment="1">
      <alignment horizontal="center"/>
    </xf>
    <xf numFmtId="17" fontId="6" fillId="10" borderId="0" xfId="0" applyNumberFormat="1" applyFont="1" applyFill="1" applyAlignment="1">
      <alignment horizontal="center"/>
    </xf>
    <xf numFmtId="49" fontId="6" fillId="10" borderId="0" xfId="0" applyNumberFormat="1" applyFont="1" applyFill="1" applyAlignment="1">
      <alignment horizontal="center"/>
    </xf>
    <xf numFmtId="164" fontId="0" fillId="11" borderId="0" xfId="0" applyNumberFormat="1" applyFill="1"/>
    <xf numFmtId="164" fontId="4" fillId="11" borderId="0" xfId="0" applyNumberFormat="1" applyFont="1" applyFill="1"/>
    <xf numFmtId="0" fontId="4" fillId="0" borderId="2" xfId="0" applyFont="1" applyBorder="1"/>
    <xf numFmtId="0" fontId="7" fillId="8" borderId="3" xfId="0" applyFont="1" applyFill="1" applyBorder="1"/>
    <xf numFmtId="164" fontId="4" fillId="0" borderId="3" xfId="0" applyNumberFormat="1" applyFont="1" applyBorder="1"/>
    <xf numFmtId="164" fontId="4" fillId="11" borderId="3" xfId="0" applyNumberFormat="1" applyFont="1" applyFill="1" applyBorder="1"/>
    <xf numFmtId="0" fontId="3" fillId="0" borderId="0" xfId="0" applyFont="1"/>
    <xf numFmtId="164" fontId="3" fillId="0" borderId="0" xfId="0" applyNumberFormat="1" applyFont="1"/>
    <xf numFmtId="164" fontId="3" fillId="11" borderId="0" xfId="0" applyNumberFormat="1" applyFont="1" applyFill="1"/>
    <xf numFmtId="0" fontId="15" fillId="0" borderId="0" xfId="0" applyFont="1"/>
    <xf numFmtId="0" fontId="6" fillId="12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b/>
        <i val="0"/>
      </font>
      <fill>
        <patternFill patternType="solid">
          <fgColor indexed="64"/>
          <bgColor rgb="FFDDEBF7"/>
        </patternFill>
      </fill>
    </dxf>
    <dxf>
      <font>
        <color rgb="FF833C0B"/>
      </font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4B08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Primas Brutas – Real vs. Proyección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Graficos!$B$65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Graficos!$B$66:$B$81</c:f>
              <c:numCache>
                <c:formatCode>#,##0.00</c:formatCode>
                <c:ptCount val="16"/>
                <c:pt idx="0">
                  <c:v>306806133.53000003</c:v>
                </c:pt>
                <c:pt idx="1">
                  <c:v>466654437.22999996</c:v>
                </c:pt>
                <c:pt idx="2">
                  <c:v>633484052.64999974</c:v>
                </c:pt>
                <c:pt idx="3">
                  <c:v>676872047.57999992</c:v>
                </c:pt>
                <c:pt idx="4">
                  <c:v>774927751.51999998</c:v>
                </c:pt>
                <c:pt idx="5">
                  <c:v>761226769.03000009</c:v>
                </c:pt>
                <c:pt idx="6">
                  <c:v>469544068.63000005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B-4DB2-88A5-E51D95C5E110}"/>
            </c:ext>
          </c:extLst>
        </c:ser>
        <c:ser>
          <c:idx val="1"/>
          <c:order val="1"/>
          <c:tx>
            <c:strRef>
              <c:f>Graficos!$C$65</c:f>
              <c:strCache>
                <c:ptCount val="1"/>
                <c:pt idx="0">
                  <c:v>Proyección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Graficos!$C$66:$C$81</c:f>
              <c:numCache>
                <c:formatCode>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200476356.28574365</c:v>
                </c:pt>
                <c:pt idx="7">
                  <c:v>827742525.55625701</c:v>
                </c:pt>
                <c:pt idx="8">
                  <c:v>1034678156.9453213</c:v>
                </c:pt>
                <c:pt idx="9">
                  <c:v>1293347696.1816516</c:v>
                </c:pt>
                <c:pt idx="10">
                  <c:v>1616684620.2270646</c:v>
                </c:pt>
                <c:pt idx="11">
                  <c:v>2020855775.2838304</c:v>
                </c:pt>
                <c:pt idx="12">
                  <c:v>2526069719.1047883</c:v>
                </c:pt>
                <c:pt idx="13">
                  <c:v>3157587148.8809848</c:v>
                </c:pt>
                <c:pt idx="14">
                  <c:v>3946983936.1012321</c:v>
                </c:pt>
                <c:pt idx="15">
                  <c:v>4933729920.1265392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B-4DB2-88A5-E51D95C5E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46763792"/>
        <c:axId val="534844544"/>
      </c:barChart>
      <c:catAx>
        <c:axId val="64676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44544"/>
        <c:crosses val="autoZero"/>
        <c:auto val="1"/>
        <c:lblAlgn val="ctr"/>
        <c:lblOffset val="100"/>
        <c:noMultiLvlLbl val="0"/>
      </c:catAx>
      <c:valAx>
        <c:axId val="5348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Millones de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6379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Primas Netas de Retención Devengadas – Real vs. Proyección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Graficos!$D$65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Graficos!$D$66:$D$81</c:f>
              <c:numCache>
                <c:formatCode>#,##0.00</c:formatCode>
                <c:ptCount val="16"/>
                <c:pt idx="0">
                  <c:v>195125084.57000005</c:v>
                </c:pt>
                <c:pt idx="1">
                  <c:v>202569971.75</c:v>
                </c:pt>
                <c:pt idx="2">
                  <c:v>256649322.02999994</c:v>
                </c:pt>
                <c:pt idx="3">
                  <c:v>303103896.09000003</c:v>
                </c:pt>
                <c:pt idx="4">
                  <c:v>350235900.29000008</c:v>
                </c:pt>
                <c:pt idx="5">
                  <c:v>360035243.07000005</c:v>
                </c:pt>
                <c:pt idx="6">
                  <c:v>231577350.81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C-4050-BE79-FC44A9D65400}"/>
            </c:ext>
          </c:extLst>
        </c:ser>
        <c:ser>
          <c:idx val="1"/>
          <c:order val="1"/>
          <c:tx>
            <c:strRef>
              <c:f>Graficos!$E$65</c:f>
              <c:strCache>
                <c:ptCount val="1"/>
                <c:pt idx="0">
                  <c:v>Proyección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Graficos!$E$66:$E$81</c:f>
              <c:numCache>
                <c:formatCode>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99865398.545911908</c:v>
                </c:pt>
                <c:pt idx="7">
                  <c:v>373718922.92261147</c:v>
                </c:pt>
                <c:pt idx="8">
                  <c:v>467148653.65326434</c:v>
                </c:pt>
                <c:pt idx="9">
                  <c:v>583935817.0665803</c:v>
                </c:pt>
                <c:pt idx="10">
                  <c:v>729919771.33322561</c:v>
                </c:pt>
                <c:pt idx="11">
                  <c:v>912399714.16653204</c:v>
                </c:pt>
                <c:pt idx="12">
                  <c:v>1140499642.7081652</c:v>
                </c:pt>
                <c:pt idx="13">
                  <c:v>1425624553.3852062</c:v>
                </c:pt>
                <c:pt idx="14">
                  <c:v>1782030691.731508</c:v>
                </c:pt>
                <c:pt idx="15">
                  <c:v>2227538364.6643844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C-4050-BE79-FC44A9D65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46782816"/>
        <c:axId val="2030582528"/>
      </c:barChart>
      <c:catAx>
        <c:axId val="64678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582528"/>
        <c:crosses val="autoZero"/>
        <c:auto val="1"/>
        <c:lblAlgn val="ctr"/>
        <c:lblOffset val="100"/>
        <c:noMultiLvlLbl val="0"/>
      </c:catAx>
      <c:valAx>
        <c:axId val="20305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Millones de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828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Siniestralidad – Real vs. Proyección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Graficos!$F$65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Graficos!$F$66:$F$81</c:f>
              <c:numCache>
                <c:formatCode>#,##0.00</c:formatCode>
                <c:ptCount val="16"/>
                <c:pt idx="0">
                  <c:v>92359702.370000005</c:v>
                </c:pt>
                <c:pt idx="1">
                  <c:v>111575400.55999999</c:v>
                </c:pt>
                <c:pt idx="2">
                  <c:v>123808504.79000001</c:v>
                </c:pt>
                <c:pt idx="3">
                  <c:v>140037069.28999996</c:v>
                </c:pt>
                <c:pt idx="4">
                  <c:v>166968531.11999997</c:v>
                </c:pt>
                <c:pt idx="5">
                  <c:v>191206347.05999997</c:v>
                </c:pt>
                <c:pt idx="6">
                  <c:v>110313559.60000002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5-457F-9806-4D974D641ADC}"/>
            </c:ext>
          </c:extLst>
        </c:ser>
        <c:ser>
          <c:idx val="1"/>
          <c:order val="1"/>
          <c:tx>
            <c:strRef>
              <c:f>Graficos!$G$65</c:f>
              <c:strCache>
                <c:ptCount val="1"/>
                <c:pt idx="0">
                  <c:v>Proyección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Graficos!$G$66:$G$81</c:f>
              <c:numCache>
                <c:formatCode>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53100245.659624591</c:v>
                </c:pt>
                <c:pt idx="7">
                  <c:v>219244464.85503569</c:v>
                </c:pt>
                <c:pt idx="8">
                  <c:v>274055581.06879461</c:v>
                </c:pt>
                <c:pt idx="9">
                  <c:v>342569476.33599323</c:v>
                </c:pt>
                <c:pt idx="10">
                  <c:v>428211845.41999161</c:v>
                </c:pt>
                <c:pt idx="11">
                  <c:v>535264806.77498949</c:v>
                </c:pt>
                <c:pt idx="12">
                  <c:v>669081008.46873689</c:v>
                </c:pt>
                <c:pt idx="13">
                  <c:v>836351260.58592117</c:v>
                </c:pt>
                <c:pt idx="14">
                  <c:v>1045439075.7324015</c:v>
                </c:pt>
                <c:pt idx="15">
                  <c:v>1306798844.6655016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5-457F-9806-4D974D641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8756176"/>
        <c:axId val="534848384"/>
      </c:barChart>
      <c:catAx>
        <c:axId val="45875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48384"/>
        <c:crosses val="autoZero"/>
        <c:auto val="1"/>
        <c:lblAlgn val="ctr"/>
        <c:lblOffset val="100"/>
        <c:noMultiLvlLbl val="0"/>
      </c:catAx>
      <c:valAx>
        <c:axId val="5348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Millones de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5617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Administración – Real vs. Proyección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Graficos!$H$65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Graficos!$H$66:$H$81</c:f>
              <c:numCache>
                <c:formatCode>#,##0.00</c:formatCode>
                <c:ptCount val="16"/>
                <c:pt idx="0">
                  <c:v>77168737.480000004</c:v>
                </c:pt>
                <c:pt idx="1">
                  <c:v>90981776.469999999</c:v>
                </c:pt>
                <c:pt idx="2">
                  <c:v>132867620.14</c:v>
                </c:pt>
                <c:pt idx="3">
                  <c:v>145356583.26999998</c:v>
                </c:pt>
                <c:pt idx="4">
                  <c:v>188705923.38999999</c:v>
                </c:pt>
                <c:pt idx="5">
                  <c:v>183301317.11000001</c:v>
                </c:pt>
                <c:pt idx="6">
                  <c:v>111807365.09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F-4A93-9FA0-0032D77FFC6A}"/>
            </c:ext>
          </c:extLst>
        </c:ser>
        <c:ser>
          <c:idx val="1"/>
          <c:order val="1"/>
          <c:tx>
            <c:strRef>
              <c:f>Graficos!$I$65</c:f>
              <c:strCache>
                <c:ptCount val="1"/>
                <c:pt idx="0">
                  <c:v>Proyección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Graficos!$I$66:$I$81</c:f>
              <c:numCache>
                <c:formatCode>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41821785.245266765</c:v>
                </c:pt>
                <c:pt idx="7">
                  <c:v>172677071.66847715</c:v>
                </c:pt>
                <c:pt idx="8">
                  <c:v>215846339.58559641</c:v>
                </c:pt>
                <c:pt idx="9">
                  <c:v>269807924.48199552</c:v>
                </c:pt>
                <c:pt idx="10">
                  <c:v>337259905.60249448</c:v>
                </c:pt>
                <c:pt idx="11">
                  <c:v>421574882.00311804</c:v>
                </c:pt>
                <c:pt idx="12">
                  <c:v>526968602.50389755</c:v>
                </c:pt>
                <c:pt idx="13">
                  <c:v>658710753.12987185</c:v>
                </c:pt>
                <c:pt idx="14">
                  <c:v>823388441.41233993</c:v>
                </c:pt>
                <c:pt idx="15">
                  <c:v>1029235551.7654247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F-4A93-9FA0-0032D77FF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15805344"/>
        <c:axId val="1825214304"/>
      </c:barChart>
      <c:catAx>
        <c:axId val="21158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214304"/>
        <c:crosses val="autoZero"/>
        <c:auto val="1"/>
        <c:lblAlgn val="ctr"/>
        <c:lblOffset val="100"/>
        <c:noMultiLvlLbl val="0"/>
      </c:catAx>
      <c:valAx>
        <c:axId val="18252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Millones de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8053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después de Impuesto – Real vs. Proyección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Graficos!$J$65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Graficos!$J$66:$J$81</c:f>
              <c:numCache>
                <c:formatCode>#,##0.00</c:formatCode>
                <c:ptCount val="16"/>
                <c:pt idx="0">
                  <c:v>38297184.180000007</c:v>
                </c:pt>
                <c:pt idx="1">
                  <c:v>20199360.350000001</c:v>
                </c:pt>
                <c:pt idx="2">
                  <c:v>29648289.150000002</c:v>
                </c:pt>
                <c:pt idx="3">
                  <c:v>39463753.090000004</c:v>
                </c:pt>
                <c:pt idx="4">
                  <c:v>18927654.980000004</c:v>
                </c:pt>
                <c:pt idx="5">
                  <c:v>17936246.079999998</c:v>
                </c:pt>
                <c:pt idx="6">
                  <c:v>23950878.240000002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1-43FD-814C-D672432D3E68}"/>
            </c:ext>
          </c:extLst>
        </c:ser>
        <c:ser>
          <c:idx val="1"/>
          <c:order val="1"/>
          <c:tx>
            <c:strRef>
              <c:f>Graficos!$K$65</c:f>
              <c:strCache>
                <c:ptCount val="1"/>
                <c:pt idx="0">
                  <c:v>Proyección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Graficos!$A$66:$A$81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Graficos!$K$66:$K$81</c:f>
              <c:numCache>
                <c:formatCode>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11758121.259142213</c:v>
                </c:pt>
                <c:pt idx="7">
                  <c:v>19587970.923134089</c:v>
                </c:pt>
                <c:pt idx="8">
                  <c:v>24484963.653917596</c:v>
                </c:pt>
                <c:pt idx="9">
                  <c:v>30606204.567396998</c:v>
                </c:pt>
                <c:pt idx="10">
                  <c:v>38257755.709246226</c:v>
                </c:pt>
                <c:pt idx="11">
                  <c:v>47822194.636557847</c:v>
                </c:pt>
                <c:pt idx="12">
                  <c:v>59777743.295697264</c:v>
                </c:pt>
                <c:pt idx="13">
                  <c:v>74722179.119621575</c:v>
                </c:pt>
                <c:pt idx="14">
                  <c:v>93402723.899526924</c:v>
                </c:pt>
                <c:pt idx="15">
                  <c:v>116753404.87440881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1-43FD-814C-D672432D3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46806016"/>
        <c:axId val="534843104"/>
      </c:barChart>
      <c:catAx>
        <c:axId val="6468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43104"/>
        <c:crosses val="autoZero"/>
        <c:auto val="1"/>
        <c:lblAlgn val="ctr"/>
        <c:lblOffset val="100"/>
        <c:noMultiLvlLbl val="0"/>
      </c:catAx>
      <c:valAx>
        <c:axId val="5348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Millones de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060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conjunta de las variables (millones de Q)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Graficos!$N$65</c:f>
              <c:strCache>
                <c:ptCount val="1"/>
                <c:pt idx="0">
                  <c:v>Primas Brutas</c:v>
                </c:pt>
              </c:strCache>
            </c:strRef>
          </c:tx>
          <c:spPr>
            <a:ln w="2857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Graficos!$N$66:$N$81</c:f>
              <c:numCache>
                <c:formatCode>#,##0.00</c:formatCode>
                <c:ptCount val="16"/>
                <c:pt idx="0">
                  <c:v>306806133.53000003</c:v>
                </c:pt>
                <c:pt idx="1">
                  <c:v>466654437.22999996</c:v>
                </c:pt>
                <c:pt idx="2">
                  <c:v>633484052.64999974</c:v>
                </c:pt>
                <c:pt idx="3">
                  <c:v>676872047.57999992</c:v>
                </c:pt>
                <c:pt idx="4">
                  <c:v>774927751.51999998</c:v>
                </c:pt>
                <c:pt idx="5">
                  <c:v>761226769.03000009</c:v>
                </c:pt>
                <c:pt idx="6">
                  <c:v>670020424.91574371</c:v>
                </c:pt>
                <c:pt idx="7">
                  <c:v>827742525.55625701</c:v>
                </c:pt>
                <c:pt idx="8">
                  <c:v>1034678156.9453213</c:v>
                </c:pt>
                <c:pt idx="9">
                  <c:v>1293347696.1816516</c:v>
                </c:pt>
                <c:pt idx="10">
                  <c:v>1616684620.2270646</c:v>
                </c:pt>
                <c:pt idx="11">
                  <c:v>2020855775.2838304</c:v>
                </c:pt>
                <c:pt idx="12">
                  <c:v>2526069719.1047883</c:v>
                </c:pt>
                <c:pt idx="13">
                  <c:v>3157587148.8809848</c:v>
                </c:pt>
                <c:pt idx="14">
                  <c:v>3946983936.1012321</c:v>
                </c:pt>
                <c:pt idx="15">
                  <c:v>4933729920.1265392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96-496D-BB50-C06E17DB831B}"/>
            </c:ext>
          </c:extLst>
        </c:ser>
        <c:ser>
          <c:idx val="1"/>
          <c:order val="1"/>
          <c:tx>
            <c:strRef>
              <c:f>Graficos!$O$65</c:f>
              <c:strCache>
                <c:ptCount val="1"/>
                <c:pt idx="0">
                  <c:v>Primas Netas Ret. Devengadas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5B6"/>
              </a:solidFill>
              <a:ln w="9525">
                <a:solidFill>
                  <a:srgbClr val="2E75B6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Graficos!$O$66:$O$81</c:f>
              <c:numCache>
                <c:formatCode>#,##0.00</c:formatCode>
                <c:ptCount val="16"/>
                <c:pt idx="0">
                  <c:v>195125084.57000005</c:v>
                </c:pt>
                <c:pt idx="1">
                  <c:v>202569971.75</c:v>
                </c:pt>
                <c:pt idx="2">
                  <c:v>256649322.02999994</c:v>
                </c:pt>
                <c:pt idx="3">
                  <c:v>303103896.09000003</c:v>
                </c:pt>
                <c:pt idx="4">
                  <c:v>350235900.29000008</c:v>
                </c:pt>
                <c:pt idx="5">
                  <c:v>360035243.07000005</c:v>
                </c:pt>
                <c:pt idx="6">
                  <c:v>331442749.35591191</c:v>
                </c:pt>
                <c:pt idx="7">
                  <c:v>373718922.92261147</c:v>
                </c:pt>
                <c:pt idx="8">
                  <c:v>467148653.65326434</c:v>
                </c:pt>
                <c:pt idx="9">
                  <c:v>583935817.0665803</c:v>
                </c:pt>
                <c:pt idx="10">
                  <c:v>729919771.33322561</c:v>
                </c:pt>
                <c:pt idx="11">
                  <c:v>912399714.16653204</c:v>
                </c:pt>
                <c:pt idx="12">
                  <c:v>1140499642.7081652</c:v>
                </c:pt>
                <c:pt idx="13">
                  <c:v>1425624553.3852062</c:v>
                </c:pt>
                <c:pt idx="14">
                  <c:v>1782030691.731508</c:v>
                </c:pt>
                <c:pt idx="15">
                  <c:v>2227538364.6643844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96-496D-BB50-C06E17DB831B}"/>
            </c:ext>
          </c:extLst>
        </c:ser>
        <c:ser>
          <c:idx val="2"/>
          <c:order val="2"/>
          <c:tx>
            <c:strRef>
              <c:f>Graficos!$P$65</c:f>
              <c:strCache>
                <c:ptCount val="1"/>
                <c:pt idx="0">
                  <c:v>Siniestralidad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Graficos!$P$66:$P$81</c:f>
              <c:numCache>
                <c:formatCode>#,##0.00</c:formatCode>
                <c:ptCount val="16"/>
                <c:pt idx="0">
                  <c:v>92359702.370000005</c:v>
                </c:pt>
                <c:pt idx="1">
                  <c:v>111575400.55999999</c:v>
                </c:pt>
                <c:pt idx="2">
                  <c:v>123808504.79000001</c:v>
                </c:pt>
                <c:pt idx="3">
                  <c:v>140037069.28999996</c:v>
                </c:pt>
                <c:pt idx="4">
                  <c:v>166968531.11999997</c:v>
                </c:pt>
                <c:pt idx="5">
                  <c:v>191206347.05999997</c:v>
                </c:pt>
                <c:pt idx="6">
                  <c:v>163413805.2596246</c:v>
                </c:pt>
                <c:pt idx="7">
                  <c:v>219244464.85503569</c:v>
                </c:pt>
                <c:pt idx="8">
                  <c:v>274055581.06879461</c:v>
                </c:pt>
                <c:pt idx="9">
                  <c:v>342569476.33599323</c:v>
                </c:pt>
                <c:pt idx="10">
                  <c:v>428211845.41999161</c:v>
                </c:pt>
                <c:pt idx="11">
                  <c:v>535264806.77498949</c:v>
                </c:pt>
                <c:pt idx="12">
                  <c:v>669081008.46873689</c:v>
                </c:pt>
                <c:pt idx="13">
                  <c:v>836351260.58592117</c:v>
                </c:pt>
                <c:pt idx="14">
                  <c:v>1045439075.7324015</c:v>
                </c:pt>
                <c:pt idx="15">
                  <c:v>1306798844.6655016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96-496D-BB50-C06E17DB831B}"/>
            </c:ext>
          </c:extLst>
        </c:ser>
        <c:ser>
          <c:idx val="3"/>
          <c:order val="3"/>
          <c:tx>
            <c:strRef>
              <c:f>Graficos!$Q$65</c:f>
              <c:strCache>
                <c:ptCount val="1"/>
                <c:pt idx="0">
                  <c:v>Gastos de Administración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Graficos!$Q$66:$Q$81</c:f>
              <c:numCache>
                <c:formatCode>#,##0.00</c:formatCode>
                <c:ptCount val="16"/>
                <c:pt idx="0">
                  <c:v>77168737.480000004</c:v>
                </c:pt>
                <c:pt idx="1">
                  <c:v>90981776.469999999</c:v>
                </c:pt>
                <c:pt idx="2">
                  <c:v>132867620.14</c:v>
                </c:pt>
                <c:pt idx="3">
                  <c:v>145356583.26999998</c:v>
                </c:pt>
                <c:pt idx="4">
                  <c:v>188705923.38999999</c:v>
                </c:pt>
                <c:pt idx="5">
                  <c:v>183301317.11000001</c:v>
                </c:pt>
                <c:pt idx="6">
                  <c:v>153629150.33526677</c:v>
                </c:pt>
                <c:pt idx="7">
                  <c:v>172677071.66847715</c:v>
                </c:pt>
                <c:pt idx="8">
                  <c:v>215846339.58559641</c:v>
                </c:pt>
                <c:pt idx="9">
                  <c:v>269807924.48199552</c:v>
                </c:pt>
                <c:pt idx="10">
                  <c:v>337259905.60249448</c:v>
                </c:pt>
                <c:pt idx="11">
                  <c:v>421574882.00311804</c:v>
                </c:pt>
                <c:pt idx="12">
                  <c:v>526968602.50389755</c:v>
                </c:pt>
                <c:pt idx="13">
                  <c:v>658710753.12987185</c:v>
                </c:pt>
                <c:pt idx="14">
                  <c:v>823388441.41233993</c:v>
                </c:pt>
                <c:pt idx="15">
                  <c:v>1029235551.7654247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96-496D-BB50-C06E17DB831B}"/>
            </c:ext>
          </c:extLst>
        </c:ser>
        <c:ser>
          <c:idx val="4"/>
          <c:order val="4"/>
          <c:tx>
            <c:strRef>
              <c:f>Graficos!$R$65</c:f>
              <c:strCache>
                <c:ptCount val="1"/>
                <c:pt idx="0">
                  <c:v>Resultado después de Impuesto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Graficos!$R$66:$R$81</c:f>
              <c:numCache>
                <c:formatCode>#,##0.00</c:formatCode>
                <c:ptCount val="16"/>
                <c:pt idx="0">
                  <c:v>38297184.180000007</c:v>
                </c:pt>
                <c:pt idx="1">
                  <c:v>20199360.350000001</c:v>
                </c:pt>
                <c:pt idx="2">
                  <c:v>29648289.150000002</c:v>
                </c:pt>
                <c:pt idx="3">
                  <c:v>39463753.090000004</c:v>
                </c:pt>
                <c:pt idx="4">
                  <c:v>18927654.980000004</c:v>
                </c:pt>
                <c:pt idx="5">
                  <c:v>17936246.079999998</c:v>
                </c:pt>
                <c:pt idx="6">
                  <c:v>35708999.499142215</c:v>
                </c:pt>
                <c:pt idx="7">
                  <c:v>19587970.923134089</c:v>
                </c:pt>
                <c:pt idx="8">
                  <c:v>24484963.653917596</c:v>
                </c:pt>
                <c:pt idx="9">
                  <c:v>30606204.567396998</c:v>
                </c:pt>
                <c:pt idx="10">
                  <c:v>38257755.709246226</c:v>
                </c:pt>
                <c:pt idx="11">
                  <c:v>47822194.636557847</c:v>
                </c:pt>
                <c:pt idx="12">
                  <c:v>59777743.295697264</c:v>
                </c:pt>
                <c:pt idx="13">
                  <c:v>74722179.119621575</c:v>
                </c:pt>
                <c:pt idx="14">
                  <c:v>93402723.899526924</c:v>
                </c:pt>
                <c:pt idx="15">
                  <c:v>116753404.87440881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96-496D-BB50-C06E17DB8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831072"/>
        <c:axId val="1825214784"/>
      </c:lineChart>
      <c:catAx>
        <c:axId val="64683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214784"/>
        <c:crosses val="autoZero"/>
        <c:auto val="1"/>
        <c:lblAlgn val="ctr"/>
        <c:lblOffset val="100"/>
        <c:noMultiLvlLbl val="0"/>
      </c:catAx>
      <c:valAx>
        <c:axId val="18252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Millones de 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3107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Relaciones entre variables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Graficos!$S$65</c:f>
              <c:strCache>
                <c:ptCount val="1"/>
                <c:pt idx="0">
                  <c:v>Devengadas % Primas Brutas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75B6"/>
              </a:solidFill>
              <a:ln w="9525">
                <a:solidFill>
                  <a:srgbClr val="2E75B6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Graficos!$S$66:$S$81</c:f>
              <c:numCache>
                <c:formatCode>0.0%</c:formatCode>
                <c:ptCount val="16"/>
                <c:pt idx="0">
                  <c:v>0.63598821289835916</c:v>
                </c:pt>
                <c:pt idx="1">
                  <c:v>0.4340898866245203</c:v>
                </c:pt>
                <c:pt idx="2">
                  <c:v>0.40513935742562224</c:v>
                </c:pt>
                <c:pt idx="3">
                  <c:v>0.44780087636013066</c:v>
                </c:pt>
                <c:pt idx="4">
                  <c:v>0.45195942409214507</c:v>
                </c:pt>
                <c:pt idx="5">
                  <c:v>0.47296713373437738</c:v>
                </c:pt>
                <c:pt idx="6">
                  <c:v>0.49467559052038068</c:v>
                </c:pt>
                <c:pt idx="7">
                  <c:v>0.45149175182399387</c:v>
                </c:pt>
                <c:pt idx="8">
                  <c:v>0.45149175182399381</c:v>
                </c:pt>
                <c:pt idx="9">
                  <c:v>0.45149175182399376</c:v>
                </c:pt>
                <c:pt idx="10">
                  <c:v>0.45149175182399387</c:v>
                </c:pt>
                <c:pt idx="11">
                  <c:v>0.45149175182399393</c:v>
                </c:pt>
                <c:pt idx="12">
                  <c:v>0.45149175182399393</c:v>
                </c:pt>
                <c:pt idx="13">
                  <c:v>0.45149175182399393</c:v>
                </c:pt>
                <c:pt idx="14">
                  <c:v>0.45149175182399387</c:v>
                </c:pt>
                <c:pt idx="15">
                  <c:v>0.45149175182399381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4-4461-B9CB-784D7A93EFA6}"/>
            </c:ext>
          </c:extLst>
        </c:ser>
        <c:ser>
          <c:idx val="1"/>
          <c:order val="1"/>
          <c:tx>
            <c:strRef>
              <c:f>Graficos!$T$65</c:f>
              <c:strCache>
                <c:ptCount val="1"/>
                <c:pt idx="0">
                  <c:v>Siniestralidad % Devengadas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Graficos!$T$66:$T$81</c:f>
              <c:numCache>
                <c:formatCode>0.0%</c:formatCode>
                <c:ptCount val="16"/>
                <c:pt idx="0">
                  <c:v>0.47333587361939861</c:v>
                </c:pt>
                <c:pt idx="1">
                  <c:v>0.55079930947366584</c:v>
                </c:pt>
                <c:pt idx="2">
                  <c:v>0.48240339701940821</c:v>
                </c:pt>
                <c:pt idx="3">
                  <c:v>0.4620101262189617</c:v>
                </c:pt>
                <c:pt idx="4">
                  <c:v>0.47673162854449747</c:v>
                </c:pt>
                <c:pt idx="5">
                  <c:v>0.53107675079137895</c:v>
                </c:pt>
                <c:pt idx="6">
                  <c:v>0.49303780389579915</c:v>
                </c:pt>
                <c:pt idx="7">
                  <c:v>0.58665604390719106</c:v>
                </c:pt>
                <c:pt idx="8">
                  <c:v>0.58665604390719095</c:v>
                </c:pt>
                <c:pt idx="9">
                  <c:v>0.58665604390719106</c:v>
                </c:pt>
                <c:pt idx="10">
                  <c:v>0.58665604390719095</c:v>
                </c:pt>
                <c:pt idx="11">
                  <c:v>0.58665604390719095</c:v>
                </c:pt>
                <c:pt idx="12">
                  <c:v>0.58665604390719095</c:v>
                </c:pt>
                <c:pt idx="13">
                  <c:v>0.58665604390719106</c:v>
                </c:pt>
                <c:pt idx="14">
                  <c:v>0.58665604390719095</c:v>
                </c:pt>
                <c:pt idx="15">
                  <c:v>0.58665604390719106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24-4461-B9CB-784D7A93EFA6}"/>
            </c:ext>
          </c:extLst>
        </c:ser>
        <c:ser>
          <c:idx val="2"/>
          <c:order val="2"/>
          <c:tx>
            <c:strRef>
              <c:f>Graficos!$U$65</c:f>
              <c:strCache>
                <c:ptCount val="1"/>
                <c:pt idx="0">
                  <c:v>Gastos Admin. % Primas Brutas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Graficos!$U$66:$U$81</c:f>
              <c:numCache>
                <c:formatCode>0.0%</c:formatCode>
                <c:ptCount val="16"/>
                <c:pt idx="0">
                  <c:v>0.25152279907876846</c:v>
                </c:pt>
                <c:pt idx="1">
                  <c:v>0.19496605884657606</c:v>
                </c:pt>
                <c:pt idx="2">
                  <c:v>0.20974106543674814</c:v>
                </c:pt>
                <c:pt idx="3">
                  <c:v>0.21474750477536922</c:v>
                </c:pt>
                <c:pt idx="4">
                  <c:v>0.24351421538312235</c:v>
                </c:pt>
                <c:pt idx="5">
                  <c:v>0.2407972559130748</c:v>
                </c:pt>
                <c:pt idx="6">
                  <c:v>0.22929024940483853</c:v>
                </c:pt>
                <c:pt idx="7">
                  <c:v>0.20861205790101847</c:v>
                </c:pt>
                <c:pt idx="8">
                  <c:v>0.20861205790101844</c:v>
                </c:pt>
                <c:pt idx="9">
                  <c:v>0.20861205790101844</c:v>
                </c:pt>
                <c:pt idx="10">
                  <c:v>0.20861205790101847</c:v>
                </c:pt>
                <c:pt idx="11">
                  <c:v>0.2086120579010185</c:v>
                </c:pt>
                <c:pt idx="12">
                  <c:v>0.20861205790101847</c:v>
                </c:pt>
                <c:pt idx="13">
                  <c:v>0.20861205790101847</c:v>
                </c:pt>
                <c:pt idx="14">
                  <c:v>0.20861205790101844</c:v>
                </c:pt>
                <c:pt idx="15">
                  <c:v>0.20861205790101844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24-4461-B9CB-784D7A93EFA6}"/>
            </c:ext>
          </c:extLst>
        </c:ser>
        <c:ser>
          <c:idx val="3"/>
          <c:order val="3"/>
          <c:tx>
            <c:strRef>
              <c:f>Graficos!$V$65</c:f>
              <c:strCache>
                <c:ptCount val="1"/>
                <c:pt idx="0">
                  <c:v>Gastos Admin. % Devengadas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Graficos!$V$66:$V$81</c:f>
              <c:numCache>
                <c:formatCode>0.0%</c:formatCode>
                <c:ptCount val="16"/>
                <c:pt idx="0">
                  <c:v>0.39548342874550374</c:v>
                </c:pt>
                <c:pt idx="1">
                  <c:v>0.44913752854882349</c:v>
                </c:pt>
                <c:pt idx="2">
                  <c:v>0.51770103692098979</c:v>
                </c:pt>
                <c:pt idx="3">
                  <c:v>0.47956026017837639</c:v>
                </c:pt>
                <c:pt idx="4">
                  <c:v>0.53879663173806258</c:v>
                </c:pt>
                <c:pt idx="5">
                  <c:v>0.50912048372542673</c:v>
                </c:pt>
                <c:pt idx="6">
                  <c:v>0.46351640104908665</c:v>
                </c:pt>
                <c:pt idx="7">
                  <c:v>0.46205065110988391</c:v>
                </c:pt>
                <c:pt idx="8">
                  <c:v>0.46205065110988386</c:v>
                </c:pt>
                <c:pt idx="9">
                  <c:v>0.46205065110988397</c:v>
                </c:pt>
                <c:pt idx="10">
                  <c:v>0.46205065110988391</c:v>
                </c:pt>
                <c:pt idx="11">
                  <c:v>0.46205065110988386</c:v>
                </c:pt>
                <c:pt idx="12">
                  <c:v>0.4620506511098838</c:v>
                </c:pt>
                <c:pt idx="13">
                  <c:v>0.4620506511098838</c:v>
                </c:pt>
                <c:pt idx="14">
                  <c:v>0.4620506511098838</c:v>
                </c:pt>
                <c:pt idx="15">
                  <c:v>0.46205065110988386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24-4461-B9CB-784D7A93EFA6}"/>
            </c:ext>
          </c:extLst>
        </c:ser>
        <c:ser>
          <c:idx val="4"/>
          <c:order val="4"/>
          <c:tx>
            <c:strRef>
              <c:f>Graficos!$W$65</c:f>
              <c:strCache>
                <c:ptCount val="1"/>
                <c:pt idx="0">
                  <c:v>Resultado % Primas Brutas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cat>
            <c:numRef>
              <c:f>Graficos!$M$66:$M$81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Graficos!$W$66:$W$81</c:f>
              <c:numCache>
                <c:formatCode>0.0%</c:formatCode>
                <c:ptCount val="16"/>
                <c:pt idx="0">
                  <c:v>0.12482535384598249</c:v>
                </c:pt>
                <c:pt idx="1">
                  <c:v>4.3285477943595219E-2</c:v>
                </c:pt>
                <c:pt idx="2">
                  <c:v>4.6801950303207863E-2</c:v>
                </c:pt>
                <c:pt idx="3">
                  <c:v>5.8303121293150698E-2</c:v>
                </c:pt>
                <c:pt idx="4">
                  <c:v>2.44250576171442E-2</c:v>
                </c:pt>
                <c:pt idx="5">
                  <c:v>2.356229025268701E-2</c:v>
                </c:pt>
                <c:pt idx="6">
                  <c:v>5.3295389470601119E-2</c:v>
                </c:pt>
                <c:pt idx="7">
                  <c:v>2.3664328361008926E-2</c:v>
                </c:pt>
                <c:pt idx="8">
                  <c:v>2.3664328361008909E-2</c:v>
                </c:pt>
                <c:pt idx="9">
                  <c:v>2.3664328361008916E-2</c:v>
                </c:pt>
                <c:pt idx="10">
                  <c:v>2.3664328361008898E-2</c:v>
                </c:pt>
                <c:pt idx="11">
                  <c:v>2.3664328361008936E-2</c:v>
                </c:pt>
                <c:pt idx="12">
                  <c:v>2.3664328361008916E-2</c:v>
                </c:pt>
                <c:pt idx="13">
                  <c:v>2.3664328361008919E-2</c:v>
                </c:pt>
                <c:pt idx="14">
                  <c:v>2.3664328361008898E-2</c:v>
                </c:pt>
                <c:pt idx="15">
                  <c:v>2.3664328361008936E-2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24-4461-B9CB-784D7A93E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766384"/>
        <c:axId val="2030583008"/>
      </c:lineChart>
      <c:catAx>
        <c:axId val="45876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583008"/>
        <c:crosses val="autoZero"/>
        <c:auto val="1"/>
        <c:lblAlgn val="ctr"/>
        <c:lblOffset val="100"/>
        <c:noMultiLvlLbl val="0"/>
      </c:catAx>
      <c:valAx>
        <c:axId val="203058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6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6350</xdr:rowOff>
    </xdr:from>
    <xdr:to>
      <xdr:col>4</xdr:col>
      <xdr:colOff>1139825</xdr:colOff>
      <xdr:row>22</xdr:row>
      <xdr:rowOff>66675</xdr:rowOff>
    </xdr:to>
    <xdr:graphicFrame macro="">
      <xdr:nvGraphicFramePr>
        <xdr:cNvPr id="2" name="Graf Primas Brutas">
          <a:extLst>
            <a:ext uri="{FF2B5EF4-FFF2-40B4-BE49-F238E27FC236}">
              <a16:creationId xmlns:a16="http://schemas.microsoft.com/office/drawing/2014/main" id="{C0CEA8E1-7452-4BB4-89B2-4E5A77017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1139825</xdr:colOff>
      <xdr:row>3</xdr:row>
      <xdr:rowOff>6350</xdr:rowOff>
    </xdr:from>
    <xdr:to>
      <xdr:col>10</xdr:col>
      <xdr:colOff>1139825</xdr:colOff>
      <xdr:row>22</xdr:row>
      <xdr:rowOff>66675</xdr:rowOff>
    </xdr:to>
    <xdr:graphicFrame macro="">
      <xdr:nvGraphicFramePr>
        <xdr:cNvPr id="3" name="Graf Primas Netas de Retención Devengadas">
          <a:extLst>
            <a:ext uri="{FF2B5EF4-FFF2-40B4-BE49-F238E27FC236}">
              <a16:creationId xmlns:a16="http://schemas.microsoft.com/office/drawing/2014/main" id="{DA224FEA-1BA7-4510-BD66-CF4E5C265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63500</xdr:rowOff>
    </xdr:from>
    <xdr:to>
      <xdr:col>4</xdr:col>
      <xdr:colOff>1139825</xdr:colOff>
      <xdr:row>42</xdr:row>
      <xdr:rowOff>123825</xdr:rowOff>
    </xdr:to>
    <xdr:graphicFrame macro="">
      <xdr:nvGraphicFramePr>
        <xdr:cNvPr id="4" name="Graf Siniestralidad">
          <a:extLst>
            <a:ext uri="{FF2B5EF4-FFF2-40B4-BE49-F238E27FC236}">
              <a16:creationId xmlns:a16="http://schemas.microsoft.com/office/drawing/2014/main" id="{C45BD899-0879-4C34-9C67-9C93C75D9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1139825</xdr:colOff>
      <xdr:row>23</xdr:row>
      <xdr:rowOff>63500</xdr:rowOff>
    </xdr:from>
    <xdr:to>
      <xdr:col>10</xdr:col>
      <xdr:colOff>1139825</xdr:colOff>
      <xdr:row>42</xdr:row>
      <xdr:rowOff>123825</xdr:rowOff>
    </xdr:to>
    <xdr:graphicFrame macro="">
      <xdr:nvGraphicFramePr>
        <xdr:cNvPr id="5" name="Graf Gastos de Administración">
          <a:extLst>
            <a:ext uri="{FF2B5EF4-FFF2-40B4-BE49-F238E27FC236}">
              <a16:creationId xmlns:a16="http://schemas.microsoft.com/office/drawing/2014/main" id="{A533CAC7-DEE5-433A-A68E-ED9B3F236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43</xdr:row>
      <xdr:rowOff>130175</xdr:rowOff>
    </xdr:from>
    <xdr:to>
      <xdr:col>4</xdr:col>
      <xdr:colOff>1139825</xdr:colOff>
      <xdr:row>62</xdr:row>
      <xdr:rowOff>9525</xdr:rowOff>
    </xdr:to>
    <xdr:graphicFrame macro="">
      <xdr:nvGraphicFramePr>
        <xdr:cNvPr id="6" name="Graf Resultado después de Impuesto">
          <a:extLst>
            <a:ext uri="{FF2B5EF4-FFF2-40B4-BE49-F238E27FC236}">
              <a16:creationId xmlns:a16="http://schemas.microsoft.com/office/drawing/2014/main" id="{C61029D4-C494-44A6-9E27-3F54F91E8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3</xdr:row>
      <xdr:rowOff>6350</xdr:rowOff>
    </xdr:from>
    <xdr:to>
      <xdr:col>22</xdr:col>
      <xdr:colOff>1139825</xdr:colOff>
      <xdr:row>22</xdr:row>
      <xdr:rowOff>66675</xdr:rowOff>
    </xdr:to>
    <xdr:graphicFrame macro="">
      <xdr:nvGraphicFramePr>
        <xdr:cNvPr id="7" name="Graf Relacion Variables">
          <a:extLst>
            <a:ext uri="{FF2B5EF4-FFF2-40B4-BE49-F238E27FC236}">
              <a16:creationId xmlns:a16="http://schemas.microsoft.com/office/drawing/2014/main" id="{EBA3862E-28D9-4F51-BECB-96302F74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23</xdr:row>
      <xdr:rowOff>63500</xdr:rowOff>
    </xdr:from>
    <xdr:to>
      <xdr:col>22</xdr:col>
      <xdr:colOff>1139825</xdr:colOff>
      <xdr:row>42</xdr:row>
      <xdr:rowOff>123825</xdr:rowOff>
    </xdr:to>
    <xdr:graphicFrame macro="">
      <xdr:nvGraphicFramePr>
        <xdr:cNvPr id="8" name="Graf Relaciones Porcentuales">
          <a:extLst>
            <a:ext uri="{FF2B5EF4-FFF2-40B4-BE49-F238E27FC236}">
              <a16:creationId xmlns:a16="http://schemas.microsoft.com/office/drawing/2014/main" id="{25AAB665-D88D-4A4D-966E-E44356206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coudere\Downloads\Ejercicio%202035%20COPIA.xlsx" TargetMode="External"/><Relationship Id="rId1" Type="http://schemas.openxmlformats.org/officeDocument/2006/relationships/externalLinkPath" Target="file:///C:\Users\jcoudere\Downloads\Ejercicio%202035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rcado 2025 y 2026"/>
      <sheetName val="Informacion de Sam"/>
      <sheetName val="Supuestos Proyeccion"/>
      <sheetName val="Proyeccion Agromercantil"/>
      <sheetName val="Graficos"/>
    </sheetNames>
    <sheetDataSet>
      <sheetData sheetId="0"/>
      <sheetData sheetId="1"/>
      <sheetData sheetId="2"/>
      <sheetData sheetId="3"/>
      <sheetData sheetId="4">
        <row r="65">
          <cell r="B65" t="str">
            <v>Real</v>
          </cell>
          <cell r="C65" t="str">
            <v>Proyección</v>
          </cell>
          <cell r="D65" t="str">
            <v>Real</v>
          </cell>
          <cell r="E65" t="str">
            <v>Proyección</v>
          </cell>
          <cell r="F65" t="str">
            <v>Real</v>
          </cell>
          <cell r="G65" t="str">
            <v>Proyección</v>
          </cell>
          <cell r="H65" t="str">
            <v>Real</v>
          </cell>
          <cell r="I65" t="str">
            <v>Proyección</v>
          </cell>
          <cell r="J65" t="str">
            <v>Real</v>
          </cell>
          <cell r="K65" t="str">
            <v>Proyección</v>
          </cell>
          <cell r="N65" t="str">
            <v>Primas Brutas</v>
          </cell>
          <cell r="O65" t="str">
            <v>Primas Netas Ret. Devengadas</v>
          </cell>
          <cell r="P65" t="str">
            <v>Siniestralidad</v>
          </cell>
          <cell r="Q65" t="str">
            <v>Gastos de Administración</v>
          </cell>
          <cell r="R65" t="str">
            <v>Resultado después de Impuesto</v>
          </cell>
          <cell r="S65" t="str">
            <v>Devengadas % Primas Brutas</v>
          </cell>
          <cell r="T65" t="str">
            <v>Siniestralidad % Devengadas</v>
          </cell>
          <cell r="U65" t="str">
            <v>Gastos Admin. % Primas Brutas</v>
          </cell>
          <cell r="V65" t="str">
            <v>Gastos Admin. % Devengadas</v>
          </cell>
          <cell r="W65" t="str">
            <v>Resultado % Primas Brutas</v>
          </cell>
        </row>
        <row r="66">
          <cell r="A66">
            <v>2020</v>
          </cell>
          <cell r="B66">
            <v>306806133.53000003</v>
          </cell>
          <cell r="C66">
            <v>0</v>
          </cell>
          <cell r="D66">
            <v>195125084.57000005</v>
          </cell>
          <cell r="E66">
            <v>0</v>
          </cell>
          <cell r="F66">
            <v>92359702.370000005</v>
          </cell>
          <cell r="G66">
            <v>0</v>
          </cell>
          <cell r="H66">
            <v>77168737.480000004</v>
          </cell>
          <cell r="I66">
            <v>0</v>
          </cell>
          <cell r="J66">
            <v>38297184.180000007</v>
          </cell>
          <cell r="K66">
            <v>0</v>
          </cell>
          <cell r="M66">
            <v>2020</v>
          </cell>
          <cell r="N66">
            <v>306806133.53000003</v>
          </cell>
          <cell r="O66">
            <v>195125084.57000005</v>
          </cell>
          <cell r="P66">
            <v>92359702.370000005</v>
          </cell>
          <cell r="Q66">
            <v>77168737.480000004</v>
          </cell>
          <cell r="R66">
            <v>38297184.180000007</v>
          </cell>
          <cell r="S66">
            <v>0.63598821289835916</v>
          </cell>
          <cell r="T66">
            <v>0.47333587361939861</v>
          </cell>
          <cell r="U66">
            <v>0.25152279907876846</v>
          </cell>
          <cell r="V66">
            <v>0.39548342874550374</v>
          </cell>
          <cell r="W66">
            <v>0.12482535384598249</v>
          </cell>
        </row>
        <row r="67">
          <cell r="A67">
            <v>2021</v>
          </cell>
          <cell r="B67">
            <v>466654437.22999996</v>
          </cell>
          <cell r="C67">
            <v>0</v>
          </cell>
          <cell r="D67">
            <v>202569971.75</v>
          </cell>
          <cell r="E67">
            <v>0</v>
          </cell>
          <cell r="F67">
            <v>111575400.55999999</v>
          </cell>
          <cell r="G67">
            <v>0</v>
          </cell>
          <cell r="H67">
            <v>90981776.469999999</v>
          </cell>
          <cell r="I67">
            <v>0</v>
          </cell>
          <cell r="J67">
            <v>20199360.350000001</v>
          </cell>
          <cell r="K67">
            <v>0</v>
          </cell>
          <cell r="M67">
            <v>2021</v>
          </cell>
          <cell r="N67">
            <v>466654437.22999996</v>
          </cell>
          <cell r="O67">
            <v>202569971.75</v>
          </cell>
          <cell r="P67">
            <v>111575400.55999999</v>
          </cell>
          <cell r="Q67">
            <v>90981776.469999999</v>
          </cell>
          <cell r="R67">
            <v>20199360.350000001</v>
          </cell>
          <cell r="S67">
            <v>0.4340898866245203</v>
          </cell>
          <cell r="T67">
            <v>0.55079930947366584</v>
          </cell>
          <cell r="U67">
            <v>0.19496605884657606</v>
          </cell>
          <cell r="V67">
            <v>0.44913752854882349</v>
          </cell>
          <cell r="W67">
            <v>4.3285477943595219E-2</v>
          </cell>
        </row>
        <row r="68">
          <cell r="A68">
            <v>2022</v>
          </cell>
          <cell r="B68">
            <v>633484052.64999974</v>
          </cell>
          <cell r="C68">
            <v>0</v>
          </cell>
          <cell r="D68">
            <v>256649322.02999994</v>
          </cell>
          <cell r="E68">
            <v>0</v>
          </cell>
          <cell r="F68">
            <v>123808504.79000001</v>
          </cell>
          <cell r="G68">
            <v>0</v>
          </cell>
          <cell r="H68">
            <v>132867620.14</v>
          </cell>
          <cell r="I68">
            <v>0</v>
          </cell>
          <cell r="J68">
            <v>29648289.150000002</v>
          </cell>
          <cell r="K68">
            <v>0</v>
          </cell>
          <cell r="M68">
            <v>2022</v>
          </cell>
          <cell r="N68">
            <v>633484052.64999974</v>
          </cell>
          <cell r="O68">
            <v>256649322.02999994</v>
          </cell>
          <cell r="P68">
            <v>123808504.79000001</v>
          </cell>
          <cell r="Q68">
            <v>132867620.14</v>
          </cell>
          <cell r="R68">
            <v>29648289.150000002</v>
          </cell>
          <cell r="S68">
            <v>0.40513935742562224</v>
          </cell>
          <cell r="T68">
            <v>0.48240339701940821</v>
          </cell>
          <cell r="U68">
            <v>0.20974106543674814</v>
          </cell>
          <cell r="V68">
            <v>0.51770103692098979</v>
          </cell>
          <cell r="W68">
            <v>4.6801950303207863E-2</v>
          </cell>
        </row>
        <row r="69">
          <cell r="A69">
            <v>2023</v>
          </cell>
          <cell r="B69">
            <v>676872047.57999992</v>
          </cell>
          <cell r="C69">
            <v>0</v>
          </cell>
          <cell r="D69">
            <v>303103896.09000003</v>
          </cell>
          <cell r="E69">
            <v>0</v>
          </cell>
          <cell r="F69">
            <v>140037069.28999996</v>
          </cell>
          <cell r="G69">
            <v>0</v>
          </cell>
          <cell r="H69">
            <v>145356583.26999998</v>
          </cell>
          <cell r="I69">
            <v>0</v>
          </cell>
          <cell r="J69">
            <v>39463753.090000004</v>
          </cell>
          <cell r="K69">
            <v>0</v>
          </cell>
          <cell r="M69">
            <v>2023</v>
          </cell>
          <cell r="N69">
            <v>676872047.57999992</v>
          </cell>
          <cell r="O69">
            <v>303103896.09000003</v>
          </cell>
          <cell r="P69">
            <v>140037069.28999996</v>
          </cell>
          <cell r="Q69">
            <v>145356583.26999998</v>
          </cell>
          <cell r="R69">
            <v>39463753.090000004</v>
          </cell>
          <cell r="S69">
            <v>0.44780087636013066</v>
          </cell>
          <cell r="T69">
            <v>0.4620101262189617</v>
          </cell>
          <cell r="U69">
            <v>0.21474750477536922</v>
          </cell>
          <cell r="V69">
            <v>0.47956026017837639</v>
          </cell>
          <cell r="W69">
            <v>5.8303121293150698E-2</v>
          </cell>
        </row>
        <row r="70">
          <cell r="A70">
            <v>2024</v>
          </cell>
          <cell r="B70">
            <v>774927751.51999998</v>
          </cell>
          <cell r="C70">
            <v>0</v>
          </cell>
          <cell r="D70">
            <v>350235900.29000008</v>
          </cell>
          <cell r="E70">
            <v>0</v>
          </cell>
          <cell r="F70">
            <v>166968531.11999997</v>
          </cell>
          <cell r="G70">
            <v>0</v>
          </cell>
          <cell r="H70">
            <v>188705923.38999999</v>
          </cell>
          <cell r="I70">
            <v>0</v>
          </cell>
          <cell r="J70">
            <v>18927654.980000004</v>
          </cell>
          <cell r="K70">
            <v>0</v>
          </cell>
          <cell r="M70">
            <v>2024</v>
          </cell>
          <cell r="N70">
            <v>774927751.51999998</v>
          </cell>
          <cell r="O70">
            <v>350235900.29000008</v>
          </cell>
          <cell r="P70">
            <v>166968531.11999997</v>
          </cell>
          <cell r="Q70">
            <v>188705923.38999999</v>
          </cell>
          <cell r="R70">
            <v>18927654.980000004</v>
          </cell>
          <cell r="S70">
            <v>0.45195942409214507</v>
          </cell>
          <cell r="T70">
            <v>0.47673162854449747</v>
          </cell>
          <cell r="U70">
            <v>0.24351421538312235</v>
          </cell>
          <cell r="V70">
            <v>0.53879663173806258</v>
          </cell>
          <cell r="W70">
            <v>2.44250576171442E-2</v>
          </cell>
        </row>
        <row r="71">
          <cell r="A71">
            <v>2025</v>
          </cell>
          <cell r="B71">
            <v>761226769.03000009</v>
          </cell>
          <cell r="C71">
            <v>0</v>
          </cell>
          <cell r="D71">
            <v>360035243.07000005</v>
          </cell>
          <cell r="E71">
            <v>0</v>
          </cell>
          <cell r="F71">
            <v>191206347.05999997</v>
          </cell>
          <cell r="G71">
            <v>0</v>
          </cell>
          <cell r="H71">
            <v>183301317.11000001</v>
          </cell>
          <cell r="I71">
            <v>0</v>
          </cell>
          <cell r="J71">
            <v>17936246.079999998</v>
          </cell>
          <cell r="K71">
            <v>0</v>
          </cell>
          <cell r="M71">
            <v>2025</v>
          </cell>
          <cell r="N71">
            <v>761226769.03000009</v>
          </cell>
          <cell r="O71">
            <v>360035243.07000005</v>
          </cell>
          <cell r="P71">
            <v>191206347.05999997</v>
          </cell>
          <cell r="Q71">
            <v>183301317.11000001</v>
          </cell>
          <cell r="R71">
            <v>17936246.079999998</v>
          </cell>
          <cell r="S71">
            <v>0.47296713373437738</v>
          </cell>
          <cell r="T71">
            <v>0.53107675079137895</v>
          </cell>
          <cell r="U71">
            <v>0.2407972559130748</v>
          </cell>
          <cell r="V71">
            <v>0.50912048372542673</v>
          </cell>
          <cell r="W71">
            <v>2.356229025268701E-2</v>
          </cell>
        </row>
        <row r="72">
          <cell r="A72">
            <v>2026</v>
          </cell>
          <cell r="B72">
            <v>469544068.63000005</v>
          </cell>
          <cell r="C72">
            <v>200476356.28574365</v>
          </cell>
          <cell r="D72">
            <v>231577350.81</v>
          </cell>
          <cell r="E72">
            <v>99865398.545911908</v>
          </cell>
          <cell r="F72">
            <v>110313559.60000002</v>
          </cell>
          <cell r="G72">
            <v>53100245.659624591</v>
          </cell>
          <cell r="H72">
            <v>111807365.09</v>
          </cell>
          <cell r="I72">
            <v>41821785.245266765</v>
          </cell>
          <cell r="J72">
            <v>23950878.240000002</v>
          </cell>
          <cell r="K72">
            <v>11758121.259142213</v>
          </cell>
          <cell r="M72">
            <v>2026</v>
          </cell>
          <cell r="N72">
            <v>670020424.91574371</v>
          </cell>
          <cell r="O72">
            <v>331442749.35591191</v>
          </cell>
          <cell r="P72">
            <v>163413805.2596246</v>
          </cell>
          <cell r="Q72">
            <v>153629150.33526677</v>
          </cell>
          <cell r="R72">
            <v>35708999.499142215</v>
          </cell>
          <cell r="S72">
            <v>0.49467559052038068</v>
          </cell>
          <cell r="T72">
            <v>0.49303780389579915</v>
          </cell>
          <cell r="U72">
            <v>0.22929024940483853</v>
          </cell>
          <cell r="V72">
            <v>0.46351640104908665</v>
          </cell>
          <cell r="W72">
            <v>5.3295389470601119E-2</v>
          </cell>
        </row>
        <row r="73">
          <cell r="A73">
            <v>2027</v>
          </cell>
          <cell r="B73">
            <v>0</v>
          </cell>
          <cell r="C73">
            <v>827742525.55625701</v>
          </cell>
          <cell r="D73">
            <v>0</v>
          </cell>
          <cell r="E73">
            <v>373718922.92261147</v>
          </cell>
          <cell r="F73">
            <v>0</v>
          </cell>
          <cell r="G73">
            <v>219244464.85503569</v>
          </cell>
          <cell r="H73">
            <v>0</v>
          </cell>
          <cell r="I73">
            <v>172677071.66847715</v>
          </cell>
          <cell r="J73">
            <v>0</v>
          </cell>
          <cell r="K73">
            <v>19587970.923134089</v>
          </cell>
          <cell r="M73">
            <v>2027</v>
          </cell>
          <cell r="N73">
            <v>827742525.55625701</v>
          </cell>
          <cell r="O73">
            <v>373718922.92261147</v>
          </cell>
          <cell r="P73">
            <v>219244464.85503569</v>
          </cell>
          <cell r="Q73">
            <v>172677071.66847715</v>
          </cell>
          <cell r="R73">
            <v>19587970.923134089</v>
          </cell>
          <cell r="S73">
            <v>0.45149175182399387</v>
          </cell>
          <cell r="T73">
            <v>0.58665604390719106</v>
          </cell>
          <cell r="U73">
            <v>0.20861205790101847</v>
          </cell>
          <cell r="V73">
            <v>0.46205065110988391</v>
          </cell>
          <cell r="W73">
            <v>2.3664328361008926E-2</v>
          </cell>
        </row>
        <row r="74">
          <cell r="A74">
            <v>2028</v>
          </cell>
          <cell r="B74">
            <v>0</v>
          </cell>
          <cell r="C74">
            <v>1034678156.9453213</v>
          </cell>
          <cell r="D74">
            <v>0</v>
          </cell>
          <cell r="E74">
            <v>467148653.65326434</v>
          </cell>
          <cell r="F74">
            <v>0</v>
          </cell>
          <cell r="G74">
            <v>274055581.06879461</v>
          </cell>
          <cell r="H74">
            <v>0</v>
          </cell>
          <cell r="I74">
            <v>215846339.58559641</v>
          </cell>
          <cell r="J74">
            <v>0</v>
          </cell>
          <cell r="K74">
            <v>24484963.653917596</v>
          </cell>
          <cell r="M74">
            <v>2028</v>
          </cell>
          <cell r="N74">
            <v>1034678156.9453213</v>
          </cell>
          <cell r="O74">
            <v>467148653.65326434</v>
          </cell>
          <cell r="P74">
            <v>274055581.06879461</v>
          </cell>
          <cell r="Q74">
            <v>215846339.58559641</v>
          </cell>
          <cell r="R74">
            <v>24484963.653917596</v>
          </cell>
          <cell r="S74">
            <v>0.45149175182399381</v>
          </cell>
          <cell r="T74">
            <v>0.58665604390719095</v>
          </cell>
          <cell r="U74">
            <v>0.20861205790101844</v>
          </cell>
          <cell r="V74">
            <v>0.46205065110988386</v>
          </cell>
          <cell r="W74">
            <v>2.3664328361008909E-2</v>
          </cell>
        </row>
        <row r="75">
          <cell r="A75">
            <v>2029</v>
          </cell>
          <cell r="B75">
            <v>0</v>
          </cell>
          <cell r="C75">
            <v>1293347696.1816516</v>
          </cell>
          <cell r="D75">
            <v>0</v>
          </cell>
          <cell r="E75">
            <v>583935817.0665803</v>
          </cell>
          <cell r="F75">
            <v>0</v>
          </cell>
          <cell r="G75">
            <v>342569476.33599323</v>
          </cell>
          <cell r="H75">
            <v>0</v>
          </cell>
          <cell r="I75">
            <v>269807924.48199552</v>
          </cell>
          <cell r="J75">
            <v>0</v>
          </cell>
          <cell r="K75">
            <v>30606204.567396998</v>
          </cell>
          <cell r="M75">
            <v>2029</v>
          </cell>
          <cell r="N75">
            <v>1293347696.1816516</v>
          </cell>
          <cell r="O75">
            <v>583935817.0665803</v>
          </cell>
          <cell r="P75">
            <v>342569476.33599323</v>
          </cell>
          <cell r="Q75">
            <v>269807924.48199552</v>
          </cell>
          <cell r="R75">
            <v>30606204.567396998</v>
          </cell>
          <cell r="S75">
            <v>0.45149175182399376</v>
          </cell>
          <cell r="T75">
            <v>0.58665604390719106</v>
          </cell>
          <cell r="U75">
            <v>0.20861205790101844</v>
          </cell>
          <cell r="V75">
            <v>0.46205065110988397</v>
          </cell>
          <cell r="W75">
            <v>2.3664328361008916E-2</v>
          </cell>
        </row>
        <row r="76">
          <cell r="A76">
            <v>2030</v>
          </cell>
          <cell r="B76">
            <v>0</v>
          </cell>
          <cell r="C76">
            <v>1616684620.2270646</v>
          </cell>
          <cell r="D76">
            <v>0</v>
          </cell>
          <cell r="E76">
            <v>729919771.33322561</v>
          </cell>
          <cell r="F76">
            <v>0</v>
          </cell>
          <cell r="G76">
            <v>428211845.41999161</v>
          </cell>
          <cell r="H76">
            <v>0</v>
          </cell>
          <cell r="I76">
            <v>337259905.60249448</v>
          </cell>
          <cell r="J76">
            <v>0</v>
          </cell>
          <cell r="K76">
            <v>38257755.709246226</v>
          </cell>
          <cell r="M76">
            <v>2030</v>
          </cell>
          <cell r="N76">
            <v>1616684620.2270646</v>
          </cell>
          <cell r="O76">
            <v>729919771.33322561</v>
          </cell>
          <cell r="P76">
            <v>428211845.41999161</v>
          </cell>
          <cell r="Q76">
            <v>337259905.60249448</v>
          </cell>
          <cell r="R76">
            <v>38257755.709246226</v>
          </cell>
          <cell r="S76">
            <v>0.45149175182399387</v>
          </cell>
          <cell r="T76">
            <v>0.58665604390719095</v>
          </cell>
          <cell r="U76">
            <v>0.20861205790101847</v>
          </cell>
          <cell r="V76">
            <v>0.46205065110988391</v>
          </cell>
          <cell r="W76">
            <v>2.3664328361008898E-2</v>
          </cell>
        </row>
        <row r="77">
          <cell r="A77">
            <v>2031</v>
          </cell>
          <cell r="B77">
            <v>0</v>
          </cell>
          <cell r="C77">
            <v>2020855775.2838304</v>
          </cell>
          <cell r="D77">
            <v>0</v>
          </cell>
          <cell r="E77">
            <v>912399714.16653204</v>
          </cell>
          <cell r="F77">
            <v>0</v>
          </cell>
          <cell r="G77">
            <v>535264806.77498949</v>
          </cell>
          <cell r="H77">
            <v>0</v>
          </cell>
          <cell r="I77">
            <v>421574882.00311804</v>
          </cell>
          <cell r="J77">
            <v>0</v>
          </cell>
          <cell r="K77">
            <v>47822194.636557847</v>
          </cell>
          <cell r="M77">
            <v>2031</v>
          </cell>
          <cell r="N77">
            <v>2020855775.2838304</v>
          </cell>
          <cell r="O77">
            <v>912399714.16653204</v>
          </cell>
          <cell r="P77">
            <v>535264806.77498949</v>
          </cell>
          <cell r="Q77">
            <v>421574882.00311804</v>
          </cell>
          <cell r="R77">
            <v>47822194.636557847</v>
          </cell>
          <cell r="S77">
            <v>0.45149175182399393</v>
          </cell>
          <cell r="T77">
            <v>0.58665604390719095</v>
          </cell>
          <cell r="U77">
            <v>0.2086120579010185</v>
          </cell>
          <cell r="V77">
            <v>0.46205065110988386</v>
          </cell>
          <cell r="W77">
            <v>2.3664328361008936E-2</v>
          </cell>
        </row>
        <row r="78">
          <cell r="A78">
            <v>2032</v>
          </cell>
          <cell r="B78">
            <v>0</v>
          </cell>
          <cell r="C78">
            <v>2526069719.1047883</v>
          </cell>
          <cell r="D78">
            <v>0</v>
          </cell>
          <cell r="E78">
            <v>1140499642.7081652</v>
          </cell>
          <cell r="F78">
            <v>0</v>
          </cell>
          <cell r="G78">
            <v>669081008.46873689</v>
          </cell>
          <cell r="H78">
            <v>0</v>
          </cell>
          <cell r="I78">
            <v>526968602.50389755</v>
          </cell>
          <cell r="J78">
            <v>0</v>
          </cell>
          <cell r="K78">
            <v>59777743.295697264</v>
          </cell>
          <cell r="M78">
            <v>2032</v>
          </cell>
          <cell r="N78">
            <v>2526069719.1047883</v>
          </cell>
          <cell r="O78">
            <v>1140499642.7081652</v>
          </cell>
          <cell r="P78">
            <v>669081008.46873689</v>
          </cell>
          <cell r="Q78">
            <v>526968602.50389755</v>
          </cell>
          <cell r="R78">
            <v>59777743.295697264</v>
          </cell>
          <cell r="S78">
            <v>0.45149175182399393</v>
          </cell>
          <cell r="T78">
            <v>0.58665604390719095</v>
          </cell>
          <cell r="U78">
            <v>0.20861205790101847</v>
          </cell>
          <cell r="V78">
            <v>0.4620506511098838</v>
          </cell>
          <cell r="W78">
            <v>2.3664328361008916E-2</v>
          </cell>
        </row>
        <row r="79">
          <cell r="A79">
            <v>2033</v>
          </cell>
          <cell r="B79">
            <v>0</v>
          </cell>
          <cell r="C79">
            <v>3157587148.8809848</v>
          </cell>
          <cell r="D79">
            <v>0</v>
          </cell>
          <cell r="E79">
            <v>1425624553.3852062</v>
          </cell>
          <cell r="F79">
            <v>0</v>
          </cell>
          <cell r="G79">
            <v>836351260.58592117</v>
          </cell>
          <cell r="H79">
            <v>0</v>
          </cell>
          <cell r="I79">
            <v>658710753.12987185</v>
          </cell>
          <cell r="J79">
            <v>0</v>
          </cell>
          <cell r="K79">
            <v>74722179.119621575</v>
          </cell>
          <cell r="M79">
            <v>2033</v>
          </cell>
          <cell r="N79">
            <v>3157587148.8809848</v>
          </cell>
          <cell r="O79">
            <v>1425624553.3852062</v>
          </cell>
          <cell r="P79">
            <v>836351260.58592117</v>
          </cell>
          <cell r="Q79">
            <v>658710753.12987185</v>
          </cell>
          <cell r="R79">
            <v>74722179.119621575</v>
          </cell>
          <cell r="S79">
            <v>0.45149175182399393</v>
          </cell>
          <cell r="T79">
            <v>0.58665604390719106</v>
          </cell>
          <cell r="U79">
            <v>0.20861205790101847</v>
          </cell>
          <cell r="V79">
            <v>0.4620506511098838</v>
          </cell>
          <cell r="W79">
            <v>2.3664328361008919E-2</v>
          </cell>
        </row>
        <row r="80">
          <cell r="A80">
            <v>2034</v>
          </cell>
          <cell r="B80">
            <v>0</v>
          </cell>
          <cell r="C80">
            <v>3946983936.1012321</v>
          </cell>
          <cell r="D80">
            <v>0</v>
          </cell>
          <cell r="E80">
            <v>1782030691.731508</v>
          </cell>
          <cell r="F80">
            <v>0</v>
          </cell>
          <cell r="G80">
            <v>1045439075.7324015</v>
          </cell>
          <cell r="H80">
            <v>0</v>
          </cell>
          <cell r="I80">
            <v>823388441.41233993</v>
          </cell>
          <cell r="J80">
            <v>0</v>
          </cell>
          <cell r="K80">
            <v>93402723.899526924</v>
          </cell>
          <cell r="M80">
            <v>2034</v>
          </cell>
          <cell r="N80">
            <v>3946983936.1012321</v>
          </cell>
          <cell r="O80">
            <v>1782030691.731508</v>
          </cell>
          <cell r="P80">
            <v>1045439075.7324015</v>
          </cell>
          <cell r="Q80">
            <v>823388441.41233993</v>
          </cell>
          <cell r="R80">
            <v>93402723.899526924</v>
          </cell>
          <cell r="S80">
            <v>0.45149175182399387</v>
          </cell>
          <cell r="T80">
            <v>0.58665604390719095</v>
          </cell>
          <cell r="U80">
            <v>0.20861205790101844</v>
          </cell>
          <cell r="V80">
            <v>0.4620506511098838</v>
          </cell>
          <cell r="W80">
            <v>2.3664328361008898E-2</v>
          </cell>
        </row>
        <row r="81">
          <cell r="A81">
            <v>2035</v>
          </cell>
          <cell r="B81">
            <v>0</v>
          </cell>
          <cell r="C81">
            <v>4933729920.1265392</v>
          </cell>
          <cell r="D81">
            <v>0</v>
          </cell>
          <cell r="E81">
            <v>2227538364.6643844</v>
          </cell>
          <cell r="F81">
            <v>0</v>
          </cell>
          <cell r="G81">
            <v>1306798844.6655016</v>
          </cell>
          <cell r="H81">
            <v>0</v>
          </cell>
          <cell r="I81">
            <v>1029235551.7654247</v>
          </cell>
          <cell r="J81">
            <v>0</v>
          </cell>
          <cell r="K81">
            <v>116753404.87440881</v>
          </cell>
          <cell r="M81">
            <v>2035</v>
          </cell>
          <cell r="N81">
            <v>4933729920.1265392</v>
          </cell>
          <cell r="O81">
            <v>2227538364.6643844</v>
          </cell>
          <cell r="P81">
            <v>1306798844.6655016</v>
          </cell>
          <cell r="Q81">
            <v>1029235551.7654247</v>
          </cell>
          <cell r="R81">
            <v>116753404.87440881</v>
          </cell>
          <cell r="S81">
            <v>0.45149175182399381</v>
          </cell>
          <cell r="T81">
            <v>0.58665604390719106</v>
          </cell>
          <cell r="U81">
            <v>0.20861205790101844</v>
          </cell>
          <cell r="V81">
            <v>0.46205065110988386</v>
          </cell>
          <cell r="W81">
            <v>2.3664328361008936E-2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3CF8-8ACA-4F20-AFA6-F996A9727983}">
  <sheetPr>
    <tabColor theme="9"/>
  </sheetPr>
  <dimension ref="A1:Y519"/>
  <sheetViews>
    <sheetView tabSelected="1" zoomScaleNormal="100" workbookViewId="0">
      <pane xSplit="1" topLeftCell="U1" activePane="topRight" state="frozen"/>
      <selection activeCell="B1" sqref="B1:B1048576"/>
      <selection pane="topRight" activeCell="B1" sqref="B1:B1048576"/>
    </sheetView>
  </sheetViews>
  <sheetFormatPr defaultRowHeight="14.5" x14ac:dyDescent="0.35"/>
  <cols>
    <col min="1" max="1" width="60.7265625" bestFit="1" customWidth="1"/>
    <col min="2" max="6" width="15.1796875" customWidth="1"/>
    <col min="7" max="15" width="15.08984375" style="10" customWidth="1"/>
    <col min="16" max="16" width="2.7265625" style="11" customWidth="1"/>
    <col min="17" max="17" width="15.08984375" style="10" customWidth="1"/>
    <col min="18" max="18" width="15.08984375" bestFit="1" customWidth="1"/>
    <col min="19" max="22" width="13.54296875" bestFit="1" customWidth="1"/>
    <col min="23" max="23" width="15.08984375" bestFit="1" customWidth="1"/>
    <col min="24" max="24" width="13.54296875" bestFit="1" customWidth="1"/>
    <col min="25" max="25" width="15.08984375" bestFit="1" customWidth="1"/>
    <col min="26" max="26" width="13.54296875" bestFit="1" customWidth="1"/>
  </cols>
  <sheetData>
    <row r="1" spans="1:25" ht="23.5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4"/>
      <c r="Q1" s="3"/>
      <c r="R1" s="5"/>
      <c r="S1" s="5"/>
      <c r="T1" s="5"/>
      <c r="U1" s="5"/>
      <c r="V1" s="5"/>
      <c r="W1" s="5"/>
      <c r="X1" s="5"/>
      <c r="Y1" s="5"/>
    </row>
    <row r="2" spans="1:25" ht="23.5" x14ac:dyDescent="0.35">
      <c r="A2" s="1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4"/>
      <c r="Q2" s="3"/>
      <c r="R2" s="5"/>
      <c r="S2" s="5"/>
      <c r="T2" s="5"/>
      <c r="U2" s="5"/>
      <c r="V2" s="5"/>
      <c r="W2" s="5"/>
      <c r="X2" s="5"/>
      <c r="Y2" s="5"/>
    </row>
    <row r="4" spans="1:25" s="9" customFormat="1" x14ac:dyDescent="0.35">
      <c r="A4" s="6" t="s">
        <v>1</v>
      </c>
      <c r="B4" s="7">
        <v>45658</v>
      </c>
      <c r="C4" s="7">
        <v>45689</v>
      </c>
      <c r="D4" s="7">
        <v>45717</v>
      </c>
      <c r="E4" s="7">
        <v>45748</v>
      </c>
      <c r="F4" s="7">
        <v>45778</v>
      </c>
      <c r="G4" s="7" t="s">
        <v>2</v>
      </c>
      <c r="H4" s="7">
        <v>45809</v>
      </c>
      <c r="I4" s="7">
        <v>45839</v>
      </c>
      <c r="J4" s="7">
        <v>45870</v>
      </c>
      <c r="K4" s="7">
        <v>45901</v>
      </c>
      <c r="L4" s="7">
        <v>45931</v>
      </c>
      <c r="M4" s="7">
        <v>45962</v>
      </c>
      <c r="N4" s="7">
        <v>45992</v>
      </c>
      <c r="O4" s="7" t="s">
        <v>3</v>
      </c>
      <c r="P4" s="8"/>
      <c r="Q4" s="7">
        <v>46023</v>
      </c>
      <c r="R4" s="7">
        <v>46054</v>
      </c>
      <c r="S4" s="7">
        <v>46082</v>
      </c>
      <c r="T4" s="7">
        <v>46113</v>
      </c>
      <c r="U4" s="7">
        <v>46143</v>
      </c>
      <c r="V4" s="7">
        <v>46174</v>
      </c>
      <c r="W4" s="7">
        <v>46204</v>
      </c>
      <c r="X4" s="7">
        <v>46235</v>
      </c>
      <c r="Y4" s="7" t="s">
        <v>3</v>
      </c>
    </row>
    <row r="5" spans="1:25" x14ac:dyDescent="0.35">
      <c r="A5" t="s">
        <v>4</v>
      </c>
      <c r="B5" s="10">
        <f t="shared" ref="B5:F36" si="0">IF(OR(SUM($Q5:$U5)=0,COUNTIF($Q5:$U5,"&lt;0")*COUNTIF($Q5:$U5,"&gt;0")&gt;0),$G5/5,$G5*Q5/SUM($Q5:$U5))</f>
        <v>0</v>
      </c>
      <c r="C5" s="10">
        <f t="shared" si="0"/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f t="shared" ref="O5:O54" si="1">SUM(B5:F5,H5:N5)</f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f t="shared" ref="Y5:Y54" si="2">SUM(Q5:X5)</f>
        <v>0</v>
      </c>
    </row>
    <row r="6" spans="1:25" x14ac:dyDescent="0.35">
      <c r="A6" t="s">
        <v>5</v>
      </c>
      <c r="B6" s="10">
        <f t="shared" si="0"/>
        <v>18327416.967724271</v>
      </c>
      <c r="C6" s="10">
        <f t="shared" si="0"/>
        <v>17092854.748538084</v>
      </c>
      <c r="D6" s="10">
        <f t="shared" si="0"/>
        <v>15638711.255003199</v>
      </c>
      <c r="E6" s="10">
        <f t="shared" si="0"/>
        <v>32848247.811962835</v>
      </c>
      <c r="F6" s="10">
        <f t="shared" si="0"/>
        <v>14593229.046771618</v>
      </c>
      <c r="G6" s="10">
        <v>98500459.830000013</v>
      </c>
      <c r="H6" s="10">
        <v>12856807.189999983</v>
      </c>
      <c r="I6" s="10">
        <v>15869022.620000005</v>
      </c>
      <c r="J6" s="10">
        <v>14136892.519999996</v>
      </c>
      <c r="K6" s="10">
        <v>14833950.25</v>
      </c>
      <c r="L6" s="10">
        <v>14088628.219999969</v>
      </c>
      <c r="M6" s="10">
        <v>12282662.650000036</v>
      </c>
      <c r="N6" s="10">
        <v>27000391.930000007</v>
      </c>
      <c r="O6" s="10">
        <f t="shared" si="1"/>
        <v>209568815.21000001</v>
      </c>
      <c r="Q6" s="10">
        <v>16586977.300000003</v>
      </c>
      <c r="R6" s="10">
        <v>15469653.699999994</v>
      </c>
      <c r="S6" s="10">
        <v>14153601.080000002</v>
      </c>
      <c r="T6" s="10">
        <v>29728856.049999997</v>
      </c>
      <c r="U6" s="10">
        <v>13207401.750000015</v>
      </c>
      <c r="V6" s="10">
        <v>41818714.019999996</v>
      </c>
      <c r="W6" s="10">
        <v>16816090.819999993</v>
      </c>
      <c r="X6" s="10">
        <v>16983764.130000025</v>
      </c>
      <c r="Y6" s="10">
        <f t="shared" si="2"/>
        <v>164765058.85000002</v>
      </c>
    </row>
    <row r="7" spans="1:25" x14ac:dyDescent="0.35">
      <c r="A7" t="s">
        <v>6</v>
      </c>
      <c r="B7" s="10">
        <f t="shared" si="0"/>
        <v>7489396.8479414787</v>
      </c>
      <c r="C7" s="10">
        <f t="shared" si="0"/>
        <v>5267864.7267035432</v>
      </c>
      <c r="D7" s="10">
        <f t="shared" si="0"/>
        <v>6354688.1479931884</v>
      </c>
      <c r="E7" s="10">
        <f t="shared" si="0"/>
        <v>3223066.5091339042</v>
      </c>
      <c r="F7" s="10">
        <f t="shared" si="0"/>
        <v>3618639.3682278828</v>
      </c>
      <c r="G7" s="10">
        <v>25953655.599999998</v>
      </c>
      <c r="H7" s="10">
        <v>2222667.700000003</v>
      </c>
      <c r="I7" s="10">
        <v>1492341.1000000015</v>
      </c>
      <c r="J7" s="10">
        <v>3514623.370000001</v>
      </c>
      <c r="K7" s="10">
        <v>4296275.6400000006</v>
      </c>
      <c r="L7" s="10">
        <v>3601388.2699999958</v>
      </c>
      <c r="M7" s="10">
        <v>1065162.8199999928</v>
      </c>
      <c r="N7" s="10">
        <v>590413.92000000924</v>
      </c>
      <c r="O7" s="10">
        <f t="shared" si="1"/>
        <v>42736528.420000009</v>
      </c>
      <c r="Q7" s="10">
        <v>3749384.36</v>
      </c>
      <c r="R7" s="10">
        <v>2637228.3400000003</v>
      </c>
      <c r="S7" s="10">
        <v>3181320.05</v>
      </c>
      <c r="T7" s="10">
        <v>1613549.8500000015</v>
      </c>
      <c r="U7" s="10">
        <v>1811583.7799999993</v>
      </c>
      <c r="V7" s="10">
        <v>7920108.8200000022</v>
      </c>
      <c r="W7" s="10">
        <v>4660953.7099999972</v>
      </c>
      <c r="X7" s="10">
        <v>2813076.450000003</v>
      </c>
      <c r="Y7" s="10">
        <f t="shared" si="2"/>
        <v>28387205.360000003</v>
      </c>
    </row>
    <row r="8" spans="1:25" ht="15" thickBot="1" x14ac:dyDescent="0.4">
      <c r="A8" s="12" t="s">
        <v>7</v>
      </c>
      <c r="B8" s="13">
        <f t="shared" si="0"/>
        <v>12229605.695962051</v>
      </c>
      <c r="C8" s="13">
        <f t="shared" si="0"/>
        <v>12224682.852084871</v>
      </c>
      <c r="D8" s="13">
        <f t="shared" si="0"/>
        <v>10452634.789819434</v>
      </c>
      <c r="E8" s="13">
        <f t="shared" si="0"/>
        <v>26783767.833601132</v>
      </c>
      <c r="F8" s="13">
        <f t="shared" si="0"/>
        <v>10856113.058532516</v>
      </c>
      <c r="G8" s="13">
        <v>72546804.230000004</v>
      </c>
      <c r="H8" s="13">
        <v>10634139.489999995</v>
      </c>
      <c r="I8" s="13">
        <v>14376681.519999996</v>
      </c>
      <c r="J8" s="13">
        <v>10622269.150000006</v>
      </c>
      <c r="K8" s="13">
        <v>10537674.609999985</v>
      </c>
      <c r="L8" s="13">
        <v>10487239.949999988</v>
      </c>
      <c r="M8" s="13">
        <v>11217499.830000028</v>
      </c>
      <c r="N8" s="13">
        <v>26409978.00999999</v>
      </c>
      <c r="O8" s="13">
        <f t="shared" si="1"/>
        <v>166832286.78999999</v>
      </c>
      <c r="P8" s="14"/>
      <c r="Q8" s="13">
        <v>12837592.940000001</v>
      </c>
      <c r="R8" s="13">
        <v>12832425.359999996</v>
      </c>
      <c r="S8" s="13">
        <v>10972281.030000001</v>
      </c>
      <c r="T8" s="13">
        <v>28115306.199999988</v>
      </c>
      <c r="U8" s="13">
        <v>11395817.970000014</v>
      </c>
      <c r="V8" s="13">
        <v>33898605.200000003</v>
      </c>
      <c r="W8" s="13">
        <v>12155137.109999999</v>
      </c>
      <c r="X8" s="13">
        <v>14170687.680000037</v>
      </c>
      <c r="Y8" s="13">
        <f t="shared" si="2"/>
        <v>136377853.49000004</v>
      </c>
    </row>
    <row r="9" spans="1:25" ht="15" thickTop="1" x14ac:dyDescent="0.35">
      <c r="B9" s="10">
        <f t="shared" si="0"/>
        <v>0</v>
      </c>
      <c r="C9" s="10">
        <f t="shared" si="0"/>
        <v>0</v>
      </c>
      <c r="D9" s="10">
        <f t="shared" si="0"/>
        <v>0</v>
      </c>
      <c r="E9" s="10">
        <f t="shared" si="0"/>
        <v>0</v>
      </c>
      <c r="F9" s="10">
        <f t="shared" si="0"/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f t="shared" si="1"/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f t="shared" si="2"/>
        <v>0</v>
      </c>
    </row>
    <row r="10" spans="1:25" x14ac:dyDescent="0.35">
      <c r="A10" t="s">
        <v>4</v>
      </c>
      <c r="B10" s="10">
        <f t="shared" si="0"/>
        <v>0</v>
      </c>
      <c r="C10" s="10">
        <f t="shared" si="0"/>
        <v>0</v>
      </c>
      <c r="D10" s="10">
        <f t="shared" si="0"/>
        <v>0</v>
      </c>
      <c r="E10" s="10">
        <f t="shared" si="0"/>
        <v>0</v>
      </c>
      <c r="F10" s="10">
        <f t="shared" si="0"/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f t="shared" si="1"/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f t="shared" si="2"/>
        <v>0</v>
      </c>
    </row>
    <row r="11" spans="1:25" x14ac:dyDescent="0.35">
      <c r="A11" t="s">
        <v>8</v>
      </c>
      <c r="B11" s="10">
        <f t="shared" si="0"/>
        <v>0</v>
      </c>
      <c r="C11" s="10">
        <f t="shared" si="0"/>
        <v>0</v>
      </c>
      <c r="D11" s="10">
        <f t="shared" si="0"/>
        <v>0</v>
      </c>
      <c r="E11" s="10">
        <f t="shared" si="0"/>
        <v>0</v>
      </c>
      <c r="F11" s="10">
        <f t="shared" si="0"/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f t="shared" si="1"/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f t="shared" si="2"/>
        <v>0</v>
      </c>
    </row>
    <row r="12" spans="1:25" x14ac:dyDescent="0.35">
      <c r="A12" t="s">
        <v>9</v>
      </c>
      <c r="B12" s="10">
        <f t="shared" si="0"/>
        <v>0</v>
      </c>
      <c r="C12" s="10">
        <f t="shared" si="0"/>
        <v>0</v>
      </c>
      <c r="D12" s="10">
        <f t="shared" si="0"/>
        <v>0</v>
      </c>
      <c r="E12" s="10">
        <f t="shared" si="0"/>
        <v>0</v>
      </c>
      <c r="F12" s="10">
        <f t="shared" si="0"/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f t="shared" si="1"/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f t="shared" si="2"/>
        <v>0</v>
      </c>
    </row>
    <row r="13" spans="1:25" x14ac:dyDescent="0.35">
      <c r="A13" t="s">
        <v>10</v>
      </c>
      <c r="B13" s="10">
        <f t="shared" si="0"/>
        <v>0</v>
      </c>
      <c r="C13" s="10">
        <f t="shared" si="0"/>
        <v>0</v>
      </c>
      <c r="D13" s="10">
        <f t="shared" si="0"/>
        <v>0</v>
      </c>
      <c r="E13" s="10">
        <f t="shared" si="0"/>
        <v>0</v>
      </c>
      <c r="F13" s="10">
        <f t="shared" si="0"/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f t="shared" si="1"/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f t="shared" si="2"/>
        <v>0</v>
      </c>
    </row>
    <row r="14" spans="1:25" ht="15" thickBot="1" x14ac:dyDescent="0.4">
      <c r="A14" s="12" t="s">
        <v>11</v>
      </c>
      <c r="B14" s="13">
        <f t="shared" si="0"/>
        <v>12229605.695962051</v>
      </c>
      <c r="C14" s="13">
        <f t="shared" si="0"/>
        <v>12224682.852084871</v>
      </c>
      <c r="D14" s="13">
        <f t="shared" si="0"/>
        <v>10452634.789819434</v>
      </c>
      <c r="E14" s="13">
        <f t="shared" si="0"/>
        <v>26783767.833601132</v>
      </c>
      <c r="F14" s="13">
        <f t="shared" si="0"/>
        <v>10856113.058532516</v>
      </c>
      <c r="G14" s="13">
        <v>72546804.230000004</v>
      </c>
      <c r="H14" s="13">
        <v>10634139.489999995</v>
      </c>
      <c r="I14" s="13">
        <v>14376681.519999996</v>
      </c>
      <c r="J14" s="13">
        <v>10622269.150000006</v>
      </c>
      <c r="K14" s="13">
        <v>10537674.609999985</v>
      </c>
      <c r="L14" s="13">
        <v>10487239.949999988</v>
      </c>
      <c r="M14" s="13">
        <v>11217499.830000028</v>
      </c>
      <c r="N14" s="13">
        <v>26409978.00999999</v>
      </c>
      <c r="O14" s="13">
        <f t="shared" si="1"/>
        <v>166832286.78999999</v>
      </c>
      <c r="P14" s="14"/>
      <c r="Q14" s="13">
        <v>12837592.940000001</v>
      </c>
      <c r="R14" s="13">
        <v>12832425.359999996</v>
      </c>
      <c r="S14" s="13">
        <v>10972281.030000001</v>
      </c>
      <c r="T14" s="13">
        <v>28115306.199999988</v>
      </c>
      <c r="U14" s="13">
        <v>11395817.970000014</v>
      </c>
      <c r="V14" s="13">
        <v>33898605.200000003</v>
      </c>
      <c r="W14" s="13">
        <v>12155137.109999999</v>
      </c>
      <c r="X14" s="13">
        <v>14170687.680000037</v>
      </c>
      <c r="Y14" s="13">
        <f t="shared" si="2"/>
        <v>136377853.49000004</v>
      </c>
    </row>
    <row r="15" spans="1:25" ht="15" thickTop="1" x14ac:dyDescent="0.35">
      <c r="B15" s="10">
        <f t="shared" si="0"/>
        <v>0</v>
      </c>
      <c r="C15" s="10">
        <f t="shared" si="0"/>
        <v>0</v>
      </c>
      <c r="D15" s="10">
        <f t="shared" si="0"/>
        <v>0</v>
      </c>
      <c r="E15" s="10">
        <f t="shared" si="0"/>
        <v>0</v>
      </c>
      <c r="F15" s="10">
        <f t="shared" si="0"/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f t="shared" si="1"/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f t="shared" si="2"/>
        <v>0</v>
      </c>
    </row>
    <row r="16" spans="1:25" x14ac:dyDescent="0.35">
      <c r="A16" t="s">
        <v>12</v>
      </c>
      <c r="B16" s="10">
        <f t="shared" si="0"/>
        <v>6840185.9352478869</v>
      </c>
      <c r="C16" s="10">
        <f t="shared" si="0"/>
        <v>6714668.7069148095</v>
      </c>
      <c r="D16" s="10">
        <f t="shared" si="0"/>
        <v>4738678.1101031201</v>
      </c>
      <c r="E16" s="10">
        <f t="shared" si="0"/>
        <v>21802814.27727538</v>
      </c>
      <c r="F16" s="10">
        <f t="shared" si="0"/>
        <v>5821907.000458804</v>
      </c>
      <c r="G16" s="10">
        <v>45918254.030000001</v>
      </c>
      <c r="H16" s="10">
        <v>5332461.1899999976</v>
      </c>
      <c r="I16" s="10">
        <v>9240190.5799999982</v>
      </c>
      <c r="J16" s="10">
        <v>6278339.0900000036</v>
      </c>
      <c r="K16" s="10">
        <v>5681899.7800000012</v>
      </c>
      <c r="L16" s="10">
        <v>5321109.7600000054</v>
      </c>
      <c r="M16" s="10">
        <v>6384620.2799999863</v>
      </c>
      <c r="N16" s="10">
        <v>23436890.020000011</v>
      </c>
      <c r="O16" s="10">
        <f t="shared" si="1"/>
        <v>107593764.73</v>
      </c>
      <c r="Q16" s="10">
        <v>7416574.8799999999</v>
      </c>
      <c r="R16" s="10">
        <v>7280480.9300000006</v>
      </c>
      <c r="S16" s="10">
        <v>5137983.290000001</v>
      </c>
      <c r="T16" s="10">
        <v>23640030.579999998</v>
      </c>
      <c r="U16" s="10">
        <v>6312490.5700000003</v>
      </c>
      <c r="V16" s="10">
        <v>29202471.400000006</v>
      </c>
      <c r="W16" s="10">
        <v>7521151.5099999905</v>
      </c>
      <c r="X16" s="10">
        <v>9345196.1300000101</v>
      </c>
      <c r="Y16" s="10">
        <f t="shared" si="2"/>
        <v>95856379.290000007</v>
      </c>
    </row>
    <row r="17" spans="1:25" x14ac:dyDescent="0.35">
      <c r="B17" s="10">
        <f t="shared" si="0"/>
        <v>0</v>
      </c>
      <c r="C17" s="10">
        <f t="shared" si="0"/>
        <v>0</v>
      </c>
      <c r="D17" s="10">
        <f t="shared" si="0"/>
        <v>0</v>
      </c>
      <c r="E17" s="10">
        <f t="shared" si="0"/>
        <v>0</v>
      </c>
      <c r="F17" s="10">
        <f t="shared" si="0"/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f t="shared" si="1"/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f t="shared" si="2"/>
        <v>0</v>
      </c>
    </row>
    <row r="18" spans="1:25" ht="15" thickBot="1" x14ac:dyDescent="0.4">
      <c r="A18" s="12" t="s">
        <v>13</v>
      </c>
      <c r="B18" s="13">
        <f t="shared" si="0"/>
        <v>5475028.4554334357</v>
      </c>
      <c r="C18" s="13">
        <f t="shared" si="0"/>
        <v>5607259.2639979376</v>
      </c>
      <c r="D18" s="13">
        <f t="shared" si="0"/>
        <v>5892425.7013028646</v>
      </c>
      <c r="E18" s="13">
        <f t="shared" si="0"/>
        <v>4519863.4452450844</v>
      </c>
      <c r="F18" s="13">
        <f t="shared" si="0"/>
        <v>5133973.3340206845</v>
      </c>
      <c r="G18" s="13">
        <v>26628550.200000007</v>
      </c>
      <c r="H18" s="13">
        <v>5301678.2999999896</v>
      </c>
      <c r="I18" s="13">
        <v>5136490.9399999939</v>
      </c>
      <c r="J18" s="13">
        <v>4343930.0600000098</v>
      </c>
      <c r="K18" s="13">
        <v>4855774.8299999833</v>
      </c>
      <c r="L18" s="13">
        <v>5166130.1899999902</v>
      </c>
      <c r="M18" s="13">
        <v>4832879.5500000268</v>
      </c>
      <c r="N18" s="13">
        <v>2973087.9899999723</v>
      </c>
      <c r="O18" s="13">
        <f t="shared" si="1"/>
        <v>59238522.059999973</v>
      </c>
      <c r="P18" s="14"/>
      <c r="Q18" s="13">
        <v>5421018.0600000024</v>
      </c>
      <c r="R18" s="13">
        <v>5551944.4299999941</v>
      </c>
      <c r="S18" s="13">
        <v>5834297.7400000039</v>
      </c>
      <c r="T18" s="13">
        <v>4475275.6199999861</v>
      </c>
      <c r="U18" s="13">
        <v>5083327.4000000171</v>
      </c>
      <c r="V18" s="13">
        <v>4696133.8000000007</v>
      </c>
      <c r="W18" s="13">
        <v>4633985.6000000015</v>
      </c>
      <c r="X18" s="13">
        <v>4825491.5500000194</v>
      </c>
      <c r="Y18" s="13">
        <f t="shared" si="2"/>
        <v>40521474.200000025</v>
      </c>
    </row>
    <row r="19" spans="1:25" ht="15" thickTop="1" x14ac:dyDescent="0.35">
      <c r="B19" s="10">
        <f t="shared" si="0"/>
        <v>0</v>
      </c>
      <c r="C19" s="10">
        <f t="shared" si="0"/>
        <v>0</v>
      </c>
      <c r="D19" s="10">
        <f t="shared" si="0"/>
        <v>0</v>
      </c>
      <c r="E19" s="10">
        <f t="shared" si="0"/>
        <v>0</v>
      </c>
      <c r="F19" s="10">
        <f t="shared" si="0"/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f t="shared" si="1"/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f t="shared" si="2"/>
        <v>0</v>
      </c>
    </row>
    <row r="20" spans="1:25" x14ac:dyDescent="0.35">
      <c r="A20" t="s">
        <v>14</v>
      </c>
      <c r="B20" s="10">
        <f t="shared" si="0"/>
        <v>314296.11000000022</v>
      </c>
      <c r="C20" s="10">
        <f t="shared" si="0"/>
        <v>314296.11000000022</v>
      </c>
      <c r="D20" s="10">
        <f t="shared" si="0"/>
        <v>314296.11000000022</v>
      </c>
      <c r="E20" s="10">
        <f t="shared" si="0"/>
        <v>314296.11000000022</v>
      </c>
      <c r="F20" s="10">
        <f t="shared" si="0"/>
        <v>314296.11000000022</v>
      </c>
      <c r="G20" s="10">
        <v>1571480.5500000012</v>
      </c>
      <c r="H20" s="10">
        <v>-135634.59000000055</v>
      </c>
      <c r="I20" s="10">
        <v>-153831.09000000148</v>
      </c>
      <c r="J20" s="10">
        <v>-34982.129999998724</v>
      </c>
      <c r="K20" s="10">
        <v>-464571.70000000217</v>
      </c>
      <c r="L20" s="10">
        <v>909082.78000000061</v>
      </c>
      <c r="M20" s="10">
        <v>-116891.89999999874</v>
      </c>
      <c r="N20" s="10">
        <v>297725.71000000252</v>
      </c>
      <c r="O20" s="10">
        <f t="shared" si="1"/>
        <v>1872377.6300000027</v>
      </c>
      <c r="Q20" s="10">
        <v>838498.54999999981</v>
      </c>
      <c r="R20" s="10">
        <v>814014.49999999977</v>
      </c>
      <c r="S20" s="10">
        <v>480171.88000000059</v>
      </c>
      <c r="T20" s="10">
        <v>183420.76000000024</v>
      </c>
      <c r="U20" s="10">
        <v>-26680.330000001006</v>
      </c>
      <c r="V20" s="10">
        <v>-195192.11999999988</v>
      </c>
      <c r="W20" s="10">
        <v>-78094.740000000456</v>
      </c>
      <c r="X20" s="10">
        <v>-396325.70999999903</v>
      </c>
      <c r="Y20" s="10">
        <f t="shared" si="2"/>
        <v>1619812.79</v>
      </c>
    </row>
    <row r="21" spans="1:25" x14ac:dyDescent="0.35">
      <c r="A21" t="s">
        <v>15</v>
      </c>
      <c r="B21" s="10">
        <f t="shared" si="0"/>
        <v>3425537.7863736791</v>
      </c>
      <c r="C21" s="10">
        <f t="shared" si="0"/>
        <v>1506283.0064218214</v>
      </c>
      <c r="D21" s="10">
        <f t="shared" si="0"/>
        <v>1539845.3382912623</v>
      </c>
      <c r="E21" s="10">
        <f t="shared" si="0"/>
        <v>1129320.7456645863</v>
      </c>
      <c r="F21" s="10">
        <f t="shared" si="0"/>
        <v>1260433.5932486518</v>
      </c>
      <c r="G21" s="10">
        <v>8861420.4700000007</v>
      </c>
      <c r="H21" s="10">
        <v>1172943.4299999997</v>
      </c>
      <c r="I21" s="10">
        <v>1463092.3599999994</v>
      </c>
      <c r="J21" s="10">
        <v>2114371.7599999998</v>
      </c>
      <c r="K21" s="10">
        <v>1835581.6600000001</v>
      </c>
      <c r="L21" s="10">
        <v>2053124.7899999991</v>
      </c>
      <c r="M21" s="10">
        <v>1360517.2300000004</v>
      </c>
      <c r="N21" s="10">
        <v>1600674.9900000021</v>
      </c>
      <c r="O21" s="10">
        <f t="shared" si="1"/>
        <v>20461726.690000001</v>
      </c>
      <c r="Q21" s="10">
        <v>4648560.4800000004</v>
      </c>
      <c r="R21" s="10">
        <v>2044072.5199999996</v>
      </c>
      <c r="S21" s="10">
        <v>2089617.6400000006</v>
      </c>
      <c r="T21" s="10">
        <v>1532523.0999999996</v>
      </c>
      <c r="U21" s="10">
        <v>1710447.2799999993</v>
      </c>
      <c r="V21" s="10">
        <v>1420618.8499999996</v>
      </c>
      <c r="W21" s="10">
        <v>1519815.370000001</v>
      </c>
      <c r="X21" s="10">
        <v>1199790.8200000003</v>
      </c>
      <c r="Y21" s="10">
        <f t="shared" si="2"/>
        <v>16165446.060000001</v>
      </c>
    </row>
    <row r="22" spans="1:25" x14ac:dyDescent="0.35">
      <c r="A22" t="s">
        <v>16</v>
      </c>
      <c r="B22" s="10">
        <f t="shared" si="0"/>
        <v>2852886.7625370072</v>
      </c>
      <c r="C22" s="10">
        <f t="shared" si="0"/>
        <v>921039.16074941098</v>
      </c>
      <c r="D22" s="10">
        <f t="shared" si="0"/>
        <v>1205115.9766123048</v>
      </c>
      <c r="E22" s="10">
        <f t="shared" si="0"/>
        <v>1010176.810195235</v>
      </c>
      <c r="F22" s="10">
        <f t="shared" si="0"/>
        <v>1300721.2099060421</v>
      </c>
      <c r="G22" s="10">
        <v>7289939.9199999999</v>
      </c>
      <c r="H22" s="10">
        <v>1308578.0199999996</v>
      </c>
      <c r="I22" s="10">
        <v>1616923.4500000011</v>
      </c>
      <c r="J22" s="10">
        <v>2149353.8899999987</v>
      </c>
      <c r="K22" s="10">
        <v>2300153.3600000013</v>
      </c>
      <c r="L22" s="10">
        <v>1144042.0099999998</v>
      </c>
      <c r="M22" s="10">
        <v>1477409.1300000008</v>
      </c>
      <c r="N22" s="10">
        <v>1302949.2799999975</v>
      </c>
      <c r="O22" s="10">
        <f t="shared" si="1"/>
        <v>18589349.059999999</v>
      </c>
      <c r="Q22" s="10">
        <v>3810061.93</v>
      </c>
      <c r="R22" s="10">
        <v>1230058.02</v>
      </c>
      <c r="S22" s="10">
        <v>1609445.7599999998</v>
      </c>
      <c r="T22" s="10">
        <v>1349102.3399999999</v>
      </c>
      <c r="U22" s="10">
        <v>1737127.6100000003</v>
      </c>
      <c r="V22" s="10">
        <v>1615810.9700000007</v>
      </c>
      <c r="W22" s="10">
        <v>1597910.1099999994</v>
      </c>
      <c r="X22" s="10">
        <v>1596116.5299999993</v>
      </c>
      <c r="Y22" s="10">
        <f t="shared" si="2"/>
        <v>14545633.27</v>
      </c>
    </row>
    <row r="23" spans="1:25" ht="15" thickBot="1" x14ac:dyDescent="0.4">
      <c r="A23" s="12" t="s">
        <v>17</v>
      </c>
      <c r="B23" s="13">
        <f t="shared" si="0"/>
        <v>4769165.2336264243</v>
      </c>
      <c r="C23" s="13">
        <f t="shared" si="0"/>
        <v>4930905.5099940095</v>
      </c>
      <c r="D23" s="13">
        <f t="shared" si="0"/>
        <v>5572199.0604186617</v>
      </c>
      <c r="E23" s="13">
        <f t="shared" si="0"/>
        <v>4466661.8312078984</v>
      </c>
      <c r="F23" s="13">
        <f t="shared" si="0"/>
        <v>5318138.0147530129</v>
      </c>
      <c r="G23" s="13">
        <v>25057069.650000006</v>
      </c>
      <c r="H23" s="13">
        <v>5437312.8899999931</v>
      </c>
      <c r="I23" s="13">
        <v>5290322.0299999937</v>
      </c>
      <c r="J23" s="13">
        <v>4378912.1900000051</v>
      </c>
      <c r="K23" s="13">
        <v>5320346.5299999863</v>
      </c>
      <c r="L23" s="13">
        <v>4257047.4099999964</v>
      </c>
      <c r="M23" s="13">
        <v>4949771.4500000179</v>
      </c>
      <c r="N23" s="13">
        <v>2675362.2799999714</v>
      </c>
      <c r="O23" s="13">
        <f t="shared" si="1"/>
        <v>57366144.42999997</v>
      </c>
      <c r="P23" s="14"/>
      <c r="Q23" s="13">
        <v>4582519.5100000016</v>
      </c>
      <c r="R23" s="13">
        <v>4737929.929999996</v>
      </c>
      <c r="S23" s="13">
        <v>5354125.8600000031</v>
      </c>
      <c r="T23" s="13">
        <v>4291854.8599999845</v>
      </c>
      <c r="U23" s="13">
        <v>5110007.7300000153</v>
      </c>
      <c r="V23" s="13">
        <v>4891325.9200000018</v>
      </c>
      <c r="W23" s="13">
        <v>4712080.3400000036</v>
      </c>
      <c r="X23" s="13">
        <v>5221817.2600000203</v>
      </c>
      <c r="Y23" s="13">
        <f t="shared" si="2"/>
        <v>38901661.410000026</v>
      </c>
    </row>
    <row r="24" spans="1:25" ht="15" thickTop="1" x14ac:dyDescent="0.35">
      <c r="B24" s="10">
        <f t="shared" si="0"/>
        <v>0</v>
      </c>
      <c r="C24" s="10">
        <f t="shared" si="0"/>
        <v>0</v>
      </c>
      <c r="D24" s="10">
        <f t="shared" si="0"/>
        <v>0</v>
      </c>
      <c r="E24" s="10">
        <f t="shared" si="0"/>
        <v>0</v>
      </c>
      <c r="F24" s="10">
        <f t="shared" si="0"/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f t="shared" si="1"/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f t="shared" si="2"/>
        <v>0</v>
      </c>
    </row>
    <row r="25" spans="1:25" x14ac:dyDescent="0.35">
      <c r="A25" t="s">
        <v>18</v>
      </c>
      <c r="B25" s="10">
        <f t="shared" si="0"/>
        <v>164303.91811296614</v>
      </c>
      <c r="C25" s="10">
        <f t="shared" si="0"/>
        <v>240830.10046822438</v>
      </c>
      <c r="D25" s="10">
        <f t="shared" si="0"/>
        <v>270670.47872022662</v>
      </c>
      <c r="E25" s="10">
        <f t="shared" si="0"/>
        <v>318819.31339975575</v>
      </c>
      <c r="F25" s="10">
        <f t="shared" si="0"/>
        <v>214291.61929882894</v>
      </c>
      <c r="G25" s="10">
        <v>1208915.4300000018</v>
      </c>
      <c r="H25" s="10">
        <v>1063644.7999999991</v>
      </c>
      <c r="I25" s="10">
        <v>435519.89999999665</v>
      </c>
      <c r="J25" s="10">
        <v>1327989.0699999998</v>
      </c>
      <c r="K25" s="10">
        <v>1183296.7100000056</v>
      </c>
      <c r="L25" s="10">
        <v>1032883.2299999911</v>
      </c>
      <c r="M25" s="10">
        <v>383966.95999999996</v>
      </c>
      <c r="N25" s="10">
        <v>924714.52000002004</v>
      </c>
      <c r="O25" s="10">
        <f t="shared" si="1"/>
        <v>7560930.6200000141</v>
      </c>
      <c r="Q25" s="10">
        <v>676646.22000000009</v>
      </c>
      <c r="R25" s="10">
        <v>991800.91999999864</v>
      </c>
      <c r="S25" s="10">
        <v>1114691.3500000006</v>
      </c>
      <c r="T25" s="10">
        <v>1312980.7600000002</v>
      </c>
      <c r="U25" s="10">
        <v>882508.56</v>
      </c>
      <c r="V25" s="10">
        <v>874443.27000000514</v>
      </c>
      <c r="W25" s="10">
        <v>-225298.98000000697</v>
      </c>
      <c r="X25" s="10">
        <v>2357603.0800000019</v>
      </c>
      <c r="Y25" s="10">
        <f t="shared" si="2"/>
        <v>7985375.1799999997</v>
      </c>
    </row>
    <row r="26" spans="1:25" x14ac:dyDescent="0.35">
      <c r="A26" t="s">
        <v>19</v>
      </c>
      <c r="B26" s="10">
        <f t="shared" si="0"/>
        <v>-129036.27599999963</v>
      </c>
      <c r="C26" s="10">
        <f t="shared" si="0"/>
        <v>-129036.27599999963</v>
      </c>
      <c r="D26" s="10">
        <f t="shared" si="0"/>
        <v>-129036.27599999963</v>
      </c>
      <c r="E26" s="10">
        <f t="shared" si="0"/>
        <v>-129036.27599999963</v>
      </c>
      <c r="F26" s="10">
        <f t="shared" si="0"/>
        <v>-129036.27599999963</v>
      </c>
      <c r="G26" s="10">
        <v>-645181.37999999814</v>
      </c>
      <c r="H26" s="10">
        <v>398917.37999999896</v>
      </c>
      <c r="I26" s="10">
        <v>52411.169999997539</v>
      </c>
      <c r="J26" s="10">
        <v>125744.51000000228</v>
      </c>
      <c r="K26" s="10">
        <v>536292.22999999905</v>
      </c>
      <c r="L26" s="10">
        <v>609577.07000000309</v>
      </c>
      <c r="M26" s="10">
        <v>-728140.02000000258</v>
      </c>
      <c r="N26" s="10">
        <v>-301098.23999999568</v>
      </c>
      <c r="O26" s="10">
        <f t="shared" si="1"/>
        <v>48522.720000004512</v>
      </c>
      <c r="Q26" s="10">
        <v>64843.150000000154</v>
      </c>
      <c r="R26" s="10">
        <v>67707.219999999783</v>
      </c>
      <c r="S26" s="10">
        <v>15677.600000000879</v>
      </c>
      <c r="T26" s="10">
        <v>316734.26000000024</v>
      </c>
      <c r="U26" s="10">
        <v>-261306.68000000154</v>
      </c>
      <c r="V26" s="10">
        <v>-167891.64999999775</v>
      </c>
      <c r="W26" s="10">
        <v>365577.79999999725</v>
      </c>
      <c r="X26" s="10">
        <v>549618.85000000254</v>
      </c>
      <c r="Y26" s="10">
        <f t="shared" si="2"/>
        <v>950960.55000000156</v>
      </c>
    </row>
    <row r="27" spans="1:25" x14ac:dyDescent="0.35">
      <c r="A27" t="s">
        <v>20</v>
      </c>
      <c r="B27" s="10">
        <f t="shared" si="0"/>
        <v>1683128.7746478086</v>
      </c>
      <c r="C27" s="10">
        <f t="shared" si="0"/>
        <v>1614278.2027590431</v>
      </c>
      <c r="D27" s="10">
        <f t="shared" si="0"/>
        <v>1377431.5431743895</v>
      </c>
      <c r="E27" s="10">
        <f t="shared" si="0"/>
        <v>2138947.6073531741</v>
      </c>
      <c r="F27" s="10">
        <f t="shared" si="0"/>
        <v>1695349.2620655857</v>
      </c>
      <c r="G27" s="10">
        <v>8509135.3900000006</v>
      </c>
      <c r="H27" s="10">
        <v>1430908.33</v>
      </c>
      <c r="I27" s="10">
        <v>1675048.1099999994</v>
      </c>
      <c r="J27" s="10">
        <v>1717279.33</v>
      </c>
      <c r="K27" s="10">
        <v>1783506.1999999993</v>
      </c>
      <c r="L27" s="10">
        <v>1350011.9700000025</v>
      </c>
      <c r="M27" s="10">
        <v>688668.19999999925</v>
      </c>
      <c r="N27" s="10">
        <v>3648253.9800000004</v>
      </c>
      <c r="O27" s="10">
        <f t="shared" si="1"/>
        <v>20802811.510000002</v>
      </c>
      <c r="Q27" s="10">
        <v>2019888.83</v>
      </c>
      <c r="R27" s="10">
        <v>1937262.65</v>
      </c>
      <c r="S27" s="10">
        <v>1653027.7600000002</v>
      </c>
      <c r="T27" s="10">
        <v>2566907.7999999998</v>
      </c>
      <c r="U27" s="10">
        <v>2034554.3899999997</v>
      </c>
      <c r="V27" s="10">
        <v>1494772.0099999998</v>
      </c>
      <c r="W27" s="10">
        <v>2015394.9299999997</v>
      </c>
      <c r="X27" s="10">
        <v>2268495.540000001</v>
      </c>
      <c r="Y27" s="10">
        <f t="shared" si="2"/>
        <v>15990303.91</v>
      </c>
    </row>
    <row r="28" spans="1:25" x14ac:dyDescent="0.35">
      <c r="A28" t="s">
        <v>21</v>
      </c>
      <c r="B28" s="10">
        <f t="shared" si="0"/>
        <v>1788282.644393584</v>
      </c>
      <c r="C28" s="10">
        <f t="shared" si="0"/>
        <v>1710084.6094812395</v>
      </c>
      <c r="D28" s="10">
        <f t="shared" si="0"/>
        <v>1497686.1686030056</v>
      </c>
      <c r="E28" s="10">
        <f t="shared" si="0"/>
        <v>2058236.4543296362</v>
      </c>
      <c r="F28" s="10">
        <f t="shared" si="0"/>
        <v>2100026.8931925343</v>
      </c>
      <c r="G28" s="10">
        <v>9154316.7699999996</v>
      </c>
      <c r="H28" s="10">
        <v>1031990.9500000011</v>
      </c>
      <c r="I28" s="10">
        <v>1622636.9399999995</v>
      </c>
      <c r="J28" s="10">
        <v>1591534.8200000003</v>
      </c>
      <c r="K28" s="10">
        <v>1247213.9699999988</v>
      </c>
      <c r="L28" s="10">
        <v>740434.90000000037</v>
      </c>
      <c r="M28" s="10">
        <v>1416808.2200000007</v>
      </c>
      <c r="N28" s="10">
        <v>3949352.2199999988</v>
      </c>
      <c r="O28" s="10">
        <f t="shared" si="1"/>
        <v>20754288.789999999</v>
      </c>
      <c r="Q28" s="10">
        <v>1955045.68</v>
      </c>
      <c r="R28" s="10">
        <v>1869555.43</v>
      </c>
      <c r="S28" s="10">
        <v>1637350.1599999997</v>
      </c>
      <c r="T28" s="10">
        <v>2250173.54</v>
      </c>
      <c r="U28" s="10">
        <v>2295861.0700000012</v>
      </c>
      <c r="V28" s="10">
        <v>1662663.6599999983</v>
      </c>
      <c r="W28" s="10">
        <v>1649817.1300000008</v>
      </c>
      <c r="X28" s="10">
        <v>1718876.6899999995</v>
      </c>
      <c r="Y28" s="10">
        <f t="shared" si="2"/>
        <v>15039343.359999999</v>
      </c>
    </row>
    <row r="29" spans="1:25" ht="15" thickBot="1" x14ac:dyDescent="0.4">
      <c r="A29" s="12" t="s">
        <v>22</v>
      </c>
      <c r="B29" s="13">
        <f t="shared" si="0"/>
        <v>237559.93933987929</v>
      </c>
      <c r="C29" s="13">
        <f t="shared" si="0"/>
        <v>358820.76125633746</v>
      </c>
      <c r="D29" s="13">
        <f t="shared" si="0"/>
        <v>426741.30383767659</v>
      </c>
      <c r="E29" s="13">
        <f t="shared" si="0"/>
        <v>386837.31696143176</v>
      </c>
      <c r="F29" s="13">
        <f t="shared" si="0"/>
        <v>444137.48860467493</v>
      </c>
      <c r="G29" s="13">
        <v>1854096.81</v>
      </c>
      <c r="H29" s="13">
        <v>664727.41999999993</v>
      </c>
      <c r="I29" s="13">
        <v>383108.72999999905</v>
      </c>
      <c r="J29" s="13">
        <v>1202244.5599999977</v>
      </c>
      <c r="K29" s="13">
        <v>647004.48000000697</v>
      </c>
      <c r="L29" s="13">
        <v>423306.15999998804</v>
      </c>
      <c r="M29" s="13">
        <v>1112106.9800000023</v>
      </c>
      <c r="N29" s="13">
        <v>1225812.7600000156</v>
      </c>
      <c r="O29" s="13">
        <f t="shared" si="1"/>
        <v>7512407.9000000097</v>
      </c>
      <c r="P29" s="14"/>
      <c r="Q29" s="13">
        <v>611803.06999999995</v>
      </c>
      <c r="R29" s="13">
        <v>924093.69999999867</v>
      </c>
      <c r="S29" s="13">
        <v>1099013.75</v>
      </c>
      <c r="T29" s="13">
        <v>996246.49999999953</v>
      </c>
      <c r="U29" s="13">
        <v>1143815.2400000026</v>
      </c>
      <c r="V29" s="13">
        <v>1042334.9200000027</v>
      </c>
      <c r="W29" s="13">
        <v>-590876.78000000492</v>
      </c>
      <c r="X29" s="13">
        <v>1807984.2299999995</v>
      </c>
      <c r="Y29" s="13">
        <f t="shared" si="2"/>
        <v>7034414.629999998</v>
      </c>
    </row>
    <row r="30" spans="1:25" ht="15" thickTop="1" x14ac:dyDescent="0.35">
      <c r="A30" t="s">
        <v>23</v>
      </c>
      <c r="B30" s="10">
        <f t="shared" si="0"/>
        <v>1066032.3512734633</v>
      </c>
      <c r="C30" s="10">
        <f t="shared" si="0"/>
        <v>1341878.6240424823</v>
      </c>
      <c r="D30" s="10">
        <f t="shared" si="0"/>
        <v>1631248.4114661498</v>
      </c>
      <c r="E30" s="10">
        <f t="shared" si="0"/>
        <v>1255471.8862149441</v>
      </c>
      <c r="F30" s="10">
        <f t="shared" si="0"/>
        <v>1074098.087002961</v>
      </c>
      <c r="G30" s="10">
        <v>6368729.3600000003</v>
      </c>
      <c r="H30" s="10">
        <v>3706019.3</v>
      </c>
      <c r="I30" s="10">
        <v>16095670.25</v>
      </c>
      <c r="J30" s="10">
        <v>36824121.379999995</v>
      </c>
      <c r="K30" s="10">
        <v>13977735.680000007</v>
      </c>
      <c r="L30" s="10">
        <v>4427131.3100000024</v>
      </c>
      <c r="M30" s="10">
        <v>5855169.8900000006</v>
      </c>
      <c r="N30" s="10">
        <v>-21565323.109999992</v>
      </c>
      <c r="O30" s="10">
        <f t="shared" si="1"/>
        <v>65689254.06000001</v>
      </c>
      <c r="Q30" s="10">
        <v>3814554.2</v>
      </c>
      <c r="R30" s="10">
        <v>4801607.3199999994</v>
      </c>
      <c r="S30" s="10">
        <v>5837051.2599999998</v>
      </c>
      <c r="T30" s="10">
        <v>4492420.4700000007</v>
      </c>
      <c r="U30" s="10">
        <v>3843415.6000000015</v>
      </c>
      <c r="V30" s="10">
        <v>4994498.9599999972</v>
      </c>
      <c r="W30" s="10">
        <v>4938376.93</v>
      </c>
      <c r="X30" s="10">
        <v>7820157.0199999996</v>
      </c>
      <c r="Y30" s="10">
        <f t="shared" si="2"/>
        <v>40542081.759999998</v>
      </c>
    </row>
    <row r="31" spans="1:25" x14ac:dyDescent="0.35">
      <c r="A31" t="s">
        <v>24</v>
      </c>
      <c r="B31" s="10">
        <f t="shared" si="0"/>
        <v>284220.10997082642</v>
      </c>
      <c r="C31" s="10">
        <f t="shared" si="0"/>
        <v>234585.0852114445</v>
      </c>
      <c r="D31" s="10">
        <f t="shared" si="0"/>
        <v>664227.48204347398</v>
      </c>
      <c r="E31" s="10">
        <f t="shared" si="0"/>
        <v>937074.41925287258</v>
      </c>
      <c r="F31" s="10">
        <f t="shared" si="0"/>
        <v>633385.24352138233</v>
      </c>
      <c r="G31" s="10">
        <v>2753492.34</v>
      </c>
      <c r="H31" s="10">
        <v>501809.54000000004</v>
      </c>
      <c r="I31" s="10">
        <v>304547.35000000009</v>
      </c>
      <c r="J31" s="10">
        <v>257490.33999999985</v>
      </c>
      <c r="K31" s="10">
        <v>1428087.6600000006</v>
      </c>
      <c r="L31" s="10">
        <v>319384.53999999911</v>
      </c>
      <c r="M31" s="10">
        <v>551962.0700000003</v>
      </c>
      <c r="N31" s="10">
        <v>439507.79999999981</v>
      </c>
      <c r="O31" s="10">
        <f t="shared" si="1"/>
        <v>6556281.6399999997</v>
      </c>
      <c r="Q31" s="10">
        <v>163569.15</v>
      </c>
      <c r="R31" s="10">
        <v>135004.11000000002</v>
      </c>
      <c r="S31" s="10">
        <v>382264.03</v>
      </c>
      <c r="T31" s="10">
        <v>539287.89999999991</v>
      </c>
      <c r="U31" s="10">
        <v>364514.27</v>
      </c>
      <c r="V31" s="10">
        <v>298496.35000000009</v>
      </c>
      <c r="W31" s="10">
        <v>680146.0299999998</v>
      </c>
      <c r="X31" s="10">
        <v>428071.10000000009</v>
      </c>
      <c r="Y31" s="10">
        <f t="shared" si="2"/>
        <v>2991352.94</v>
      </c>
    </row>
    <row r="32" spans="1:25" x14ac:dyDescent="0.35">
      <c r="A32" t="s">
        <v>25</v>
      </c>
      <c r="B32" s="10">
        <f t="shared" si="0"/>
        <v>0</v>
      </c>
      <c r="C32" s="10">
        <f t="shared" si="0"/>
        <v>0</v>
      </c>
      <c r="D32" s="10">
        <f t="shared" si="0"/>
        <v>0</v>
      </c>
      <c r="E32" s="10">
        <f t="shared" si="0"/>
        <v>0</v>
      </c>
      <c r="F32" s="10">
        <f t="shared" si="0"/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f t="shared" si="1"/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f t="shared" si="2"/>
        <v>0</v>
      </c>
    </row>
    <row r="33" spans="1:25" x14ac:dyDescent="0.35">
      <c r="A33" t="s">
        <v>26</v>
      </c>
      <c r="B33" s="10">
        <f t="shared" si="0"/>
        <v>481634.12067879119</v>
      </c>
      <c r="C33" s="10">
        <f t="shared" si="0"/>
        <v>600963.13204319123</v>
      </c>
      <c r="D33" s="10">
        <f t="shared" si="0"/>
        <v>730003.68358518078</v>
      </c>
      <c r="E33" s="10">
        <f t="shared" si="0"/>
        <v>538949.35988944664</v>
      </c>
      <c r="F33" s="10">
        <f t="shared" si="0"/>
        <v>390170.25380339002</v>
      </c>
      <c r="G33" s="10">
        <v>2741720.55</v>
      </c>
      <c r="H33" s="10">
        <v>2748141.2700000005</v>
      </c>
      <c r="I33" s="10">
        <v>15438857.300000001</v>
      </c>
      <c r="J33" s="10">
        <v>35397355.299999997</v>
      </c>
      <c r="K33" s="10">
        <v>13119395.620000005</v>
      </c>
      <c r="L33" s="10">
        <v>3706290.4699999988</v>
      </c>
      <c r="M33" s="10">
        <v>4585760.6099999994</v>
      </c>
      <c r="N33" s="10">
        <v>-24056628.500000007</v>
      </c>
      <c r="O33" s="10">
        <f t="shared" si="1"/>
        <v>53680892.619999997</v>
      </c>
      <c r="Q33" s="10">
        <v>2947903.05</v>
      </c>
      <c r="R33" s="10">
        <v>3678271.4800000004</v>
      </c>
      <c r="S33" s="10">
        <v>4468080.63</v>
      </c>
      <c r="T33" s="10">
        <v>3298708.2799999993</v>
      </c>
      <c r="U33" s="10">
        <v>2388086.790000001</v>
      </c>
      <c r="V33" s="10">
        <v>3321704.3499999978</v>
      </c>
      <c r="W33" s="10">
        <v>3439087.5800000019</v>
      </c>
      <c r="X33" s="10">
        <v>5752786.1699999981</v>
      </c>
      <c r="Y33" s="10">
        <f t="shared" si="2"/>
        <v>29294628.329999998</v>
      </c>
    </row>
    <row r="34" spans="1:25" x14ac:dyDescent="0.35">
      <c r="A34" t="s">
        <v>27</v>
      </c>
      <c r="B34" s="10">
        <f t="shared" si="0"/>
        <v>672161.17410359834</v>
      </c>
      <c r="C34" s="10">
        <f t="shared" si="0"/>
        <v>536945.74633010419</v>
      </c>
      <c r="D34" s="10">
        <f t="shared" si="0"/>
        <v>1047752.1985423911</v>
      </c>
      <c r="E34" s="10">
        <f t="shared" si="0"/>
        <v>1183548.6747986961</v>
      </c>
      <c r="F34" s="10">
        <f t="shared" si="0"/>
        <v>1085996.5462252102</v>
      </c>
      <c r="G34" s="10">
        <v>4526404.34</v>
      </c>
      <c r="H34" s="10">
        <v>794960.15000000037</v>
      </c>
      <c r="I34" s="10">
        <v>578251.56999999937</v>
      </c>
      <c r="J34" s="10">
        <v>482011.86000000034</v>
      </c>
      <c r="K34" s="10">
        <v>1639423.2400000002</v>
      </c>
      <c r="L34" s="10">
        <v>616919.22000000067</v>
      </c>
      <c r="M34" s="10">
        <v>709264.36999999918</v>
      </c>
      <c r="N34" s="10">
        <v>1705000.4299999997</v>
      </c>
      <c r="O34" s="10">
        <f t="shared" si="1"/>
        <v>11052235.18</v>
      </c>
      <c r="Q34" s="10">
        <v>418417.23</v>
      </c>
      <c r="R34" s="10">
        <v>334246.25</v>
      </c>
      <c r="S34" s="10">
        <v>652220.90999999992</v>
      </c>
      <c r="T34" s="10">
        <v>736753.59000000008</v>
      </c>
      <c r="U34" s="10">
        <v>676027.83999999985</v>
      </c>
      <c r="V34" s="10">
        <v>928956.04</v>
      </c>
      <c r="W34" s="10">
        <v>2770312.1599999997</v>
      </c>
      <c r="X34" s="10">
        <v>687457.72000000067</v>
      </c>
      <c r="Y34" s="10">
        <f t="shared" si="2"/>
        <v>7204391.7400000002</v>
      </c>
    </row>
    <row r="35" spans="1:25" x14ac:dyDescent="0.35">
      <c r="B35" s="10">
        <f t="shared" si="0"/>
        <v>0</v>
      </c>
      <c r="C35" s="10">
        <f t="shared" si="0"/>
        <v>0</v>
      </c>
      <c r="D35" s="10">
        <f t="shared" si="0"/>
        <v>0</v>
      </c>
      <c r="E35" s="10">
        <f t="shared" si="0"/>
        <v>0</v>
      </c>
      <c r="F35" s="10">
        <f t="shared" si="0"/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f t="shared" si="1"/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f t="shared" si="2"/>
        <v>0</v>
      </c>
    </row>
    <row r="36" spans="1:25" ht="15" thickBot="1" x14ac:dyDescent="0.4">
      <c r="A36" s="12" t="s">
        <v>28</v>
      </c>
      <c r="B36" s="13">
        <f t="shared" si="0"/>
        <v>4877410.9802907221</v>
      </c>
      <c r="C36" s="13">
        <f t="shared" si="0"/>
        <v>4677932.2856527139</v>
      </c>
      <c r="D36" s="13">
        <f t="shared" si="0"/>
        <v>5293941.4297531955</v>
      </c>
      <c r="E36" s="13">
        <f t="shared" si="0"/>
        <v>3719832.2028115662</v>
      </c>
      <c r="F36" s="13">
        <f t="shared" si="0"/>
        <v>5279037.3214918049</v>
      </c>
      <c r="G36" s="13">
        <v>23848154.220000003</v>
      </c>
      <c r="H36" s="13">
        <v>4373668.0899999924</v>
      </c>
      <c r="I36" s="13">
        <v>4854802.1300000064</v>
      </c>
      <c r="J36" s="13">
        <v>3050923.120000001</v>
      </c>
      <c r="K36" s="13">
        <v>4137049.8199999854</v>
      </c>
      <c r="L36" s="13">
        <v>3224164.1799999997</v>
      </c>
      <c r="M36" s="13">
        <v>4565804.4900000244</v>
      </c>
      <c r="N36" s="13">
        <v>1750647.7599999458</v>
      </c>
      <c r="O36" s="13">
        <f t="shared" si="1"/>
        <v>49805213.809999958</v>
      </c>
      <c r="P36" s="14"/>
      <c r="Q36" s="13">
        <v>3905873.2900000019</v>
      </c>
      <c r="R36" s="13">
        <v>3746129.0099999961</v>
      </c>
      <c r="S36" s="13">
        <v>4239434.5100000026</v>
      </c>
      <c r="T36" s="13">
        <v>2978874.0999999847</v>
      </c>
      <c r="U36" s="13">
        <v>4227499.1700000167</v>
      </c>
      <c r="V36" s="13">
        <v>4016882.6499999985</v>
      </c>
      <c r="W36" s="13">
        <v>4937379.320000004</v>
      </c>
      <c r="X36" s="13">
        <v>2864214.1800000258</v>
      </c>
      <c r="Y36" s="13">
        <f t="shared" si="2"/>
        <v>30916286.23000003</v>
      </c>
    </row>
    <row r="37" spans="1:25" ht="15" thickTop="1" x14ac:dyDescent="0.35">
      <c r="A37" t="s">
        <v>29</v>
      </c>
      <c r="B37" s="10">
        <f t="shared" ref="B37:F54" si="3">IF(OR(SUM($Q37:$U37)=0,COUNTIF($Q37:$U37,"&lt;0")*COUNTIF($Q37:$U37,"&gt;0")&gt;0),$G37/5,$G37*Q37/SUM($Q37:$U37))</f>
        <v>3928629.6274900781</v>
      </c>
      <c r="C37" s="10">
        <f t="shared" si="3"/>
        <v>3596784.5327509888</v>
      </c>
      <c r="D37" s="10">
        <f t="shared" si="3"/>
        <v>3680797.7767441086</v>
      </c>
      <c r="E37" s="10">
        <f t="shared" si="3"/>
        <v>3374405.0921067507</v>
      </c>
      <c r="F37" s="10">
        <f t="shared" si="3"/>
        <v>3523494.2409080695</v>
      </c>
      <c r="G37" s="10">
        <v>18104111.269999996</v>
      </c>
      <c r="H37" s="10">
        <v>3557207.450000003</v>
      </c>
      <c r="I37" s="10">
        <v>3369377.9699999988</v>
      </c>
      <c r="J37" s="10">
        <v>3384760.0199999996</v>
      </c>
      <c r="K37" s="10">
        <v>3461068.7300000116</v>
      </c>
      <c r="L37" s="10">
        <v>2952863.9899999909</v>
      </c>
      <c r="M37" s="10">
        <v>3748911.6799999997</v>
      </c>
      <c r="N37" s="10">
        <v>3173549.1799999997</v>
      </c>
      <c r="O37" s="10">
        <f t="shared" si="1"/>
        <v>41751850.289999999</v>
      </c>
      <c r="Q37" s="10">
        <v>3900040.540000001</v>
      </c>
      <c r="R37" s="10">
        <v>3570610.3199999975</v>
      </c>
      <c r="S37" s="10">
        <v>3654012.1899999985</v>
      </c>
      <c r="T37" s="10">
        <v>3349849.1600000039</v>
      </c>
      <c r="U37" s="10">
        <v>3497853.3699999973</v>
      </c>
      <c r="V37" s="10">
        <v>3175304.5500000007</v>
      </c>
      <c r="W37" s="10">
        <v>4098391.4200000018</v>
      </c>
      <c r="X37" s="10">
        <v>2954141.5899999887</v>
      </c>
      <c r="Y37" s="10">
        <f t="shared" si="2"/>
        <v>28200203.139999989</v>
      </c>
    </row>
    <row r="38" spans="1:25" x14ac:dyDescent="0.35">
      <c r="A38" t="s">
        <v>30</v>
      </c>
      <c r="B38" s="10">
        <f t="shared" si="3"/>
        <v>51698.0820741485</v>
      </c>
      <c r="C38" s="10">
        <f t="shared" si="3"/>
        <v>40744.472854604719</v>
      </c>
      <c r="D38" s="10">
        <f t="shared" si="3"/>
        <v>42112.210154197906</v>
      </c>
      <c r="E38" s="10">
        <f t="shared" si="3"/>
        <v>53801.377828847573</v>
      </c>
      <c r="F38" s="10">
        <f t="shared" si="3"/>
        <v>52219.107088201301</v>
      </c>
      <c r="G38" s="10">
        <v>240575.25</v>
      </c>
      <c r="H38" s="10">
        <v>47738.919999999984</v>
      </c>
      <c r="I38" s="10">
        <v>63134.340000000026</v>
      </c>
      <c r="J38" s="10">
        <v>59731.419999999984</v>
      </c>
      <c r="K38" s="10">
        <v>58352.100000000035</v>
      </c>
      <c r="L38" s="10">
        <v>32724.25</v>
      </c>
      <c r="M38" s="10">
        <v>73098.650000000023</v>
      </c>
      <c r="N38" s="10">
        <v>87990.759999999893</v>
      </c>
      <c r="O38" s="10">
        <f t="shared" si="1"/>
        <v>663345.68999999983</v>
      </c>
      <c r="Q38" s="10">
        <v>67895.87</v>
      </c>
      <c r="R38" s="10">
        <v>53510.33</v>
      </c>
      <c r="S38" s="10">
        <v>55306.599999999991</v>
      </c>
      <c r="T38" s="10">
        <v>70658.16</v>
      </c>
      <c r="U38" s="10">
        <v>68580.139999999985</v>
      </c>
      <c r="V38" s="10">
        <v>58791.340000000026</v>
      </c>
      <c r="W38" s="10">
        <v>83318.890000000014</v>
      </c>
      <c r="X38" s="10">
        <v>52339.959999999963</v>
      </c>
      <c r="Y38" s="10">
        <f t="shared" si="2"/>
        <v>510401.29</v>
      </c>
    </row>
    <row r="39" spans="1:25" x14ac:dyDescent="0.35">
      <c r="A39" t="s">
        <v>31</v>
      </c>
      <c r="B39" s="10">
        <f t="shared" si="3"/>
        <v>4806922.1659750892</v>
      </c>
      <c r="C39" s="10">
        <f t="shared" si="3"/>
        <v>4474658.4029780226</v>
      </c>
      <c r="D39" s="10">
        <f t="shared" si="3"/>
        <v>4435703.7709006593</v>
      </c>
      <c r="E39" s="10">
        <f t="shared" si="3"/>
        <v>4487152.0127244825</v>
      </c>
      <c r="F39" s="10">
        <f t="shared" si="3"/>
        <v>4361363.3074217439</v>
      </c>
      <c r="G39" s="10">
        <v>22565799.659999996</v>
      </c>
      <c r="H39" s="10">
        <v>4312301.6400000006</v>
      </c>
      <c r="I39" s="10">
        <v>4263284.6000000015</v>
      </c>
      <c r="J39" s="10">
        <v>4117224.5</v>
      </c>
      <c r="K39" s="10">
        <v>4219699.0000000075</v>
      </c>
      <c r="L39" s="10">
        <v>3810952.2099999934</v>
      </c>
      <c r="M39" s="10">
        <v>4393202.6599999964</v>
      </c>
      <c r="N39" s="10">
        <v>4390513.8100000024</v>
      </c>
      <c r="O39" s="10">
        <f t="shared" si="1"/>
        <v>52072978.079999998</v>
      </c>
      <c r="Q39" s="10">
        <v>4657304.3500000006</v>
      </c>
      <c r="R39" s="10">
        <v>4335382.4599999981</v>
      </c>
      <c r="S39" s="10">
        <v>4297640.3099999987</v>
      </c>
      <c r="T39" s="10">
        <v>4347487.200000003</v>
      </c>
      <c r="U39" s="10">
        <v>4225613.7300000004</v>
      </c>
      <c r="V39" s="10">
        <v>4526186.5799999945</v>
      </c>
      <c r="W39" s="10">
        <v>4832549.5600000061</v>
      </c>
      <c r="X39" s="10">
        <v>3811321.829999987</v>
      </c>
      <c r="Y39" s="10">
        <f t="shared" si="2"/>
        <v>35033486.019999988</v>
      </c>
    </row>
    <row r="40" spans="1:25" x14ac:dyDescent="0.35">
      <c r="A40" t="s">
        <v>32</v>
      </c>
      <c r="B40" s="10">
        <f t="shared" si="3"/>
        <v>624215.53913262126</v>
      </c>
      <c r="C40" s="10">
        <f t="shared" si="3"/>
        <v>619505.68629041512</v>
      </c>
      <c r="D40" s="10">
        <f t="shared" si="3"/>
        <v>466579.40942748584</v>
      </c>
      <c r="E40" s="10">
        <f t="shared" si="3"/>
        <v>860803.23777931579</v>
      </c>
      <c r="F40" s="10">
        <f t="shared" si="3"/>
        <v>536532.24737016321</v>
      </c>
      <c r="G40" s="10">
        <v>3107636.120000001</v>
      </c>
      <c r="H40" s="10">
        <v>466988.50999999978</v>
      </c>
      <c r="I40" s="10">
        <v>637926.40999999922</v>
      </c>
      <c r="J40" s="10">
        <v>451743.83000000007</v>
      </c>
      <c r="K40" s="10">
        <v>478928.95000000112</v>
      </c>
      <c r="L40" s="10">
        <v>433152.89999999944</v>
      </c>
      <c r="M40" s="10">
        <v>453384.19000000041</v>
      </c>
      <c r="N40" s="10">
        <v>1206676.2699999977</v>
      </c>
      <c r="O40" s="10">
        <f t="shared" si="1"/>
        <v>7236437.1799999988</v>
      </c>
      <c r="Q40" s="10">
        <v>585552.35</v>
      </c>
      <c r="R40" s="10">
        <v>581134.22000000009</v>
      </c>
      <c r="S40" s="10">
        <v>437680.02</v>
      </c>
      <c r="T40" s="10">
        <v>807486.08000000031</v>
      </c>
      <c r="U40" s="10">
        <v>503300.05999999959</v>
      </c>
      <c r="V40" s="10">
        <v>1121084.75</v>
      </c>
      <c r="W40" s="10">
        <v>521909.74999999953</v>
      </c>
      <c r="X40" s="10">
        <v>609779.20000000019</v>
      </c>
      <c r="Y40" s="10">
        <f t="shared" si="2"/>
        <v>5167926.43</v>
      </c>
    </row>
    <row r="41" spans="1:25" x14ac:dyDescent="0.35">
      <c r="A41" t="s">
        <v>33</v>
      </c>
      <c r="B41" s="10">
        <f t="shared" si="3"/>
        <v>295762.84889301355</v>
      </c>
      <c r="C41" s="10">
        <f t="shared" si="3"/>
        <v>292727.44715277536</v>
      </c>
      <c r="D41" s="10">
        <f t="shared" si="3"/>
        <v>322483.59997454833</v>
      </c>
      <c r="E41" s="10">
        <f t="shared" si="3"/>
        <v>321934.82608119183</v>
      </c>
      <c r="F41" s="10">
        <f t="shared" si="3"/>
        <v>361718.79789847089</v>
      </c>
      <c r="G41" s="10">
        <v>1594627.52</v>
      </c>
      <c r="H41" s="10">
        <v>335844.60000000009</v>
      </c>
      <c r="I41" s="10">
        <v>319114.56000000006</v>
      </c>
      <c r="J41" s="10">
        <v>340452.06999999983</v>
      </c>
      <c r="K41" s="10">
        <v>338053.41999999993</v>
      </c>
      <c r="L41" s="10">
        <v>457659.5700000003</v>
      </c>
      <c r="M41" s="10">
        <v>264005.43999999994</v>
      </c>
      <c r="N41" s="10">
        <v>98279.119999999646</v>
      </c>
      <c r="O41" s="10">
        <f t="shared" si="1"/>
        <v>3748036.3</v>
      </c>
      <c r="Q41" s="10">
        <v>239607.33</v>
      </c>
      <c r="R41" s="10">
        <v>237148.25000000003</v>
      </c>
      <c r="S41" s="10">
        <v>261254.7</v>
      </c>
      <c r="T41" s="10">
        <v>260810.12</v>
      </c>
      <c r="U41" s="10">
        <v>293040.44000000006</v>
      </c>
      <c r="V41" s="10">
        <v>288588.61999999988</v>
      </c>
      <c r="W41" s="10">
        <v>295567.28000000003</v>
      </c>
      <c r="X41" s="10">
        <v>299741.00000000023</v>
      </c>
      <c r="Y41" s="10">
        <f t="shared" si="2"/>
        <v>2175757.7400000002</v>
      </c>
    </row>
    <row r="42" spans="1:25" x14ac:dyDescent="0.35">
      <c r="B42" s="10">
        <f t="shared" si="3"/>
        <v>0</v>
      </c>
      <c r="C42" s="10">
        <f t="shared" si="3"/>
        <v>0</v>
      </c>
      <c r="D42" s="10">
        <f t="shared" si="3"/>
        <v>0</v>
      </c>
      <c r="E42" s="10">
        <f t="shared" si="3"/>
        <v>0</v>
      </c>
      <c r="F42" s="10">
        <f t="shared" si="3"/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f t="shared" si="1"/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f t="shared" si="2"/>
        <v>0</v>
      </c>
    </row>
    <row r="43" spans="1:25" ht="15" thickBot="1" x14ac:dyDescent="0.4">
      <c r="A43" s="12" t="s">
        <v>34</v>
      </c>
      <c r="B43" s="13">
        <f t="shared" si="3"/>
        <v>1148808.5900000022</v>
      </c>
      <c r="C43" s="13">
        <f t="shared" si="3"/>
        <v>1148808.5900000022</v>
      </c>
      <c r="D43" s="13">
        <f t="shared" si="3"/>
        <v>1148808.5900000022</v>
      </c>
      <c r="E43" s="13">
        <f t="shared" si="3"/>
        <v>1148808.5900000022</v>
      </c>
      <c r="F43" s="13">
        <f t="shared" si="3"/>
        <v>1148808.5900000022</v>
      </c>
      <c r="G43" s="13">
        <v>5744042.9500000104</v>
      </c>
      <c r="H43" s="13">
        <v>816460.63999998663</v>
      </c>
      <c r="I43" s="13">
        <v>1485424.1600000057</v>
      </c>
      <c r="J43" s="13">
        <v>-333836.90000000224</v>
      </c>
      <c r="K43" s="13">
        <v>675981.08999997564</v>
      </c>
      <c r="L43" s="13">
        <v>271300.190000006</v>
      </c>
      <c r="M43" s="13">
        <v>816892.8100000266</v>
      </c>
      <c r="N43" s="13">
        <v>-1422901.4200000539</v>
      </c>
      <c r="O43" s="13">
        <f t="shared" si="1"/>
        <v>8053363.5199999548</v>
      </c>
      <c r="P43" s="14"/>
      <c r="Q43" s="13">
        <v>5832.7500000009422</v>
      </c>
      <c r="R43" s="13">
        <v>175518.68999999852</v>
      </c>
      <c r="S43" s="13">
        <v>585422.32000000426</v>
      </c>
      <c r="T43" s="13">
        <v>-370975.06000001892</v>
      </c>
      <c r="U43" s="13">
        <v>729645.8000000203</v>
      </c>
      <c r="V43" s="13">
        <v>841578.0999999952</v>
      </c>
      <c r="W43" s="13">
        <v>838987.9000000034</v>
      </c>
      <c r="X43" s="13">
        <v>-89927.409999963827</v>
      </c>
      <c r="Y43" s="13">
        <f t="shared" si="2"/>
        <v>2716083.0900000399</v>
      </c>
    </row>
    <row r="44" spans="1:25" ht="15" thickTop="1" x14ac:dyDescent="0.35">
      <c r="A44" t="s">
        <v>35</v>
      </c>
      <c r="B44" s="10">
        <f t="shared" si="3"/>
        <v>340514.47942456848</v>
      </c>
      <c r="C44" s="10">
        <f t="shared" si="3"/>
        <v>332994.77796722524</v>
      </c>
      <c r="D44" s="10">
        <f t="shared" si="3"/>
        <v>224184.72621471161</v>
      </c>
      <c r="E44" s="10">
        <f t="shared" si="3"/>
        <v>287938.61553624319</v>
      </c>
      <c r="F44" s="10">
        <f t="shared" si="3"/>
        <v>281850.15085725172</v>
      </c>
      <c r="G44" s="10">
        <v>1467482.7500000002</v>
      </c>
      <c r="H44" s="10">
        <v>202382.87999999989</v>
      </c>
      <c r="I44" s="10">
        <v>149720.32000000007</v>
      </c>
      <c r="J44" s="10">
        <v>-400495.02000000025</v>
      </c>
      <c r="K44" s="10">
        <v>683512.13000000059</v>
      </c>
      <c r="L44" s="10">
        <v>148606.87999999989</v>
      </c>
      <c r="M44" s="10">
        <v>103895.81999999937</v>
      </c>
      <c r="N44" s="10">
        <v>255348.70999999996</v>
      </c>
      <c r="O44" s="10">
        <f t="shared" si="1"/>
        <v>2610454.4699999997</v>
      </c>
      <c r="Q44" s="10">
        <v>432624.51999999996</v>
      </c>
      <c r="R44" s="10">
        <v>423070.72000000003</v>
      </c>
      <c r="S44" s="10">
        <v>284827.27</v>
      </c>
      <c r="T44" s="10">
        <v>365826.75</v>
      </c>
      <c r="U44" s="10">
        <v>358091.33999999985</v>
      </c>
      <c r="V44" s="10">
        <v>247757.20999999973</v>
      </c>
      <c r="W44" s="10">
        <v>381584.79000000097</v>
      </c>
      <c r="X44" s="10">
        <v>406463.08999999985</v>
      </c>
      <c r="Y44" s="10">
        <f t="shared" si="2"/>
        <v>2900245.6900000004</v>
      </c>
    </row>
    <row r="45" spans="1:25" x14ac:dyDescent="0.35">
      <c r="A45" t="s">
        <v>36</v>
      </c>
      <c r="B45" s="10">
        <f t="shared" si="3"/>
        <v>386069.96960559359</v>
      </c>
      <c r="C45" s="10">
        <f t="shared" si="3"/>
        <v>344471.35940861155</v>
      </c>
      <c r="D45" s="10">
        <f t="shared" si="3"/>
        <v>255479.64771513458</v>
      </c>
      <c r="E45" s="10">
        <f t="shared" si="3"/>
        <v>338335.39847575856</v>
      </c>
      <c r="F45" s="10">
        <f t="shared" si="3"/>
        <v>305991.18479490175</v>
      </c>
      <c r="G45" s="10">
        <v>1630347.56</v>
      </c>
      <c r="H45" s="10">
        <v>204783.03000000003</v>
      </c>
      <c r="I45" s="10">
        <v>173547.84000000008</v>
      </c>
      <c r="J45" s="10">
        <v>190902.5299999998</v>
      </c>
      <c r="K45" s="10">
        <v>134237.69000000041</v>
      </c>
      <c r="L45" s="10">
        <v>154585.46999999974</v>
      </c>
      <c r="M45" s="10">
        <v>123061.65999999968</v>
      </c>
      <c r="N45" s="10">
        <v>275581.2200000002</v>
      </c>
      <c r="O45" s="10">
        <f t="shared" si="1"/>
        <v>2887047</v>
      </c>
      <c r="Q45" s="10">
        <v>477966.6</v>
      </c>
      <c r="R45" s="10">
        <v>426466.23</v>
      </c>
      <c r="S45" s="10">
        <v>316291.7300000001</v>
      </c>
      <c r="T45" s="10">
        <v>418869.72</v>
      </c>
      <c r="U45" s="10">
        <v>378826.57999999984</v>
      </c>
      <c r="V45" s="10">
        <v>379174.58999999985</v>
      </c>
      <c r="W45" s="10">
        <v>402593.6100000008</v>
      </c>
      <c r="X45" s="10">
        <v>433710.41999999946</v>
      </c>
      <c r="Y45" s="10">
        <f t="shared" si="2"/>
        <v>3233899.48</v>
      </c>
    </row>
    <row r="46" spans="1:25" x14ac:dyDescent="0.35">
      <c r="A46" t="s">
        <v>37</v>
      </c>
      <c r="B46" s="10">
        <f t="shared" si="3"/>
        <v>47958.285329592247</v>
      </c>
      <c r="C46" s="10">
        <f t="shared" si="3"/>
        <v>3591.4284792290855</v>
      </c>
      <c r="D46" s="10">
        <f t="shared" si="3"/>
        <v>33279.936659754974</v>
      </c>
      <c r="E46" s="10">
        <f t="shared" si="3"/>
        <v>56103.51113113913</v>
      </c>
      <c r="F46" s="10">
        <f t="shared" si="3"/>
        <v>21931.648400284579</v>
      </c>
      <c r="G46" s="10">
        <v>162864.81000000003</v>
      </c>
      <c r="H46" s="10">
        <v>2400.1499999999942</v>
      </c>
      <c r="I46" s="10">
        <v>23827.519999999902</v>
      </c>
      <c r="J46" s="10">
        <v>591397.55000000005</v>
      </c>
      <c r="K46" s="10">
        <v>-549274.44000000018</v>
      </c>
      <c r="L46" s="10">
        <v>5978.5900000001129</v>
      </c>
      <c r="M46" s="10">
        <v>19165.840000000113</v>
      </c>
      <c r="N46" s="10">
        <v>20232.510000000068</v>
      </c>
      <c r="O46" s="10">
        <f t="shared" si="1"/>
        <v>276592.53000000014</v>
      </c>
      <c r="Q46" s="10">
        <v>45342.079999999994</v>
      </c>
      <c r="R46" s="10">
        <v>3395.5099999999948</v>
      </c>
      <c r="S46" s="10">
        <v>31464.460000000014</v>
      </c>
      <c r="T46" s="10">
        <v>53042.969999999987</v>
      </c>
      <c r="U46" s="10">
        <v>20735.24000000002</v>
      </c>
      <c r="V46" s="10">
        <v>131417.37999999995</v>
      </c>
      <c r="W46" s="10">
        <v>21008.820000000007</v>
      </c>
      <c r="X46" s="10">
        <v>27247.330000000075</v>
      </c>
      <c r="Y46" s="10">
        <f t="shared" si="2"/>
        <v>333653.79000000004</v>
      </c>
    </row>
    <row r="47" spans="1:25" x14ac:dyDescent="0.35">
      <c r="B47" s="10">
        <f t="shared" si="3"/>
        <v>0</v>
      </c>
      <c r="C47" s="10">
        <f t="shared" si="3"/>
        <v>0</v>
      </c>
      <c r="D47" s="10">
        <f t="shared" si="3"/>
        <v>0</v>
      </c>
      <c r="E47" s="10">
        <f t="shared" si="3"/>
        <v>0</v>
      </c>
      <c r="F47" s="10">
        <f t="shared" si="3"/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f t="shared" si="1"/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f t="shared" si="2"/>
        <v>0</v>
      </c>
    </row>
    <row r="48" spans="1:25" ht="15" thickBot="1" x14ac:dyDescent="0.4">
      <c r="A48" s="12" t="s">
        <v>38</v>
      </c>
      <c r="B48" s="13">
        <f t="shared" si="3"/>
        <v>1442305.140000002</v>
      </c>
      <c r="C48" s="13">
        <f t="shared" si="3"/>
        <v>1442305.140000002</v>
      </c>
      <c r="D48" s="13">
        <f t="shared" si="3"/>
        <v>1442305.140000002</v>
      </c>
      <c r="E48" s="13">
        <f t="shared" si="3"/>
        <v>1442305.140000002</v>
      </c>
      <c r="F48" s="13">
        <f t="shared" si="3"/>
        <v>1442305.140000002</v>
      </c>
      <c r="G48" s="13">
        <v>7211525.7000000104</v>
      </c>
      <c r="H48" s="13">
        <v>1018843.5199999865</v>
      </c>
      <c r="I48" s="13">
        <v>1635144.480000006</v>
      </c>
      <c r="J48" s="13">
        <v>-734331.92000000179</v>
      </c>
      <c r="K48" s="13">
        <v>1359493.2199999765</v>
      </c>
      <c r="L48" s="13">
        <v>419907.07000000402</v>
      </c>
      <c r="M48" s="13">
        <v>920788.6300000269</v>
      </c>
      <c r="N48" s="13">
        <v>-1167552.710000053</v>
      </c>
      <c r="O48" s="13">
        <f t="shared" si="1"/>
        <v>10663817.989999956</v>
      </c>
      <c r="P48" s="14"/>
      <c r="Q48" s="13">
        <v>438457.27000000089</v>
      </c>
      <c r="R48" s="13">
        <v>598589.40999999852</v>
      </c>
      <c r="S48" s="13">
        <v>870249.59000000427</v>
      </c>
      <c r="T48" s="13">
        <v>-5148.3100000189152</v>
      </c>
      <c r="U48" s="13">
        <v>1087737.1400000199</v>
      </c>
      <c r="V48" s="13">
        <v>1089335.3099999949</v>
      </c>
      <c r="W48" s="13">
        <v>1220572.6900000046</v>
      </c>
      <c r="X48" s="13">
        <v>316535.68000003602</v>
      </c>
      <c r="Y48" s="13">
        <f t="shared" si="2"/>
        <v>5616328.7800000403</v>
      </c>
    </row>
    <row r="49" spans="1:25" ht="15" thickTop="1" x14ac:dyDescent="0.35">
      <c r="A49" t="s">
        <v>39</v>
      </c>
      <c r="B49" s="10">
        <f t="shared" si="3"/>
        <v>11557.202125383872</v>
      </c>
      <c r="C49" s="10">
        <f t="shared" si="3"/>
        <v>551.31821929723651</v>
      </c>
      <c r="D49" s="10">
        <f t="shared" si="3"/>
        <v>30.09103800823172</v>
      </c>
      <c r="E49" s="10">
        <f t="shared" si="3"/>
        <v>73312.314957857598</v>
      </c>
      <c r="F49" s="10">
        <f t="shared" si="3"/>
        <v>943.34365945305728</v>
      </c>
      <c r="G49" s="10">
        <v>86394.27</v>
      </c>
      <c r="H49" s="10">
        <v>1160.0299999999988</v>
      </c>
      <c r="I49" s="10">
        <v>0</v>
      </c>
      <c r="J49" s="10">
        <v>205889.79000000004</v>
      </c>
      <c r="K49" s="10">
        <v>0</v>
      </c>
      <c r="L49" s="10">
        <v>0</v>
      </c>
      <c r="M49" s="10">
        <v>0</v>
      </c>
      <c r="N49" s="10">
        <v>929.63999999995576</v>
      </c>
      <c r="O49" s="10">
        <f t="shared" si="1"/>
        <v>294373.73</v>
      </c>
      <c r="Q49" s="10">
        <v>162524.99</v>
      </c>
      <c r="R49" s="10">
        <v>7753</v>
      </c>
      <c r="S49" s="10">
        <v>423.16000000000349</v>
      </c>
      <c r="T49" s="10">
        <v>1030966.07</v>
      </c>
      <c r="U49" s="10">
        <v>13265.919999999925</v>
      </c>
      <c r="V49" s="10">
        <v>0</v>
      </c>
      <c r="W49" s="10">
        <v>0</v>
      </c>
      <c r="X49" s="10">
        <v>0</v>
      </c>
      <c r="Y49" s="10">
        <f t="shared" si="2"/>
        <v>1214933.1399999999</v>
      </c>
    </row>
    <row r="50" spans="1:25" x14ac:dyDescent="0.35">
      <c r="A50" t="s">
        <v>40</v>
      </c>
      <c r="B50" s="10">
        <f t="shared" si="3"/>
        <v>407497.89133963047</v>
      </c>
      <c r="C50" s="10">
        <f t="shared" si="3"/>
        <v>9652.2185321247944</v>
      </c>
      <c r="D50" s="10">
        <f t="shared" si="3"/>
        <v>176.45012824468515</v>
      </c>
      <c r="E50" s="10">
        <f t="shared" si="3"/>
        <v>0</v>
      </c>
      <c r="F50" s="10">
        <f t="shared" si="3"/>
        <v>0</v>
      </c>
      <c r="G50" s="10">
        <v>417326.56</v>
      </c>
      <c r="H50" s="10">
        <v>2242.3699999999953</v>
      </c>
      <c r="I50" s="10">
        <v>154622.79999999999</v>
      </c>
      <c r="J50" s="10">
        <v>-574191.73</v>
      </c>
      <c r="K50" s="10">
        <v>574191.73</v>
      </c>
      <c r="L50" s="10">
        <v>84576.290000000037</v>
      </c>
      <c r="M50" s="10">
        <v>0</v>
      </c>
      <c r="N50" s="10">
        <v>0</v>
      </c>
      <c r="O50" s="10">
        <f t="shared" si="1"/>
        <v>658768.02</v>
      </c>
      <c r="Q50" s="10">
        <v>41107.72</v>
      </c>
      <c r="R50" s="10">
        <v>973.69999999999709</v>
      </c>
      <c r="S50" s="10">
        <v>17.80000000000291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f t="shared" si="2"/>
        <v>42099.22</v>
      </c>
    </row>
    <row r="51" spans="1:25" x14ac:dyDescent="0.35">
      <c r="B51" s="10">
        <f t="shared" si="3"/>
        <v>0</v>
      </c>
      <c r="C51" s="10">
        <f t="shared" si="3"/>
        <v>0</v>
      </c>
      <c r="D51" s="10">
        <f t="shared" si="3"/>
        <v>0</v>
      </c>
      <c r="E51" s="10">
        <f t="shared" si="3"/>
        <v>0</v>
      </c>
      <c r="F51" s="10">
        <f t="shared" si="3"/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f t="shared" si="1"/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f t="shared" si="2"/>
        <v>0</v>
      </c>
    </row>
    <row r="52" spans="1:25" ht="15" thickBot="1" x14ac:dyDescent="0.4">
      <c r="A52" s="12" t="s">
        <v>41</v>
      </c>
      <c r="B52" s="13">
        <f t="shared" si="3"/>
        <v>925421.35364946851</v>
      </c>
      <c r="C52" s="13">
        <f t="shared" si="3"/>
        <v>1000619.0513060843</v>
      </c>
      <c r="D52" s="13">
        <f t="shared" si="3"/>
        <v>1439112.9169592401</v>
      </c>
      <c r="E52" s="13">
        <f t="shared" si="3"/>
        <v>1695582.8354989078</v>
      </c>
      <c r="F52" s="13">
        <f t="shared" si="3"/>
        <v>1819857.2525863096</v>
      </c>
      <c r="G52" s="13">
        <v>6880593.4100000104</v>
      </c>
      <c r="H52" s="13">
        <v>1017761.1799999857</v>
      </c>
      <c r="I52" s="13">
        <v>1480521.6800000072</v>
      </c>
      <c r="J52" s="13">
        <v>45749.599999997765</v>
      </c>
      <c r="K52" s="13">
        <v>785301.48999997601</v>
      </c>
      <c r="L52" s="13">
        <v>335330.78000000678</v>
      </c>
      <c r="M52" s="13">
        <v>920788.6300000269</v>
      </c>
      <c r="N52" s="13">
        <v>-1166623.0700000543</v>
      </c>
      <c r="O52" s="13">
        <f t="shared" si="1"/>
        <v>10299423.699999956</v>
      </c>
      <c r="P52" s="14"/>
      <c r="Q52" s="13">
        <v>559874.54000000097</v>
      </c>
      <c r="R52" s="13">
        <v>605368.70999999857</v>
      </c>
      <c r="S52" s="13">
        <v>870654.95000000414</v>
      </c>
      <c r="T52" s="13">
        <v>1025817.7599999814</v>
      </c>
      <c r="U52" s="13">
        <v>1101003.0600000201</v>
      </c>
      <c r="V52" s="13">
        <v>1089335.3099999949</v>
      </c>
      <c r="W52" s="13">
        <v>1220572.6900000041</v>
      </c>
      <c r="X52" s="13">
        <v>316535.68000003602</v>
      </c>
      <c r="Y52" s="13">
        <f t="shared" si="2"/>
        <v>6789162.7000000402</v>
      </c>
    </row>
    <row r="53" spans="1:25" ht="15" thickTop="1" x14ac:dyDescent="0.35">
      <c r="A53" t="s">
        <v>42</v>
      </c>
      <c r="B53" s="10">
        <f t="shared" si="3"/>
        <v>291913.92111313849</v>
      </c>
      <c r="C53" s="10">
        <f t="shared" si="3"/>
        <v>165878.03318458961</v>
      </c>
      <c r="D53" s="10">
        <f t="shared" si="3"/>
        <v>394007.8033156367</v>
      </c>
      <c r="E53" s="10">
        <f t="shared" si="3"/>
        <v>320717.5978182308</v>
      </c>
      <c r="F53" s="10">
        <f t="shared" si="3"/>
        <v>346003.06456840486</v>
      </c>
      <c r="G53" s="10">
        <v>1518520.4200000004</v>
      </c>
      <c r="H53" s="10">
        <v>188579.7799999998</v>
      </c>
      <c r="I53" s="10">
        <v>352142.81000000006</v>
      </c>
      <c r="J53" s="10">
        <v>-49484.210000000196</v>
      </c>
      <c r="K53" s="10">
        <v>132001.3899999999</v>
      </c>
      <c r="L53" s="10">
        <v>5508.0499999998137</v>
      </c>
      <c r="M53" s="10">
        <v>181035.09000000032</v>
      </c>
      <c r="N53" s="10">
        <v>-303510.80999999982</v>
      </c>
      <c r="O53" s="10">
        <f t="shared" si="1"/>
        <v>2024792.5200000003</v>
      </c>
      <c r="Q53" s="10">
        <v>188431.72</v>
      </c>
      <c r="R53" s="10">
        <v>107074.99999999997</v>
      </c>
      <c r="S53" s="10">
        <v>254333.77000000002</v>
      </c>
      <c r="T53" s="10">
        <v>207024.62</v>
      </c>
      <c r="U53" s="10">
        <v>223346.5</v>
      </c>
      <c r="V53" s="10">
        <v>214231.43999999983</v>
      </c>
      <c r="W53" s="10">
        <v>251595.89000000013</v>
      </c>
      <c r="X53" s="10">
        <v>22364.769999999786</v>
      </c>
      <c r="Y53" s="10">
        <f t="shared" si="2"/>
        <v>1468403.7099999997</v>
      </c>
    </row>
    <row r="54" spans="1:25" ht="15" thickBot="1" x14ac:dyDescent="0.4">
      <c r="A54" s="12" t="s">
        <v>43</v>
      </c>
      <c r="B54" s="13">
        <f t="shared" si="3"/>
        <v>625828.39750605216</v>
      </c>
      <c r="C54" s="13">
        <f t="shared" si="3"/>
        <v>839554.13114902575</v>
      </c>
      <c r="D54" s="13">
        <f t="shared" si="3"/>
        <v>1038413.6552388893</v>
      </c>
      <c r="E54" s="13">
        <f t="shared" si="3"/>
        <v>1379550.1517437755</v>
      </c>
      <c r="F54" s="13">
        <f t="shared" si="3"/>
        <v>1478726.6543622669</v>
      </c>
      <c r="G54" s="13">
        <v>5362072.9900000095</v>
      </c>
      <c r="H54" s="13">
        <v>829181.39999998733</v>
      </c>
      <c r="I54" s="13">
        <v>1128378.8700000057</v>
      </c>
      <c r="J54" s="13">
        <v>95233.80999999959</v>
      </c>
      <c r="K54" s="13">
        <v>653300.09999997541</v>
      </c>
      <c r="L54" s="13">
        <v>329822.73000000603</v>
      </c>
      <c r="M54" s="13">
        <v>739753.54000002518</v>
      </c>
      <c r="N54" s="13">
        <v>-863112.26000005379</v>
      </c>
      <c r="O54" s="13">
        <f t="shared" si="1"/>
        <v>8274631.179999955</v>
      </c>
      <c r="P54" s="14"/>
      <c r="Q54" s="13">
        <v>371442.82000000088</v>
      </c>
      <c r="R54" s="13">
        <v>498293.70999999868</v>
      </c>
      <c r="S54" s="13">
        <v>616321.18000000413</v>
      </c>
      <c r="T54" s="13">
        <v>818793.1399999815</v>
      </c>
      <c r="U54" s="13">
        <v>877656.56000002008</v>
      </c>
      <c r="V54" s="13">
        <v>875103.86999999499</v>
      </c>
      <c r="W54" s="13">
        <v>968976.80000000447</v>
      </c>
      <c r="X54" s="13">
        <v>294170.91000003554</v>
      </c>
      <c r="Y54" s="13">
        <f t="shared" si="2"/>
        <v>5320758.9900000403</v>
      </c>
    </row>
    <row r="55" spans="1:25" ht="15" thickTop="1" x14ac:dyDescent="0.35"/>
    <row r="56" spans="1:25" x14ac:dyDescent="0.35">
      <c r="A56" s="15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Q56" s="16"/>
      <c r="R56" s="15">
        <v>0</v>
      </c>
      <c r="S56" s="15"/>
      <c r="T56" s="15"/>
      <c r="U56" s="15"/>
      <c r="V56" s="15"/>
      <c r="W56" s="15"/>
      <c r="X56" s="15"/>
      <c r="Y56" s="15"/>
    </row>
    <row r="57" spans="1:25" x14ac:dyDescent="0.35">
      <c r="A57" s="15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Q57" s="16"/>
      <c r="R57" s="15">
        <v>0</v>
      </c>
      <c r="S57" s="15"/>
      <c r="T57" s="15"/>
      <c r="U57" s="15"/>
      <c r="V57" s="15"/>
      <c r="W57" s="15"/>
      <c r="X57" s="15"/>
      <c r="Y57" s="15"/>
    </row>
    <row r="59" spans="1:25" ht="23.5" x14ac:dyDescent="0.35">
      <c r="A59" s="1" t="s">
        <v>44</v>
      </c>
      <c r="B59" s="2"/>
      <c r="C59" s="2"/>
      <c r="D59" s="2"/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4"/>
      <c r="Q59" s="3"/>
      <c r="R59" s="5"/>
      <c r="S59" s="5"/>
      <c r="T59" s="5"/>
      <c r="U59" s="5"/>
      <c r="V59" s="5"/>
      <c r="W59" s="5"/>
      <c r="X59" s="5"/>
      <c r="Y59" s="5"/>
    </row>
    <row r="60" spans="1:25" ht="23.5" x14ac:dyDescent="0.35">
      <c r="A60" s="1"/>
      <c r="B60" s="2"/>
      <c r="C60" s="2"/>
      <c r="D60" s="2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4"/>
      <c r="Q60" s="3"/>
      <c r="R60" s="5"/>
      <c r="S60" s="5"/>
      <c r="T60" s="5"/>
      <c r="U60" s="5"/>
      <c r="V60" s="5"/>
      <c r="W60" s="5"/>
      <c r="X60" s="5"/>
      <c r="Y60" s="5"/>
    </row>
    <row r="62" spans="1:25" s="9" customFormat="1" x14ac:dyDescent="0.35">
      <c r="A62" s="6" t="s">
        <v>1</v>
      </c>
      <c r="B62" s="7">
        <v>45658</v>
      </c>
      <c r="C62" s="7">
        <v>45689</v>
      </c>
      <c r="D62" s="7">
        <v>45717</v>
      </c>
      <c r="E62" s="7">
        <v>45748</v>
      </c>
      <c r="F62" s="7">
        <v>45778</v>
      </c>
      <c r="G62" s="7" t="s">
        <v>2</v>
      </c>
      <c r="H62" s="7">
        <v>45809</v>
      </c>
      <c r="I62" s="7">
        <v>45839</v>
      </c>
      <c r="J62" s="7">
        <v>45870</v>
      </c>
      <c r="K62" s="7">
        <v>45901</v>
      </c>
      <c r="L62" s="7">
        <v>45931</v>
      </c>
      <c r="M62" s="7">
        <v>45962</v>
      </c>
      <c r="N62" s="7">
        <v>45992</v>
      </c>
      <c r="O62" s="7" t="s">
        <v>3</v>
      </c>
      <c r="P62" s="8"/>
      <c r="Q62" s="7">
        <v>46023</v>
      </c>
      <c r="R62" s="7">
        <v>46054</v>
      </c>
      <c r="S62" s="7">
        <v>46082</v>
      </c>
      <c r="T62" s="7">
        <v>46113</v>
      </c>
      <c r="U62" s="7">
        <v>46143</v>
      </c>
      <c r="V62" s="7">
        <v>46174</v>
      </c>
      <c r="W62" s="7">
        <v>46204</v>
      </c>
      <c r="X62" s="7">
        <v>46235</v>
      </c>
      <c r="Y62" s="7" t="s">
        <v>3</v>
      </c>
    </row>
    <row r="63" spans="1:25" x14ac:dyDescent="0.35">
      <c r="A63" t="s">
        <v>4</v>
      </c>
      <c r="B63" s="10">
        <f t="shared" ref="B63:F94" si="4">IF(OR(SUM($Q63:$U63)=0,COUNTIF($Q63:$U63,"&lt;0")*COUNTIF($Q63:$U63,"&gt;0")&gt;0),$G63/5,$G63*Q63/SUM($Q63:$U63))</f>
        <v>0</v>
      </c>
      <c r="C63" s="10">
        <f t="shared" si="4"/>
        <v>0</v>
      </c>
      <c r="D63" s="10">
        <f t="shared" si="4"/>
        <v>0</v>
      </c>
      <c r="E63" s="10">
        <f t="shared" si="4"/>
        <v>0</v>
      </c>
      <c r="F63" s="10">
        <f t="shared" si="4"/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f t="shared" ref="O63:O112" si="5">SUM(B63:F63,H63:N63)</f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f t="shared" ref="Y63:Y112" si="6">SUM(Q63:X63)</f>
        <v>0</v>
      </c>
    </row>
    <row r="64" spans="1:25" x14ac:dyDescent="0.35">
      <c r="A64" t="s">
        <v>5</v>
      </c>
      <c r="B64" s="10">
        <f t="shared" si="4"/>
        <v>370326345.88356698</v>
      </c>
      <c r="C64" s="10">
        <f t="shared" si="4"/>
        <v>186170611.31764874</v>
      </c>
      <c r="D64" s="10">
        <f t="shared" si="4"/>
        <v>163283370.33198768</v>
      </c>
      <c r="E64" s="10">
        <f t="shared" si="4"/>
        <v>124819729.98912777</v>
      </c>
      <c r="F64" s="10">
        <f t="shared" si="4"/>
        <v>156827384.57766885</v>
      </c>
      <c r="G64" s="10">
        <v>1001427442.1</v>
      </c>
      <c r="H64" s="10">
        <v>173780779.16999996</v>
      </c>
      <c r="I64" s="10">
        <v>225633789.46000028</v>
      </c>
      <c r="J64" s="10">
        <v>139810574.83999991</v>
      </c>
      <c r="K64" s="10">
        <v>135804663.03999972</v>
      </c>
      <c r="L64" s="10">
        <v>134512232.70000029</v>
      </c>
      <c r="M64" s="10">
        <v>148213300.73999977</v>
      </c>
      <c r="N64" s="10">
        <v>164561831.02999997</v>
      </c>
      <c r="O64" s="10">
        <f t="shared" si="5"/>
        <v>2123744613.0799999</v>
      </c>
      <c r="Q64" s="10">
        <v>433726116.74999994</v>
      </c>
      <c r="R64" s="10">
        <v>218042969.93000001</v>
      </c>
      <c r="S64" s="10">
        <v>191237439.44000006</v>
      </c>
      <c r="T64" s="10">
        <v>146188834.21000004</v>
      </c>
      <c r="U64" s="10">
        <v>183676190.65999997</v>
      </c>
      <c r="V64" s="10">
        <v>186774588.33999991</v>
      </c>
      <c r="W64" s="10">
        <v>231191455.37999988</v>
      </c>
      <c r="X64" s="10">
        <v>146297442.77000022</v>
      </c>
      <c r="Y64" s="10">
        <f t="shared" si="6"/>
        <v>1737135037.48</v>
      </c>
    </row>
    <row r="65" spans="1:25" x14ac:dyDescent="0.35">
      <c r="A65" t="s">
        <v>6</v>
      </c>
      <c r="B65" s="10">
        <f t="shared" si="4"/>
        <v>56247893.341016538</v>
      </c>
      <c r="C65" s="10">
        <f t="shared" si="4"/>
        <v>32870462.641245179</v>
      </c>
      <c r="D65" s="10">
        <f t="shared" si="4"/>
        <v>28365698.678953186</v>
      </c>
      <c r="E65" s="10">
        <f t="shared" si="4"/>
        <v>18978140.812907856</v>
      </c>
      <c r="F65" s="10">
        <f t="shared" si="4"/>
        <v>24828531.165877245</v>
      </c>
      <c r="G65" s="10">
        <v>161290726.64000002</v>
      </c>
      <c r="H65" s="10">
        <v>25846210.139999986</v>
      </c>
      <c r="I65" s="10">
        <v>59858041.319999993</v>
      </c>
      <c r="J65" s="10">
        <v>16152010.889999986</v>
      </c>
      <c r="K65" s="10">
        <v>28228407.119999975</v>
      </c>
      <c r="L65" s="10">
        <v>23951501.830000043</v>
      </c>
      <c r="M65" s="10">
        <v>24328315.540000021</v>
      </c>
      <c r="N65" s="10">
        <v>22818648.469999969</v>
      </c>
      <c r="O65" s="10">
        <f t="shared" si="5"/>
        <v>362473861.94999999</v>
      </c>
      <c r="Q65" s="10">
        <v>74875414.859999999</v>
      </c>
      <c r="R65" s="10">
        <v>43756119.219999999</v>
      </c>
      <c r="S65" s="10">
        <v>37759520.049999967</v>
      </c>
      <c r="T65" s="10">
        <v>25263100.220000029</v>
      </c>
      <c r="U65" s="10">
        <v>33050954.640000045</v>
      </c>
      <c r="V65" s="10">
        <v>27640106.119999975</v>
      </c>
      <c r="W65" s="10">
        <v>48584920.140000045</v>
      </c>
      <c r="X65" s="10">
        <v>40032648.779999912</v>
      </c>
      <c r="Y65" s="10">
        <f t="shared" si="6"/>
        <v>330962784.02999997</v>
      </c>
    </row>
    <row r="66" spans="1:25" ht="15" thickBot="1" x14ac:dyDescent="0.4">
      <c r="A66" s="12" t="s">
        <v>7</v>
      </c>
      <c r="B66" s="13">
        <f t="shared" si="4"/>
        <v>314646429.69241053</v>
      </c>
      <c r="C66" s="13">
        <f t="shared" si="4"/>
        <v>152817690.00146931</v>
      </c>
      <c r="D66" s="13">
        <f t="shared" si="4"/>
        <v>134572063.30750352</v>
      </c>
      <c r="E66" s="13">
        <f t="shared" si="4"/>
        <v>106029750.69434576</v>
      </c>
      <c r="F66" s="13">
        <f t="shared" si="4"/>
        <v>132070781.76427075</v>
      </c>
      <c r="G66" s="13">
        <v>840136715.45999992</v>
      </c>
      <c r="H66" s="13">
        <v>147934569.03000021</v>
      </c>
      <c r="I66" s="13">
        <v>165775748.14000022</v>
      </c>
      <c r="J66" s="13">
        <v>123658563.94999981</v>
      </c>
      <c r="K66" s="13">
        <v>107576255.91999984</v>
      </c>
      <c r="L66" s="13">
        <v>110560730.87000012</v>
      </c>
      <c r="M66" s="13">
        <v>123884985.20000005</v>
      </c>
      <c r="N66" s="13">
        <v>141743182.5599997</v>
      </c>
      <c r="O66" s="13">
        <f t="shared" si="5"/>
        <v>1761270751.1299996</v>
      </c>
      <c r="P66" s="14"/>
      <c r="Q66" s="13">
        <v>358850701.88999993</v>
      </c>
      <c r="R66" s="13">
        <v>174286850.71000004</v>
      </c>
      <c r="S66" s="13">
        <v>153477919.39000016</v>
      </c>
      <c r="T66" s="13">
        <v>120925733.99000001</v>
      </c>
      <c r="U66" s="13">
        <v>150625236.01999962</v>
      </c>
      <c r="V66" s="13">
        <v>159134482.22000027</v>
      </c>
      <c r="W66" s="13">
        <v>182606535.23999977</v>
      </c>
      <c r="X66" s="13">
        <v>106264793.99000025</v>
      </c>
      <c r="Y66" s="13">
        <f t="shared" si="6"/>
        <v>1406172253.45</v>
      </c>
    </row>
    <row r="67" spans="1:25" ht="15" thickTop="1" x14ac:dyDescent="0.35">
      <c r="B67" s="10">
        <f t="shared" si="4"/>
        <v>0</v>
      </c>
      <c r="C67" s="10">
        <f t="shared" si="4"/>
        <v>0</v>
      </c>
      <c r="D67" s="10">
        <f t="shared" si="4"/>
        <v>0</v>
      </c>
      <c r="E67" s="10">
        <f t="shared" si="4"/>
        <v>0</v>
      </c>
      <c r="F67" s="10">
        <f t="shared" si="4"/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f t="shared" si="5"/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f t="shared" si="6"/>
        <v>0</v>
      </c>
    </row>
    <row r="68" spans="1:25" x14ac:dyDescent="0.35">
      <c r="A68" t="s">
        <v>4</v>
      </c>
      <c r="B68" s="10">
        <f t="shared" si="4"/>
        <v>635936.10660531756</v>
      </c>
      <c r="C68" s="10">
        <f t="shared" si="4"/>
        <v>1926283.277072011</v>
      </c>
      <c r="D68" s="10">
        <f t="shared" si="4"/>
        <v>5451567.8377075084</v>
      </c>
      <c r="E68" s="10">
        <f t="shared" si="4"/>
        <v>1010923.5933311332</v>
      </c>
      <c r="F68" s="10">
        <f t="shared" si="4"/>
        <v>9648400.7852840293</v>
      </c>
      <c r="G68" s="10">
        <v>18673111.599999998</v>
      </c>
      <c r="H68" s="10">
        <v>4653068.7300000004</v>
      </c>
      <c r="I68" s="10">
        <v>2046375.0300000012</v>
      </c>
      <c r="J68" s="10">
        <v>5591289.6499999948</v>
      </c>
      <c r="K68" s="10">
        <v>946627.58999999985</v>
      </c>
      <c r="L68" s="10">
        <v>1676480.140000008</v>
      </c>
      <c r="M68" s="10">
        <v>2627127.1199999973</v>
      </c>
      <c r="N68" s="10">
        <v>1661079.2100000083</v>
      </c>
      <c r="O68" s="10">
        <f t="shared" si="5"/>
        <v>37875159.070000015</v>
      </c>
      <c r="Q68" s="10">
        <v>383624.74000000005</v>
      </c>
      <c r="R68" s="10">
        <v>1162019.1299999999</v>
      </c>
      <c r="S68" s="10">
        <v>3288626.4399999985</v>
      </c>
      <c r="T68" s="10">
        <v>609833.75000000186</v>
      </c>
      <c r="U68" s="10">
        <v>5820341.3899999987</v>
      </c>
      <c r="V68" s="10">
        <v>1170107.410000002</v>
      </c>
      <c r="W68" s="10">
        <v>3478386.4700000007</v>
      </c>
      <c r="X68" s="10">
        <v>5833685.2399999984</v>
      </c>
      <c r="Y68" s="10">
        <f t="shared" si="6"/>
        <v>21746624.57</v>
      </c>
    </row>
    <row r="69" spans="1:25" x14ac:dyDescent="0.35">
      <c r="A69" t="s">
        <v>8</v>
      </c>
      <c r="B69" s="10">
        <f t="shared" si="4"/>
        <v>818680.96137659193</v>
      </c>
      <c r="C69" s="10">
        <f t="shared" si="4"/>
        <v>2223224.4879021589</v>
      </c>
      <c r="D69" s="10">
        <f t="shared" si="4"/>
        <v>6454981.7782626245</v>
      </c>
      <c r="E69" s="10">
        <f t="shared" si="4"/>
        <v>3054736.5150348665</v>
      </c>
      <c r="F69" s="10">
        <f t="shared" si="4"/>
        <v>13307704.267423755</v>
      </c>
      <c r="G69" s="10">
        <v>25859328.009999998</v>
      </c>
      <c r="H69" s="10">
        <v>4732869.09</v>
      </c>
      <c r="I69" s="10">
        <v>2429262.8299999982</v>
      </c>
      <c r="J69" s="10">
        <v>6361840.6500000022</v>
      </c>
      <c r="K69" s="10">
        <v>4090213.6799999997</v>
      </c>
      <c r="L69" s="10">
        <v>2049914.9399999976</v>
      </c>
      <c r="M69" s="10">
        <v>3577544.049999997</v>
      </c>
      <c r="N69" s="10">
        <v>2378299.6100000143</v>
      </c>
      <c r="O69" s="10">
        <f t="shared" si="5"/>
        <v>51479272.860000007</v>
      </c>
      <c r="Q69" s="10">
        <v>427902.33</v>
      </c>
      <c r="R69" s="10">
        <v>1162019.1299999997</v>
      </c>
      <c r="S69" s="10">
        <v>3373843.8699999992</v>
      </c>
      <c r="T69" s="10">
        <v>1596627.9100000011</v>
      </c>
      <c r="U69" s="10">
        <v>6955576.0199999996</v>
      </c>
      <c r="V69" s="10">
        <v>1608648.7200000007</v>
      </c>
      <c r="W69" s="10">
        <v>3696011.1999999993</v>
      </c>
      <c r="X69" s="10">
        <v>6010511.1000000015</v>
      </c>
      <c r="Y69" s="10">
        <f t="shared" si="6"/>
        <v>24831140.280000001</v>
      </c>
    </row>
    <row r="70" spans="1:25" x14ac:dyDescent="0.35">
      <c r="A70" t="s">
        <v>9</v>
      </c>
      <c r="B70" s="10">
        <f t="shared" si="4"/>
        <v>0</v>
      </c>
      <c r="C70" s="10">
        <f t="shared" si="4"/>
        <v>0</v>
      </c>
      <c r="D70" s="10">
        <f t="shared" si="4"/>
        <v>0</v>
      </c>
      <c r="E70" s="10">
        <f t="shared" si="4"/>
        <v>0</v>
      </c>
      <c r="F70" s="10">
        <f t="shared" si="4"/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f t="shared" si="5"/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f t="shared" si="6"/>
        <v>0</v>
      </c>
    </row>
    <row r="71" spans="1:25" x14ac:dyDescent="0.35">
      <c r="A71" t="s">
        <v>10</v>
      </c>
      <c r="B71" s="10">
        <f t="shared" si="4"/>
        <v>141321.33199748481</v>
      </c>
      <c r="C71" s="10">
        <f t="shared" si="4"/>
        <v>0</v>
      </c>
      <c r="D71" s="10">
        <f t="shared" si="4"/>
        <v>271989.52601084253</v>
      </c>
      <c r="E71" s="10">
        <f t="shared" si="4"/>
        <v>3149563.1333715124</v>
      </c>
      <c r="F71" s="10">
        <f t="shared" si="4"/>
        <v>3623342.4186201598</v>
      </c>
      <c r="G71" s="10">
        <v>7186216.4099999992</v>
      </c>
      <c r="H71" s="10">
        <v>79800.360000000335</v>
      </c>
      <c r="I71" s="10">
        <v>382887.79999999981</v>
      </c>
      <c r="J71" s="10">
        <v>770551.00000000279</v>
      </c>
      <c r="K71" s="10">
        <v>3143586.089999998</v>
      </c>
      <c r="L71" s="10">
        <v>373434.79999999888</v>
      </c>
      <c r="M71" s="10">
        <v>950416.93000000156</v>
      </c>
      <c r="N71" s="10">
        <v>717220.39999999851</v>
      </c>
      <c r="O71" s="10">
        <f t="shared" si="5"/>
        <v>13604113.790000001</v>
      </c>
      <c r="Q71" s="10">
        <v>44277.59</v>
      </c>
      <c r="R71" s="10">
        <v>0</v>
      </c>
      <c r="S71" s="10">
        <v>85217.43</v>
      </c>
      <c r="T71" s="10">
        <v>986794.15999999992</v>
      </c>
      <c r="U71" s="10">
        <v>1135234.6299999997</v>
      </c>
      <c r="V71" s="10">
        <v>438541.31000000006</v>
      </c>
      <c r="W71" s="10">
        <v>217624.72999999998</v>
      </c>
      <c r="X71" s="10">
        <v>176825.86000000034</v>
      </c>
      <c r="Y71" s="10">
        <f t="shared" si="6"/>
        <v>3084515.71</v>
      </c>
    </row>
    <row r="72" spans="1:25" ht="15" thickBot="1" x14ac:dyDescent="0.4">
      <c r="A72" s="12" t="s">
        <v>11</v>
      </c>
      <c r="B72" s="13">
        <f t="shared" si="4"/>
        <v>318242356.33614254</v>
      </c>
      <c r="C72" s="13">
        <f t="shared" si="4"/>
        <v>155428525.65952963</v>
      </c>
      <c r="D72" s="13">
        <f t="shared" si="4"/>
        <v>138878028.18744001</v>
      </c>
      <c r="E72" s="13">
        <f t="shared" si="4"/>
        <v>107667231.63420103</v>
      </c>
      <c r="F72" s="13">
        <f t="shared" si="4"/>
        <v>138593685.24268669</v>
      </c>
      <c r="G72" s="13">
        <v>858809827.05999994</v>
      </c>
      <c r="H72" s="13">
        <v>152587637.76000011</v>
      </c>
      <c r="I72" s="13">
        <v>167822123.17000043</v>
      </c>
      <c r="J72" s="13">
        <v>129249853.59999967</v>
      </c>
      <c r="K72" s="13">
        <v>108522883.50999975</v>
      </c>
      <c r="L72" s="13">
        <v>112237211.01000023</v>
      </c>
      <c r="M72" s="13">
        <v>126512112.31999993</v>
      </c>
      <c r="N72" s="13">
        <v>143404261.76999998</v>
      </c>
      <c r="O72" s="13">
        <f t="shared" si="5"/>
        <v>1799145910.2</v>
      </c>
      <c r="P72" s="14"/>
      <c r="Q72" s="13">
        <v>359234326.62999994</v>
      </c>
      <c r="R72" s="13">
        <v>175448869.84000003</v>
      </c>
      <c r="S72" s="13">
        <v>156766545.83000022</v>
      </c>
      <c r="T72" s="13">
        <v>121535567.73999989</v>
      </c>
      <c r="U72" s="13">
        <v>156445577.40999973</v>
      </c>
      <c r="V72" s="13">
        <v>160304589.63000011</v>
      </c>
      <c r="W72" s="13">
        <v>186084921.7099998</v>
      </c>
      <c r="X72" s="13">
        <v>112098479.23000026</v>
      </c>
      <c r="Y72" s="13">
        <f t="shared" si="6"/>
        <v>1427918878.02</v>
      </c>
    </row>
    <row r="73" spans="1:25" ht="15" thickTop="1" x14ac:dyDescent="0.35">
      <c r="B73" s="10">
        <f t="shared" si="4"/>
        <v>0</v>
      </c>
      <c r="C73" s="10">
        <f t="shared" si="4"/>
        <v>0</v>
      </c>
      <c r="D73" s="10">
        <f t="shared" si="4"/>
        <v>0</v>
      </c>
      <c r="E73" s="10">
        <f t="shared" si="4"/>
        <v>0</v>
      </c>
      <c r="F73" s="10">
        <f t="shared" si="4"/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f t="shared" si="5"/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f t="shared" si="6"/>
        <v>0</v>
      </c>
    </row>
    <row r="74" spans="1:25" x14ac:dyDescent="0.35">
      <c r="A74" t="s">
        <v>12</v>
      </c>
      <c r="B74" s="10">
        <f t="shared" si="4"/>
        <v>69750526.289707676</v>
      </c>
      <c r="C74" s="10">
        <f t="shared" si="4"/>
        <v>63149019.987248406</v>
      </c>
      <c r="D74" s="10">
        <f t="shared" si="4"/>
        <v>41061377.999826469</v>
      </c>
      <c r="E74" s="10">
        <f t="shared" si="4"/>
        <v>38301096.744180553</v>
      </c>
      <c r="F74" s="10">
        <f t="shared" si="4"/>
        <v>42140938.399036884</v>
      </c>
      <c r="G74" s="10">
        <v>254402959.41999999</v>
      </c>
      <c r="H74" s="10">
        <v>58632959.050000042</v>
      </c>
      <c r="I74" s="10">
        <v>92721505.959999979</v>
      </c>
      <c r="J74" s="10">
        <v>48051580.180000007</v>
      </c>
      <c r="K74" s="10">
        <v>30647772.919999957</v>
      </c>
      <c r="L74" s="10">
        <v>42482261.030000031</v>
      </c>
      <c r="M74" s="10">
        <v>42446884.920000017</v>
      </c>
      <c r="N74" s="10">
        <v>53119821.789999962</v>
      </c>
      <c r="O74" s="10">
        <f t="shared" si="5"/>
        <v>622505745.26999998</v>
      </c>
      <c r="Q74" s="10">
        <v>99923226.609999999</v>
      </c>
      <c r="R74" s="10">
        <v>90466039.040000007</v>
      </c>
      <c r="S74" s="10">
        <v>58823719.289999992</v>
      </c>
      <c r="T74" s="10">
        <v>54869394.870000005</v>
      </c>
      <c r="U74" s="10">
        <v>60370276.199999988</v>
      </c>
      <c r="V74" s="10">
        <v>70723361.939999998</v>
      </c>
      <c r="W74" s="10">
        <v>93734466.329999983</v>
      </c>
      <c r="X74" s="10">
        <v>45967781.75</v>
      </c>
      <c r="Y74" s="10">
        <f t="shared" si="6"/>
        <v>574878266.02999997</v>
      </c>
    </row>
    <row r="75" spans="1:25" x14ac:dyDescent="0.35">
      <c r="B75" s="10">
        <f t="shared" si="4"/>
        <v>0</v>
      </c>
      <c r="C75" s="10">
        <f t="shared" si="4"/>
        <v>0</v>
      </c>
      <c r="D75" s="10">
        <f t="shared" si="4"/>
        <v>0</v>
      </c>
      <c r="E75" s="10">
        <f t="shared" si="4"/>
        <v>0</v>
      </c>
      <c r="F75" s="10">
        <f t="shared" si="4"/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f t="shared" si="5"/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f t="shared" si="6"/>
        <v>0</v>
      </c>
    </row>
    <row r="76" spans="1:25" ht="15" thickBot="1" x14ac:dyDescent="0.4">
      <c r="A76" s="12" t="s">
        <v>13</v>
      </c>
      <c r="B76" s="13">
        <f t="shared" si="4"/>
        <v>259066197.03376037</v>
      </c>
      <c r="C76" s="13">
        <f t="shared" si="4"/>
        <v>84902569.87387538</v>
      </c>
      <c r="D76" s="13">
        <f t="shared" si="4"/>
        <v>97850325.714935109</v>
      </c>
      <c r="E76" s="13">
        <f t="shared" si="4"/>
        <v>66603210.8725546</v>
      </c>
      <c r="F76" s="13">
        <f t="shared" si="4"/>
        <v>95984564.144874528</v>
      </c>
      <c r="G76" s="13">
        <v>604406867.63999999</v>
      </c>
      <c r="H76" s="13">
        <v>93954678.710000038</v>
      </c>
      <c r="I76" s="13">
        <v>75100617.210000396</v>
      </c>
      <c r="J76" s="13">
        <v>81198273.419999838</v>
      </c>
      <c r="K76" s="13">
        <v>77875110.589999795</v>
      </c>
      <c r="L76" s="13">
        <v>69754949.980000138</v>
      </c>
      <c r="M76" s="13">
        <v>84065227.400000095</v>
      </c>
      <c r="N76" s="13">
        <v>90284439.979999781</v>
      </c>
      <c r="O76" s="13">
        <f t="shared" si="5"/>
        <v>1176640164.9300001</v>
      </c>
      <c r="P76" s="14"/>
      <c r="Q76" s="13">
        <v>259311100.01999989</v>
      </c>
      <c r="R76" s="13">
        <v>84982830.800000042</v>
      </c>
      <c r="S76" s="13">
        <v>97942826.5400002</v>
      </c>
      <c r="T76" s="13">
        <v>66666172.870000005</v>
      </c>
      <c r="U76" s="13">
        <v>96075301.209999681</v>
      </c>
      <c r="V76" s="13">
        <v>89581227.690000057</v>
      </c>
      <c r="W76" s="13">
        <v>92350455.379999876</v>
      </c>
      <c r="X76" s="13">
        <v>66130697.480000257</v>
      </c>
      <c r="Y76" s="13">
        <f t="shared" si="6"/>
        <v>853040611.99000001</v>
      </c>
    </row>
    <row r="77" spans="1:25" ht="15" thickTop="1" x14ac:dyDescent="0.35">
      <c r="B77" s="10">
        <f t="shared" si="4"/>
        <v>0</v>
      </c>
      <c r="C77" s="10">
        <f t="shared" si="4"/>
        <v>0</v>
      </c>
      <c r="D77" s="10">
        <f t="shared" si="4"/>
        <v>0</v>
      </c>
      <c r="E77" s="10">
        <f t="shared" si="4"/>
        <v>0</v>
      </c>
      <c r="F77" s="10">
        <f t="shared" si="4"/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f t="shared" si="5"/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f t="shared" si="6"/>
        <v>0</v>
      </c>
    </row>
    <row r="78" spans="1:25" x14ac:dyDescent="0.35">
      <c r="A78" t="s">
        <v>14</v>
      </c>
      <c r="B78" s="10">
        <f t="shared" si="4"/>
        <v>27167886.912</v>
      </c>
      <c r="C78" s="10">
        <f t="shared" si="4"/>
        <v>27167886.912</v>
      </c>
      <c r="D78" s="10">
        <f t="shared" si="4"/>
        <v>27167886.912</v>
      </c>
      <c r="E78" s="10">
        <f t="shared" si="4"/>
        <v>27167886.912</v>
      </c>
      <c r="F78" s="10">
        <f t="shared" si="4"/>
        <v>27167886.912</v>
      </c>
      <c r="G78" s="10">
        <v>135839434.56</v>
      </c>
      <c r="H78" s="10">
        <v>-196423.8900000155</v>
      </c>
      <c r="I78" s="10">
        <v>-21029718.370000005</v>
      </c>
      <c r="J78" s="10">
        <v>-17164365.219999984</v>
      </c>
      <c r="K78" s="10">
        <v>-18998918.589999989</v>
      </c>
      <c r="L78" s="10">
        <v>-36076930.710000016</v>
      </c>
      <c r="M78" s="10">
        <v>-129514.55999998003</v>
      </c>
      <c r="N78" s="10">
        <v>-9034078.0000000112</v>
      </c>
      <c r="O78" s="10">
        <f t="shared" si="5"/>
        <v>33209485.220000003</v>
      </c>
      <c r="Q78" s="10">
        <v>174197864.47</v>
      </c>
      <c r="R78" s="10">
        <v>-6502996.5400000215</v>
      </c>
      <c r="S78" s="10">
        <v>-4235999.0099999905</v>
      </c>
      <c r="T78" s="10">
        <v>-25852998.340000004</v>
      </c>
      <c r="U78" s="10">
        <v>-26077233.180000007</v>
      </c>
      <c r="V78" s="10">
        <v>-7817798.2300000042</v>
      </c>
      <c r="W78" s="10">
        <v>-9853968.9699999839</v>
      </c>
      <c r="X78" s="10">
        <v>-34340863.18999996</v>
      </c>
      <c r="Y78" s="10">
        <f t="shared" si="6"/>
        <v>59516007.010000028</v>
      </c>
    </row>
    <row r="79" spans="1:25" x14ac:dyDescent="0.35">
      <c r="A79" t="s">
        <v>15</v>
      </c>
      <c r="B79" s="10">
        <f t="shared" si="4"/>
        <v>189302831.19791013</v>
      </c>
      <c r="C79" s="10">
        <f t="shared" si="4"/>
        <v>19996191.755531315</v>
      </c>
      <c r="D79" s="10">
        <f t="shared" si="4"/>
        <v>4113717.2364653568</v>
      </c>
      <c r="E79" s="10">
        <f t="shared" si="4"/>
        <v>3492255.8199854577</v>
      </c>
      <c r="F79" s="10">
        <f t="shared" si="4"/>
        <v>3222763.3801077139</v>
      </c>
      <c r="G79" s="10">
        <v>220127759.38999999</v>
      </c>
      <c r="H79" s="10">
        <v>3919867.5700000226</v>
      </c>
      <c r="I79" s="10">
        <v>4338113.3599999845</v>
      </c>
      <c r="J79" s="10">
        <v>9873908.4100000262</v>
      </c>
      <c r="K79" s="10">
        <v>5325574.3400000036</v>
      </c>
      <c r="L79" s="10">
        <v>2000897.6399999857</v>
      </c>
      <c r="M79" s="10">
        <v>8327083.5000000298</v>
      </c>
      <c r="N79" s="10">
        <v>18945204.019999981</v>
      </c>
      <c r="O79" s="10">
        <f t="shared" si="5"/>
        <v>272858408.23000002</v>
      </c>
      <c r="Q79" s="10">
        <v>179226882.61000001</v>
      </c>
      <c r="R79" s="10">
        <v>18931862.189999968</v>
      </c>
      <c r="S79" s="10">
        <v>3894758</v>
      </c>
      <c r="T79" s="10">
        <v>3306374.8700000048</v>
      </c>
      <c r="U79" s="10">
        <v>3051226.599999994</v>
      </c>
      <c r="V79" s="10">
        <v>1401581.2199999988</v>
      </c>
      <c r="W79" s="10">
        <v>4299320.3600000143</v>
      </c>
      <c r="X79" s="10">
        <v>3679203.2800000012</v>
      </c>
      <c r="Y79" s="10">
        <f t="shared" si="6"/>
        <v>217791209.13</v>
      </c>
    </row>
    <row r="80" spans="1:25" x14ac:dyDescent="0.35">
      <c r="A80" t="s">
        <v>16</v>
      </c>
      <c r="B80" s="10">
        <f t="shared" si="4"/>
        <v>4375275.8187822392</v>
      </c>
      <c r="C80" s="10">
        <f t="shared" si="4"/>
        <v>22128479.010718245</v>
      </c>
      <c r="D80" s="10">
        <f t="shared" si="4"/>
        <v>7073807.161540119</v>
      </c>
      <c r="E80" s="10">
        <f t="shared" si="4"/>
        <v>25368828.853848543</v>
      </c>
      <c r="F80" s="10">
        <f t="shared" si="4"/>
        <v>25341933.985110849</v>
      </c>
      <c r="G80" s="10">
        <v>84288324.829999998</v>
      </c>
      <c r="H80" s="10">
        <v>4116291.4600000083</v>
      </c>
      <c r="I80" s="10">
        <v>25367831.729999989</v>
      </c>
      <c r="J80" s="10">
        <v>27038273.63000004</v>
      </c>
      <c r="K80" s="10">
        <v>24324492.930000007</v>
      </c>
      <c r="L80" s="10">
        <v>38077828.349999994</v>
      </c>
      <c r="M80" s="10">
        <v>8456598.0599999726</v>
      </c>
      <c r="N80" s="10">
        <v>27979282.019999981</v>
      </c>
      <c r="O80" s="10">
        <f t="shared" si="5"/>
        <v>239648923.00999999</v>
      </c>
      <c r="Q80" s="10">
        <v>5029018.1400000006</v>
      </c>
      <c r="R80" s="10">
        <v>25434858.729999997</v>
      </c>
      <c r="S80" s="10">
        <v>8130757.0099999979</v>
      </c>
      <c r="T80" s="10">
        <v>29159373.210000023</v>
      </c>
      <c r="U80" s="10">
        <v>29128459.779999986</v>
      </c>
      <c r="V80" s="10">
        <v>9219379.4499999881</v>
      </c>
      <c r="W80" s="10">
        <v>14153289.329999998</v>
      </c>
      <c r="X80" s="10">
        <v>38020066.469999984</v>
      </c>
      <c r="Y80" s="10">
        <f t="shared" si="6"/>
        <v>158275202.11999997</v>
      </c>
    </row>
    <row r="81" spans="1:25" ht="15" thickBot="1" x14ac:dyDescent="0.4">
      <c r="A81" s="12" t="s">
        <v>17</v>
      </c>
      <c r="B81" s="13">
        <f t="shared" si="4"/>
        <v>80821406.653268039</v>
      </c>
      <c r="C81" s="13">
        <f t="shared" si="4"/>
        <v>86872660.951929048</v>
      </c>
      <c r="D81" s="13">
        <f t="shared" si="4"/>
        <v>97026465.48172389</v>
      </c>
      <c r="E81" s="13">
        <f t="shared" si="4"/>
        <v>87853898.530200407</v>
      </c>
      <c r="F81" s="13">
        <f t="shared" si="4"/>
        <v>115993001.4628786</v>
      </c>
      <c r="G81" s="13">
        <v>468567433.07999998</v>
      </c>
      <c r="H81" s="13">
        <v>94151102.600000083</v>
      </c>
      <c r="I81" s="13">
        <v>96130335.580000281</v>
      </c>
      <c r="J81" s="13">
        <v>98362638.639999866</v>
      </c>
      <c r="K81" s="13">
        <v>96874029.179999828</v>
      </c>
      <c r="L81" s="13">
        <v>105831880.69000018</v>
      </c>
      <c r="M81" s="13">
        <v>84194741.959999919</v>
      </c>
      <c r="N81" s="13">
        <v>99318517.9799999</v>
      </c>
      <c r="O81" s="13">
        <f t="shared" si="5"/>
        <v>1143430679.71</v>
      </c>
      <c r="P81" s="14"/>
      <c r="Q81" s="13">
        <v>85113235.549999893</v>
      </c>
      <c r="R81" s="13">
        <v>91485827.340000093</v>
      </c>
      <c r="S81" s="13">
        <v>102178825.55000019</v>
      </c>
      <c r="T81" s="13">
        <v>92519171.209999979</v>
      </c>
      <c r="U81" s="13">
        <v>122152534.38999963</v>
      </c>
      <c r="V81" s="13">
        <v>97399025.920000136</v>
      </c>
      <c r="W81" s="13">
        <v>102204424.3499999</v>
      </c>
      <c r="X81" s="13">
        <v>100471560.67000008</v>
      </c>
      <c r="Y81" s="13">
        <f t="shared" si="6"/>
        <v>793524604.9799999</v>
      </c>
    </row>
    <row r="82" spans="1:25" ht="15" thickTop="1" x14ac:dyDescent="0.35">
      <c r="B82" s="10">
        <f t="shared" si="4"/>
        <v>0</v>
      </c>
      <c r="C82" s="10">
        <f t="shared" si="4"/>
        <v>0</v>
      </c>
      <c r="D82" s="10">
        <f t="shared" si="4"/>
        <v>0</v>
      </c>
      <c r="E82" s="10">
        <f t="shared" si="4"/>
        <v>0</v>
      </c>
      <c r="F82" s="10">
        <f t="shared" si="4"/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f t="shared" si="5"/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f t="shared" si="6"/>
        <v>0</v>
      </c>
    </row>
    <row r="83" spans="1:25" x14ac:dyDescent="0.35">
      <c r="A83" t="s">
        <v>18</v>
      </c>
      <c r="B83" s="10">
        <f t="shared" si="4"/>
        <v>88537997.531629667</v>
      </c>
      <c r="C83" s="10">
        <f t="shared" si="4"/>
        <v>68035599.231982529</v>
      </c>
      <c r="D83" s="10">
        <f t="shared" si="4"/>
        <v>75219329.230883896</v>
      </c>
      <c r="E83" s="10">
        <f t="shared" si="4"/>
        <v>56873556.467591561</v>
      </c>
      <c r="F83" s="10">
        <f t="shared" si="4"/>
        <v>73112676.227912351</v>
      </c>
      <c r="G83" s="10">
        <v>361779158.69</v>
      </c>
      <c r="H83" s="10">
        <v>68503828.350000024</v>
      </c>
      <c r="I83" s="10">
        <v>75882073.530000031</v>
      </c>
      <c r="J83" s="10">
        <v>71612902.090000033</v>
      </c>
      <c r="K83" s="10">
        <v>61278953.759999871</v>
      </c>
      <c r="L83" s="10">
        <v>76342049.320000172</v>
      </c>
      <c r="M83" s="10">
        <v>65993991.899999738</v>
      </c>
      <c r="N83" s="10">
        <v>76382778.170000076</v>
      </c>
      <c r="O83" s="10">
        <f t="shared" si="5"/>
        <v>857775735.80999994</v>
      </c>
      <c r="Q83" s="10">
        <v>90295568.609999985</v>
      </c>
      <c r="R83" s="10">
        <v>69386176.439999998</v>
      </c>
      <c r="S83" s="10">
        <v>76712510.930000007</v>
      </c>
      <c r="T83" s="10">
        <v>58002555.550000101</v>
      </c>
      <c r="U83" s="10">
        <v>74564038.679999948</v>
      </c>
      <c r="V83" s="10">
        <v>71540612.25</v>
      </c>
      <c r="W83" s="10">
        <v>75665006.519999981</v>
      </c>
      <c r="X83" s="10">
        <v>72085482.969999909</v>
      </c>
      <c r="Y83" s="10">
        <f t="shared" si="6"/>
        <v>588251951.94999993</v>
      </c>
    </row>
    <row r="84" spans="1:25" x14ac:dyDescent="0.35">
      <c r="A84" t="s">
        <v>19</v>
      </c>
      <c r="B84" s="10">
        <f t="shared" si="4"/>
        <v>36463198.438196369</v>
      </c>
      <c r="C84" s="10">
        <f t="shared" si="4"/>
        <v>16250766.735515617</v>
      </c>
      <c r="D84" s="10">
        <f t="shared" si="4"/>
        <v>19149027.043891288</v>
      </c>
      <c r="E84" s="10">
        <f t="shared" si="4"/>
        <v>1339414.2780154268</v>
      </c>
      <c r="F84" s="10">
        <f t="shared" si="4"/>
        <v>22042891.884381313</v>
      </c>
      <c r="G84" s="10">
        <v>95245298.38000001</v>
      </c>
      <c r="H84" s="10">
        <v>14339317.419999987</v>
      </c>
      <c r="I84" s="10">
        <v>15367262.549999997</v>
      </c>
      <c r="J84" s="10">
        <v>14994662.860000044</v>
      </c>
      <c r="K84" s="10">
        <v>15856541.869999975</v>
      </c>
      <c r="L84" s="10">
        <v>16296651.850000024</v>
      </c>
      <c r="M84" s="10">
        <v>11703508.219999939</v>
      </c>
      <c r="N84" s="10">
        <v>21865409.890000015</v>
      </c>
      <c r="O84" s="10">
        <f t="shared" si="5"/>
        <v>205668653.03999999</v>
      </c>
      <c r="Q84" s="10">
        <v>30289770.119999994</v>
      </c>
      <c r="R84" s="10">
        <v>13499418.860000003</v>
      </c>
      <c r="S84" s="10">
        <v>15906987.100000009</v>
      </c>
      <c r="T84" s="10">
        <v>1112643.7700000033</v>
      </c>
      <c r="U84" s="10">
        <v>18310904.049999997</v>
      </c>
      <c r="V84" s="10">
        <v>15747015.549999982</v>
      </c>
      <c r="W84" s="10">
        <v>16057539.730000004</v>
      </c>
      <c r="X84" s="10">
        <v>14232167.859999999</v>
      </c>
      <c r="Y84" s="10">
        <f t="shared" si="6"/>
        <v>125156447.03999999</v>
      </c>
    </row>
    <row r="85" spans="1:25" x14ac:dyDescent="0.35">
      <c r="A85" t="s">
        <v>20</v>
      </c>
      <c r="B85" s="10">
        <f t="shared" si="4"/>
        <v>39223366.695935391</v>
      </c>
      <c r="C85" s="10">
        <f t="shared" si="4"/>
        <v>21012620.397792358</v>
      </c>
      <c r="D85" s="10">
        <f t="shared" si="4"/>
        <v>27435287.573484827</v>
      </c>
      <c r="E85" s="10">
        <f t="shared" si="4"/>
        <v>22308949.150230125</v>
      </c>
      <c r="F85" s="10">
        <f t="shared" si="4"/>
        <v>24307750.922557309</v>
      </c>
      <c r="G85" s="10">
        <v>134287974.74000001</v>
      </c>
      <c r="H85" s="10">
        <v>25099614.810000002</v>
      </c>
      <c r="I85" s="10">
        <v>26685628.859999985</v>
      </c>
      <c r="J85" s="10">
        <v>23394575.49000001</v>
      </c>
      <c r="K85" s="10">
        <v>22581511.629999995</v>
      </c>
      <c r="L85" s="10">
        <v>24333652.800000012</v>
      </c>
      <c r="M85" s="10">
        <v>19207457.179999977</v>
      </c>
      <c r="N85" s="10">
        <v>31783382.910000026</v>
      </c>
      <c r="O85" s="10">
        <f t="shared" si="5"/>
        <v>307373798.42000002</v>
      </c>
      <c r="Q85" s="10">
        <v>41222599.579999998</v>
      </c>
      <c r="R85" s="10">
        <v>22083643.240000002</v>
      </c>
      <c r="S85" s="10">
        <v>28833676.690000005</v>
      </c>
      <c r="T85" s="10">
        <v>23446046.459999993</v>
      </c>
      <c r="U85" s="10">
        <v>25546728.069999993</v>
      </c>
      <c r="V85" s="10">
        <v>27020705.099999994</v>
      </c>
      <c r="W85" s="10">
        <v>27996308.630000025</v>
      </c>
      <c r="X85" s="10">
        <v>22360178.799999982</v>
      </c>
      <c r="Y85" s="10">
        <f t="shared" si="6"/>
        <v>218509886.56999999</v>
      </c>
    </row>
    <row r="86" spans="1:25" x14ac:dyDescent="0.35">
      <c r="A86" t="s">
        <v>21</v>
      </c>
      <c r="B86" s="10">
        <f t="shared" si="4"/>
        <v>6883187.8450944591</v>
      </c>
      <c r="C86" s="10">
        <f t="shared" si="4"/>
        <v>5404532.2053326443</v>
      </c>
      <c r="D86" s="10">
        <f t="shared" si="4"/>
        <v>8138500.0094199823</v>
      </c>
      <c r="E86" s="10">
        <f t="shared" si="4"/>
        <v>14060861.966048434</v>
      </c>
      <c r="F86" s="10">
        <f t="shared" si="4"/>
        <v>4555594.3341044802</v>
      </c>
      <c r="G86" s="10">
        <v>39042676.359999999</v>
      </c>
      <c r="H86" s="10">
        <v>10760297.390000001</v>
      </c>
      <c r="I86" s="10">
        <v>11318366.310000002</v>
      </c>
      <c r="J86" s="10">
        <v>8399912.6299999952</v>
      </c>
      <c r="K86" s="10">
        <v>6724969.7600000054</v>
      </c>
      <c r="L86" s="10">
        <v>8037000.950000003</v>
      </c>
      <c r="M86" s="10">
        <v>7503948.9599999934</v>
      </c>
      <c r="N86" s="10">
        <v>9917973.0199999958</v>
      </c>
      <c r="O86" s="10">
        <f t="shared" si="5"/>
        <v>101705145.38</v>
      </c>
      <c r="Q86" s="10">
        <v>10932829.460000001</v>
      </c>
      <c r="R86" s="10">
        <v>8584224.379999999</v>
      </c>
      <c r="S86" s="10">
        <v>12926689.59</v>
      </c>
      <c r="T86" s="10">
        <v>22333402.689999998</v>
      </c>
      <c r="U86" s="10">
        <v>7235824.0200000033</v>
      </c>
      <c r="V86" s="10">
        <v>11273689.549999997</v>
      </c>
      <c r="W86" s="10">
        <v>11938768.900000006</v>
      </c>
      <c r="X86" s="10">
        <v>8128010.9399999976</v>
      </c>
      <c r="Y86" s="10">
        <f t="shared" si="6"/>
        <v>93353439.530000001</v>
      </c>
    </row>
    <row r="87" spans="1:25" ht="15" thickBot="1" x14ac:dyDescent="0.4">
      <c r="A87" s="12" t="s">
        <v>22</v>
      </c>
      <c r="B87" s="13">
        <f t="shared" si="4"/>
        <v>55180496.005310573</v>
      </c>
      <c r="C87" s="13">
        <f t="shared" si="4"/>
        <v>51392683.390537247</v>
      </c>
      <c r="D87" s="13">
        <f t="shared" si="4"/>
        <v>55915912.282398701</v>
      </c>
      <c r="E87" s="13">
        <f t="shared" si="4"/>
        <v>52315170.012143336</v>
      </c>
      <c r="F87" s="13">
        <f t="shared" si="4"/>
        <v>51729598.619610183</v>
      </c>
      <c r="G87" s="13">
        <v>266533860.31000003</v>
      </c>
      <c r="H87" s="13">
        <v>54164510.929999977</v>
      </c>
      <c r="I87" s="13">
        <v>60514810.980000019</v>
      </c>
      <c r="J87" s="13">
        <v>56618239.230000019</v>
      </c>
      <c r="K87" s="13">
        <v>45422411.889999926</v>
      </c>
      <c r="L87" s="13">
        <v>60045397.470000088</v>
      </c>
      <c r="M87" s="13">
        <v>54290483.679999828</v>
      </c>
      <c r="N87" s="13">
        <v>54517368.280000091</v>
      </c>
      <c r="O87" s="13">
        <f t="shared" si="5"/>
        <v>652107082.76999998</v>
      </c>
      <c r="P87" s="14"/>
      <c r="Q87" s="13">
        <v>60005798.490000002</v>
      </c>
      <c r="R87" s="13">
        <v>55886757.579999961</v>
      </c>
      <c r="S87" s="13">
        <v>60805523.830000013</v>
      </c>
      <c r="T87" s="13">
        <v>56889911.780000061</v>
      </c>
      <c r="U87" s="13">
        <v>56253134.629999965</v>
      </c>
      <c r="V87" s="13">
        <v>55793596.699999988</v>
      </c>
      <c r="W87" s="13">
        <v>59607466.790000021</v>
      </c>
      <c r="X87" s="13">
        <v>57853315.109999955</v>
      </c>
      <c r="Y87" s="13">
        <f t="shared" si="6"/>
        <v>463095504.90999997</v>
      </c>
    </row>
    <row r="88" spans="1:25" ht="15" thickTop="1" x14ac:dyDescent="0.35">
      <c r="A88" t="s">
        <v>23</v>
      </c>
      <c r="B88" s="10">
        <f t="shared" si="4"/>
        <v>61241689.972008236</v>
      </c>
      <c r="C88" s="10">
        <f t="shared" si="4"/>
        <v>62541661.328901194</v>
      </c>
      <c r="D88" s="10">
        <f t="shared" si="4"/>
        <v>63955146.508492857</v>
      </c>
      <c r="E88" s="10">
        <f t="shared" si="4"/>
        <v>64019370.80806227</v>
      </c>
      <c r="F88" s="10">
        <f t="shared" si="4"/>
        <v>59188617.13253545</v>
      </c>
      <c r="G88" s="10">
        <v>310946485.75</v>
      </c>
      <c r="H88" s="10">
        <v>66552573.379999995</v>
      </c>
      <c r="I88" s="10">
        <v>77591513.090000033</v>
      </c>
      <c r="J88" s="10">
        <v>73305465.24000001</v>
      </c>
      <c r="K88" s="10">
        <v>49497400.679999948</v>
      </c>
      <c r="L88" s="10">
        <v>69893411.200000048</v>
      </c>
      <c r="M88" s="10">
        <v>66193586.589999914</v>
      </c>
      <c r="N88" s="10">
        <v>72183405.910000086</v>
      </c>
      <c r="O88" s="10">
        <f t="shared" si="5"/>
        <v>786163841.84000003</v>
      </c>
      <c r="Q88" s="10">
        <v>71688458.989999995</v>
      </c>
      <c r="R88" s="10">
        <v>73210182.890000001</v>
      </c>
      <c r="S88" s="10">
        <v>74864784.099999994</v>
      </c>
      <c r="T88" s="10">
        <v>74939963.950000018</v>
      </c>
      <c r="U88" s="10">
        <v>69285167.569999993</v>
      </c>
      <c r="V88" s="10">
        <v>81018815.910000026</v>
      </c>
      <c r="W88" s="10">
        <v>87465473.179999948</v>
      </c>
      <c r="X88" s="10">
        <v>83990849.589999974</v>
      </c>
      <c r="Y88" s="10">
        <f t="shared" si="6"/>
        <v>616463696.17999995</v>
      </c>
    </row>
    <row r="89" spans="1:25" x14ac:dyDescent="0.35">
      <c r="A89" t="s">
        <v>24</v>
      </c>
      <c r="B89" s="10">
        <f t="shared" si="4"/>
        <v>208169.31873564955</v>
      </c>
      <c r="C89" s="10">
        <f t="shared" si="4"/>
        <v>156669.17943384565</v>
      </c>
      <c r="D89" s="10">
        <f t="shared" si="4"/>
        <v>23218.258468027034</v>
      </c>
      <c r="E89" s="10">
        <f t="shared" si="4"/>
        <v>737623.07197019109</v>
      </c>
      <c r="F89" s="10">
        <f t="shared" si="4"/>
        <v>283731.43139228667</v>
      </c>
      <c r="G89" s="10">
        <v>1409411.26</v>
      </c>
      <c r="H89" s="10">
        <v>34303.570000000065</v>
      </c>
      <c r="I89" s="10">
        <v>9041.6299999998882</v>
      </c>
      <c r="J89" s="10">
        <v>23677.910000000149</v>
      </c>
      <c r="K89" s="10">
        <v>9517.0199999997858</v>
      </c>
      <c r="L89" s="10">
        <v>25801.410000000149</v>
      </c>
      <c r="M89" s="10">
        <v>32559.010000000009</v>
      </c>
      <c r="N89" s="10">
        <v>91760.469999999972</v>
      </c>
      <c r="O89" s="10">
        <f t="shared" si="5"/>
        <v>1636072.28</v>
      </c>
      <c r="Q89" s="10">
        <v>20300.900000000001</v>
      </c>
      <c r="R89" s="10">
        <v>15278.549999999996</v>
      </c>
      <c r="S89" s="10">
        <v>2264.2700000000041</v>
      </c>
      <c r="T89" s="10">
        <v>71933.81</v>
      </c>
      <c r="U89" s="10">
        <v>27669.799999999988</v>
      </c>
      <c r="V89" s="10">
        <v>15874.800000000017</v>
      </c>
      <c r="W89" s="10">
        <v>1585.6999999999825</v>
      </c>
      <c r="X89" s="10">
        <v>-1579.2200000000012</v>
      </c>
      <c r="Y89" s="10">
        <f t="shared" si="6"/>
        <v>153328.60999999999</v>
      </c>
    </row>
    <row r="90" spans="1:25" x14ac:dyDescent="0.35">
      <c r="A90" t="s">
        <v>25</v>
      </c>
      <c r="B90" s="10">
        <f t="shared" si="4"/>
        <v>0</v>
      </c>
      <c r="C90" s="10">
        <f t="shared" si="4"/>
        <v>0</v>
      </c>
      <c r="D90" s="10">
        <f t="shared" si="4"/>
        <v>0</v>
      </c>
      <c r="E90" s="10">
        <f t="shared" si="4"/>
        <v>0</v>
      </c>
      <c r="F90" s="10">
        <f t="shared" si="4"/>
        <v>0</v>
      </c>
      <c r="G90" s="10">
        <v>0</v>
      </c>
      <c r="H90" s="10">
        <v>0</v>
      </c>
      <c r="I90" s="10">
        <v>0</v>
      </c>
      <c r="J90" s="10">
        <v>-3266175.9600000004</v>
      </c>
      <c r="K90" s="10">
        <v>-17555.999999999534</v>
      </c>
      <c r="L90" s="10">
        <v>-47204.000000000931</v>
      </c>
      <c r="M90" s="10">
        <v>-40545.999999999069</v>
      </c>
      <c r="N90" s="10">
        <v>2555.8300000000745</v>
      </c>
      <c r="O90" s="10">
        <f t="shared" si="5"/>
        <v>-3368926.13</v>
      </c>
      <c r="Q90" s="10">
        <v>-28892.999999999996</v>
      </c>
      <c r="R90" s="10">
        <v>220108.46999999997</v>
      </c>
      <c r="S90" s="10">
        <v>17272.890000000072</v>
      </c>
      <c r="T90" s="10">
        <v>2236.0400000000081</v>
      </c>
      <c r="U90" s="10">
        <v>0</v>
      </c>
      <c r="V90" s="10">
        <v>0</v>
      </c>
      <c r="W90" s="10">
        <v>0</v>
      </c>
      <c r="X90" s="10">
        <v>0</v>
      </c>
      <c r="Y90" s="10">
        <f t="shared" si="6"/>
        <v>210724.40000000005</v>
      </c>
    </row>
    <row r="91" spans="1:25" x14ac:dyDescent="0.35">
      <c r="A91" t="s">
        <v>26</v>
      </c>
      <c r="B91" s="10">
        <f t="shared" si="4"/>
        <v>3717183.5391442906</v>
      </c>
      <c r="C91" s="10">
        <f t="shared" si="4"/>
        <v>6008300.7379810568</v>
      </c>
      <c r="D91" s="10">
        <f t="shared" si="4"/>
        <v>4082444.2939558928</v>
      </c>
      <c r="E91" s="10">
        <f t="shared" si="4"/>
        <v>5788607.1560072294</v>
      </c>
      <c r="F91" s="10">
        <f t="shared" si="4"/>
        <v>4464340.2129115304</v>
      </c>
      <c r="G91" s="10">
        <v>24060875.940000001</v>
      </c>
      <c r="H91" s="10">
        <v>7388823.9299999997</v>
      </c>
      <c r="I91" s="10">
        <v>12989318.179999996</v>
      </c>
      <c r="J91" s="10">
        <v>8552064.1200000048</v>
      </c>
      <c r="K91" s="10">
        <v>-1376566.9800000042</v>
      </c>
      <c r="L91" s="10">
        <v>3639328.8800000027</v>
      </c>
      <c r="M91" s="10">
        <v>6118689.4200000018</v>
      </c>
      <c r="N91" s="10">
        <v>8516049.6900000051</v>
      </c>
      <c r="O91" s="10">
        <f t="shared" si="5"/>
        <v>69888583.180000007</v>
      </c>
      <c r="Q91" s="10">
        <v>7806354.7599999998</v>
      </c>
      <c r="R91" s="10">
        <v>12617866.880000001</v>
      </c>
      <c r="S91" s="10">
        <v>8573428.8099999987</v>
      </c>
      <c r="T91" s="10">
        <v>12156494.440000001</v>
      </c>
      <c r="U91" s="10">
        <v>9375437.9099999964</v>
      </c>
      <c r="V91" s="10">
        <v>20739929.939999998</v>
      </c>
      <c r="W91" s="10">
        <v>22985697.620000005</v>
      </c>
      <c r="X91" s="10">
        <v>21402329.939999998</v>
      </c>
      <c r="Y91" s="10">
        <f t="shared" si="6"/>
        <v>115657540.3</v>
      </c>
    </row>
    <row r="92" spans="1:25" x14ac:dyDescent="0.35">
      <c r="A92" t="s">
        <v>27</v>
      </c>
      <c r="B92" s="10">
        <f t="shared" si="4"/>
        <v>3511886.3237307831</v>
      </c>
      <c r="C92" s="10">
        <f t="shared" si="4"/>
        <v>4486381.4561397657</v>
      </c>
      <c r="D92" s="10">
        <f t="shared" si="4"/>
        <v>4998878.0357779069</v>
      </c>
      <c r="E92" s="10">
        <f t="shared" si="4"/>
        <v>5418700.2510229778</v>
      </c>
      <c r="F92" s="10">
        <f t="shared" si="4"/>
        <v>3345314.6933285692</v>
      </c>
      <c r="G92" s="10">
        <v>21761160.760000002</v>
      </c>
      <c r="H92" s="10">
        <v>5033542.09</v>
      </c>
      <c r="I92" s="10">
        <v>4096425.5599999987</v>
      </c>
      <c r="J92" s="10">
        <v>4892663.84</v>
      </c>
      <c r="K92" s="10">
        <v>5443516.7899999991</v>
      </c>
      <c r="L92" s="10">
        <v>6187282.2599999979</v>
      </c>
      <c r="M92" s="10">
        <v>5776426.5</v>
      </c>
      <c r="N92" s="10">
        <v>9244304.2400000021</v>
      </c>
      <c r="O92" s="10">
        <f t="shared" si="5"/>
        <v>62435322.039999999</v>
      </c>
      <c r="Q92" s="10">
        <v>3867713.64</v>
      </c>
      <c r="R92" s="10">
        <v>4940945.4499999993</v>
      </c>
      <c r="S92" s="10">
        <v>5505368.620000001</v>
      </c>
      <c r="T92" s="10">
        <v>5967727.5799999982</v>
      </c>
      <c r="U92" s="10">
        <v>3684264.8300000019</v>
      </c>
      <c r="V92" s="10">
        <v>4501164.07</v>
      </c>
      <c r="W92" s="10">
        <v>4873894.4699999988</v>
      </c>
      <c r="X92" s="10">
        <v>4733625.3199999966</v>
      </c>
      <c r="Y92" s="10">
        <f t="shared" si="6"/>
        <v>38074703.979999997</v>
      </c>
    </row>
    <row r="93" spans="1:25" x14ac:dyDescent="0.35">
      <c r="B93" s="10">
        <f t="shared" si="4"/>
        <v>0</v>
      </c>
      <c r="C93" s="10">
        <f t="shared" si="4"/>
        <v>0</v>
      </c>
      <c r="D93" s="10">
        <f t="shared" si="4"/>
        <v>0</v>
      </c>
      <c r="E93" s="10">
        <f t="shared" si="4"/>
        <v>0</v>
      </c>
      <c r="F93" s="10">
        <f t="shared" si="4"/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f t="shared" si="5"/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f t="shared" si="6"/>
        <v>0</v>
      </c>
    </row>
    <row r="94" spans="1:25" ht="15" thickBot="1" x14ac:dyDescent="0.4">
      <c r="A94" s="12" t="s">
        <v>28</v>
      </c>
      <c r="B94" s="13">
        <f t="shared" si="4"/>
        <v>21357654.877999995</v>
      </c>
      <c r="C94" s="13">
        <f t="shared" si="4"/>
        <v>21357654.877999995</v>
      </c>
      <c r="D94" s="13">
        <f t="shared" si="4"/>
        <v>21357654.877999995</v>
      </c>
      <c r="E94" s="13">
        <f t="shared" si="4"/>
        <v>21357654.877999995</v>
      </c>
      <c r="F94" s="13">
        <f t="shared" si="4"/>
        <v>21357654.877999995</v>
      </c>
      <c r="G94" s="13">
        <v>106788274.38999997</v>
      </c>
      <c r="H94" s="13">
        <v>25647274.250000075</v>
      </c>
      <c r="I94" s="13">
        <v>20248262.05000031</v>
      </c>
      <c r="J94" s="13">
        <v>26749736.549999744</v>
      </c>
      <c r="K94" s="13">
        <v>35595075.420000017</v>
      </c>
      <c r="L94" s="13">
        <v>29489831.370000035</v>
      </c>
      <c r="M94" s="13">
        <v>18200750.060000092</v>
      </c>
      <c r="N94" s="13">
        <v>22935739.809999853</v>
      </c>
      <c r="O94" s="13">
        <f t="shared" si="5"/>
        <v>285654943.9000001</v>
      </c>
      <c r="P94" s="14"/>
      <c r="Q94" s="13">
        <v>-5182333.0600000918</v>
      </c>
      <c r="R94" s="13">
        <v>22099650.900000095</v>
      </c>
      <c r="S94" s="13">
        <v>25466314.620000191</v>
      </c>
      <c r="T94" s="13">
        <v>34516615.65999987</v>
      </c>
      <c r="U94" s="13">
        <v>47588495.709999636</v>
      </c>
      <c r="V94" s="13">
        <v>25858413.67000021</v>
      </c>
      <c r="W94" s="13">
        <v>26539417.829999864</v>
      </c>
      <c r="X94" s="13">
        <v>28386077.700000256</v>
      </c>
      <c r="Y94" s="13">
        <f t="shared" si="6"/>
        <v>205272653.03000003</v>
      </c>
    </row>
    <row r="95" spans="1:25" ht="15" thickTop="1" x14ac:dyDescent="0.35">
      <c r="A95" t="s">
        <v>29</v>
      </c>
      <c r="B95" s="10">
        <f t="shared" ref="B95:F112" si="7">IF(OR(SUM($Q95:$U95)=0,COUNTIF($Q95:$U95,"&lt;0")*COUNTIF($Q95:$U95,"&gt;0")&gt;0),$G95/5,$G95*Q95/SUM($Q95:$U95))</f>
        <v>-1575281.1940000029</v>
      </c>
      <c r="C95" s="10">
        <f t="shared" si="7"/>
        <v>-1575281.1940000029</v>
      </c>
      <c r="D95" s="10">
        <f t="shared" si="7"/>
        <v>-1575281.1940000029</v>
      </c>
      <c r="E95" s="10">
        <f t="shared" si="7"/>
        <v>-1575281.1940000029</v>
      </c>
      <c r="F95" s="10">
        <f t="shared" si="7"/>
        <v>-1575281.1940000029</v>
      </c>
      <c r="G95" s="10">
        <v>-7876405.9700000146</v>
      </c>
      <c r="H95" s="10">
        <v>805862.85000001267</v>
      </c>
      <c r="I95" s="10">
        <v>3548445.2299999539</v>
      </c>
      <c r="J95" s="10">
        <v>1919566.2700000538</v>
      </c>
      <c r="K95" s="10">
        <v>2861730.2300000014</v>
      </c>
      <c r="L95" s="10">
        <v>1213097.4800000254</v>
      </c>
      <c r="M95" s="10">
        <v>466948.73999996344</v>
      </c>
      <c r="N95" s="10">
        <v>2110339.7600000468</v>
      </c>
      <c r="O95" s="10">
        <f t="shared" si="5"/>
        <v>5049584.5900000427</v>
      </c>
      <c r="Q95" s="10">
        <v>-7654149.6999999965</v>
      </c>
      <c r="R95" s="10">
        <v>661095.8099999968</v>
      </c>
      <c r="S95" s="10">
        <v>-6411838.3800000036</v>
      </c>
      <c r="T95" s="10">
        <v>2185275.5000000019</v>
      </c>
      <c r="U95" s="10">
        <v>686916.10000001825</v>
      </c>
      <c r="V95" s="10">
        <v>-322162.52000003494</v>
      </c>
      <c r="W95" s="10">
        <v>2456501.1000000089</v>
      </c>
      <c r="X95" s="10">
        <v>2477928.6400000267</v>
      </c>
      <c r="Y95" s="10">
        <f t="shared" si="6"/>
        <v>-5920433.4499999825</v>
      </c>
    </row>
    <row r="96" spans="1:25" x14ac:dyDescent="0.35">
      <c r="A96" t="s">
        <v>30</v>
      </c>
      <c r="B96" s="10">
        <f t="shared" si="7"/>
        <v>422639.31158734148</v>
      </c>
      <c r="C96" s="10">
        <f t="shared" si="7"/>
        <v>431176.43437513296</v>
      </c>
      <c r="D96" s="10">
        <f t="shared" si="7"/>
        <v>487587.13843860611</v>
      </c>
      <c r="E96" s="10">
        <f t="shared" si="7"/>
        <v>547502.59859629162</v>
      </c>
      <c r="F96" s="10">
        <f t="shared" si="7"/>
        <v>632616.59700262791</v>
      </c>
      <c r="G96" s="10">
        <v>2521522.08</v>
      </c>
      <c r="H96" s="10">
        <v>531930.35000000009</v>
      </c>
      <c r="I96" s="10">
        <v>506033.57999999961</v>
      </c>
      <c r="J96" s="10">
        <v>496700.61000000034</v>
      </c>
      <c r="K96" s="10">
        <v>823846.29999999981</v>
      </c>
      <c r="L96" s="10">
        <v>832709.24000000022</v>
      </c>
      <c r="M96" s="10">
        <v>831115.50999999978</v>
      </c>
      <c r="N96" s="10">
        <v>1235036.6100000003</v>
      </c>
      <c r="O96" s="10">
        <f t="shared" si="5"/>
        <v>7778894.2800000003</v>
      </c>
      <c r="Q96" s="10">
        <v>813848.93</v>
      </c>
      <c r="R96" s="10">
        <v>830288.30999999994</v>
      </c>
      <c r="S96" s="10">
        <v>938914.72</v>
      </c>
      <c r="T96" s="10">
        <v>1054290.0100000002</v>
      </c>
      <c r="U96" s="10">
        <v>1218188.48</v>
      </c>
      <c r="V96" s="10">
        <v>1341459.7999999998</v>
      </c>
      <c r="W96" s="10">
        <v>1302385.6600000001</v>
      </c>
      <c r="X96" s="10">
        <v>1329533.1899999995</v>
      </c>
      <c r="Y96" s="10">
        <f t="shared" si="6"/>
        <v>8828909.0999999996</v>
      </c>
    </row>
    <row r="97" spans="1:25" x14ac:dyDescent="0.35">
      <c r="A97" t="s">
        <v>31</v>
      </c>
      <c r="B97" s="10">
        <f t="shared" si="7"/>
        <v>15964224.941944228</v>
      </c>
      <c r="C97" s="10">
        <f t="shared" si="7"/>
        <v>17941571.33602019</v>
      </c>
      <c r="D97" s="10">
        <f t="shared" si="7"/>
        <v>16237577.025860293</v>
      </c>
      <c r="E97" s="10">
        <f t="shared" si="7"/>
        <v>17304291.136395611</v>
      </c>
      <c r="F97" s="10">
        <f t="shared" si="7"/>
        <v>17081772.119779665</v>
      </c>
      <c r="G97" s="10">
        <v>84529436.559999987</v>
      </c>
      <c r="H97" s="10">
        <v>16673959.610000014</v>
      </c>
      <c r="I97" s="10">
        <v>18620759.989999965</v>
      </c>
      <c r="J97" s="10">
        <v>17053321.860000044</v>
      </c>
      <c r="K97" s="10">
        <v>16522058.359999985</v>
      </c>
      <c r="L97" s="10">
        <v>16133634.840000033</v>
      </c>
      <c r="M97" s="10">
        <v>14929521.309999973</v>
      </c>
      <c r="N97" s="10">
        <v>17021940.690000027</v>
      </c>
      <c r="O97" s="10">
        <f t="shared" si="5"/>
        <v>201484633.22000003</v>
      </c>
      <c r="Q97" s="10">
        <v>15691449.670000002</v>
      </c>
      <c r="R97" s="10">
        <v>17635009.820000008</v>
      </c>
      <c r="S97" s="10">
        <v>15960131.079999991</v>
      </c>
      <c r="T97" s="10">
        <v>17008618.610000007</v>
      </c>
      <c r="U97" s="10">
        <v>16789901.700000003</v>
      </c>
      <c r="V97" s="10">
        <v>17083892.179999962</v>
      </c>
      <c r="W97" s="10">
        <v>17692458.160000011</v>
      </c>
      <c r="X97" s="10">
        <v>16481025.500000045</v>
      </c>
      <c r="Y97" s="10">
        <f t="shared" si="6"/>
        <v>134342486.72000003</v>
      </c>
    </row>
    <row r="98" spans="1:25" x14ac:dyDescent="0.35">
      <c r="A98" t="s">
        <v>32</v>
      </c>
      <c r="B98" s="10">
        <f t="shared" si="7"/>
        <v>13143713.190229191</v>
      </c>
      <c r="C98" s="10">
        <f t="shared" si="7"/>
        <v>7599217.3870320711</v>
      </c>
      <c r="D98" s="10">
        <f t="shared" si="7"/>
        <v>6152372.5510384487</v>
      </c>
      <c r="E98" s="10">
        <f t="shared" si="7"/>
        <v>5023146.5713036032</v>
      </c>
      <c r="F98" s="10">
        <f t="shared" si="7"/>
        <v>5805608.5603966843</v>
      </c>
      <c r="G98" s="10">
        <v>37724058.259999998</v>
      </c>
      <c r="H98" s="10">
        <v>6821349.0400000066</v>
      </c>
      <c r="I98" s="10">
        <v>5912686.2499999925</v>
      </c>
      <c r="J98" s="10">
        <v>5903834.3100000024</v>
      </c>
      <c r="K98" s="10">
        <v>5169919.5199999958</v>
      </c>
      <c r="L98" s="10">
        <v>5120369.7499999925</v>
      </c>
      <c r="M98" s="10">
        <v>5751279.590000011</v>
      </c>
      <c r="N98" s="10">
        <v>7003094.9499999881</v>
      </c>
      <c r="O98" s="10">
        <f t="shared" si="5"/>
        <v>79406591.669999987</v>
      </c>
      <c r="Q98" s="10">
        <v>14984102.18</v>
      </c>
      <c r="R98" s="10">
        <v>8663263.4299999997</v>
      </c>
      <c r="S98" s="10">
        <v>7013830.6900000051</v>
      </c>
      <c r="T98" s="10">
        <v>5726489.9499999955</v>
      </c>
      <c r="U98" s="10">
        <v>6618512.6400000006</v>
      </c>
      <c r="V98" s="10">
        <v>7882045.6299999952</v>
      </c>
      <c r="W98" s="10">
        <v>5666835.7499999925</v>
      </c>
      <c r="X98" s="10">
        <v>5135377.0400000066</v>
      </c>
      <c r="Y98" s="10">
        <f t="shared" si="6"/>
        <v>61690457.309999995</v>
      </c>
    </row>
    <row r="99" spans="1:25" x14ac:dyDescent="0.35">
      <c r="A99" t="s">
        <v>33</v>
      </c>
      <c r="B99" s="10">
        <f t="shared" si="7"/>
        <v>9462541.3450403288</v>
      </c>
      <c r="C99" s="10">
        <f t="shared" si="7"/>
        <v>9427057.1428985056</v>
      </c>
      <c r="D99" s="10">
        <f t="shared" si="7"/>
        <v>16807163.504744038</v>
      </c>
      <c r="E99" s="10">
        <f t="shared" si="7"/>
        <v>10468881.575613933</v>
      </c>
      <c r="F99" s="10">
        <f t="shared" si="7"/>
        <v>11037662.781703198</v>
      </c>
      <c r="G99" s="10">
        <v>57203306.350000001</v>
      </c>
      <c r="H99" s="10">
        <v>9578678.0700000077</v>
      </c>
      <c r="I99" s="10">
        <v>9665662.0899999961</v>
      </c>
      <c r="J99" s="10">
        <v>9726621.8900000006</v>
      </c>
      <c r="K99" s="10">
        <v>9314254.9099999964</v>
      </c>
      <c r="L99" s="10">
        <v>10632876.849999994</v>
      </c>
      <c r="M99" s="10">
        <v>9542408.4900000095</v>
      </c>
      <c r="N99" s="10">
        <v>9143542.5899999887</v>
      </c>
      <c r="O99" s="10">
        <f t="shared" si="5"/>
        <v>124807351.23999999</v>
      </c>
      <c r="Q99" s="10">
        <v>9175346.1199999992</v>
      </c>
      <c r="R99" s="10">
        <v>9140938.8900000025</v>
      </c>
      <c r="S99" s="10">
        <v>16297053.489999998</v>
      </c>
      <c r="T99" s="10">
        <v>10151143.170000002</v>
      </c>
      <c r="U99" s="10">
        <v>10702661.439999998</v>
      </c>
      <c r="V99" s="10">
        <v>10865468.870000005</v>
      </c>
      <c r="W99" s="10">
        <v>10871506.969999999</v>
      </c>
      <c r="X99" s="10">
        <v>10197253.00999999</v>
      </c>
      <c r="Y99" s="10">
        <f t="shared" si="6"/>
        <v>87401371.959999993</v>
      </c>
    </row>
    <row r="100" spans="1:25" x14ac:dyDescent="0.35">
      <c r="B100" s="10">
        <f t="shared" si="7"/>
        <v>0</v>
      </c>
      <c r="C100" s="10">
        <f t="shared" si="7"/>
        <v>0</v>
      </c>
      <c r="D100" s="10">
        <f t="shared" si="7"/>
        <v>0</v>
      </c>
      <c r="E100" s="10">
        <f t="shared" si="7"/>
        <v>0</v>
      </c>
      <c r="F100" s="10">
        <f t="shared" si="7"/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f t="shared" si="5"/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f t="shared" si="6"/>
        <v>0</v>
      </c>
    </row>
    <row r="101" spans="1:25" ht="15" thickBot="1" x14ac:dyDescent="0.4">
      <c r="A101" s="12" t="s">
        <v>34</v>
      </c>
      <c r="B101" s="13">
        <f t="shared" si="7"/>
        <v>2099148.5166204018</v>
      </c>
      <c r="C101" s="13">
        <f t="shared" si="7"/>
        <v>18206330.674940437</v>
      </c>
      <c r="D101" s="13">
        <f t="shared" si="7"/>
        <v>27071982.807976887</v>
      </c>
      <c r="E101" s="13">
        <f t="shared" si="7"/>
        <v>27456844.34635732</v>
      </c>
      <c r="F101" s="13">
        <f t="shared" si="7"/>
        <v>39830374.014104947</v>
      </c>
      <c r="G101" s="13">
        <v>114664680.36</v>
      </c>
      <c r="H101" s="13">
        <v>24841411.400000051</v>
      </c>
      <c r="I101" s="13">
        <v>16699816.82000035</v>
      </c>
      <c r="J101" s="13">
        <v>24830170.279999703</v>
      </c>
      <c r="K101" s="13">
        <v>32733345.189999998</v>
      </c>
      <c r="L101" s="13">
        <v>28276733.890000015</v>
      </c>
      <c r="M101" s="13">
        <v>17733801.320000142</v>
      </c>
      <c r="N101" s="13">
        <v>20825400.049999744</v>
      </c>
      <c r="O101" s="13">
        <f t="shared" si="5"/>
        <v>280605359.31</v>
      </c>
      <c r="P101" s="14"/>
      <c r="Q101" s="13">
        <v>2471816.6399999047</v>
      </c>
      <c r="R101" s="13">
        <v>21438555.0900001</v>
      </c>
      <c r="S101" s="13">
        <v>31878153.000000194</v>
      </c>
      <c r="T101" s="13">
        <v>32331340.159999862</v>
      </c>
      <c r="U101" s="13">
        <v>46901579.609999642</v>
      </c>
      <c r="V101" s="13">
        <v>26180576.190000206</v>
      </c>
      <c r="W101" s="13">
        <v>24082916.7299999</v>
      </c>
      <c r="X101" s="13">
        <v>25908149.060000211</v>
      </c>
      <c r="Y101" s="13">
        <f t="shared" si="6"/>
        <v>211193086.48000002</v>
      </c>
    </row>
    <row r="102" spans="1:25" ht="15" thickTop="1" x14ac:dyDescent="0.35">
      <c r="A102" t="s">
        <v>35</v>
      </c>
      <c r="B102" s="10">
        <f t="shared" si="7"/>
        <v>6107951.3261891054</v>
      </c>
      <c r="C102" s="10">
        <f t="shared" si="7"/>
        <v>4490690.5400279174</v>
      </c>
      <c r="D102" s="10">
        <f t="shared" si="7"/>
        <v>4235886.7867935328</v>
      </c>
      <c r="E102" s="10">
        <f t="shared" si="7"/>
        <v>3107559.259326899</v>
      </c>
      <c r="F102" s="10">
        <f t="shared" si="7"/>
        <v>2953744.8776625451</v>
      </c>
      <c r="G102" s="10">
        <v>20895832.789999999</v>
      </c>
      <c r="H102" s="10">
        <v>3976342.91</v>
      </c>
      <c r="I102" s="10">
        <v>4030785.1699999981</v>
      </c>
      <c r="J102" s="10">
        <v>3594698.7400000058</v>
      </c>
      <c r="K102" s="10">
        <v>4131661.7399999984</v>
      </c>
      <c r="L102" s="10">
        <v>3854291.0799999833</v>
      </c>
      <c r="M102" s="10">
        <v>4008599.8000000119</v>
      </c>
      <c r="N102" s="10">
        <v>8340146.5600000024</v>
      </c>
      <c r="O102" s="10">
        <f t="shared" si="5"/>
        <v>52832358.789999999</v>
      </c>
      <c r="Q102" s="10">
        <v>6758765.6900000004</v>
      </c>
      <c r="R102" s="10">
        <v>4969182.55</v>
      </c>
      <c r="S102" s="10">
        <v>4687228.9500000011</v>
      </c>
      <c r="T102" s="10">
        <v>3438675.8799999952</v>
      </c>
      <c r="U102" s="10">
        <v>3268472.270000007</v>
      </c>
      <c r="V102" s="10">
        <v>3244895.7499999925</v>
      </c>
      <c r="W102" s="10">
        <v>3610995.1000000015</v>
      </c>
      <c r="X102" s="10">
        <v>4005520.5399999991</v>
      </c>
      <c r="Y102" s="10">
        <f t="shared" si="6"/>
        <v>33983736.729999997</v>
      </c>
    </row>
    <row r="103" spans="1:25" x14ac:dyDescent="0.35">
      <c r="A103" t="s">
        <v>36</v>
      </c>
      <c r="B103" s="10">
        <f t="shared" si="7"/>
        <v>7493657.7409372684</v>
      </c>
      <c r="C103" s="10">
        <f t="shared" si="7"/>
        <v>5518088.7111040987</v>
      </c>
      <c r="D103" s="10">
        <f t="shared" si="7"/>
        <v>5890613.4932795512</v>
      </c>
      <c r="E103" s="10">
        <f t="shared" si="7"/>
        <v>4920215.5452590073</v>
      </c>
      <c r="F103" s="10">
        <f t="shared" si="7"/>
        <v>4743823.9494200768</v>
      </c>
      <c r="G103" s="10">
        <v>28566399.440000001</v>
      </c>
      <c r="H103" s="10">
        <v>5168048.9000000022</v>
      </c>
      <c r="I103" s="10">
        <v>5498992.7699999958</v>
      </c>
      <c r="J103" s="10">
        <v>5157343.1600000039</v>
      </c>
      <c r="K103" s="10">
        <v>5252629.2399999946</v>
      </c>
      <c r="L103" s="10">
        <v>5033929.0499999896</v>
      </c>
      <c r="M103" s="10">
        <v>4921114.1900000125</v>
      </c>
      <c r="N103" s="10">
        <v>9070484.5300000012</v>
      </c>
      <c r="O103" s="10">
        <f t="shared" si="5"/>
        <v>68668941.280000001</v>
      </c>
      <c r="Q103" s="10">
        <v>8017051.5499999998</v>
      </c>
      <c r="R103" s="10">
        <v>5903499.0899999989</v>
      </c>
      <c r="S103" s="10">
        <v>6302042.8300000038</v>
      </c>
      <c r="T103" s="10">
        <v>5263867.5299999975</v>
      </c>
      <c r="U103" s="10">
        <v>5075155.8800000064</v>
      </c>
      <c r="V103" s="10">
        <v>5268858.6699999906</v>
      </c>
      <c r="W103" s="10">
        <v>5713507.8900000006</v>
      </c>
      <c r="X103" s="10">
        <v>5765499.8299999982</v>
      </c>
      <c r="Y103" s="10">
        <f t="shared" si="6"/>
        <v>47309483.269999996</v>
      </c>
    </row>
    <row r="104" spans="1:25" x14ac:dyDescent="0.35">
      <c r="A104" t="s">
        <v>37</v>
      </c>
      <c r="B104" s="10">
        <f t="shared" si="7"/>
        <v>1297403.8592232089</v>
      </c>
      <c r="C104" s="10">
        <f t="shared" si="7"/>
        <v>963362.87585086212</v>
      </c>
      <c r="D104" s="10">
        <f t="shared" si="7"/>
        <v>1665015.73802888</v>
      </c>
      <c r="E104" s="10">
        <f t="shared" si="7"/>
        <v>1881933.8004259027</v>
      </c>
      <c r="F104" s="10">
        <f t="shared" si="7"/>
        <v>1862850.3764711455</v>
      </c>
      <c r="G104" s="10">
        <v>7670566.6499999994</v>
      </c>
      <c r="H104" s="10">
        <v>1191705.990000003</v>
      </c>
      <c r="I104" s="10">
        <v>1468207.5999999978</v>
      </c>
      <c r="J104" s="10">
        <v>1562644.42</v>
      </c>
      <c r="K104" s="10">
        <v>1120967.5</v>
      </c>
      <c r="L104" s="10">
        <v>1179637.9700000007</v>
      </c>
      <c r="M104" s="10">
        <v>912514.38999999687</v>
      </c>
      <c r="N104" s="10">
        <v>730337.97000000067</v>
      </c>
      <c r="O104" s="10">
        <f t="shared" si="5"/>
        <v>15836582.49</v>
      </c>
      <c r="Q104" s="10">
        <v>1258285.8600000001</v>
      </c>
      <c r="R104" s="10">
        <v>934316.5399999998</v>
      </c>
      <c r="S104" s="10">
        <v>1614813.8800000004</v>
      </c>
      <c r="T104" s="10">
        <v>1825191.6499999994</v>
      </c>
      <c r="U104" s="10">
        <v>1806683.6100000003</v>
      </c>
      <c r="V104" s="10">
        <v>2023962.9200000009</v>
      </c>
      <c r="W104" s="10">
        <v>2102512.7899999972</v>
      </c>
      <c r="X104" s="10">
        <v>1759979.2900000028</v>
      </c>
      <c r="Y104" s="10">
        <f t="shared" si="6"/>
        <v>13325746.540000001</v>
      </c>
    </row>
    <row r="105" spans="1:25" x14ac:dyDescent="0.35">
      <c r="B105" s="10">
        <f t="shared" si="7"/>
        <v>0</v>
      </c>
      <c r="C105" s="10">
        <f t="shared" si="7"/>
        <v>0</v>
      </c>
      <c r="D105" s="10">
        <f t="shared" si="7"/>
        <v>0</v>
      </c>
      <c r="E105" s="10">
        <f t="shared" si="7"/>
        <v>0</v>
      </c>
      <c r="F105" s="10">
        <f t="shared" si="7"/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f t="shared" si="5"/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f t="shared" si="6"/>
        <v>0</v>
      </c>
    </row>
    <row r="106" spans="1:25" ht="15" thickBot="1" x14ac:dyDescent="0.4">
      <c r="A106" s="12" t="s">
        <v>38</v>
      </c>
      <c r="B106" s="13">
        <f t="shared" si="7"/>
        <v>7912436.1243829075</v>
      </c>
      <c r="C106" s="13">
        <f t="shared" si="7"/>
        <v>22636658.20810302</v>
      </c>
      <c r="D106" s="13">
        <f t="shared" si="7"/>
        <v>31343769.948590364</v>
      </c>
      <c r="E106" s="13">
        <f t="shared" si="7"/>
        <v>30661983.931912325</v>
      </c>
      <c r="F106" s="13">
        <f t="shared" si="7"/>
        <v>43005664.937011391</v>
      </c>
      <c r="G106" s="13">
        <v>135560513.15000001</v>
      </c>
      <c r="H106" s="13">
        <v>28817754.310000032</v>
      </c>
      <c r="I106" s="13">
        <v>20730601.990000367</v>
      </c>
      <c r="J106" s="13">
        <v>28424869.019999683</v>
      </c>
      <c r="K106" s="13">
        <v>36865006.929999977</v>
      </c>
      <c r="L106" s="13">
        <v>32131024.970000058</v>
      </c>
      <c r="M106" s="13">
        <v>21742401.120000124</v>
      </c>
      <c r="N106" s="13">
        <v>29165546.609999835</v>
      </c>
      <c r="O106" s="13">
        <f t="shared" si="5"/>
        <v>333437718.10000008</v>
      </c>
      <c r="P106" s="14"/>
      <c r="Q106" s="13">
        <v>9230582.3299999051</v>
      </c>
      <c r="R106" s="13">
        <v>26407737.640000101</v>
      </c>
      <c r="S106" s="13">
        <v>36565381.950000189</v>
      </c>
      <c r="T106" s="13">
        <v>35770016.039999858</v>
      </c>
      <c r="U106" s="13">
        <v>50170051.879999653</v>
      </c>
      <c r="V106" s="13">
        <v>29425471.940000206</v>
      </c>
      <c r="W106" s="13">
        <v>27693911.829999894</v>
      </c>
      <c r="X106" s="13">
        <v>29913669.600000232</v>
      </c>
      <c r="Y106" s="13">
        <f t="shared" si="6"/>
        <v>245176823.21000004</v>
      </c>
    </row>
    <row r="107" spans="1:25" ht="15" thickTop="1" x14ac:dyDescent="0.35">
      <c r="A107" t="s">
        <v>39</v>
      </c>
      <c r="B107" s="10">
        <f t="shared" si="7"/>
        <v>0</v>
      </c>
      <c r="C107" s="10">
        <f t="shared" si="7"/>
        <v>31982.923783286507</v>
      </c>
      <c r="D107" s="10">
        <f t="shared" si="7"/>
        <v>0</v>
      </c>
      <c r="E107" s="10">
        <f t="shared" si="7"/>
        <v>64794.708295585762</v>
      </c>
      <c r="F107" s="10">
        <f t="shared" si="7"/>
        <v>518198.11792112776</v>
      </c>
      <c r="G107" s="10">
        <v>614975.75</v>
      </c>
      <c r="H107" s="10">
        <v>0</v>
      </c>
      <c r="I107" s="10">
        <v>0</v>
      </c>
      <c r="J107" s="10">
        <v>298162.78999999992</v>
      </c>
      <c r="K107" s="10">
        <v>103030.31000000006</v>
      </c>
      <c r="L107" s="10">
        <v>270505.21000000008</v>
      </c>
      <c r="M107" s="10">
        <v>-5565.7800000000279</v>
      </c>
      <c r="N107" s="10">
        <v>222773.6399999999</v>
      </c>
      <c r="O107" s="10">
        <f t="shared" si="5"/>
        <v>1503881.92</v>
      </c>
      <c r="Q107" s="10">
        <v>0</v>
      </c>
      <c r="R107" s="10">
        <v>18756.95</v>
      </c>
      <c r="S107" s="10">
        <v>0</v>
      </c>
      <c r="T107" s="10">
        <v>38000</v>
      </c>
      <c r="U107" s="10">
        <v>303906.43</v>
      </c>
      <c r="V107" s="10">
        <v>1446227.87</v>
      </c>
      <c r="W107" s="10">
        <v>-14546.35999999987</v>
      </c>
      <c r="X107" s="10">
        <v>66482.5</v>
      </c>
      <c r="Y107" s="10">
        <f t="shared" si="6"/>
        <v>1858827.3900000001</v>
      </c>
    </row>
    <row r="108" spans="1:25" x14ac:dyDescent="0.35">
      <c r="A108" t="s">
        <v>40</v>
      </c>
      <c r="B108" s="10">
        <f t="shared" si="7"/>
        <v>38369.938000000002</v>
      </c>
      <c r="C108" s="10">
        <f t="shared" si="7"/>
        <v>38369.938000000002</v>
      </c>
      <c r="D108" s="10">
        <f t="shared" si="7"/>
        <v>38369.938000000002</v>
      </c>
      <c r="E108" s="10">
        <f t="shared" si="7"/>
        <v>38369.938000000002</v>
      </c>
      <c r="F108" s="10">
        <f t="shared" si="7"/>
        <v>38369.938000000002</v>
      </c>
      <c r="G108" s="10">
        <v>191849.69</v>
      </c>
      <c r="H108" s="10">
        <v>16375.300000000017</v>
      </c>
      <c r="I108" s="10">
        <v>52425.539999999979</v>
      </c>
      <c r="J108" s="10">
        <v>-260650.53</v>
      </c>
      <c r="K108" s="10">
        <v>1212274.33</v>
      </c>
      <c r="L108" s="10">
        <v>26632.09999999986</v>
      </c>
      <c r="M108" s="10">
        <v>102950.06000000029</v>
      </c>
      <c r="N108" s="10">
        <v>137945.87999999966</v>
      </c>
      <c r="O108" s="10">
        <f t="shared" si="5"/>
        <v>1479802.3699999999</v>
      </c>
      <c r="Q108" s="10">
        <v>16996.949999999997</v>
      </c>
      <c r="R108" s="10">
        <v>20016.420000000006</v>
      </c>
      <c r="S108" s="10">
        <v>111769.35</v>
      </c>
      <c r="T108" s="10">
        <v>-25787.700000000012</v>
      </c>
      <c r="U108" s="10">
        <v>609.5</v>
      </c>
      <c r="V108" s="10">
        <v>198430.92</v>
      </c>
      <c r="W108" s="10">
        <v>93060.81</v>
      </c>
      <c r="X108" s="10">
        <v>26647.369999999937</v>
      </c>
      <c r="Y108" s="10">
        <f t="shared" si="6"/>
        <v>441743.61999999994</v>
      </c>
    </row>
    <row r="109" spans="1:25" x14ac:dyDescent="0.35">
      <c r="B109" s="10">
        <f t="shared" si="7"/>
        <v>0</v>
      </c>
      <c r="C109" s="10">
        <f t="shared" si="7"/>
        <v>0</v>
      </c>
      <c r="D109" s="10">
        <f t="shared" si="7"/>
        <v>0</v>
      </c>
      <c r="E109" s="10">
        <f t="shared" si="7"/>
        <v>0</v>
      </c>
      <c r="F109" s="10">
        <f t="shared" si="7"/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f t="shared" si="5"/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f t="shared" si="6"/>
        <v>0</v>
      </c>
    </row>
    <row r="110" spans="1:25" ht="15" thickBot="1" x14ac:dyDescent="0.4">
      <c r="A110" s="12" t="s">
        <v>41</v>
      </c>
      <c r="B110" s="13">
        <f t="shared" si="7"/>
        <v>7910659.8975917595</v>
      </c>
      <c r="C110" s="13">
        <f t="shared" si="7"/>
        <v>22672245.307402164</v>
      </c>
      <c r="D110" s="13">
        <f t="shared" si="7"/>
        <v>31298579.154987991</v>
      </c>
      <c r="E110" s="13">
        <f t="shared" si="7"/>
        <v>30766419.643705897</v>
      </c>
      <c r="F110" s="13">
        <f t="shared" si="7"/>
        <v>43335735.206312194</v>
      </c>
      <c r="G110" s="13">
        <v>135983639.21000001</v>
      </c>
      <c r="H110" s="13">
        <v>28801379.01000005</v>
      </c>
      <c r="I110" s="13">
        <v>20678176.450000346</v>
      </c>
      <c r="J110" s="13">
        <v>28983682.339999706</v>
      </c>
      <c r="K110" s="13">
        <v>35755762.909999967</v>
      </c>
      <c r="L110" s="13">
        <v>32374898.080000043</v>
      </c>
      <c r="M110" s="13">
        <v>21633885.28000015</v>
      </c>
      <c r="N110" s="13">
        <v>29250374.369999826</v>
      </c>
      <c r="O110" s="13">
        <f t="shared" si="5"/>
        <v>333461797.6500001</v>
      </c>
      <c r="P110" s="14"/>
      <c r="Q110" s="13">
        <v>9213585.379999904</v>
      </c>
      <c r="R110" s="13">
        <v>26406478.170000099</v>
      </c>
      <c r="S110" s="13">
        <v>36453612.60000018</v>
      </c>
      <c r="T110" s="13">
        <v>35833803.739999861</v>
      </c>
      <c r="U110" s="13">
        <v>50473348.809999675</v>
      </c>
      <c r="V110" s="13">
        <v>30673268.890000194</v>
      </c>
      <c r="W110" s="13">
        <v>27586304.659999907</v>
      </c>
      <c r="X110" s="13">
        <v>29953504.730000198</v>
      </c>
      <c r="Y110" s="13">
        <f t="shared" si="6"/>
        <v>246593906.98000002</v>
      </c>
    </row>
    <row r="111" spans="1:25" ht="15" thickTop="1" x14ac:dyDescent="0.35">
      <c r="A111" t="s">
        <v>42</v>
      </c>
      <c r="B111" s="10">
        <f t="shared" si="7"/>
        <v>676311.76036858326</v>
      </c>
      <c r="C111" s="10">
        <f t="shared" si="7"/>
        <v>4355289.5421927217</v>
      </c>
      <c r="D111" s="10">
        <f t="shared" si="7"/>
        <v>5243881.083757299</v>
      </c>
      <c r="E111" s="10">
        <f t="shared" si="7"/>
        <v>6036800.5875049997</v>
      </c>
      <c r="F111" s="10">
        <f t="shared" si="7"/>
        <v>8939024.4561764002</v>
      </c>
      <c r="G111" s="10">
        <v>25251307.430000003</v>
      </c>
      <c r="H111" s="10">
        <v>5635849.7499999963</v>
      </c>
      <c r="I111" s="10">
        <v>3687510.1700000018</v>
      </c>
      <c r="J111" s="10">
        <v>5705375.4699999914</v>
      </c>
      <c r="K111" s="10">
        <v>7869562.3600000069</v>
      </c>
      <c r="L111" s="10">
        <v>6450651.3700000048</v>
      </c>
      <c r="M111" s="10">
        <v>3613534.1899999976</v>
      </c>
      <c r="N111" s="10">
        <v>6494087.1400000006</v>
      </c>
      <c r="O111" s="10">
        <f t="shared" si="5"/>
        <v>64707877.88000001</v>
      </c>
      <c r="Q111" s="10">
        <v>816949.32</v>
      </c>
      <c r="R111" s="10">
        <v>5260962.5299999993</v>
      </c>
      <c r="S111" s="10">
        <v>6334334.7499999981</v>
      </c>
      <c r="T111" s="10">
        <v>7292140.1400000043</v>
      </c>
      <c r="U111" s="10">
        <v>10797875.149999999</v>
      </c>
      <c r="V111" s="10">
        <v>5825225.2199999988</v>
      </c>
      <c r="W111" s="10">
        <v>4945747.2100000009</v>
      </c>
      <c r="X111" s="10">
        <v>5749150.9200000018</v>
      </c>
      <c r="Y111" s="10">
        <f t="shared" si="6"/>
        <v>47022385.240000002</v>
      </c>
    </row>
    <row r="112" spans="1:25" ht="15" thickBot="1" x14ac:dyDescent="0.4">
      <c r="A112" s="12" t="s">
        <v>43</v>
      </c>
      <c r="B112" s="13">
        <f t="shared" si="7"/>
        <v>7270796.9226248432</v>
      </c>
      <c r="C112" s="13">
        <f t="shared" si="7"/>
        <v>18310279.133692738</v>
      </c>
      <c r="D112" s="13">
        <f t="shared" si="7"/>
        <v>26080819.882940885</v>
      </c>
      <c r="E112" s="13">
        <f t="shared" si="7"/>
        <v>24714735.566313785</v>
      </c>
      <c r="F112" s="13">
        <f t="shared" si="7"/>
        <v>34355700.274427757</v>
      </c>
      <c r="G112" s="13">
        <v>110732331.78000002</v>
      </c>
      <c r="H112" s="13">
        <v>23165529.260000035</v>
      </c>
      <c r="I112" s="13">
        <v>16990666.280000359</v>
      </c>
      <c r="J112" s="13">
        <v>23278306.869999707</v>
      </c>
      <c r="K112" s="13">
        <v>27886200.549999982</v>
      </c>
      <c r="L112" s="13">
        <v>25924246.710000038</v>
      </c>
      <c r="M112" s="13">
        <v>18020351.090000153</v>
      </c>
      <c r="N112" s="13">
        <v>22756287.22999981</v>
      </c>
      <c r="O112" s="13">
        <f t="shared" si="5"/>
        <v>268753919.7700001</v>
      </c>
      <c r="P112" s="14"/>
      <c r="Q112" s="13">
        <v>8396636.0599999037</v>
      </c>
      <c r="R112" s="13">
        <v>21145515.640000105</v>
      </c>
      <c r="S112" s="13">
        <v>30119277.85000018</v>
      </c>
      <c r="T112" s="13">
        <v>28541663.59999986</v>
      </c>
      <c r="U112" s="13">
        <v>39675473.659999683</v>
      </c>
      <c r="V112" s="13">
        <v>24848043.670000196</v>
      </c>
      <c r="W112" s="13">
        <v>22640557.449999899</v>
      </c>
      <c r="X112" s="13">
        <v>24204353.810000211</v>
      </c>
      <c r="Y112" s="13">
        <f t="shared" si="6"/>
        <v>199571521.74000004</v>
      </c>
    </row>
    <row r="113" spans="1:25" ht="15" thickTop="1" x14ac:dyDescent="0.35"/>
    <row r="114" spans="1:25" x14ac:dyDescent="0.35">
      <c r="A114" s="15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Q114" s="16"/>
      <c r="R114" s="15">
        <v>0</v>
      </c>
      <c r="S114" s="15"/>
      <c r="T114" s="15"/>
      <c r="U114" s="15"/>
      <c r="V114" s="15"/>
      <c r="W114" s="15"/>
      <c r="X114" s="15"/>
      <c r="Y114" s="15"/>
    </row>
    <row r="115" spans="1:25" x14ac:dyDescent="0.35">
      <c r="A115" s="15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Q115" s="16"/>
      <c r="R115" s="15"/>
      <c r="S115" s="15"/>
      <c r="T115" s="15"/>
      <c r="U115" s="15"/>
      <c r="V115" s="15"/>
      <c r="W115" s="15"/>
      <c r="X115" s="15"/>
      <c r="Y115" s="15"/>
    </row>
    <row r="117" spans="1:25" ht="23.5" x14ac:dyDescent="0.35">
      <c r="A117" s="1" t="s">
        <v>45</v>
      </c>
      <c r="B117" s="2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3"/>
      <c r="R117" s="5"/>
      <c r="S117" s="5"/>
      <c r="T117" s="5"/>
      <c r="U117" s="5"/>
      <c r="V117" s="5"/>
      <c r="W117" s="5"/>
      <c r="X117" s="5"/>
      <c r="Y117" s="5"/>
    </row>
    <row r="118" spans="1:25" ht="23.5" x14ac:dyDescent="0.35">
      <c r="A118" s="1"/>
      <c r="B118" s="2"/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4"/>
      <c r="Q118" s="3"/>
      <c r="R118" s="5"/>
      <c r="S118" s="5"/>
      <c r="T118" s="5"/>
      <c r="U118" s="5"/>
      <c r="V118" s="5"/>
      <c r="W118" s="5"/>
      <c r="X118" s="5"/>
      <c r="Y118" s="5"/>
    </row>
    <row r="120" spans="1:25" s="9" customFormat="1" x14ac:dyDescent="0.35">
      <c r="A120" s="6" t="s">
        <v>1</v>
      </c>
      <c r="B120" s="7">
        <v>45658</v>
      </c>
      <c r="C120" s="7">
        <v>45689</v>
      </c>
      <c r="D120" s="7">
        <v>45717</v>
      </c>
      <c r="E120" s="7">
        <v>45748</v>
      </c>
      <c r="F120" s="7">
        <v>45778</v>
      </c>
      <c r="G120" s="7" t="s">
        <v>2</v>
      </c>
      <c r="H120" s="7">
        <v>45809</v>
      </c>
      <c r="I120" s="7">
        <v>45839</v>
      </c>
      <c r="J120" s="7">
        <v>45870</v>
      </c>
      <c r="K120" s="7">
        <v>45901</v>
      </c>
      <c r="L120" s="7">
        <v>45931</v>
      </c>
      <c r="M120" s="7">
        <v>45962</v>
      </c>
      <c r="N120" s="7">
        <v>45992</v>
      </c>
      <c r="O120" s="7" t="s">
        <v>3</v>
      </c>
      <c r="P120" s="8"/>
      <c r="Q120" s="7">
        <v>46023</v>
      </c>
      <c r="R120" s="7">
        <v>46054</v>
      </c>
      <c r="S120" s="7">
        <v>46082</v>
      </c>
      <c r="T120" s="7">
        <v>46113</v>
      </c>
      <c r="U120" s="7">
        <v>46143</v>
      </c>
      <c r="V120" s="7">
        <v>46174</v>
      </c>
      <c r="W120" s="7">
        <v>46204</v>
      </c>
      <c r="X120" s="7">
        <v>46235</v>
      </c>
      <c r="Y120" s="7" t="s">
        <v>3</v>
      </c>
    </row>
    <row r="121" spans="1:25" x14ac:dyDescent="0.35">
      <c r="A121" t="s">
        <v>4</v>
      </c>
      <c r="B121" s="10">
        <f t="shared" ref="B121:F152" si="8">IF(OR(SUM($Q121:$U121)=0,COUNTIF($Q121:$U121,"&lt;0")*COUNTIF($Q121:$U121,"&gt;0")&gt;0),$G121/5,$G121*Q121/SUM($Q121:$U121))</f>
        <v>0</v>
      </c>
      <c r="C121" s="10">
        <f t="shared" si="8"/>
        <v>0</v>
      </c>
      <c r="D121" s="10">
        <f t="shared" si="8"/>
        <v>0</v>
      </c>
      <c r="E121" s="10">
        <f t="shared" si="8"/>
        <v>0</v>
      </c>
      <c r="F121" s="10">
        <f t="shared" si="8"/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f t="shared" ref="O121:O170" si="9">SUM(B121:F121,H121:N121)</f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f t="shared" ref="Y121:Y170" si="10">SUM(Q121:X121)</f>
        <v>0</v>
      </c>
    </row>
    <row r="122" spans="1:25" x14ac:dyDescent="0.35">
      <c r="A122" t="s">
        <v>5</v>
      </c>
      <c r="B122" s="10">
        <f t="shared" si="8"/>
        <v>13321526.984632058</v>
      </c>
      <c r="C122" s="10">
        <f t="shared" si="8"/>
        <v>15834784.596236158</v>
      </c>
      <c r="D122" s="10">
        <f t="shared" si="8"/>
        <v>12558208.090799261</v>
      </c>
      <c r="E122" s="10">
        <f t="shared" si="8"/>
        <v>14143362.772645628</v>
      </c>
      <c r="F122" s="10">
        <f t="shared" si="8"/>
        <v>31789930.345686886</v>
      </c>
      <c r="G122" s="10">
        <v>87647812.789999992</v>
      </c>
      <c r="H122" s="10">
        <v>16083520.150000006</v>
      </c>
      <c r="I122" s="10">
        <v>18783437.260000005</v>
      </c>
      <c r="J122" s="10">
        <v>16231408.519999996</v>
      </c>
      <c r="K122" s="10">
        <v>17699169.280000001</v>
      </c>
      <c r="L122" s="10">
        <v>16024697.329999983</v>
      </c>
      <c r="M122" s="10">
        <v>18319382.160000026</v>
      </c>
      <c r="N122" s="10">
        <v>13207757.419999987</v>
      </c>
      <c r="O122" s="10">
        <f t="shared" si="9"/>
        <v>203997184.91</v>
      </c>
      <c r="Q122" s="10">
        <v>7479935.8499999996</v>
      </c>
      <c r="R122" s="10">
        <v>8891110.8399999999</v>
      </c>
      <c r="S122" s="10">
        <v>7051338.1100000013</v>
      </c>
      <c r="T122" s="10">
        <v>7941390.379999999</v>
      </c>
      <c r="U122" s="10">
        <v>17849803.550000004</v>
      </c>
      <c r="V122" s="10">
        <v>10703239.019999996</v>
      </c>
      <c r="W122" s="10">
        <v>8993919.099999994</v>
      </c>
      <c r="X122" s="10">
        <v>8466591.9200000167</v>
      </c>
      <c r="Y122" s="10">
        <f t="shared" si="10"/>
        <v>77377328.770000011</v>
      </c>
    </row>
    <row r="123" spans="1:25" x14ac:dyDescent="0.35">
      <c r="A123" t="s">
        <v>6</v>
      </c>
      <c r="B123" s="10">
        <f t="shared" si="8"/>
        <v>2421696.0285523343</v>
      </c>
      <c r="C123" s="10">
        <f t="shared" si="8"/>
        <v>3369579.1735292729</v>
      </c>
      <c r="D123" s="10">
        <f t="shared" si="8"/>
        <v>4338298.9482015483</v>
      </c>
      <c r="E123" s="10">
        <f t="shared" si="8"/>
        <v>797542.18474274699</v>
      </c>
      <c r="F123" s="10">
        <f t="shared" si="8"/>
        <v>2056550.0649740975</v>
      </c>
      <c r="G123" s="10">
        <v>12983666.4</v>
      </c>
      <c r="H123" s="10">
        <v>3182439.7500000019</v>
      </c>
      <c r="I123" s="10">
        <v>1399069.0399999991</v>
      </c>
      <c r="J123" s="10">
        <v>2223838.8900000006</v>
      </c>
      <c r="K123" s="10">
        <v>2660217.4299999997</v>
      </c>
      <c r="L123" s="10">
        <v>2543564.6899999976</v>
      </c>
      <c r="M123" s="10">
        <v>4438627.8800000064</v>
      </c>
      <c r="N123" s="10">
        <v>2786658.1299999952</v>
      </c>
      <c r="O123" s="10">
        <f t="shared" si="9"/>
        <v>32218082.210000001</v>
      </c>
      <c r="Q123" s="10">
        <v>671651.67</v>
      </c>
      <c r="R123" s="10">
        <v>934544.82</v>
      </c>
      <c r="S123" s="10">
        <v>1203216.9600000002</v>
      </c>
      <c r="T123" s="10">
        <v>221196.43999999994</v>
      </c>
      <c r="U123" s="10">
        <v>570379.30000000028</v>
      </c>
      <c r="V123" s="10">
        <v>1412535.7700000005</v>
      </c>
      <c r="W123" s="10">
        <v>-903276.17000000132</v>
      </c>
      <c r="X123" s="10">
        <v>882101.98</v>
      </c>
      <c r="Y123" s="10">
        <f t="shared" si="10"/>
        <v>4992350.7699999996</v>
      </c>
    </row>
    <row r="124" spans="1:25" ht="15" thickBot="1" x14ac:dyDescent="0.4">
      <c r="A124" s="12" t="s">
        <v>7</v>
      </c>
      <c r="B124" s="13">
        <f t="shared" si="8"/>
        <v>11144614.498031437</v>
      </c>
      <c r="C124" s="13">
        <f t="shared" si="8"/>
        <v>13024259.663179379</v>
      </c>
      <c r="D124" s="13">
        <f t="shared" si="8"/>
        <v>9572904.7189293895</v>
      </c>
      <c r="E124" s="13">
        <f t="shared" si="8"/>
        <v>12637337.54887688</v>
      </c>
      <c r="F124" s="13">
        <f t="shared" si="8"/>
        <v>28285029.960982919</v>
      </c>
      <c r="G124" s="13">
        <v>74664146.390000001</v>
      </c>
      <c r="H124" s="13">
        <v>12901080.399999991</v>
      </c>
      <c r="I124" s="13">
        <v>17384368.219999999</v>
      </c>
      <c r="J124" s="13">
        <v>14007569.63000001</v>
      </c>
      <c r="K124" s="13">
        <v>15038951.849999979</v>
      </c>
      <c r="L124" s="13">
        <v>13481132.640000015</v>
      </c>
      <c r="M124" s="13">
        <v>13880754.280000001</v>
      </c>
      <c r="N124" s="13">
        <v>10421099.289999992</v>
      </c>
      <c r="O124" s="13">
        <f t="shared" si="9"/>
        <v>171779102.69999999</v>
      </c>
      <c r="P124" s="14"/>
      <c r="Q124" s="13">
        <v>6808284.1799999997</v>
      </c>
      <c r="R124" s="13">
        <v>7956566.0199999996</v>
      </c>
      <c r="S124" s="13">
        <v>5848121.1500000022</v>
      </c>
      <c r="T124" s="13">
        <v>7720193.9399999976</v>
      </c>
      <c r="U124" s="13">
        <v>17279424.25</v>
      </c>
      <c r="V124" s="13">
        <v>9290703.25</v>
      </c>
      <c r="W124" s="13">
        <v>9897195.2700000033</v>
      </c>
      <c r="X124" s="13">
        <v>7584489.9399999976</v>
      </c>
      <c r="Y124" s="13">
        <f t="shared" si="10"/>
        <v>72384978</v>
      </c>
    </row>
    <row r="125" spans="1:25" ht="15" thickTop="1" x14ac:dyDescent="0.35">
      <c r="B125" s="10">
        <f t="shared" si="8"/>
        <v>0</v>
      </c>
      <c r="C125" s="10">
        <f t="shared" si="8"/>
        <v>0</v>
      </c>
      <c r="D125" s="10">
        <f t="shared" si="8"/>
        <v>0</v>
      </c>
      <c r="E125" s="10">
        <f t="shared" si="8"/>
        <v>0</v>
      </c>
      <c r="F125" s="10">
        <f t="shared" si="8"/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f t="shared" si="9"/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f t="shared" si="10"/>
        <v>0</v>
      </c>
    </row>
    <row r="126" spans="1:25" x14ac:dyDescent="0.35">
      <c r="A126" t="s">
        <v>4</v>
      </c>
      <c r="B126" s="10">
        <f t="shared" si="8"/>
        <v>0</v>
      </c>
      <c r="C126" s="10">
        <f t="shared" si="8"/>
        <v>0</v>
      </c>
      <c r="D126" s="10">
        <f t="shared" si="8"/>
        <v>0</v>
      </c>
      <c r="E126" s="10">
        <f t="shared" si="8"/>
        <v>0</v>
      </c>
      <c r="F126" s="10">
        <f t="shared" si="8"/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f t="shared" si="9"/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f t="shared" si="10"/>
        <v>0</v>
      </c>
    </row>
    <row r="127" spans="1:25" x14ac:dyDescent="0.35">
      <c r="A127" t="s">
        <v>8</v>
      </c>
      <c r="B127" s="10">
        <f t="shared" si="8"/>
        <v>0</v>
      </c>
      <c r="C127" s="10">
        <f t="shared" si="8"/>
        <v>0</v>
      </c>
      <c r="D127" s="10">
        <f t="shared" si="8"/>
        <v>0</v>
      </c>
      <c r="E127" s="10">
        <f t="shared" si="8"/>
        <v>0</v>
      </c>
      <c r="F127" s="10">
        <f t="shared" si="8"/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f t="shared" si="9"/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f t="shared" si="10"/>
        <v>0</v>
      </c>
    </row>
    <row r="128" spans="1:25" x14ac:dyDescent="0.35">
      <c r="A128" t="s">
        <v>9</v>
      </c>
      <c r="B128" s="10">
        <f t="shared" si="8"/>
        <v>0</v>
      </c>
      <c r="C128" s="10">
        <f t="shared" si="8"/>
        <v>0</v>
      </c>
      <c r="D128" s="10">
        <f t="shared" si="8"/>
        <v>0</v>
      </c>
      <c r="E128" s="10">
        <f t="shared" si="8"/>
        <v>0</v>
      </c>
      <c r="F128" s="10">
        <f t="shared" si="8"/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f t="shared" si="9"/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f t="shared" si="10"/>
        <v>0</v>
      </c>
    </row>
    <row r="129" spans="1:25" x14ac:dyDescent="0.35">
      <c r="A129" t="s">
        <v>10</v>
      </c>
      <c r="B129" s="10">
        <f t="shared" si="8"/>
        <v>0</v>
      </c>
      <c r="C129" s="10">
        <f t="shared" si="8"/>
        <v>0</v>
      </c>
      <c r="D129" s="10">
        <f t="shared" si="8"/>
        <v>0</v>
      </c>
      <c r="E129" s="10">
        <f t="shared" si="8"/>
        <v>0</v>
      </c>
      <c r="F129" s="10">
        <f t="shared" si="8"/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f t="shared" si="9"/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f t="shared" si="10"/>
        <v>0</v>
      </c>
    </row>
    <row r="130" spans="1:25" ht="15" thickBot="1" x14ac:dyDescent="0.4">
      <c r="A130" s="12" t="s">
        <v>11</v>
      </c>
      <c r="B130" s="13">
        <f t="shared" si="8"/>
        <v>11144614.498031437</v>
      </c>
      <c r="C130" s="13">
        <f t="shared" si="8"/>
        <v>13024259.663179379</v>
      </c>
      <c r="D130" s="13">
        <f t="shared" si="8"/>
        <v>9572904.7189293895</v>
      </c>
      <c r="E130" s="13">
        <f t="shared" si="8"/>
        <v>12637337.54887688</v>
      </c>
      <c r="F130" s="13">
        <f t="shared" si="8"/>
        <v>28285029.960982919</v>
      </c>
      <c r="G130" s="13">
        <v>74664146.390000001</v>
      </c>
      <c r="H130" s="13">
        <v>12901080.399999991</v>
      </c>
      <c r="I130" s="13">
        <v>17384368.219999999</v>
      </c>
      <c r="J130" s="13">
        <v>14007569.63000001</v>
      </c>
      <c r="K130" s="13">
        <v>15038951.849999979</v>
      </c>
      <c r="L130" s="13">
        <v>13481132.640000015</v>
      </c>
      <c r="M130" s="13">
        <v>13880754.280000001</v>
      </c>
      <c r="N130" s="13">
        <v>10421099.289999992</v>
      </c>
      <c r="O130" s="13">
        <f t="shared" si="9"/>
        <v>171779102.69999999</v>
      </c>
      <c r="P130" s="14"/>
      <c r="Q130" s="13">
        <v>6808284.1799999997</v>
      </c>
      <c r="R130" s="13">
        <v>7956566.0199999996</v>
      </c>
      <c r="S130" s="13">
        <v>5848121.1500000022</v>
      </c>
      <c r="T130" s="13">
        <v>7720193.9399999976</v>
      </c>
      <c r="U130" s="13">
        <v>17279424.25</v>
      </c>
      <c r="V130" s="13">
        <v>9290703.25</v>
      </c>
      <c r="W130" s="13">
        <v>9897195.2700000033</v>
      </c>
      <c r="X130" s="13">
        <v>7584489.9399999976</v>
      </c>
      <c r="Y130" s="13">
        <f t="shared" si="10"/>
        <v>72384978</v>
      </c>
    </row>
    <row r="131" spans="1:25" ht="15" thickTop="1" x14ac:dyDescent="0.35">
      <c r="B131" s="10">
        <f t="shared" si="8"/>
        <v>0</v>
      </c>
      <c r="C131" s="10">
        <f t="shared" si="8"/>
        <v>0</v>
      </c>
      <c r="D131" s="10">
        <f t="shared" si="8"/>
        <v>0</v>
      </c>
      <c r="E131" s="10">
        <f t="shared" si="8"/>
        <v>0</v>
      </c>
      <c r="F131" s="10">
        <f t="shared" si="8"/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f t="shared" si="9"/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f t="shared" si="10"/>
        <v>0</v>
      </c>
    </row>
    <row r="132" spans="1:25" x14ac:dyDescent="0.35">
      <c r="A132" t="s">
        <v>12</v>
      </c>
      <c r="B132" s="10">
        <f t="shared" si="8"/>
        <v>976409.63060580567</v>
      </c>
      <c r="C132" s="10">
        <f t="shared" si="8"/>
        <v>1863601.2871722723</v>
      </c>
      <c r="D132" s="10">
        <f t="shared" si="8"/>
        <v>1090916.0363645102</v>
      </c>
      <c r="E132" s="10">
        <f t="shared" si="8"/>
        <v>2291698.2942062733</v>
      </c>
      <c r="F132" s="10">
        <f t="shared" si="8"/>
        <v>8624259.5516511388</v>
      </c>
      <c r="G132" s="10">
        <v>14846884.800000001</v>
      </c>
      <c r="H132" s="10">
        <v>947761.22999999858</v>
      </c>
      <c r="I132" s="10">
        <v>2111616.1500000004</v>
      </c>
      <c r="J132" s="10">
        <v>1099029.3599999994</v>
      </c>
      <c r="K132" s="10">
        <v>1124187.5</v>
      </c>
      <c r="L132" s="10">
        <v>1186640.9499999993</v>
      </c>
      <c r="M132" s="10">
        <v>1261832.7800000012</v>
      </c>
      <c r="N132" s="10">
        <v>1498825.4900000021</v>
      </c>
      <c r="O132" s="10">
        <f t="shared" si="9"/>
        <v>24076778.260000002</v>
      </c>
      <c r="Q132" s="10">
        <v>1382046.63</v>
      </c>
      <c r="R132" s="10">
        <v>2637810.81</v>
      </c>
      <c r="S132" s="10">
        <v>1544123.27</v>
      </c>
      <c r="T132" s="10">
        <v>3243755.29</v>
      </c>
      <c r="U132" s="10">
        <v>12207098.82</v>
      </c>
      <c r="V132" s="10">
        <v>3469618.6400000006</v>
      </c>
      <c r="W132" s="10">
        <v>4685680.6099999994</v>
      </c>
      <c r="X132" s="10">
        <v>2354169.6699999981</v>
      </c>
      <c r="Y132" s="10">
        <f t="shared" si="10"/>
        <v>31524303.739999998</v>
      </c>
    </row>
    <row r="133" spans="1:25" x14ac:dyDescent="0.35">
      <c r="B133" s="10">
        <f t="shared" si="8"/>
        <v>0</v>
      </c>
      <c r="C133" s="10">
        <f t="shared" si="8"/>
        <v>0</v>
      </c>
      <c r="D133" s="10">
        <f t="shared" si="8"/>
        <v>0</v>
      </c>
      <c r="E133" s="10">
        <f t="shared" si="8"/>
        <v>0</v>
      </c>
      <c r="F133" s="10">
        <f t="shared" si="8"/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f t="shared" si="9"/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f t="shared" si="10"/>
        <v>0</v>
      </c>
    </row>
    <row r="134" spans="1:25" ht="15" thickBot="1" x14ac:dyDescent="0.4">
      <c r="A134" s="12" t="s">
        <v>13</v>
      </c>
      <c r="B134" s="13">
        <f t="shared" si="8"/>
        <v>13195621.904218689</v>
      </c>
      <c r="C134" s="13">
        <f t="shared" si="8"/>
        <v>12934244.419920996</v>
      </c>
      <c r="D134" s="13">
        <f t="shared" si="8"/>
        <v>10466539.324478857</v>
      </c>
      <c r="E134" s="13">
        <f t="shared" si="8"/>
        <v>10885883.885203499</v>
      </c>
      <c r="F134" s="13">
        <f t="shared" si="8"/>
        <v>12334972.056177955</v>
      </c>
      <c r="G134" s="13">
        <v>59817261.589999996</v>
      </c>
      <c r="H134" s="13">
        <v>11953319.169999979</v>
      </c>
      <c r="I134" s="13">
        <v>15272752.070000023</v>
      </c>
      <c r="J134" s="13">
        <v>12908540.269999996</v>
      </c>
      <c r="K134" s="13">
        <v>13914764.349999979</v>
      </c>
      <c r="L134" s="13">
        <v>12294491.689999998</v>
      </c>
      <c r="M134" s="13">
        <v>12618921.500000045</v>
      </c>
      <c r="N134" s="13">
        <v>8922273.7999999821</v>
      </c>
      <c r="O134" s="13">
        <f t="shared" si="9"/>
        <v>147702324.44000003</v>
      </c>
      <c r="P134" s="14"/>
      <c r="Q134" s="13">
        <v>5426237.5499999998</v>
      </c>
      <c r="R134" s="13">
        <v>5318755.21</v>
      </c>
      <c r="S134" s="13">
        <v>4303997.8800000008</v>
      </c>
      <c r="T134" s="13">
        <v>4476438.6499999985</v>
      </c>
      <c r="U134" s="13">
        <v>5072325.4300000034</v>
      </c>
      <c r="V134" s="13">
        <v>5821084.6099999957</v>
      </c>
      <c r="W134" s="13">
        <v>5211514.6600000039</v>
      </c>
      <c r="X134" s="13">
        <v>5230320.2699999958</v>
      </c>
      <c r="Y134" s="13">
        <f t="shared" si="10"/>
        <v>40860674.259999998</v>
      </c>
    </row>
    <row r="135" spans="1:25" ht="15" thickTop="1" x14ac:dyDescent="0.35">
      <c r="B135" s="10">
        <f t="shared" si="8"/>
        <v>0</v>
      </c>
      <c r="C135" s="10">
        <f t="shared" si="8"/>
        <v>0</v>
      </c>
      <c r="D135" s="10">
        <f t="shared" si="8"/>
        <v>0</v>
      </c>
      <c r="E135" s="10">
        <f t="shared" si="8"/>
        <v>0</v>
      </c>
      <c r="F135" s="10">
        <f t="shared" si="8"/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f t="shared" si="9"/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f t="shared" si="10"/>
        <v>0</v>
      </c>
    </row>
    <row r="136" spans="1:25" x14ac:dyDescent="0.35">
      <c r="A136" t="s">
        <v>14</v>
      </c>
      <c r="B136" s="10">
        <f t="shared" si="8"/>
        <v>127988.02800000121</v>
      </c>
      <c r="C136" s="10">
        <f t="shared" si="8"/>
        <v>127988.02800000121</v>
      </c>
      <c r="D136" s="10">
        <f t="shared" si="8"/>
        <v>127988.02800000121</v>
      </c>
      <c r="E136" s="10">
        <f t="shared" si="8"/>
        <v>127988.02800000121</v>
      </c>
      <c r="F136" s="10">
        <f t="shared" si="8"/>
        <v>127988.02800000121</v>
      </c>
      <c r="G136" s="10">
        <v>639940.14000000607</v>
      </c>
      <c r="H136" s="10">
        <v>-23733.900000006543</v>
      </c>
      <c r="I136" s="10">
        <v>135875.07999999798</v>
      </c>
      <c r="J136" s="10">
        <v>-502307.55000000499</v>
      </c>
      <c r="K136" s="10">
        <v>-159704.59999998275</v>
      </c>
      <c r="L136" s="10">
        <v>-1471771.220000017</v>
      </c>
      <c r="M136" s="10">
        <v>-2240528.4199999878</v>
      </c>
      <c r="N136" s="10">
        <v>-4432329.4799999855</v>
      </c>
      <c r="O136" s="10">
        <f t="shared" si="9"/>
        <v>-8054559.9499999806</v>
      </c>
      <c r="Q136" s="10">
        <v>149162.66000000018</v>
      </c>
      <c r="R136" s="10">
        <v>-857941.96000000031</v>
      </c>
      <c r="S136" s="10">
        <v>-228814.25000000035</v>
      </c>
      <c r="T136" s="10">
        <v>-381672.77</v>
      </c>
      <c r="U136" s="10">
        <v>812654.77000000095</v>
      </c>
      <c r="V136" s="10">
        <v>311322.29000000004</v>
      </c>
      <c r="W136" s="10">
        <v>1189656.8900000001</v>
      </c>
      <c r="X136" s="10">
        <v>-429304.12000000058</v>
      </c>
      <c r="Y136" s="10">
        <f t="shared" si="10"/>
        <v>565063.51</v>
      </c>
    </row>
    <row r="137" spans="1:25" x14ac:dyDescent="0.35">
      <c r="A137" t="s">
        <v>15</v>
      </c>
      <c r="B137" s="10">
        <f t="shared" si="8"/>
        <v>5249940.6866410496</v>
      </c>
      <c r="C137" s="10">
        <f t="shared" si="8"/>
        <v>7342519.0727063864</v>
      </c>
      <c r="D137" s="10">
        <f t="shared" si="8"/>
        <v>5935635.725345985</v>
      </c>
      <c r="E137" s="10">
        <f t="shared" si="8"/>
        <v>6528768.0034780474</v>
      </c>
      <c r="F137" s="10">
        <f t="shared" si="8"/>
        <v>9932996.5018285327</v>
      </c>
      <c r="G137" s="10">
        <v>34989859.990000002</v>
      </c>
      <c r="H137" s="10">
        <v>7288751.8099999949</v>
      </c>
      <c r="I137" s="10">
        <v>7929935.7100000009</v>
      </c>
      <c r="J137" s="10">
        <v>7541517.7800000012</v>
      </c>
      <c r="K137" s="10">
        <v>7857626.7400000095</v>
      </c>
      <c r="L137" s="10">
        <v>7402682.7499999925</v>
      </c>
      <c r="M137" s="10">
        <v>5234733.0300000012</v>
      </c>
      <c r="N137" s="10">
        <v>1694582.200000003</v>
      </c>
      <c r="O137" s="10">
        <f t="shared" si="9"/>
        <v>79939690.010000005</v>
      </c>
      <c r="Q137" s="10">
        <v>1095587.8600000001</v>
      </c>
      <c r="R137" s="10">
        <v>1532279.1699999997</v>
      </c>
      <c r="S137" s="10">
        <v>1238682.6500000004</v>
      </c>
      <c r="T137" s="10">
        <v>1362460.9099999997</v>
      </c>
      <c r="U137" s="10">
        <v>2072874.92</v>
      </c>
      <c r="V137" s="10">
        <v>1729087.2200000007</v>
      </c>
      <c r="W137" s="10">
        <v>2519711</v>
      </c>
      <c r="X137" s="10">
        <v>1892653.2199999988</v>
      </c>
      <c r="Y137" s="10">
        <f t="shared" si="10"/>
        <v>13443336.949999999</v>
      </c>
    </row>
    <row r="138" spans="1:25" x14ac:dyDescent="0.35">
      <c r="A138" t="s">
        <v>16</v>
      </c>
      <c r="B138" s="10">
        <f t="shared" si="8"/>
        <v>4163365.819852178</v>
      </c>
      <c r="C138" s="10">
        <f t="shared" si="8"/>
        <v>10514687.219370797</v>
      </c>
      <c r="D138" s="10">
        <f t="shared" si="8"/>
        <v>6455583.0024380488</v>
      </c>
      <c r="E138" s="10">
        <f t="shared" si="8"/>
        <v>7672520.2885183059</v>
      </c>
      <c r="F138" s="10">
        <f t="shared" si="8"/>
        <v>5543763.5198206715</v>
      </c>
      <c r="G138" s="10">
        <v>34349919.850000001</v>
      </c>
      <c r="H138" s="10">
        <v>7312485.7100000009</v>
      </c>
      <c r="I138" s="10">
        <v>7794060.6299999952</v>
      </c>
      <c r="J138" s="10">
        <v>8043825.3300000057</v>
      </c>
      <c r="K138" s="10">
        <v>8017331.3399999961</v>
      </c>
      <c r="L138" s="10">
        <v>8874453.9699999988</v>
      </c>
      <c r="M138" s="10">
        <v>7475261.450000003</v>
      </c>
      <c r="N138" s="10">
        <v>6126911.6799999923</v>
      </c>
      <c r="O138" s="10">
        <f t="shared" si="9"/>
        <v>87994249.959999993</v>
      </c>
      <c r="Q138" s="10">
        <v>946425.2</v>
      </c>
      <c r="R138" s="10">
        <v>2390221.13</v>
      </c>
      <c r="S138" s="10">
        <v>1467496.9000000004</v>
      </c>
      <c r="T138" s="10">
        <v>1744133.6799999997</v>
      </c>
      <c r="U138" s="10">
        <v>1260220.1499999994</v>
      </c>
      <c r="V138" s="10">
        <v>1417764.9300000006</v>
      </c>
      <c r="W138" s="10">
        <v>1330054.1099999994</v>
      </c>
      <c r="X138" s="10">
        <v>2321957.34</v>
      </c>
      <c r="Y138" s="10">
        <f t="shared" si="10"/>
        <v>12878273.439999999</v>
      </c>
    </row>
    <row r="139" spans="1:25" ht="15" thickBot="1" x14ac:dyDescent="0.4">
      <c r="A139" s="12" t="s">
        <v>17</v>
      </c>
      <c r="B139" s="13">
        <f t="shared" si="8"/>
        <v>12439396.148168663</v>
      </c>
      <c r="C139" s="13">
        <f t="shared" si="8"/>
        <v>14560032.704956036</v>
      </c>
      <c r="D139" s="13">
        <f t="shared" si="8"/>
        <v>10684981.154454343</v>
      </c>
      <c r="E139" s="13">
        <f t="shared" si="8"/>
        <v>11451793.606310222</v>
      </c>
      <c r="F139" s="13">
        <f t="shared" si="8"/>
        <v>10041117.836110722</v>
      </c>
      <c r="G139" s="13">
        <v>59177321.449999988</v>
      </c>
      <c r="H139" s="13">
        <v>11977053.069999993</v>
      </c>
      <c r="I139" s="13">
        <v>15136876.990000024</v>
      </c>
      <c r="J139" s="13">
        <v>13410847.819999993</v>
      </c>
      <c r="K139" s="13">
        <v>14074468.949999973</v>
      </c>
      <c r="L139" s="13">
        <v>13766262.910000011</v>
      </c>
      <c r="M139" s="13">
        <v>14859449.920000002</v>
      </c>
      <c r="N139" s="13">
        <v>13354603.279999971</v>
      </c>
      <c r="O139" s="13">
        <f t="shared" si="9"/>
        <v>155756884.38999996</v>
      </c>
      <c r="P139" s="14"/>
      <c r="Q139" s="13">
        <v>5277074.8899999997</v>
      </c>
      <c r="R139" s="13">
        <v>6176697.169999999</v>
      </c>
      <c r="S139" s="13">
        <v>4532812.1300000027</v>
      </c>
      <c r="T139" s="13">
        <v>4858111.4200000018</v>
      </c>
      <c r="U139" s="13">
        <v>4259670.6599999964</v>
      </c>
      <c r="V139" s="13">
        <v>5509762.3200000003</v>
      </c>
      <c r="W139" s="13">
        <v>4021857.7699999996</v>
      </c>
      <c r="X139" s="13">
        <v>5659624.3900000006</v>
      </c>
      <c r="Y139" s="13">
        <f t="shared" si="10"/>
        <v>40295610.75</v>
      </c>
    </row>
    <row r="140" spans="1:25" ht="15" thickTop="1" x14ac:dyDescent="0.35">
      <c r="B140" s="10">
        <f t="shared" si="8"/>
        <v>0</v>
      </c>
      <c r="C140" s="10">
        <f t="shared" si="8"/>
        <v>0</v>
      </c>
      <c r="D140" s="10">
        <f t="shared" si="8"/>
        <v>0</v>
      </c>
      <c r="E140" s="10">
        <f t="shared" si="8"/>
        <v>0</v>
      </c>
      <c r="F140" s="10">
        <f t="shared" si="8"/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f t="shared" si="9"/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f t="shared" si="10"/>
        <v>0</v>
      </c>
    </row>
    <row r="141" spans="1:25" x14ac:dyDescent="0.35">
      <c r="A141" t="s">
        <v>18</v>
      </c>
      <c r="B141" s="10">
        <f t="shared" si="8"/>
        <v>7958384.2590555521</v>
      </c>
      <c r="C141" s="10">
        <f t="shared" si="8"/>
        <v>12882938.136294214</v>
      </c>
      <c r="D141" s="10">
        <f t="shared" si="8"/>
        <v>10936739.767629659</v>
      </c>
      <c r="E141" s="10">
        <f t="shared" si="8"/>
        <v>10356005.685276236</v>
      </c>
      <c r="F141" s="10">
        <f t="shared" si="8"/>
        <v>10415692.551744338</v>
      </c>
      <c r="G141" s="10">
        <v>52549760.399999999</v>
      </c>
      <c r="H141" s="10">
        <v>8478395.6899999976</v>
      </c>
      <c r="I141" s="10">
        <v>14076986.050000004</v>
      </c>
      <c r="J141" s="10">
        <v>12037030.959999993</v>
      </c>
      <c r="K141" s="10">
        <v>12589659.460000008</v>
      </c>
      <c r="L141" s="10">
        <v>12616049.50999999</v>
      </c>
      <c r="M141" s="10">
        <v>11677861.169999987</v>
      </c>
      <c r="N141" s="10">
        <v>11885601.160000026</v>
      </c>
      <c r="O141" s="10">
        <f t="shared" si="9"/>
        <v>135911344.40000004</v>
      </c>
      <c r="Q141" s="10">
        <v>4028664.5399999996</v>
      </c>
      <c r="R141" s="10">
        <v>6521554.4200000018</v>
      </c>
      <c r="S141" s="10">
        <v>5536356.9100000001</v>
      </c>
      <c r="T141" s="10">
        <v>5242379.799999997</v>
      </c>
      <c r="U141" s="10">
        <v>5272594.2700000033</v>
      </c>
      <c r="V141" s="10">
        <v>5739210.929999996</v>
      </c>
      <c r="W141" s="10">
        <v>4684958.3500000015</v>
      </c>
      <c r="X141" s="10">
        <v>6987562.6799999997</v>
      </c>
      <c r="Y141" s="10">
        <f t="shared" si="10"/>
        <v>44013281.899999999</v>
      </c>
    </row>
    <row r="142" spans="1:25" x14ac:dyDescent="0.35">
      <c r="A142" t="s">
        <v>19</v>
      </c>
      <c r="B142" s="10">
        <f t="shared" si="8"/>
        <v>710000.8896912412</v>
      </c>
      <c r="C142" s="10">
        <f t="shared" si="8"/>
        <v>6841452.0684357723</v>
      </c>
      <c r="D142" s="10">
        <f t="shared" si="8"/>
        <v>8056400.7869739849</v>
      </c>
      <c r="E142" s="10">
        <f t="shared" si="8"/>
        <v>6974142.8411838179</v>
      </c>
      <c r="F142" s="10">
        <f t="shared" si="8"/>
        <v>5613017.973715188</v>
      </c>
      <c r="G142" s="10">
        <v>28195014.560000002</v>
      </c>
      <c r="H142" s="10">
        <v>4321317.099999994</v>
      </c>
      <c r="I142" s="10">
        <v>8685691.4200000018</v>
      </c>
      <c r="J142" s="10">
        <v>6635487.3900000006</v>
      </c>
      <c r="K142" s="10">
        <v>7260554.400000006</v>
      </c>
      <c r="L142" s="10">
        <v>6836649.7799999937</v>
      </c>
      <c r="M142" s="10">
        <v>6567852.5800000057</v>
      </c>
      <c r="N142" s="10">
        <v>4084153.799999997</v>
      </c>
      <c r="O142" s="10">
        <f t="shared" si="9"/>
        <v>72586721.030000001</v>
      </c>
      <c r="Q142" s="10">
        <v>142296.31999999998</v>
      </c>
      <c r="R142" s="10">
        <v>1371143.99</v>
      </c>
      <c r="S142" s="10">
        <v>1614640.4900000002</v>
      </c>
      <c r="T142" s="10">
        <v>1397737.4899999988</v>
      </c>
      <c r="U142" s="10">
        <v>1124944.7900000019</v>
      </c>
      <c r="V142" s="10">
        <v>1826598.0899999989</v>
      </c>
      <c r="W142" s="10">
        <v>1000902.5399999991</v>
      </c>
      <c r="X142" s="10">
        <v>1559996.120000001</v>
      </c>
      <c r="Y142" s="10">
        <f t="shared" si="10"/>
        <v>10038259.83</v>
      </c>
    </row>
    <row r="143" spans="1:25" x14ac:dyDescent="0.35">
      <c r="A143" t="s">
        <v>20</v>
      </c>
      <c r="B143" s="10">
        <f t="shared" si="8"/>
        <v>1178723.9820015531</v>
      </c>
      <c r="C143" s="10">
        <f t="shared" si="8"/>
        <v>6655280.2252942231</v>
      </c>
      <c r="D143" s="10">
        <f t="shared" si="8"/>
        <v>7617321.4283435103</v>
      </c>
      <c r="E143" s="10">
        <f t="shared" si="8"/>
        <v>6744650.6855043406</v>
      </c>
      <c r="F143" s="10">
        <f t="shared" si="8"/>
        <v>6326281.9388563745</v>
      </c>
      <c r="G143" s="10">
        <v>28522258.260000002</v>
      </c>
      <c r="H143" s="10">
        <v>4294215.5299999937</v>
      </c>
      <c r="I143" s="10">
        <v>8685691.4200000055</v>
      </c>
      <c r="J143" s="10">
        <v>6635487.3900000006</v>
      </c>
      <c r="K143" s="10">
        <v>7260554.3999999985</v>
      </c>
      <c r="L143" s="10">
        <v>6836649.7800000012</v>
      </c>
      <c r="M143" s="10">
        <v>6567852.5799999982</v>
      </c>
      <c r="N143" s="10">
        <v>4084153.799999997</v>
      </c>
      <c r="O143" s="10">
        <f t="shared" si="9"/>
        <v>72886863.159999996</v>
      </c>
      <c r="Q143" s="10">
        <v>274169.76</v>
      </c>
      <c r="R143" s="10">
        <v>1548010.06</v>
      </c>
      <c r="S143" s="10">
        <v>1771779.6700000002</v>
      </c>
      <c r="T143" s="10">
        <v>1568797.5199999996</v>
      </c>
      <c r="U143" s="10">
        <v>1471485.46</v>
      </c>
      <c r="V143" s="10">
        <v>2053297.63</v>
      </c>
      <c r="W143" s="10">
        <v>1657078.67</v>
      </c>
      <c r="X143" s="10">
        <v>1720956.6900000013</v>
      </c>
      <c r="Y143" s="10">
        <f t="shared" si="10"/>
        <v>12065575.460000001</v>
      </c>
    </row>
    <row r="144" spans="1:25" x14ac:dyDescent="0.35">
      <c r="A144" t="s">
        <v>21</v>
      </c>
      <c r="B144" s="10">
        <f t="shared" si="8"/>
        <v>43879.671375043254</v>
      </c>
      <c r="C144" s="10">
        <f t="shared" si="8"/>
        <v>58850.554205573135</v>
      </c>
      <c r="D144" s="10">
        <f t="shared" si="8"/>
        <v>52286.613426811113</v>
      </c>
      <c r="E144" s="10">
        <f t="shared" si="8"/>
        <v>56918.647923380464</v>
      </c>
      <c r="F144" s="10">
        <f t="shared" si="8"/>
        <v>115308.21306919205</v>
      </c>
      <c r="G144" s="10">
        <v>327243.7</v>
      </c>
      <c r="H144" s="10">
        <v>-27101.570000000007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f t="shared" si="9"/>
        <v>300142.13</v>
      </c>
      <c r="Q144" s="10">
        <v>131873.44</v>
      </c>
      <c r="R144" s="10">
        <v>176866.07</v>
      </c>
      <c r="S144" s="10">
        <v>157139.18</v>
      </c>
      <c r="T144" s="10">
        <v>171060.02999999997</v>
      </c>
      <c r="U144" s="10">
        <v>346540.67000000004</v>
      </c>
      <c r="V144" s="10">
        <v>226699.53999999992</v>
      </c>
      <c r="W144" s="10">
        <v>656176.13000000012</v>
      </c>
      <c r="X144" s="10">
        <v>160960.56999999983</v>
      </c>
      <c r="Y144" s="10">
        <f t="shared" si="10"/>
        <v>2027315.63</v>
      </c>
    </row>
    <row r="145" spans="1:25" ht="15" thickBot="1" x14ac:dyDescent="0.4">
      <c r="A145" s="12" t="s">
        <v>22</v>
      </c>
      <c r="B145" s="13">
        <f t="shared" si="8"/>
        <v>4517802.1652000705</v>
      </c>
      <c r="C145" s="13">
        <f t="shared" si="8"/>
        <v>5987218.4196491372</v>
      </c>
      <c r="D145" s="13">
        <f t="shared" si="8"/>
        <v>4558893.5300568789</v>
      </c>
      <c r="E145" s="13">
        <f t="shared" si="8"/>
        <v>4469296.8780343197</v>
      </c>
      <c r="F145" s="13">
        <f t="shared" si="8"/>
        <v>4821534.8470595898</v>
      </c>
      <c r="G145" s="13">
        <v>24354745.839999996</v>
      </c>
      <c r="H145" s="13">
        <v>4157078.5900000036</v>
      </c>
      <c r="I145" s="13">
        <v>5391294.6299999952</v>
      </c>
      <c r="J145" s="13">
        <v>5401543.5700000003</v>
      </c>
      <c r="K145" s="13">
        <v>5329105.0600000024</v>
      </c>
      <c r="L145" s="13">
        <v>5779399.7299999967</v>
      </c>
      <c r="M145" s="13">
        <v>5110008.5899999961</v>
      </c>
      <c r="N145" s="13">
        <v>7801447.3600000143</v>
      </c>
      <c r="O145" s="13">
        <f t="shared" si="9"/>
        <v>63324623.370000005</v>
      </c>
      <c r="P145" s="14"/>
      <c r="Q145" s="13">
        <v>3886368.2199999997</v>
      </c>
      <c r="R145" s="13">
        <v>5150410.4300000006</v>
      </c>
      <c r="S145" s="13">
        <v>3921716.42</v>
      </c>
      <c r="T145" s="13">
        <v>3844642.3099999987</v>
      </c>
      <c r="U145" s="13">
        <v>4147649.4800000004</v>
      </c>
      <c r="V145" s="13">
        <v>3912612.84</v>
      </c>
      <c r="W145" s="13">
        <v>3684055.8099999987</v>
      </c>
      <c r="X145" s="13">
        <v>5427566.5600000024</v>
      </c>
      <c r="Y145" s="13">
        <f t="shared" si="10"/>
        <v>33975022.07</v>
      </c>
    </row>
    <row r="146" spans="1:25" ht="15" thickTop="1" x14ac:dyDescent="0.35">
      <c r="A146" t="s">
        <v>23</v>
      </c>
      <c r="B146" s="10">
        <f t="shared" si="8"/>
        <v>4209241.9359697886</v>
      </c>
      <c r="C146" s="10">
        <f t="shared" si="8"/>
        <v>5852483.642591496</v>
      </c>
      <c r="D146" s="10">
        <f t="shared" si="8"/>
        <v>4468731.4612450348</v>
      </c>
      <c r="E146" s="10">
        <f t="shared" si="8"/>
        <v>4607316.4863983681</v>
      </c>
      <c r="F146" s="10">
        <f t="shared" si="8"/>
        <v>5916097.2237953125</v>
      </c>
      <c r="G146" s="10">
        <v>25053870.75</v>
      </c>
      <c r="H146" s="10">
        <v>4042996.1000000015</v>
      </c>
      <c r="I146" s="10">
        <v>5553122.299999997</v>
      </c>
      <c r="J146" s="10">
        <v>5525369.0500000045</v>
      </c>
      <c r="K146" s="10">
        <v>5867744.5700000003</v>
      </c>
      <c r="L146" s="10">
        <v>6028410.4099999964</v>
      </c>
      <c r="M146" s="10">
        <v>5923228.8699999973</v>
      </c>
      <c r="N146" s="10">
        <v>8424996.799999997</v>
      </c>
      <c r="O146" s="10">
        <f t="shared" si="9"/>
        <v>66419738.849999994</v>
      </c>
      <c r="Q146" s="10">
        <v>3958962.55</v>
      </c>
      <c r="R146" s="10">
        <v>5504497.9400000004</v>
      </c>
      <c r="S146" s="10">
        <v>4203022.959999999</v>
      </c>
      <c r="T146" s="10">
        <v>4333367.7899999991</v>
      </c>
      <c r="U146" s="10">
        <v>5564329.0899999999</v>
      </c>
      <c r="V146" s="10">
        <v>4061033.9600000009</v>
      </c>
      <c r="W146" s="10">
        <v>3971635.6900000013</v>
      </c>
      <c r="X146" s="10">
        <v>5874199.9700000025</v>
      </c>
      <c r="Y146" s="10">
        <f t="shared" si="10"/>
        <v>37471049.950000003</v>
      </c>
    </row>
    <row r="147" spans="1:25" x14ac:dyDescent="0.35">
      <c r="A147" t="s">
        <v>24</v>
      </c>
      <c r="B147" s="10">
        <f t="shared" si="8"/>
        <v>0</v>
      </c>
      <c r="C147" s="10">
        <f t="shared" si="8"/>
        <v>0</v>
      </c>
      <c r="D147" s="10">
        <f t="shared" si="8"/>
        <v>0</v>
      </c>
      <c r="E147" s="10">
        <f t="shared" si="8"/>
        <v>0</v>
      </c>
      <c r="F147" s="10">
        <f t="shared" si="8"/>
        <v>0</v>
      </c>
      <c r="G147" s="10">
        <v>0</v>
      </c>
      <c r="H147" s="10">
        <v>0</v>
      </c>
      <c r="I147" s="10">
        <v>0</v>
      </c>
      <c r="J147" s="10">
        <v>439.88</v>
      </c>
      <c r="K147" s="10">
        <v>0</v>
      </c>
      <c r="L147" s="10">
        <v>0</v>
      </c>
      <c r="M147" s="10">
        <v>0</v>
      </c>
      <c r="N147" s="10">
        <v>0</v>
      </c>
      <c r="O147" s="10">
        <f t="shared" si="9"/>
        <v>439.88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f t="shared" si="10"/>
        <v>0</v>
      </c>
    </row>
    <row r="148" spans="1:25" x14ac:dyDescent="0.35">
      <c r="A148" t="s">
        <v>25</v>
      </c>
      <c r="B148" s="10">
        <f t="shared" si="8"/>
        <v>0</v>
      </c>
      <c r="C148" s="10">
        <f t="shared" si="8"/>
        <v>0</v>
      </c>
      <c r="D148" s="10">
        <f t="shared" si="8"/>
        <v>0</v>
      </c>
      <c r="E148" s="10">
        <f t="shared" si="8"/>
        <v>0</v>
      </c>
      <c r="F148" s="10">
        <f t="shared" si="8"/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f t="shared" si="9"/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f t="shared" si="10"/>
        <v>0</v>
      </c>
    </row>
    <row r="149" spans="1:25" x14ac:dyDescent="0.35">
      <c r="A149" t="s">
        <v>26</v>
      </c>
      <c r="B149" s="10">
        <f t="shared" si="8"/>
        <v>16571.768871934179</v>
      </c>
      <c r="C149" s="10">
        <f t="shared" si="8"/>
        <v>94419.261221756577</v>
      </c>
      <c r="D149" s="10">
        <f t="shared" si="8"/>
        <v>74231.173403880792</v>
      </c>
      <c r="E149" s="10">
        <f t="shared" si="8"/>
        <v>90623.627811611033</v>
      </c>
      <c r="F149" s="10">
        <f t="shared" si="8"/>
        <v>341668.09869081748</v>
      </c>
      <c r="G149" s="10">
        <v>617513.93000000005</v>
      </c>
      <c r="H149" s="10">
        <v>-129029.39000000007</v>
      </c>
      <c r="I149" s="10">
        <v>142717.66999999998</v>
      </c>
      <c r="J149" s="10">
        <v>120869.38</v>
      </c>
      <c r="K149" s="10">
        <v>505331.81999999995</v>
      </c>
      <c r="L149" s="10">
        <v>155721.60000000009</v>
      </c>
      <c r="M149" s="10">
        <v>804988.42999999993</v>
      </c>
      <c r="N149" s="10">
        <v>615080.93999999994</v>
      </c>
      <c r="O149" s="10">
        <f t="shared" si="9"/>
        <v>2833194.38</v>
      </c>
      <c r="Q149" s="10">
        <v>61795.79</v>
      </c>
      <c r="R149" s="10">
        <v>352087.51</v>
      </c>
      <c r="S149" s="10">
        <v>276806.53999999998</v>
      </c>
      <c r="T149" s="10">
        <v>337933.66999999993</v>
      </c>
      <c r="U149" s="10">
        <v>1274073.4100000001</v>
      </c>
      <c r="V149" s="10">
        <v>97578.070000000298</v>
      </c>
      <c r="W149" s="10">
        <v>137764.71999999974</v>
      </c>
      <c r="X149" s="10">
        <v>435205.75</v>
      </c>
      <c r="Y149" s="10">
        <f t="shared" si="10"/>
        <v>2973245.46</v>
      </c>
    </row>
    <row r="150" spans="1:25" x14ac:dyDescent="0.35">
      <c r="A150" t="s">
        <v>27</v>
      </c>
      <c r="B150" s="10">
        <f t="shared" si="8"/>
        <v>2836.4635267729882</v>
      </c>
      <c r="C150" s="10">
        <f t="shared" si="8"/>
        <v>525.34204193770415</v>
      </c>
      <c r="D150" s="10">
        <f t="shared" si="8"/>
        <v>1182.0195943598344</v>
      </c>
      <c r="E150" s="10">
        <f t="shared" si="8"/>
        <v>39608.638686441162</v>
      </c>
      <c r="F150" s="10">
        <f t="shared" si="8"/>
        <v>37458.516150488307</v>
      </c>
      <c r="G150" s="10">
        <v>81610.98</v>
      </c>
      <c r="H150" s="10">
        <v>14946.900000000009</v>
      </c>
      <c r="I150" s="10">
        <v>19110</v>
      </c>
      <c r="J150" s="10">
        <v>3395.9799999999959</v>
      </c>
      <c r="K150" s="10">
        <v>33307.689999999988</v>
      </c>
      <c r="L150" s="10">
        <v>93289.080000000016</v>
      </c>
      <c r="M150" s="10">
        <v>8231.8500000000058</v>
      </c>
      <c r="N150" s="10">
        <v>8468.4999999999709</v>
      </c>
      <c r="O150" s="10">
        <f t="shared" si="9"/>
        <v>262360.98</v>
      </c>
      <c r="Q150" s="10">
        <v>10798.54</v>
      </c>
      <c r="R150" s="10">
        <v>2000</v>
      </c>
      <c r="S150" s="10">
        <v>4500</v>
      </c>
      <c r="T150" s="10">
        <v>150791.81</v>
      </c>
      <c r="U150" s="10">
        <v>142606.19999999998</v>
      </c>
      <c r="V150" s="10">
        <v>50843.049999999988</v>
      </c>
      <c r="W150" s="10">
        <v>149815.16000000003</v>
      </c>
      <c r="X150" s="10">
        <v>11427.659999999974</v>
      </c>
      <c r="Y150" s="10">
        <f t="shared" si="10"/>
        <v>522782.42</v>
      </c>
    </row>
    <row r="151" spans="1:25" x14ac:dyDescent="0.35">
      <c r="B151" s="10">
        <f t="shared" si="8"/>
        <v>0</v>
      </c>
      <c r="C151" s="10">
        <f t="shared" si="8"/>
        <v>0</v>
      </c>
      <c r="D151" s="10">
        <f t="shared" si="8"/>
        <v>0</v>
      </c>
      <c r="E151" s="10">
        <f t="shared" si="8"/>
        <v>0</v>
      </c>
      <c r="F151" s="10">
        <f t="shared" si="8"/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f t="shared" si="9"/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f t="shared" si="10"/>
        <v>0</v>
      </c>
    </row>
    <row r="152" spans="1:25" ht="15" thickBot="1" x14ac:dyDescent="0.4">
      <c r="A152" s="12" t="s">
        <v>28</v>
      </c>
      <c r="B152" s="13">
        <f t="shared" si="8"/>
        <v>1325512.2099999979</v>
      </c>
      <c r="C152" s="13">
        <f t="shared" si="8"/>
        <v>1325512.2099999979</v>
      </c>
      <c r="D152" s="13">
        <f t="shared" si="8"/>
        <v>1325512.2099999979</v>
      </c>
      <c r="E152" s="13">
        <f t="shared" si="8"/>
        <v>1325512.2099999979</v>
      </c>
      <c r="F152" s="13">
        <f t="shared" si="8"/>
        <v>1325512.2099999979</v>
      </c>
      <c r="G152" s="13">
        <v>6627561.0499999896</v>
      </c>
      <c r="H152" s="13">
        <v>3498657.3799999971</v>
      </c>
      <c r="I152" s="13">
        <v>1059890.9400000181</v>
      </c>
      <c r="J152" s="13">
        <v>1373816.859999992</v>
      </c>
      <c r="K152" s="13">
        <v>1484809.4899999704</v>
      </c>
      <c r="L152" s="13">
        <v>1150213.4000000227</v>
      </c>
      <c r="M152" s="13">
        <v>3181588.7500000112</v>
      </c>
      <c r="N152" s="13">
        <v>1469002.1199999601</v>
      </c>
      <c r="O152" s="13">
        <f t="shared" si="9"/>
        <v>19845539.989999961</v>
      </c>
      <c r="P152" s="14"/>
      <c r="Q152" s="13">
        <v>1248410.3500000001</v>
      </c>
      <c r="R152" s="13">
        <v>-344857.25000000093</v>
      </c>
      <c r="S152" s="13">
        <v>-1003544.7799999984</v>
      </c>
      <c r="T152" s="13">
        <v>-384268.37999999768</v>
      </c>
      <c r="U152" s="13">
        <v>-1012923.6100000053</v>
      </c>
      <c r="V152" s="13">
        <v>-229448.60999999568</v>
      </c>
      <c r="W152" s="13">
        <v>-663100.57999999868</v>
      </c>
      <c r="X152" s="13">
        <v>-1327938.2900000052</v>
      </c>
      <c r="Y152" s="13">
        <f t="shared" si="10"/>
        <v>-3717671.1500000018</v>
      </c>
    </row>
    <row r="153" spans="1:25" ht="15" thickTop="1" x14ac:dyDescent="0.35">
      <c r="A153" t="s">
        <v>29</v>
      </c>
      <c r="B153" s="10">
        <f t="shared" ref="B153:F170" si="11">IF(OR(SUM($Q153:$U153)=0,COUNTIF($Q153:$U153,"&lt;0")*COUNTIF($Q153:$U153,"&gt;0")&gt;0),$G153/5,$G153*Q153/SUM($Q153:$U153))</f>
        <v>-1312231.8536606466</v>
      </c>
      <c r="C153" s="10">
        <f t="shared" si="11"/>
        <v>-1105988.0065961885</v>
      </c>
      <c r="D153" s="10">
        <f t="shared" si="11"/>
        <v>-1191512.7827976346</v>
      </c>
      <c r="E153" s="10">
        <f t="shared" si="11"/>
        <v>-1375070.7318421779</v>
      </c>
      <c r="F153" s="10">
        <f t="shared" si="11"/>
        <v>-1109575.7751033527</v>
      </c>
      <c r="G153" s="10">
        <v>-6094379.1500000004</v>
      </c>
      <c r="H153" s="10">
        <v>-874525.75000000279</v>
      </c>
      <c r="I153" s="10">
        <v>-1328441.0899999971</v>
      </c>
      <c r="J153" s="10">
        <v>-1146761.0999999996</v>
      </c>
      <c r="K153" s="10">
        <v>-1065706.4799999986</v>
      </c>
      <c r="L153" s="10">
        <v>-828689.88000000454</v>
      </c>
      <c r="M153" s="10">
        <v>-472270.03000000119</v>
      </c>
      <c r="N153" s="10">
        <v>-418562.21000000276</v>
      </c>
      <c r="O153" s="10">
        <f t="shared" si="9"/>
        <v>-12229335.690000007</v>
      </c>
      <c r="Q153" s="10">
        <v>-1053294.9399999997</v>
      </c>
      <c r="R153" s="10">
        <v>-887748.28000000073</v>
      </c>
      <c r="S153" s="10">
        <v>-956396.83000000077</v>
      </c>
      <c r="T153" s="10">
        <v>-1103734.0999999978</v>
      </c>
      <c r="U153" s="10">
        <v>-890628.08999999845</v>
      </c>
      <c r="V153" s="10">
        <v>-876628.65000000224</v>
      </c>
      <c r="W153" s="10">
        <v>-1427076.4900000012</v>
      </c>
      <c r="X153" s="10">
        <v>-856225.21000000648</v>
      </c>
      <c r="Y153" s="10">
        <f t="shared" si="10"/>
        <v>-8051732.5900000073</v>
      </c>
    </row>
    <row r="154" spans="1:25" x14ac:dyDescent="0.35">
      <c r="A154" t="s">
        <v>30</v>
      </c>
      <c r="B154" s="10">
        <f t="shared" si="11"/>
        <v>327891.78423887346</v>
      </c>
      <c r="C154" s="10">
        <f t="shared" si="11"/>
        <v>326238.43758466234</v>
      </c>
      <c r="D154" s="10">
        <f t="shared" si="11"/>
        <v>324676.19493162102</v>
      </c>
      <c r="E154" s="10">
        <f t="shared" si="11"/>
        <v>326696.10660607903</v>
      </c>
      <c r="F154" s="10">
        <f t="shared" si="11"/>
        <v>324905.9766387642</v>
      </c>
      <c r="G154" s="10">
        <v>1630408.5</v>
      </c>
      <c r="H154" s="10">
        <v>321552.60000000009</v>
      </c>
      <c r="I154" s="10">
        <v>321081.46999999974</v>
      </c>
      <c r="J154" s="10">
        <v>325089.12000000011</v>
      </c>
      <c r="K154" s="10">
        <v>317441.12000000011</v>
      </c>
      <c r="L154" s="10">
        <v>320147.41000000015</v>
      </c>
      <c r="M154" s="10">
        <v>315834.11999999965</v>
      </c>
      <c r="N154" s="10">
        <v>296178.76000000024</v>
      </c>
      <c r="O154" s="10">
        <f t="shared" si="9"/>
        <v>3847733.1</v>
      </c>
      <c r="Q154" s="10">
        <v>321938.88</v>
      </c>
      <c r="R154" s="10">
        <v>320315.55000000005</v>
      </c>
      <c r="S154" s="10">
        <v>318781.66999999993</v>
      </c>
      <c r="T154" s="10">
        <v>320764.91000000003</v>
      </c>
      <c r="U154" s="10">
        <v>319007.28000000003</v>
      </c>
      <c r="V154" s="10">
        <v>319049.77</v>
      </c>
      <c r="W154" s="10">
        <v>312840.85000000009</v>
      </c>
      <c r="X154" s="10">
        <v>315588.81000000006</v>
      </c>
      <c r="Y154" s="10">
        <f t="shared" si="10"/>
        <v>2548287.7200000002</v>
      </c>
    </row>
    <row r="155" spans="1:25" x14ac:dyDescent="0.35">
      <c r="A155" t="s">
        <v>31</v>
      </c>
      <c r="B155" s="10">
        <f t="shared" si="11"/>
        <v>1555801.9012046074</v>
      </c>
      <c r="C155" s="10">
        <f t="shared" si="11"/>
        <v>1661811.6919615262</v>
      </c>
      <c r="D155" s="10">
        <f t="shared" si="11"/>
        <v>1825580.2025503826</v>
      </c>
      <c r="E155" s="10">
        <f t="shared" si="11"/>
        <v>1636983.1785142873</v>
      </c>
      <c r="F155" s="10">
        <f t="shared" si="11"/>
        <v>1949169.755769195</v>
      </c>
      <c r="G155" s="10">
        <v>8629346.7299999986</v>
      </c>
      <c r="H155" s="10">
        <v>1819759.4700000007</v>
      </c>
      <c r="I155" s="10">
        <v>1887115.3800000008</v>
      </c>
      <c r="J155" s="10">
        <v>1881626.7500000019</v>
      </c>
      <c r="K155" s="10">
        <v>1880068.1999999974</v>
      </c>
      <c r="L155" s="10">
        <v>2185380.0600000005</v>
      </c>
      <c r="M155" s="10">
        <v>2381117.8900000006</v>
      </c>
      <c r="N155" s="10">
        <v>2573128.5299999975</v>
      </c>
      <c r="O155" s="10">
        <f t="shared" si="9"/>
        <v>23237543.009999998</v>
      </c>
      <c r="Q155" s="10">
        <v>1821451.81</v>
      </c>
      <c r="R155" s="10">
        <v>1945562.5500000003</v>
      </c>
      <c r="S155" s="10">
        <v>2137294.1899999995</v>
      </c>
      <c r="T155" s="10">
        <v>1916494.62</v>
      </c>
      <c r="U155" s="10">
        <v>2281986.4000000004</v>
      </c>
      <c r="V155" s="10">
        <v>2033682.6400000006</v>
      </c>
      <c r="W155" s="10">
        <v>2134134.5099999998</v>
      </c>
      <c r="X155" s="10">
        <v>2100684.8299999963</v>
      </c>
      <c r="Y155" s="10">
        <f t="shared" si="10"/>
        <v>16371291.549999997</v>
      </c>
    </row>
    <row r="156" spans="1:25" x14ac:dyDescent="0.35">
      <c r="A156" t="s">
        <v>32</v>
      </c>
      <c r="B156" s="10">
        <f t="shared" si="11"/>
        <v>46535.954228243158</v>
      </c>
      <c r="C156" s="10">
        <f t="shared" si="11"/>
        <v>74658.619493008751</v>
      </c>
      <c r="D156" s="10">
        <f t="shared" si="11"/>
        <v>38499.80379489332</v>
      </c>
      <c r="E156" s="10">
        <f t="shared" si="11"/>
        <v>77441.628787790556</v>
      </c>
      <c r="F156" s="10">
        <f t="shared" si="11"/>
        <v>181329.8436960642</v>
      </c>
      <c r="G156" s="10">
        <v>418465.85</v>
      </c>
      <c r="H156" s="10">
        <v>35435.409999999974</v>
      </c>
      <c r="I156" s="10">
        <v>86661.919999999984</v>
      </c>
      <c r="J156" s="10">
        <v>102209.90000000014</v>
      </c>
      <c r="K156" s="10">
        <v>90861.149999999907</v>
      </c>
      <c r="L156" s="10">
        <v>93170.5</v>
      </c>
      <c r="M156" s="10">
        <v>95340.290000000037</v>
      </c>
      <c r="N156" s="10">
        <v>141146.39999999991</v>
      </c>
      <c r="O156" s="10">
        <f t="shared" si="9"/>
        <v>1063291.42</v>
      </c>
      <c r="Q156" s="10">
        <v>102261.54000000001</v>
      </c>
      <c r="R156" s="10">
        <v>164060.36000000002</v>
      </c>
      <c r="S156" s="10">
        <v>84602.309999999939</v>
      </c>
      <c r="T156" s="10">
        <v>170175.95</v>
      </c>
      <c r="U156" s="10">
        <v>398467.58</v>
      </c>
      <c r="V156" s="10">
        <v>188227.59999999986</v>
      </c>
      <c r="W156" s="10">
        <v>231373.83000000007</v>
      </c>
      <c r="X156" s="10">
        <v>156270.30000000005</v>
      </c>
      <c r="Y156" s="10">
        <f t="shared" si="10"/>
        <v>1495439.47</v>
      </c>
    </row>
    <row r="157" spans="1:25" x14ac:dyDescent="0.35">
      <c r="A157" t="s">
        <v>33</v>
      </c>
      <c r="B157" s="10">
        <f t="shared" si="11"/>
        <v>3145715.9949806253</v>
      </c>
      <c r="C157" s="10">
        <f t="shared" si="11"/>
        <v>3039119.840604838</v>
      </c>
      <c r="D157" s="10">
        <f t="shared" si="11"/>
        <v>3383031.7949690772</v>
      </c>
      <c r="E157" s="10">
        <f t="shared" si="11"/>
        <v>3223375.8538065664</v>
      </c>
      <c r="F157" s="10">
        <f t="shared" si="11"/>
        <v>3144425.0456388928</v>
      </c>
      <c r="G157" s="10">
        <v>15935668.529999999</v>
      </c>
      <c r="H157" s="10">
        <v>2980402.410000002</v>
      </c>
      <c r="I157" s="10">
        <v>3449976.0199999996</v>
      </c>
      <c r="J157" s="10">
        <v>3251267.0700000003</v>
      </c>
      <c r="K157" s="10">
        <v>3172354.6499999985</v>
      </c>
      <c r="L157" s="10">
        <v>3241046.8500000015</v>
      </c>
      <c r="M157" s="10">
        <v>3073881.75</v>
      </c>
      <c r="N157" s="10">
        <v>3146723.1000000015</v>
      </c>
      <c r="O157" s="10">
        <f t="shared" si="9"/>
        <v>38251320.380000003</v>
      </c>
      <c r="Q157" s="10">
        <v>3094424.09</v>
      </c>
      <c r="R157" s="10">
        <v>2989566.0200000005</v>
      </c>
      <c r="S157" s="10">
        <v>3327870.38</v>
      </c>
      <c r="T157" s="10">
        <v>3170817.6799999997</v>
      </c>
      <c r="U157" s="10">
        <v>3093154.1899999995</v>
      </c>
      <c r="V157" s="10">
        <v>3041133.4600000009</v>
      </c>
      <c r="W157" s="10">
        <v>3642678.0199999996</v>
      </c>
      <c r="X157" s="10">
        <v>3116228.5500000007</v>
      </c>
      <c r="Y157" s="10">
        <f t="shared" si="10"/>
        <v>25475872.390000001</v>
      </c>
    </row>
    <row r="158" spans="1:25" x14ac:dyDescent="0.35">
      <c r="B158" s="10">
        <f t="shared" si="11"/>
        <v>0</v>
      </c>
      <c r="C158" s="10">
        <f t="shared" si="11"/>
        <v>0</v>
      </c>
      <c r="D158" s="10">
        <f t="shared" si="11"/>
        <v>0</v>
      </c>
      <c r="E158" s="10">
        <f t="shared" si="11"/>
        <v>0</v>
      </c>
      <c r="F158" s="10">
        <f t="shared" si="11"/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f t="shared" si="9"/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f t="shared" si="10"/>
        <v>0</v>
      </c>
    </row>
    <row r="159" spans="1:25" ht="15" thickBot="1" x14ac:dyDescent="0.4">
      <c r="A159" s="12" t="s">
        <v>34</v>
      </c>
      <c r="B159" s="13">
        <f t="shared" si="11"/>
        <v>2544388.0399999982</v>
      </c>
      <c r="C159" s="13">
        <f t="shared" si="11"/>
        <v>2544388.0399999982</v>
      </c>
      <c r="D159" s="13">
        <f t="shared" si="11"/>
        <v>2544388.0399999982</v>
      </c>
      <c r="E159" s="13">
        <f t="shared" si="11"/>
        <v>2544388.0399999982</v>
      </c>
      <c r="F159" s="13">
        <f t="shared" si="11"/>
        <v>2544388.0399999982</v>
      </c>
      <c r="G159" s="13">
        <v>12721940.19999999</v>
      </c>
      <c r="H159" s="13">
        <v>4373183.1299999971</v>
      </c>
      <c r="I159" s="13">
        <v>2388332.0300000198</v>
      </c>
      <c r="J159" s="13">
        <v>2520577.9599999897</v>
      </c>
      <c r="K159" s="13">
        <v>2550515.969999969</v>
      </c>
      <c r="L159" s="13">
        <v>1978903.2800000273</v>
      </c>
      <c r="M159" s="13">
        <v>3653858.7800000124</v>
      </c>
      <c r="N159" s="13">
        <v>1887564.3299999647</v>
      </c>
      <c r="O159" s="13">
        <f t="shared" si="9"/>
        <v>32074875.679999974</v>
      </c>
      <c r="P159" s="14"/>
      <c r="Q159" s="13">
        <v>2301705.29</v>
      </c>
      <c r="R159" s="13">
        <v>542891.0299999998</v>
      </c>
      <c r="S159" s="13">
        <v>-47147.949999997858</v>
      </c>
      <c r="T159" s="13">
        <v>719465.7200000002</v>
      </c>
      <c r="U159" s="13">
        <v>-122295.520000007</v>
      </c>
      <c r="V159" s="13">
        <v>647180.04000000656</v>
      </c>
      <c r="W159" s="13">
        <v>763975.91000000248</v>
      </c>
      <c r="X159" s="13">
        <v>-471713.07999999914</v>
      </c>
      <c r="Y159" s="13">
        <f t="shared" si="10"/>
        <v>4334061.4400000051</v>
      </c>
    </row>
    <row r="160" spans="1:25" ht="15" thickTop="1" x14ac:dyDescent="0.35">
      <c r="A160" t="s">
        <v>35</v>
      </c>
      <c r="B160" s="10">
        <f t="shared" si="11"/>
        <v>29096.86600000002</v>
      </c>
      <c r="C160" s="10">
        <f t="shared" si="11"/>
        <v>29096.86600000002</v>
      </c>
      <c r="D160" s="10">
        <f t="shared" si="11"/>
        <v>29096.86600000002</v>
      </c>
      <c r="E160" s="10">
        <f t="shared" si="11"/>
        <v>29096.86600000002</v>
      </c>
      <c r="F160" s="10">
        <f t="shared" si="11"/>
        <v>29096.86600000002</v>
      </c>
      <c r="G160" s="10">
        <v>145484.3300000001</v>
      </c>
      <c r="H160" s="10">
        <v>85723.459999999701</v>
      </c>
      <c r="I160" s="10">
        <v>-39078.88999999981</v>
      </c>
      <c r="J160" s="10">
        <v>-1866243.53</v>
      </c>
      <c r="K160" s="10">
        <v>1970207.8200000003</v>
      </c>
      <c r="L160" s="10">
        <v>-203977.71000000025</v>
      </c>
      <c r="M160" s="10">
        <v>318776.03000000067</v>
      </c>
      <c r="N160" s="10">
        <v>605680.78999999922</v>
      </c>
      <c r="O160" s="10">
        <f t="shared" si="9"/>
        <v>1016572.2999999998</v>
      </c>
      <c r="Q160" s="10">
        <v>44587.02</v>
      </c>
      <c r="R160" s="10">
        <v>-31291.529999999995</v>
      </c>
      <c r="S160" s="10">
        <v>71889.179999999978</v>
      </c>
      <c r="T160" s="10">
        <v>31587.500000000029</v>
      </c>
      <c r="U160" s="10">
        <v>155060.92999999985</v>
      </c>
      <c r="V160" s="10">
        <v>462143.4800000001</v>
      </c>
      <c r="W160" s="10">
        <v>-122555.43000000005</v>
      </c>
      <c r="X160" s="10">
        <v>204130.92000000004</v>
      </c>
      <c r="Y160" s="10">
        <f t="shared" si="10"/>
        <v>815552.07</v>
      </c>
    </row>
    <row r="161" spans="1:25" x14ac:dyDescent="0.35">
      <c r="A161" t="s">
        <v>36</v>
      </c>
      <c r="B161" s="10">
        <f t="shared" si="11"/>
        <v>57133.868000000002</v>
      </c>
      <c r="C161" s="10">
        <f t="shared" si="11"/>
        <v>57133.868000000002</v>
      </c>
      <c r="D161" s="10">
        <f t="shared" si="11"/>
        <v>57133.868000000002</v>
      </c>
      <c r="E161" s="10">
        <f t="shared" si="11"/>
        <v>57133.868000000002</v>
      </c>
      <c r="F161" s="10">
        <f t="shared" si="11"/>
        <v>57133.868000000002</v>
      </c>
      <c r="G161" s="10">
        <v>285669.34000000003</v>
      </c>
      <c r="H161" s="10">
        <v>54727.589999999967</v>
      </c>
      <c r="I161" s="10">
        <v>60871.270000000019</v>
      </c>
      <c r="J161" s="10">
        <v>86362.920000000042</v>
      </c>
      <c r="K161" s="10">
        <v>51343.169999999867</v>
      </c>
      <c r="L161" s="10">
        <v>34729.500000000116</v>
      </c>
      <c r="M161" s="10">
        <v>40744.570000000065</v>
      </c>
      <c r="N161" s="10">
        <v>409437.49999999977</v>
      </c>
      <c r="O161" s="10">
        <f t="shared" si="9"/>
        <v>1023885.8599999999</v>
      </c>
      <c r="Q161" s="10">
        <v>45644.95</v>
      </c>
      <c r="R161" s="10">
        <v>55878.100000000006</v>
      </c>
      <c r="S161" s="10">
        <v>512541.34</v>
      </c>
      <c r="T161" s="10">
        <v>-318402.88</v>
      </c>
      <c r="U161" s="10">
        <v>735494.32</v>
      </c>
      <c r="V161" s="10">
        <v>-279960.14999999991</v>
      </c>
      <c r="W161" s="10">
        <v>795128.64999999979</v>
      </c>
      <c r="X161" s="10">
        <v>548469.23000000021</v>
      </c>
      <c r="Y161" s="10">
        <f t="shared" si="10"/>
        <v>2094793.56</v>
      </c>
    </row>
    <row r="162" spans="1:25" x14ac:dyDescent="0.35">
      <c r="A162" t="s">
        <v>37</v>
      </c>
      <c r="B162" s="10">
        <f t="shared" si="11"/>
        <v>28037.001999999986</v>
      </c>
      <c r="C162" s="10">
        <f t="shared" si="11"/>
        <v>28037.001999999986</v>
      </c>
      <c r="D162" s="10">
        <f t="shared" si="11"/>
        <v>28037.001999999986</v>
      </c>
      <c r="E162" s="10">
        <f t="shared" si="11"/>
        <v>28037.001999999986</v>
      </c>
      <c r="F162" s="10">
        <f t="shared" si="11"/>
        <v>28037.001999999986</v>
      </c>
      <c r="G162" s="10">
        <v>140185.00999999992</v>
      </c>
      <c r="H162" s="10">
        <v>-30995.869999999748</v>
      </c>
      <c r="I162" s="10">
        <v>99950.159999999873</v>
      </c>
      <c r="J162" s="10">
        <v>1952606.45</v>
      </c>
      <c r="K162" s="10">
        <v>-1918864.6500000004</v>
      </c>
      <c r="L162" s="10">
        <v>238707.21000000049</v>
      </c>
      <c r="M162" s="10">
        <v>-278031.46000000066</v>
      </c>
      <c r="N162" s="10">
        <v>-196243.2899999994</v>
      </c>
      <c r="O162" s="10">
        <f t="shared" si="9"/>
        <v>7313.5600000000559</v>
      </c>
      <c r="Q162" s="10">
        <v>1057.9299999999989</v>
      </c>
      <c r="R162" s="10">
        <v>87169.63</v>
      </c>
      <c r="S162" s="10">
        <v>440652.16</v>
      </c>
      <c r="T162" s="10">
        <v>-349990.38</v>
      </c>
      <c r="U162" s="10">
        <v>580433.39000000013</v>
      </c>
      <c r="V162" s="10">
        <v>-742103.63000000012</v>
      </c>
      <c r="W162" s="10">
        <v>917684.08000000007</v>
      </c>
      <c r="X162" s="10">
        <v>344338.31000000017</v>
      </c>
      <c r="Y162" s="10">
        <f t="shared" si="10"/>
        <v>1279241.4900000002</v>
      </c>
    </row>
    <row r="163" spans="1:25" x14ac:dyDescent="0.35">
      <c r="B163" s="10">
        <f t="shared" si="11"/>
        <v>0</v>
      </c>
      <c r="C163" s="10">
        <f t="shared" si="11"/>
        <v>0</v>
      </c>
      <c r="D163" s="10">
        <f t="shared" si="11"/>
        <v>0</v>
      </c>
      <c r="E163" s="10">
        <f t="shared" si="11"/>
        <v>0</v>
      </c>
      <c r="F163" s="10">
        <f t="shared" si="11"/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f t="shared" si="9"/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f t="shared" si="10"/>
        <v>0</v>
      </c>
    </row>
    <row r="164" spans="1:25" ht="15" thickBot="1" x14ac:dyDescent="0.4">
      <c r="A164" s="12" t="s">
        <v>38</v>
      </c>
      <c r="B164" s="13">
        <f t="shared" si="11"/>
        <v>8234320.7933910601</v>
      </c>
      <c r="C164" s="13">
        <f t="shared" si="11"/>
        <v>1795460.1746695705</v>
      </c>
      <c r="D164" s="13">
        <f t="shared" si="11"/>
        <v>86829.430320678905</v>
      </c>
      <c r="E164" s="13">
        <f t="shared" si="11"/>
        <v>2635823.8144629616</v>
      </c>
      <c r="F164" s="13">
        <f t="shared" si="11"/>
        <v>114990.31715571847</v>
      </c>
      <c r="G164" s="13">
        <v>12867424.52999999</v>
      </c>
      <c r="H164" s="13">
        <v>4458906.59</v>
      </c>
      <c r="I164" s="13">
        <v>2349253.1400000155</v>
      </c>
      <c r="J164" s="13">
        <v>654334.42999998853</v>
      </c>
      <c r="K164" s="13">
        <v>4520723.789999973</v>
      </c>
      <c r="L164" s="13">
        <v>1774925.5700000264</v>
      </c>
      <c r="M164" s="13">
        <v>3972634.8100000098</v>
      </c>
      <c r="N164" s="13">
        <v>2493245.1199999638</v>
      </c>
      <c r="O164" s="13">
        <f t="shared" si="9"/>
        <v>33091447.979999967</v>
      </c>
      <c r="P164" s="14"/>
      <c r="Q164" s="13">
        <v>2346292.3099999996</v>
      </c>
      <c r="R164" s="13">
        <v>511599.5</v>
      </c>
      <c r="S164" s="13">
        <v>24741.23000000231</v>
      </c>
      <c r="T164" s="13">
        <v>751053.2200000002</v>
      </c>
      <c r="U164" s="13">
        <v>32765.409999992698</v>
      </c>
      <c r="V164" s="13">
        <v>1109323.5200000075</v>
      </c>
      <c r="W164" s="13">
        <v>641420.48000000231</v>
      </c>
      <c r="X164" s="13">
        <v>-267582.16000000015</v>
      </c>
      <c r="Y164" s="13">
        <f t="shared" si="10"/>
        <v>5149613.5100000044</v>
      </c>
    </row>
    <row r="165" spans="1:25" ht="15" thickTop="1" x14ac:dyDescent="0.35">
      <c r="A165" t="s">
        <v>39</v>
      </c>
      <c r="B165" s="10">
        <f t="shared" si="11"/>
        <v>314.33833752582819</v>
      </c>
      <c r="C165" s="10">
        <f t="shared" si="11"/>
        <v>3.2424576570781158</v>
      </c>
      <c r="D165" s="10">
        <f t="shared" si="11"/>
        <v>10450.521541255554</v>
      </c>
      <c r="E165" s="10">
        <f t="shared" si="11"/>
        <v>1171.090801653515</v>
      </c>
      <c r="F165" s="10">
        <f t="shared" si="11"/>
        <v>36234.806861908022</v>
      </c>
      <c r="G165" s="10">
        <v>48174</v>
      </c>
      <c r="H165" s="10">
        <v>0</v>
      </c>
      <c r="I165" s="10">
        <v>0</v>
      </c>
      <c r="J165" s="10">
        <v>33408.429999999993</v>
      </c>
      <c r="K165" s="10">
        <v>18750</v>
      </c>
      <c r="L165" s="10">
        <v>0</v>
      </c>
      <c r="M165" s="10">
        <v>0</v>
      </c>
      <c r="N165" s="10">
        <v>48829.110000000015</v>
      </c>
      <c r="O165" s="10">
        <f t="shared" si="9"/>
        <v>149161.54</v>
      </c>
      <c r="Q165" s="10">
        <v>2147.3200000000002</v>
      </c>
      <c r="R165" s="10">
        <v>22.149999999999636</v>
      </c>
      <c r="S165" s="10">
        <v>71390</v>
      </c>
      <c r="T165" s="10">
        <v>8000</v>
      </c>
      <c r="U165" s="10">
        <v>247528.59</v>
      </c>
      <c r="V165" s="10">
        <v>0</v>
      </c>
      <c r="W165" s="10">
        <v>69787.549999999988</v>
      </c>
      <c r="X165" s="10">
        <v>0</v>
      </c>
      <c r="Y165" s="10">
        <f t="shared" si="10"/>
        <v>398875.61</v>
      </c>
    </row>
    <row r="166" spans="1:25" x14ac:dyDescent="0.35">
      <c r="A166" t="s">
        <v>40</v>
      </c>
      <c r="B166" s="10">
        <f t="shared" si="11"/>
        <v>123057.05331210769</v>
      </c>
      <c r="C166" s="10">
        <f t="shared" si="11"/>
        <v>350693.301464041</v>
      </c>
      <c r="D166" s="10">
        <f t="shared" si="11"/>
        <v>160942.2239061507</v>
      </c>
      <c r="E166" s="10">
        <f t="shared" si="11"/>
        <v>152202.83391178347</v>
      </c>
      <c r="F166" s="10">
        <f t="shared" si="11"/>
        <v>54723.267405917213</v>
      </c>
      <c r="G166" s="10">
        <v>841618.68</v>
      </c>
      <c r="H166" s="10">
        <v>361406.74999999988</v>
      </c>
      <c r="I166" s="10">
        <v>357981.75</v>
      </c>
      <c r="J166" s="10">
        <v>-1561007.18</v>
      </c>
      <c r="K166" s="10">
        <v>2276970.6800000002</v>
      </c>
      <c r="L166" s="10">
        <v>357981.75</v>
      </c>
      <c r="M166" s="10">
        <v>357981.75</v>
      </c>
      <c r="N166" s="10">
        <v>357981.75</v>
      </c>
      <c r="O166" s="10">
        <f t="shared" si="9"/>
        <v>3350915.9299999997</v>
      </c>
      <c r="Q166" s="10">
        <v>29233.3</v>
      </c>
      <c r="R166" s="10">
        <v>83310.319999999992</v>
      </c>
      <c r="S166" s="10">
        <v>38233.260000000009</v>
      </c>
      <c r="T166" s="10">
        <v>36157.139999999985</v>
      </c>
      <c r="U166" s="10">
        <v>13000</v>
      </c>
      <c r="V166" s="10">
        <v>0</v>
      </c>
      <c r="W166" s="10">
        <v>0.14999999999417923</v>
      </c>
      <c r="X166" s="10">
        <v>311.87999999997555</v>
      </c>
      <c r="Y166" s="10">
        <f t="shared" si="10"/>
        <v>200246.04999999996</v>
      </c>
    </row>
    <row r="167" spans="1:25" x14ac:dyDescent="0.35">
      <c r="B167" s="10">
        <f t="shared" si="11"/>
        <v>0</v>
      </c>
      <c r="C167" s="10">
        <f t="shared" si="11"/>
        <v>0</v>
      </c>
      <c r="D167" s="10">
        <f t="shared" si="11"/>
        <v>0</v>
      </c>
      <c r="E167" s="10">
        <f t="shared" si="11"/>
        <v>0</v>
      </c>
      <c r="F167" s="10">
        <f t="shared" si="11"/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f t="shared" si="9"/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f t="shared" si="10"/>
        <v>0</v>
      </c>
    </row>
    <row r="168" spans="1:25" ht="15" thickBot="1" x14ac:dyDescent="0.4">
      <c r="A168" s="12" t="s">
        <v>41</v>
      </c>
      <c r="B168" s="13">
        <f t="shared" si="11"/>
        <v>7377491.9303755788</v>
      </c>
      <c r="C168" s="13">
        <f t="shared" si="11"/>
        <v>1362476.1798418462</v>
      </c>
      <c r="D168" s="13">
        <f t="shared" si="11"/>
        <v>184175.85401301747</v>
      </c>
      <c r="E168" s="13">
        <f t="shared" si="11"/>
        <v>2299562.5390088246</v>
      </c>
      <c r="F168" s="13">
        <f t="shared" si="11"/>
        <v>850273.34676072351</v>
      </c>
      <c r="G168" s="13">
        <v>12073979.84999999</v>
      </c>
      <c r="H168" s="13">
        <v>4097499.839999998</v>
      </c>
      <c r="I168" s="13">
        <v>1991271.3900000174</v>
      </c>
      <c r="J168" s="13">
        <v>2248750.0399999879</v>
      </c>
      <c r="K168" s="13">
        <v>2262503.1099999696</v>
      </c>
      <c r="L168" s="13">
        <v>1416943.8200000301</v>
      </c>
      <c r="M168" s="13">
        <v>3614653.0600000098</v>
      </c>
      <c r="N168" s="13">
        <v>2184092.4799999669</v>
      </c>
      <c r="O168" s="13">
        <f t="shared" si="9"/>
        <v>29889693.58999997</v>
      </c>
      <c r="P168" s="14"/>
      <c r="Q168" s="13">
        <v>2319206.33</v>
      </c>
      <c r="R168" s="13">
        <v>428311.32999999961</v>
      </c>
      <c r="S168" s="13">
        <v>57897.970000002533</v>
      </c>
      <c r="T168" s="13">
        <v>722896.08000000007</v>
      </c>
      <c r="U168" s="13">
        <v>267293.99999999255</v>
      </c>
      <c r="V168" s="13">
        <v>1109323.5200000075</v>
      </c>
      <c r="W168" s="13">
        <v>711207.88000000268</v>
      </c>
      <c r="X168" s="13">
        <v>-267894.04000000004</v>
      </c>
      <c r="Y168" s="13">
        <f t="shared" si="10"/>
        <v>5348243.070000005</v>
      </c>
    </row>
    <row r="169" spans="1:25" ht="15" thickTop="1" x14ac:dyDescent="0.35">
      <c r="A169" t="s">
        <v>42</v>
      </c>
      <c r="B169" s="10">
        <f t="shared" si="11"/>
        <v>86421.157986835256</v>
      </c>
      <c r="C169" s="10">
        <f t="shared" si="11"/>
        <v>80181.294376787846</v>
      </c>
      <c r="D169" s="10">
        <f t="shared" si="11"/>
        <v>105304.56813579536</v>
      </c>
      <c r="E169" s="10">
        <f t="shared" si="11"/>
        <v>93429.968747793799</v>
      </c>
      <c r="F169" s="10">
        <f t="shared" si="11"/>
        <v>226122.6207527876</v>
      </c>
      <c r="G169" s="10">
        <v>591459.60999999987</v>
      </c>
      <c r="H169" s="10">
        <v>101134.2200000002</v>
      </c>
      <c r="I169" s="10">
        <v>137814.05999999982</v>
      </c>
      <c r="J169" s="10">
        <v>123515.23999999999</v>
      </c>
      <c r="K169" s="10">
        <v>119900.59000000008</v>
      </c>
      <c r="L169" s="10">
        <v>130159.84999999986</v>
      </c>
      <c r="M169" s="10">
        <v>103597.09000000008</v>
      </c>
      <c r="N169" s="10">
        <v>182747.6399999999</v>
      </c>
      <c r="O169" s="10">
        <f t="shared" si="9"/>
        <v>1490328.2999999998</v>
      </c>
      <c r="Q169" s="10">
        <v>104964.53</v>
      </c>
      <c r="R169" s="10">
        <v>97385.77999999997</v>
      </c>
      <c r="S169" s="10">
        <v>127899.75000000003</v>
      </c>
      <c r="T169" s="10">
        <v>113477.22000000003</v>
      </c>
      <c r="U169" s="10">
        <v>274641.71000000008</v>
      </c>
      <c r="V169" s="10">
        <v>104947.93999999994</v>
      </c>
      <c r="W169" s="10">
        <v>161456.29000000004</v>
      </c>
      <c r="X169" s="10">
        <v>108459.95000000007</v>
      </c>
      <c r="Y169" s="10">
        <f t="shared" si="10"/>
        <v>1093233.1700000002</v>
      </c>
    </row>
    <row r="170" spans="1:25" ht="15" thickBot="1" x14ac:dyDescent="0.4">
      <c r="A170" s="12" t="s">
        <v>43</v>
      </c>
      <c r="B170" s="13">
        <f t="shared" si="11"/>
        <v>2296504.0479999981</v>
      </c>
      <c r="C170" s="13">
        <f t="shared" si="11"/>
        <v>2296504.0479999981</v>
      </c>
      <c r="D170" s="13">
        <f t="shared" si="11"/>
        <v>2296504.0479999981</v>
      </c>
      <c r="E170" s="13">
        <f t="shared" si="11"/>
        <v>2296504.0479999981</v>
      </c>
      <c r="F170" s="13">
        <f t="shared" si="11"/>
        <v>2296504.0479999981</v>
      </c>
      <c r="G170" s="13">
        <v>11482520.239999991</v>
      </c>
      <c r="H170" s="13">
        <v>3996365.6199999973</v>
      </c>
      <c r="I170" s="13">
        <v>1853457.3300000168</v>
      </c>
      <c r="J170" s="13">
        <v>2125234.7999999896</v>
      </c>
      <c r="K170" s="13">
        <v>2142602.519999966</v>
      </c>
      <c r="L170" s="13">
        <v>1286783.9700000323</v>
      </c>
      <c r="M170" s="13">
        <v>3511055.97000001</v>
      </c>
      <c r="N170" s="13">
        <v>2001344.8399999663</v>
      </c>
      <c r="O170" s="13">
        <f t="shared" si="9"/>
        <v>28399365.289999969</v>
      </c>
      <c r="P170" s="14"/>
      <c r="Q170" s="13">
        <v>2214241.7999999998</v>
      </c>
      <c r="R170" s="13">
        <v>330925.54999999981</v>
      </c>
      <c r="S170" s="13">
        <v>-70001.779999997467</v>
      </c>
      <c r="T170" s="13">
        <v>609418.85999999987</v>
      </c>
      <c r="U170" s="13">
        <v>-7347.7100000069477</v>
      </c>
      <c r="V170" s="13">
        <v>1004375.5800000075</v>
      </c>
      <c r="W170" s="13">
        <v>549751.59000000264</v>
      </c>
      <c r="X170" s="13">
        <v>-376353.99000000115</v>
      </c>
      <c r="Y170" s="13">
        <f t="shared" si="10"/>
        <v>4255009.9000000041</v>
      </c>
    </row>
    <row r="171" spans="1:25" ht="15" thickTop="1" x14ac:dyDescent="0.35">
      <c r="R171" s="10"/>
    </row>
    <row r="172" spans="1:25" x14ac:dyDescent="0.35">
      <c r="A172" s="15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Q172" s="16"/>
      <c r="R172" s="15"/>
      <c r="S172" s="15"/>
      <c r="T172" s="15"/>
      <c r="U172" s="15"/>
      <c r="V172" s="15"/>
      <c r="W172" s="15"/>
      <c r="X172" s="15"/>
      <c r="Y172" s="15"/>
    </row>
    <row r="173" spans="1:25" x14ac:dyDescent="0.35">
      <c r="A173" s="15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Q173" s="16"/>
      <c r="R173" s="15"/>
      <c r="S173" s="15"/>
      <c r="T173" s="15"/>
      <c r="U173" s="15"/>
      <c r="V173" s="15"/>
      <c r="W173" s="15"/>
      <c r="X173" s="15"/>
      <c r="Y173" s="15"/>
    </row>
    <row r="175" spans="1:25" ht="23.5" x14ac:dyDescent="0.35">
      <c r="A175" s="1" t="s">
        <v>46</v>
      </c>
      <c r="B175" s="2"/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4"/>
      <c r="Q175" s="3"/>
      <c r="R175" s="5"/>
      <c r="S175" s="5"/>
      <c r="T175" s="5"/>
      <c r="U175" s="5"/>
      <c r="V175" s="5"/>
      <c r="W175" s="5"/>
      <c r="X175" s="5"/>
      <c r="Y175" s="5"/>
    </row>
    <row r="176" spans="1:25" ht="23.5" x14ac:dyDescent="0.35">
      <c r="A176" s="1"/>
      <c r="B176" s="2"/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4"/>
      <c r="Q176" s="3"/>
      <c r="R176" s="5"/>
      <c r="S176" s="5"/>
      <c r="T176" s="5"/>
      <c r="U176" s="5"/>
      <c r="V176" s="5"/>
      <c r="W176" s="5"/>
      <c r="X176" s="5"/>
      <c r="Y176" s="5"/>
    </row>
    <row r="178" spans="1:25" s="9" customFormat="1" x14ac:dyDescent="0.35">
      <c r="A178" s="6" t="s">
        <v>1</v>
      </c>
      <c r="B178" s="7">
        <v>45658</v>
      </c>
      <c r="C178" s="7">
        <v>45689</v>
      </c>
      <c r="D178" s="7">
        <v>45717</v>
      </c>
      <c r="E178" s="7">
        <v>45748</v>
      </c>
      <c r="F178" s="7">
        <v>45778</v>
      </c>
      <c r="G178" s="7" t="s">
        <v>2</v>
      </c>
      <c r="H178" s="7">
        <v>45809</v>
      </c>
      <c r="I178" s="7">
        <v>45839</v>
      </c>
      <c r="J178" s="7">
        <v>45870</v>
      </c>
      <c r="K178" s="7">
        <v>45901</v>
      </c>
      <c r="L178" s="7">
        <v>45931</v>
      </c>
      <c r="M178" s="7">
        <v>45962</v>
      </c>
      <c r="N178" s="7">
        <v>45992</v>
      </c>
      <c r="O178" s="7" t="s">
        <v>3</v>
      </c>
      <c r="P178" s="8"/>
      <c r="Q178" s="7">
        <v>46023</v>
      </c>
      <c r="R178" s="7">
        <v>46054</v>
      </c>
      <c r="S178" s="7">
        <v>46082</v>
      </c>
      <c r="T178" s="7">
        <v>46113</v>
      </c>
      <c r="U178" s="7">
        <v>46143</v>
      </c>
      <c r="V178" s="7">
        <v>46174</v>
      </c>
      <c r="W178" s="7">
        <v>46204</v>
      </c>
      <c r="X178" s="7">
        <v>46235</v>
      </c>
      <c r="Y178" s="7" t="s">
        <v>3</v>
      </c>
    </row>
    <row r="179" spans="1:25" x14ac:dyDescent="0.35">
      <c r="A179" t="s">
        <v>4</v>
      </c>
      <c r="B179" s="10">
        <f t="shared" ref="B179:F210" si="12">IF(OR(SUM($Q179:$U179)=0,COUNTIF($Q179:$U179,"&lt;0")*COUNTIF($Q179:$U179,"&gt;0")&gt;0),$G179/5,$G179*Q179/SUM($Q179:$U179))</f>
        <v>0</v>
      </c>
      <c r="C179" s="10">
        <f t="shared" si="12"/>
        <v>0</v>
      </c>
      <c r="D179" s="10">
        <f t="shared" si="12"/>
        <v>0</v>
      </c>
      <c r="E179" s="10">
        <f t="shared" si="12"/>
        <v>0</v>
      </c>
      <c r="F179" s="10">
        <f t="shared" si="12"/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f t="shared" ref="O179:O228" si="13">SUM(B179:F179,H179:N179)</f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f t="shared" ref="Y179:Y228" si="14">SUM(Q179:X179)</f>
        <v>0</v>
      </c>
    </row>
    <row r="180" spans="1:25" x14ac:dyDescent="0.35">
      <c r="A180" t="s">
        <v>5</v>
      </c>
      <c r="B180" s="10">
        <f t="shared" si="12"/>
        <v>287760055.06329793</v>
      </c>
      <c r="C180" s="10">
        <f t="shared" si="12"/>
        <v>238480504.24829838</v>
      </c>
      <c r="D180" s="10">
        <f t="shared" si="12"/>
        <v>213033332.29780146</v>
      </c>
      <c r="E180" s="10">
        <f t="shared" si="12"/>
        <v>203225317.15100831</v>
      </c>
      <c r="F180" s="10">
        <f t="shared" si="12"/>
        <v>210627736.79959381</v>
      </c>
      <c r="G180" s="10">
        <v>1153126945.5599999</v>
      </c>
      <c r="H180" s="10">
        <v>231725433.58999991</v>
      </c>
      <c r="I180" s="10">
        <v>470453309.72000027</v>
      </c>
      <c r="J180" s="10">
        <v>266825961.57999992</v>
      </c>
      <c r="K180" s="10">
        <v>231378246.8900001</v>
      </c>
      <c r="L180" s="10">
        <v>240115447.97999954</v>
      </c>
      <c r="M180" s="10">
        <v>226421063.87000036</v>
      </c>
      <c r="N180" s="10">
        <v>628178259.3499999</v>
      </c>
      <c r="O180" s="10">
        <f t="shared" si="13"/>
        <v>3448224668.54</v>
      </c>
      <c r="Q180" s="10">
        <v>311434596.36000001</v>
      </c>
      <c r="R180" s="10">
        <v>258100727.58000004</v>
      </c>
      <c r="S180" s="10">
        <v>230559970.66999996</v>
      </c>
      <c r="T180" s="10">
        <v>219945032.34000003</v>
      </c>
      <c r="U180" s="10">
        <v>227956462.47000003</v>
      </c>
      <c r="V180" s="10">
        <v>251007633.58999968</v>
      </c>
      <c r="W180" s="10">
        <v>568518555.55000043</v>
      </c>
      <c r="X180" s="10">
        <v>215326900.33999991</v>
      </c>
      <c r="Y180" s="10">
        <f t="shared" si="14"/>
        <v>2282849878.9000001</v>
      </c>
    </row>
    <row r="181" spans="1:25" x14ac:dyDescent="0.35">
      <c r="A181" t="s">
        <v>6</v>
      </c>
      <c r="B181" s="10">
        <f t="shared" si="12"/>
        <v>25578840.996913347</v>
      </c>
      <c r="C181" s="10">
        <f t="shared" si="12"/>
        <v>29962460.773424275</v>
      </c>
      <c r="D181" s="10">
        <f t="shared" si="12"/>
        <v>26985978.149347849</v>
      </c>
      <c r="E181" s="10">
        <f t="shared" si="12"/>
        <v>22987959.31773676</v>
      </c>
      <c r="F181" s="10">
        <f t="shared" si="12"/>
        <v>40237712.332577735</v>
      </c>
      <c r="G181" s="10">
        <v>145752951.56999996</v>
      </c>
      <c r="H181" s="10">
        <v>26452391.930000067</v>
      </c>
      <c r="I181" s="10">
        <v>32749465.580000013</v>
      </c>
      <c r="J181" s="10">
        <v>113525797.36999995</v>
      </c>
      <c r="K181" s="10">
        <v>36767962.650000095</v>
      </c>
      <c r="L181" s="10">
        <v>30369371.359999835</v>
      </c>
      <c r="M181" s="10">
        <v>28470097.490000069</v>
      </c>
      <c r="N181" s="10">
        <v>32534729.449999988</v>
      </c>
      <c r="O181" s="10">
        <f t="shared" si="13"/>
        <v>446622767.40000004</v>
      </c>
      <c r="Q181" s="10">
        <v>35460091.889999993</v>
      </c>
      <c r="R181" s="10">
        <v>41537128.770000003</v>
      </c>
      <c r="S181" s="10">
        <v>37410814.079999983</v>
      </c>
      <c r="T181" s="10">
        <v>31868337.970000029</v>
      </c>
      <c r="U181" s="10">
        <v>55781768.099999964</v>
      </c>
      <c r="V181" s="10">
        <v>28861381.650000036</v>
      </c>
      <c r="W181" s="10">
        <v>58387684.929999977</v>
      </c>
      <c r="X181" s="10">
        <v>41846463.649999976</v>
      </c>
      <c r="Y181" s="10">
        <f t="shared" si="14"/>
        <v>331153671.03999996</v>
      </c>
    </row>
    <row r="182" spans="1:25" ht="15" thickBot="1" x14ac:dyDescent="0.4">
      <c r="A182" s="12" t="s">
        <v>7</v>
      </c>
      <c r="B182" s="13">
        <f t="shared" si="12"/>
        <v>265799087.90713081</v>
      </c>
      <c r="C182" s="13">
        <f t="shared" si="12"/>
        <v>208578713.26965699</v>
      </c>
      <c r="D182" s="13">
        <f t="shared" si="12"/>
        <v>186027581.60667121</v>
      </c>
      <c r="E182" s="13">
        <f t="shared" si="12"/>
        <v>181142145.41716287</v>
      </c>
      <c r="F182" s="13">
        <f t="shared" si="12"/>
        <v>165826465.78937805</v>
      </c>
      <c r="G182" s="13">
        <v>1007373993.9899999</v>
      </c>
      <c r="H182" s="13">
        <v>205273041.66000021</v>
      </c>
      <c r="I182" s="13">
        <v>437703844.1400001</v>
      </c>
      <c r="J182" s="13">
        <v>153300164.21000004</v>
      </c>
      <c r="K182" s="13">
        <v>194610284.24000001</v>
      </c>
      <c r="L182" s="13">
        <v>209746076.61999989</v>
      </c>
      <c r="M182" s="13">
        <v>197950966.38000011</v>
      </c>
      <c r="N182" s="13">
        <v>595643529.9000001</v>
      </c>
      <c r="O182" s="13">
        <f t="shared" si="13"/>
        <v>3001601901.1400003</v>
      </c>
      <c r="P182" s="14"/>
      <c r="Q182" s="13">
        <v>275974504.47000003</v>
      </c>
      <c r="R182" s="13">
        <v>216563598.81</v>
      </c>
      <c r="S182" s="13">
        <v>193149156.58999997</v>
      </c>
      <c r="T182" s="13">
        <v>188076694.37</v>
      </c>
      <c r="U182" s="13">
        <v>172174694.37</v>
      </c>
      <c r="V182" s="13">
        <v>222146251.93999994</v>
      </c>
      <c r="W182" s="13">
        <v>510130870.62000012</v>
      </c>
      <c r="X182" s="13">
        <v>173480436.68999982</v>
      </c>
      <c r="Y182" s="13">
        <f t="shared" si="14"/>
        <v>1951696207.8599999</v>
      </c>
    </row>
    <row r="183" spans="1:25" ht="15" thickTop="1" x14ac:dyDescent="0.35">
      <c r="B183" s="10">
        <f t="shared" si="12"/>
        <v>0</v>
      </c>
      <c r="C183" s="10">
        <f t="shared" si="12"/>
        <v>0</v>
      </c>
      <c r="D183" s="10">
        <f t="shared" si="12"/>
        <v>0</v>
      </c>
      <c r="E183" s="10">
        <f t="shared" si="12"/>
        <v>0</v>
      </c>
      <c r="F183" s="10">
        <f t="shared" si="12"/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f t="shared" si="13"/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f t="shared" si="14"/>
        <v>0</v>
      </c>
    </row>
    <row r="184" spans="1:25" x14ac:dyDescent="0.35">
      <c r="A184" t="s">
        <v>4</v>
      </c>
      <c r="B184" s="10">
        <f t="shared" si="12"/>
        <v>31879143.791179314</v>
      </c>
      <c r="C184" s="10">
        <f t="shared" si="12"/>
        <v>1981777.1494128585</v>
      </c>
      <c r="D184" s="10">
        <f t="shared" si="12"/>
        <v>4155940.3304136065</v>
      </c>
      <c r="E184" s="10">
        <f t="shared" si="12"/>
        <v>3509839.7153484863</v>
      </c>
      <c r="F184" s="10">
        <f t="shared" si="12"/>
        <v>27861555.593645733</v>
      </c>
      <c r="G184" s="10">
        <v>69388256.579999998</v>
      </c>
      <c r="H184" s="10">
        <v>5018156.4899999946</v>
      </c>
      <c r="I184" s="10">
        <v>3874956.3199999928</v>
      </c>
      <c r="J184" s="10">
        <v>7182441.1400000155</v>
      </c>
      <c r="K184" s="10">
        <v>1401544.2300000191</v>
      </c>
      <c r="L184" s="10">
        <v>3515006.5499999821</v>
      </c>
      <c r="M184" s="10">
        <v>11051206.429999992</v>
      </c>
      <c r="N184" s="10">
        <v>60593013.569999978</v>
      </c>
      <c r="O184" s="10">
        <f t="shared" si="13"/>
        <v>162024581.30999997</v>
      </c>
      <c r="Q184" s="10">
        <v>27861098.800000001</v>
      </c>
      <c r="R184" s="10">
        <v>1731994.099999994</v>
      </c>
      <c r="S184" s="10">
        <v>3632125.9100000039</v>
      </c>
      <c r="T184" s="10">
        <v>3067459.770000007</v>
      </c>
      <c r="U184" s="10">
        <v>24349887.129999995</v>
      </c>
      <c r="V184" s="10">
        <v>10829732.399999999</v>
      </c>
      <c r="W184" s="10">
        <v>4654683.7099999934</v>
      </c>
      <c r="X184" s="10">
        <v>4935786.2400000095</v>
      </c>
      <c r="Y184" s="10">
        <f t="shared" si="14"/>
        <v>81062768.060000002</v>
      </c>
    </row>
    <row r="185" spans="1:25" x14ac:dyDescent="0.35">
      <c r="A185" t="s">
        <v>8</v>
      </c>
      <c r="B185" s="10">
        <f t="shared" si="12"/>
        <v>0</v>
      </c>
      <c r="C185" s="10">
        <f t="shared" si="12"/>
        <v>9462.6839221633109</v>
      </c>
      <c r="D185" s="10">
        <f t="shared" si="12"/>
        <v>23159.173975238813</v>
      </c>
      <c r="E185" s="10">
        <f t="shared" si="12"/>
        <v>3465.6860168469057</v>
      </c>
      <c r="F185" s="10">
        <f t="shared" si="12"/>
        <v>839.03608575097132</v>
      </c>
      <c r="G185" s="10">
        <v>36926.58</v>
      </c>
      <c r="H185" s="10">
        <v>52038.319999999992</v>
      </c>
      <c r="I185" s="10">
        <v>64006.610000000015</v>
      </c>
      <c r="J185" s="10">
        <v>328305.42</v>
      </c>
      <c r="K185" s="10">
        <v>52131.120000000054</v>
      </c>
      <c r="L185" s="10">
        <v>23322.999999999884</v>
      </c>
      <c r="M185" s="10">
        <v>0</v>
      </c>
      <c r="N185" s="10">
        <v>39035.350000000093</v>
      </c>
      <c r="O185" s="10">
        <f t="shared" si="13"/>
        <v>595766.4</v>
      </c>
      <c r="Q185" s="10">
        <v>0</v>
      </c>
      <c r="R185" s="10">
        <v>92604</v>
      </c>
      <c r="S185" s="10">
        <v>226641</v>
      </c>
      <c r="T185" s="10">
        <v>33916</v>
      </c>
      <c r="U185" s="10">
        <v>8211</v>
      </c>
      <c r="V185" s="10">
        <v>49381</v>
      </c>
      <c r="W185" s="10">
        <v>404628</v>
      </c>
      <c r="X185" s="10">
        <v>11990</v>
      </c>
      <c r="Y185" s="10">
        <f t="shared" si="14"/>
        <v>827371</v>
      </c>
    </row>
    <row r="186" spans="1:25" x14ac:dyDescent="0.35">
      <c r="A186" t="s">
        <v>9</v>
      </c>
      <c r="B186" s="10">
        <f t="shared" si="12"/>
        <v>32320700.693964742</v>
      </c>
      <c r="C186" s="10">
        <f t="shared" si="12"/>
        <v>2305699.3244131189</v>
      </c>
      <c r="D186" s="10">
        <f t="shared" si="12"/>
        <v>3950585.6995820804</v>
      </c>
      <c r="E186" s="10">
        <f t="shared" si="12"/>
        <v>3529782.1442189831</v>
      </c>
      <c r="F186" s="10">
        <f t="shared" si="12"/>
        <v>28365892.587821078</v>
      </c>
      <c r="G186" s="10">
        <v>70472660.450000003</v>
      </c>
      <c r="H186" s="10">
        <v>4978852.1199999899</v>
      </c>
      <c r="I186" s="10">
        <v>5206167.0100000054</v>
      </c>
      <c r="J186" s="10">
        <v>6857194.1099999994</v>
      </c>
      <c r="K186" s="10">
        <v>1474848.4900000095</v>
      </c>
      <c r="L186" s="10">
        <v>3508057.6599999964</v>
      </c>
      <c r="M186" s="10">
        <v>11051206.429999992</v>
      </c>
      <c r="N186" s="10">
        <v>61466587.36999999</v>
      </c>
      <c r="O186" s="10">
        <f t="shared" si="13"/>
        <v>165015573.63999999</v>
      </c>
      <c r="Q186" s="10">
        <v>27861098.800000001</v>
      </c>
      <c r="R186" s="10">
        <v>1987559.5299999975</v>
      </c>
      <c r="S186" s="10">
        <v>3405484.91</v>
      </c>
      <c r="T186" s="10">
        <v>3042743.7200000025</v>
      </c>
      <c r="U186" s="10">
        <v>24451974.089999996</v>
      </c>
      <c r="V186" s="10">
        <v>10780351.400000006</v>
      </c>
      <c r="W186" s="10">
        <v>4250055.7099999934</v>
      </c>
      <c r="X186" s="10">
        <v>5025660.950000003</v>
      </c>
      <c r="Y186" s="10">
        <f t="shared" si="14"/>
        <v>80804929.109999999</v>
      </c>
    </row>
    <row r="187" spans="1:25" x14ac:dyDescent="0.35">
      <c r="A187" t="s">
        <v>10</v>
      </c>
      <c r="B187" s="10">
        <f t="shared" si="12"/>
        <v>0</v>
      </c>
      <c r="C187" s="10">
        <f t="shared" si="12"/>
        <v>834809.16930855927</v>
      </c>
      <c r="D187" s="10">
        <f t="shared" si="12"/>
        <v>0</v>
      </c>
      <c r="E187" s="10">
        <f t="shared" si="12"/>
        <v>22058.808026828316</v>
      </c>
      <c r="F187" s="10">
        <f t="shared" si="12"/>
        <v>264462.47266461246</v>
      </c>
      <c r="G187" s="10">
        <v>1121330.45</v>
      </c>
      <c r="H187" s="10">
        <v>12733.949999999953</v>
      </c>
      <c r="I187" s="10">
        <v>1395217.3000000007</v>
      </c>
      <c r="J187" s="10">
        <v>3058.3900000001304</v>
      </c>
      <c r="K187" s="10">
        <v>125435.37999999942</v>
      </c>
      <c r="L187" s="10">
        <v>16374.109999999404</v>
      </c>
      <c r="M187" s="10">
        <v>0</v>
      </c>
      <c r="N187" s="10">
        <v>912609.14999999991</v>
      </c>
      <c r="O187" s="10">
        <f t="shared" si="13"/>
        <v>3586758.73</v>
      </c>
      <c r="Q187" s="10">
        <v>0</v>
      </c>
      <c r="R187" s="10">
        <v>348169.43000000005</v>
      </c>
      <c r="S187" s="10">
        <v>0</v>
      </c>
      <c r="T187" s="10">
        <v>9199.9499999999534</v>
      </c>
      <c r="U187" s="10">
        <v>110297.96000000002</v>
      </c>
      <c r="V187" s="10">
        <v>0</v>
      </c>
      <c r="W187" s="10">
        <v>0</v>
      </c>
      <c r="X187" s="10">
        <v>101864.71000000002</v>
      </c>
      <c r="Y187" s="10">
        <f t="shared" si="14"/>
        <v>569532.05000000005</v>
      </c>
    </row>
    <row r="188" spans="1:25" ht="15" thickBot="1" x14ac:dyDescent="0.4">
      <c r="A188" s="12" t="s">
        <v>11</v>
      </c>
      <c r="B188" s="13">
        <f t="shared" si="12"/>
        <v>295648167.29817671</v>
      </c>
      <c r="C188" s="13">
        <f t="shared" si="12"/>
        <v>212413197.39529926</v>
      </c>
      <c r="D188" s="13">
        <f t="shared" si="12"/>
        <v>191478631.54802999</v>
      </c>
      <c r="E188" s="13">
        <f t="shared" si="12"/>
        <v>185993406.47722894</v>
      </c>
      <c r="F188" s="13">
        <f t="shared" si="12"/>
        <v>191228847.85126501</v>
      </c>
      <c r="G188" s="13">
        <v>1076762250.5699999</v>
      </c>
      <c r="H188" s="13">
        <v>210291198.1500001</v>
      </c>
      <c r="I188" s="13">
        <v>441578800.46000004</v>
      </c>
      <c r="J188" s="13">
        <v>160482605.35000014</v>
      </c>
      <c r="K188" s="13">
        <v>196011828.47000003</v>
      </c>
      <c r="L188" s="13">
        <v>213261083.16999984</v>
      </c>
      <c r="M188" s="13">
        <v>209002172.80999994</v>
      </c>
      <c r="N188" s="13">
        <v>656236543.46999979</v>
      </c>
      <c r="O188" s="13">
        <f t="shared" si="13"/>
        <v>3163626482.4499998</v>
      </c>
      <c r="P188" s="14"/>
      <c r="Q188" s="13">
        <v>303835603.27000004</v>
      </c>
      <c r="R188" s="13">
        <v>218295592.90999997</v>
      </c>
      <c r="S188" s="13">
        <v>196781282.49999994</v>
      </c>
      <c r="T188" s="13">
        <v>191144154.13999999</v>
      </c>
      <c r="U188" s="13">
        <v>196524581.5</v>
      </c>
      <c r="V188" s="13">
        <v>232975984.34000015</v>
      </c>
      <c r="W188" s="13">
        <v>514785554.32999992</v>
      </c>
      <c r="X188" s="13">
        <v>178416222.92999983</v>
      </c>
      <c r="Y188" s="13">
        <f t="shared" si="14"/>
        <v>2032758975.9199998</v>
      </c>
    </row>
    <row r="189" spans="1:25" ht="15" thickTop="1" x14ac:dyDescent="0.35">
      <c r="B189" s="10">
        <f t="shared" si="12"/>
        <v>0</v>
      </c>
      <c r="C189" s="10">
        <f t="shared" si="12"/>
        <v>0</v>
      </c>
      <c r="D189" s="10">
        <f t="shared" si="12"/>
        <v>0</v>
      </c>
      <c r="E189" s="10">
        <f t="shared" si="12"/>
        <v>0</v>
      </c>
      <c r="F189" s="10">
        <f t="shared" si="12"/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f t="shared" si="13"/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f t="shared" si="14"/>
        <v>0</v>
      </c>
    </row>
    <row r="190" spans="1:25" x14ac:dyDescent="0.35">
      <c r="A190" t="s">
        <v>12</v>
      </c>
      <c r="B190" s="10">
        <f t="shared" si="12"/>
        <v>80449719.327995524</v>
      </c>
      <c r="C190" s="10">
        <f t="shared" si="12"/>
        <v>93555285.979652807</v>
      </c>
      <c r="D190" s="10">
        <f t="shared" si="12"/>
        <v>96710181.273382142</v>
      </c>
      <c r="E190" s="10">
        <f t="shared" si="12"/>
        <v>75741626.886812583</v>
      </c>
      <c r="F190" s="10">
        <f t="shared" si="12"/>
        <v>90374987.132156968</v>
      </c>
      <c r="G190" s="10">
        <v>436831800.60000002</v>
      </c>
      <c r="H190" s="10">
        <v>77992134.429999948</v>
      </c>
      <c r="I190" s="10">
        <v>279678151.48000002</v>
      </c>
      <c r="J190" s="10">
        <v>28472487.769999981</v>
      </c>
      <c r="K190" s="10">
        <v>78964502.550000072</v>
      </c>
      <c r="L190" s="10">
        <v>101005139.5</v>
      </c>
      <c r="M190" s="10">
        <v>104190692.69999993</v>
      </c>
      <c r="N190" s="10">
        <v>207740573.92000008</v>
      </c>
      <c r="O190" s="10">
        <f t="shared" si="13"/>
        <v>1314875482.95</v>
      </c>
      <c r="Q190" s="10">
        <v>81804018.799999997</v>
      </c>
      <c r="R190" s="10">
        <v>95130206.010000005</v>
      </c>
      <c r="S190" s="10">
        <v>98338211.160000026</v>
      </c>
      <c r="T190" s="10">
        <v>77016669.809999943</v>
      </c>
      <c r="U190" s="10">
        <v>91896369.660000026</v>
      </c>
      <c r="V190" s="10">
        <v>81620820.449999928</v>
      </c>
      <c r="W190" s="10">
        <v>353000521.95000011</v>
      </c>
      <c r="X190" s="10">
        <v>42626593.399999976</v>
      </c>
      <c r="Y190" s="10">
        <f t="shared" si="14"/>
        <v>921433411.24000001</v>
      </c>
    </row>
    <row r="191" spans="1:25" x14ac:dyDescent="0.35">
      <c r="B191" s="10">
        <f t="shared" si="12"/>
        <v>0</v>
      </c>
      <c r="C191" s="10">
        <f t="shared" si="12"/>
        <v>0</v>
      </c>
      <c r="D191" s="10">
        <f t="shared" si="12"/>
        <v>0</v>
      </c>
      <c r="E191" s="10">
        <f t="shared" si="12"/>
        <v>0</v>
      </c>
      <c r="F191" s="10">
        <f t="shared" si="12"/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f t="shared" si="13"/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f t="shared" si="14"/>
        <v>0</v>
      </c>
    </row>
    <row r="192" spans="1:25" ht="15" thickBot="1" x14ac:dyDescent="0.4">
      <c r="A192" s="12" t="s">
        <v>13</v>
      </c>
      <c r="B192" s="13">
        <f t="shared" si="12"/>
        <v>214501337.21826267</v>
      </c>
      <c r="C192" s="13">
        <f t="shared" si="12"/>
        <v>118988207.2504164</v>
      </c>
      <c r="D192" s="13">
        <f t="shared" si="12"/>
        <v>95104354.151721716</v>
      </c>
      <c r="E192" s="13">
        <f t="shared" si="12"/>
        <v>110256827.02115306</v>
      </c>
      <c r="F192" s="13">
        <f t="shared" si="12"/>
        <v>101079724.32844609</v>
      </c>
      <c r="G192" s="13">
        <v>639930449.96999991</v>
      </c>
      <c r="H192" s="13">
        <v>132299063.72000003</v>
      </c>
      <c r="I192" s="13">
        <v>161900648.98000014</v>
      </c>
      <c r="J192" s="13">
        <v>132010117.58000028</v>
      </c>
      <c r="K192" s="13">
        <v>117047325.91999972</v>
      </c>
      <c r="L192" s="13">
        <v>112255943.66999984</v>
      </c>
      <c r="M192" s="13">
        <v>104811480.11000013</v>
      </c>
      <c r="N192" s="13">
        <v>448495969.54999995</v>
      </c>
      <c r="O192" s="13">
        <f t="shared" si="13"/>
        <v>1848750999.5</v>
      </c>
      <c r="P192" s="14"/>
      <c r="Q192" s="13">
        <v>222031584.47000003</v>
      </c>
      <c r="R192" s="13">
        <v>123165386.90000004</v>
      </c>
      <c r="S192" s="13">
        <v>98443071.339999855</v>
      </c>
      <c r="T192" s="13">
        <v>114127484.33000004</v>
      </c>
      <c r="U192" s="13">
        <v>104628211.84000015</v>
      </c>
      <c r="V192" s="13">
        <v>151355163.88999999</v>
      </c>
      <c r="W192" s="13">
        <v>161785032.37999988</v>
      </c>
      <c r="X192" s="13">
        <v>135789629.52999985</v>
      </c>
      <c r="Y192" s="13">
        <f t="shared" si="14"/>
        <v>1111325564.6799998</v>
      </c>
    </row>
    <row r="193" spans="1:25" ht="15" thickTop="1" x14ac:dyDescent="0.35">
      <c r="B193" s="10">
        <f t="shared" si="12"/>
        <v>0</v>
      </c>
      <c r="C193" s="10">
        <f t="shared" si="12"/>
        <v>0</v>
      </c>
      <c r="D193" s="10">
        <f t="shared" si="12"/>
        <v>0</v>
      </c>
      <c r="E193" s="10">
        <f t="shared" si="12"/>
        <v>0</v>
      </c>
      <c r="F193" s="10">
        <f t="shared" si="12"/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f t="shared" si="13"/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f t="shared" si="14"/>
        <v>0</v>
      </c>
    </row>
    <row r="194" spans="1:25" x14ac:dyDescent="0.35">
      <c r="A194" t="s">
        <v>14</v>
      </c>
      <c r="B194" s="10">
        <f t="shared" si="12"/>
        <v>-17124222.460000001</v>
      </c>
      <c r="C194" s="10">
        <f t="shared" si="12"/>
        <v>-17124222.460000001</v>
      </c>
      <c r="D194" s="10">
        <f t="shared" si="12"/>
        <v>-17124222.460000001</v>
      </c>
      <c r="E194" s="10">
        <f t="shared" si="12"/>
        <v>-17124222.460000001</v>
      </c>
      <c r="F194" s="10">
        <f t="shared" si="12"/>
        <v>-17124222.460000001</v>
      </c>
      <c r="G194" s="10">
        <v>-85621112.300000012</v>
      </c>
      <c r="H194" s="10">
        <v>-12880394.330000013</v>
      </c>
      <c r="I194" s="10">
        <v>8811253.6500000656</v>
      </c>
      <c r="J194" s="10">
        <v>-18942196.600000024</v>
      </c>
      <c r="K194" s="10">
        <v>-33681965.690000027</v>
      </c>
      <c r="L194" s="10">
        <v>-42329496.740000039</v>
      </c>
      <c r="M194" s="10">
        <v>-46339250.579999954</v>
      </c>
      <c r="N194" s="10">
        <v>294098876.85999995</v>
      </c>
      <c r="O194" s="10">
        <f t="shared" si="13"/>
        <v>63115714.269999951</v>
      </c>
      <c r="Q194" s="10">
        <v>70015159.890000001</v>
      </c>
      <c r="R194" s="10">
        <v>-21330143.920000002</v>
      </c>
      <c r="S194" s="10">
        <v>-53919690.5</v>
      </c>
      <c r="T194" s="10">
        <v>-40129150.589999981</v>
      </c>
      <c r="U194" s="10">
        <v>-48969267.969999991</v>
      </c>
      <c r="V194" s="10">
        <v>-3905261.4000000507</v>
      </c>
      <c r="W194" s="10">
        <v>6572245.7300000489</v>
      </c>
      <c r="X194" s="10">
        <v>-21236573.470000029</v>
      </c>
      <c r="Y194" s="10">
        <f t="shared" si="14"/>
        <v>-112902682.23</v>
      </c>
    </row>
    <row r="195" spans="1:25" x14ac:dyDescent="0.35">
      <c r="A195" t="s">
        <v>15</v>
      </c>
      <c r="B195" s="10">
        <f t="shared" si="12"/>
        <v>87960528.144646719</v>
      </c>
      <c r="C195" s="10">
        <f t="shared" si="12"/>
        <v>16663349.497289788</v>
      </c>
      <c r="D195" s="10">
        <f t="shared" si="12"/>
        <v>4834402.6561983749</v>
      </c>
      <c r="E195" s="10">
        <f t="shared" si="12"/>
        <v>12117099.960604614</v>
      </c>
      <c r="F195" s="10">
        <f t="shared" si="12"/>
        <v>6971882.2712605055</v>
      </c>
      <c r="G195" s="10">
        <v>128547262.53</v>
      </c>
      <c r="H195" s="10">
        <v>14187385.599999994</v>
      </c>
      <c r="I195" s="10">
        <v>51806617.039999992</v>
      </c>
      <c r="J195" s="10">
        <v>34329076.790000021</v>
      </c>
      <c r="K195" s="10">
        <v>8088159.0600000024</v>
      </c>
      <c r="L195" s="10">
        <v>9280975.3299999833</v>
      </c>
      <c r="M195" s="10">
        <v>5736237.6800000072</v>
      </c>
      <c r="N195" s="10">
        <v>330538604.14999998</v>
      </c>
      <c r="O195" s="10">
        <f t="shared" si="13"/>
        <v>582514318.17999995</v>
      </c>
      <c r="Q195" s="10">
        <v>93001437.709999993</v>
      </c>
      <c r="R195" s="10">
        <v>17618305.540000007</v>
      </c>
      <c r="S195" s="10">
        <v>5111456.3199999928</v>
      </c>
      <c r="T195" s="10">
        <v>12811516.040000007</v>
      </c>
      <c r="U195" s="10">
        <v>7371432.2600000054</v>
      </c>
      <c r="V195" s="10">
        <v>22862818.079999983</v>
      </c>
      <c r="W195" s="10">
        <v>51232464.860000014</v>
      </c>
      <c r="X195" s="10">
        <v>35222482.819999993</v>
      </c>
      <c r="Y195" s="10">
        <f t="shared" si="14"/>
        <v>245231913.63</v>
      </c>
    </row>
    <row r="196" spans="1:25" x14ac:dyDescent="0.35">
      <c r="A196" t="s">
        <v>16</v>
      </c>
      <c r="B196" s="10">
        <f t="shared" si="12"/>
        <v>21381076.027553871</v>
      </c>
      <c r="C196" s="10">
        <f t="shared" si="12"/>
        <v>36228560.603884645</v>
      </c>
      <c r="D196" s="10">
        <f t="shared" si="12"/>
        <v>54908822.038770378</v>
      </c>
      <c r="E196" s="10">
        <f t="shared" si="12"/>
        <v>49243658.63100031</v>
      </c>
      <c r="F196" s="10">
        <f t="shared" si="12"/>
        <v>52406257.528790809</v>
      </c>
      <c r="G196" s="10">
        <v>214168374.83000001</v>
      </c>
      <c r="H196" s="10">
        <v>27067779.929999977</v>
      </c>
      <c r="I196" s="10">
        <v>42995363.389999986</v>
      </c>
      <c r="J196" s="10">
        <v>53271273.390000045</v>
      </c>
      <c r="K196" s="10">
        <v>41770124.75</v>
      </c>
      <c r="L196" s="10">
        <v>51610472.069999993</v>
      </c>
      <c r="M196" s="10">
        <v>52075488.25999999</v>
      </c>
      <c r="N196" s="10">
        <v>36439727.290000021</v>
      </c>
      <c r="O196" s="10">
        <f t="shared" si="13"/>
        <v>519398603.91000003</v>
      </c>
      <c r="Q196" s="10">
        <v>22986277.82</v>
      </c>
      <c r="R196" s="10">
        <v>38948449.460000001</v>
      </c>
      <c r="S196" s="10">
        <v>59031146.819999993</v>
      </c>
      <c r="T196" s="10">
        <v>52940666.629999995</v>
      </c>
      <c r="U196" s="10">
        <v>56340700.230000019</v>
      </c>
      <c r="V196" s="10">
        <v>26768079.479999989</v>
      </c>
      <c r="W196" s="10">
        <v>44660219.129999995</v>
      </c>
      <c r="X196" s="10">
        <v>56459056.290000021</v>
      </c>
      <c r="Y196" s="10">
        <f t="shared" si="14"/>
        <v>358134595.86000001</v>
      </c>
    </row>
    <row r="197" spans="1:25" ht="15" thickBot="1" x14ac:dyDescent="0.4">
      <c r="A197" s="12" t="s">
        <v>17</v>
      </c>
      <c r="B197" s="13">
        <f t="shared" si="12"/>
        <v>145753339.48567095</v>
      </c>
      <c r="C197" s="13">
        <f t="shared" si="12"/>
        <v>138542306.96424711</v>
      </c>
      <c r="D197" s="13">
        <f t="shared" si="12"/>
        <v>146085407.63141739</v>
      </c>
      <c r="E197" s="13">
        <f t="shared" si="12"/>
        <v>147901253.03585109</v>
      </c>
      <c r="F197" s="13">
        <f t="shared" si="12"/>
        <v>147269255.15281343</v>
      </c>
      <c r="G197" s="13">
        <v>725551562.26999998</v>
      </c>
      <c r="H197" s="13">
        <v>145179458.04999995</v>
      </c>
      <c r="I197" s="13">
        <v>153089395.33000016</v>
      </c>
      <c r="J197" s="13">
        <v>150952314.18000031</v>
      </c>
      <c r="K197" s="13">
        <v>150729291.60999966</v>
      </c>
      <c r="L197" s="13">
        <v>154585440.41000009</v>
      </c>
      <c r="M197" s="13">
        <v>151150730.69000006</v>
      </c>
      <c r="N197" s="13">
        <v>154397092.68999982</v>
      </c>
      <c r="O197" s="13">
        <f t="shared" si="13"/>
        <v>1785635285.23</v>
      </c>
      <c r="P197" s="14"/>
      <c r="Q197" s="13">
        <v>152016424.58000004</v>
      </c>
      <c r="R197" s="13">
        <v>144495530.81999999</v>
      </c>
      <c r="S197" s="13">
        <v>152362761.83999985</v>
      </c>
      <c r="T197" s="13">
        <v>154256634.91999996</v>
      </c>
      <c r="U197" s="13">
        <v>153597479.81000018</v>
      </c>
      <c r="V197" s="13">
        <v>155260425.29000008</v>
      </c>
      <c r="W197" s="13">
        <v>155212786.64999986</v>
      </c>
      <c r="X197" s="13">
        <v>157026202.99999988</v>
      </c>
      <c r="Y197" s="13">
        <f t="shared" si="14"/>
        <v>1224228246.9099998</v>
      </c>
    </row>
    <row r="198" spans="1:25" ht="15" thickTop="1" x14ac:dyDescent="0.35">
      <c r="B198" s="10">
        <f t="shared" si="12"/>
        <v>0</v>
      </c>
      <c r="C198" s="10">
        <f t="shared" si="12"/>
        <v>0</v>
      </c>
      <c r="D198" s="10">
        <f t="shared" si="12"/>
        <v>0</v>
      </c>
      <c r="E198" s="10">
        <f t="shared" si="12"/>
        <v>0</v>
      </c>
      <c r="F198" s="10">
        <f t="shared" si="12"/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f t="shared" si="13"/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f t="shared" si="14"/>
        <v>0</v>
      </c>
    </row>
    <row r="199" spans="1:25" x14ac:dyDescent="0.35">
      <c r="A199" t="s">
        <v>18</v>
      </c>
      <c r="B199" s="10">
        <f t="shared" si="12"/>
        <v>120470071.44866659</v>
      </c>
      <c r="C199" s="10">
        <f t="shared" si="12"/>
        <v>113052491.97694208</v>
      </c>
      <c r="D199" s="10">
        <f t="shared" si="12"/>
        <v>108448052.52084593</v>
      </c>
      <c r="E199" s="10">
        <f t="shared" si="12"/>
        <v>116206040.23012355</v>
      </c>
      <c r="F199" s="10">
        <f t="shared" si="12"/>
        <v>113318891.43342185</v>
      </c>
      <c r="G199" s="10">
        <v>571495547.61000001</v>
      </c>
      <c r="H199" s="10">
        <v>118699769.81999993</v>
      </c>
      <c r="I199" s="10">
        <v>110778492.53999996</v>
      </c>
      <c r="J199" s="10">
        <v>123046773.6700002</v>
      </c>
      <c r="K199" s="10">
        <v>120451321.16000009</v>
      </c>
      <c r="L199" s="10">
        <v>121878369.68999958</v>
      </c>
      <c r="M199" s="10">
        <v>117402402.49000025</v>
      </c>
      <c r="N199" s="10">
        <v>139984114.13000011</v>
      </c>
      <c r="O199" s="10">
        <f t="shared" si="13"/>
        <v>1423736791.1100001</v>
      </c>
      <c r="Q199" s="10">
        <v>123409630.18000002</v>
      </c>
      <c r="R199" s="10">
        <v>115811056.28999995</v>
      </c>
      <c r="S199" s="10">
        <v>111094265.11000007</v>
      </c>
      <c r="T199" s="10">
        <v>119041553.44999993</v>
      </c>
      <c r="U199" s="10">
        <v>116083956.08999991</v>
      </c>
      <c r="V199" s="10">
        <v>122215222.25000012</v>
      </c>
      <c r="W199" s="10">
        <v>111707930.30999994</v>
      </c>
      <c r="X199" s="10">
        <v>124353339.88000011</v>
      </c>
      <c r="Y199" s="10">
        <f t="shared" si="14"/>
        <v>943716953.56000006</v>
      </c>
    </row>
    <row r="200" spans="1:25" x14ac:dyDescent="0.35">
      <c r="A200" t="s">
        <v>19</v>
      </c>
      <c r="B200" s="10">
        <f t="shared" si="12"/>
        <v>39258521.000933059</v>
      </c>
      <c r="C200" s="10">
        <f t="shared" si="12"/>
        <v>34101721.599294417</v>
      </c>
      <c r="D200" s="10">
        <f t="shared" si="12"/>
        <v>28362221.353489988</v>
      </c>
      <c r="E200" s="10">
        <f t="shared" si="12"/>
        <v>30450267.979291856</v>
      </c>
      <c r="F200" s="10">
        <f t="shared" si="12"/>
        <v>32165208.036990646</v>
      </c>
      <c r="G200" s="10">
        <v>164337939.96999997</v>
      </c>
      <c r="H200" s="10">
        <v>33825035.290000051</v>
      </c>
      <c r="I200" s="10">
        <v>22581164.859999985</v>
      </c>
      <c r="J200" s="10">
        <v>37236948.659999967</v>
      </c>
      <c r="K200" s="10">
        <v>36176594.740000069</v>
      </c>
      <c r="L200" s="10">
        <v>33114904.569999933</v>
      </c>
      <c r="M200" s="10">
        <v>36880820.879999995</v>
      </c>
      <c r="N200" s="10">
        <v>49970926.779999971</v>
      </c>
      <c r="O200" s="10">
        <f t="shared" si="13"/>
        <v>414124335.74999994</v>
      </c>
      <c r="Q200" s="10">
        <v>43834502.659999996</v>
      </c>
      <c r="R200" s="10">
        <v>38076625.609999999</v>
      </c>
      <c r="S200" s="10">
        <v>31668127.979999989</v>
      </c>
      <c r="T200" s="10">
        <v>33999557.769999996</v>
      </c>
      <c r="U200" s="10">
        <v>35914391.610000014</v>
      </c>
      <c r="V200" s="10">
        <v>34963103.580000043</v>
      </c>
      <c r="W200" s="10">
        <v>27933578.73999995</v>
      </c>
      <c r="X200" s="10">
        <v>40107204.390000045</v>
      </c>
      <c r="Y200" s="10">
        <f t="shared" si="14"/>
        <v>286497092.34000003</v>
      </c>
    </row>
    <row r="201" spans="1:25" x14ac:dyDescent="0.35">
      <c r="A201" t="s">
        <v>20</v>
      </c>
      <c r="B201" s="10">
        <f t="shared" si="12"/>
        <v>49412387.731576428</v>
      </c>
      <c r="C201" s="10">
        <f t="shared" si="12"/>
        <v>42260323.143691808</v>
      </c>
      <c r="D201" s="10">
        <f t="shared" si="12"/>
        <v>38254016.736965179</v>
      </c>
      <c r="E201" s="10">
        <f t="shared" si="12"/>
        <v>42415067.537312828</v>
      </c>
      <c r="F201" s="10">
        <f t="shared" si="12"/>
        <v>41293590.580453746</v>
      </c>
      <c r="G201" s="10">
        <v>213635385.72999999</v>
      </c>
      <c r="H201" s="10">
        <v>44260536.030000001</v>
      </c>
      <c r="I201" s="10">
        <v>69298875.170000017</v>
      </c>
      <c r="J201" s="10">
        <v>41653814.089999974</v>
      </c>
      <c r="K201" s="10">
        <v>44738951.080000043</v>
      </c>
      <c r="L201" s="10">
        <v>44810505.169999957</v>
      </c>
      <c r="M201" s="10">
        <v>50740068.300000012</v>
      </c>
      <c r="N201" s="10">
        <v>73386692.469999969</v>
      </c>
      <c r="O201" s="10">
        <f t="shared" si="13"/>
        <v>582524828.03999996</v>
      </c>
      <c r="Q201" s="10">
        <v>54693528.039999999</v>
      </c>
      <c r="R201" s="10">
        <v>46777058.850000001</v>
      </c>
      <c r="S201" s="10">
        <v>42342562.929999992</v>
      </c>
      <c r="T201" s="10">
        <v>46948342.150000006</v>
      </c>
      <c r="U201" s="10">
        <v>45707003</v>
      </c>
      <c r="V201" s="10">
        <v>46152676.770000011</v>
      </c>
      <c r="W201" s="10">
        <v>72649702.079999983</v>
      </c>
      <c r="X201" s="10">
        <v>46467135.370000005</v>
      </c>
      <c r="Y201" s="10">
        <f t="shared" si="14"/>
        <v>401738009.19</v>
      </c>
    </row>
    <row r="202" spans="1:25" x14ac:dyDescent="0.35">
      <c r="A202" t="s">
        <v>21</v>
      </c>
      <c r="B202" s="10">
        <f t="shared" si="12"/>
        <v>10105130.549476927</v>
      </c>
      <c r="C202" s="10">
        <f t="shared" si="12"/>
        <v>8096400.0589902401</v>
      </c>
      <c r="D202" s="10">
        <f t="shared" si="12"/>
        <v>9933355.4289610833</v>
      </c>
      <c r="E202" s="10">
        <f t="shared" si="12"/>
        <v>12049806.685038585</v>
      </c>
      <c r="F202" s="10">
        <f t="shared" si="12"/>
        <v>9112753.0375331622</v>
      </c>
      <c r="G202" s="10">
        <v>49297445.759999998</v>
      </c>
      <c r="H202" s="10">
        <v>10435500.740000002</v>
      </c>
      <c r="I202" s="10">
        <v>46717710.310000002</v>
      </c>
      <c r="J202" s="10">
        <v>4416865.4299999923</v>
      </c>
      <c r="K202" s="10">
        <v>8562356.3400000036</v>
      </c>
      <c r="L202" s="10">
        <v>11695600.599999994</v>
      </c>
      <c r="M202" s="10">
        <v>13859247.420000002</v>
      </c>
      <c r="N202" s="10">
        <v>23415765.689999998</v>
      </c>
      <c r="O202" s="10">
        <f t="shared" si="13"/>
        <v>168400492.28999999</v>
      </c>
      <c r="Q202" s="10">
        <v>10859025.380000001</v>
      </c>
      <c r="R202" s="10">
        <v>8700433.2400000002</v>
      </c>
      <c r="S202" s="10">
        <v>10674434.949999999</v>
      </c>
      <c r="T202" s="10">
        <v>12948784.380000003</v>
      </c>
      <c r="U202" s="10">
        <v>9792611.3900000006</v>
      </c>
      <c r="V202" s="10">
        <v>11189573.189999998</v>
      </c>
      <c r="W202" s="10">
        <v>44716123.340000004</v>
      </c>
      <c r="X202" s="10">
        <v>6359930.9799999893</v>
      </c>
      <c r="Y202" s="10">
        <f t="shared" si="14"/>
        <v>115240916.84999999</v>
      </c>
    </row>
    <row r="203" spans="1:25" ht="15" thickBot="1" x14ac:dyDescent="0.4">
      <c r="A203" s="12" t="s">
        <v>22</v>
      </c>
      <c r="B203" s="13">
        <f t="shared" si="12"/>
        <v>80606642.056042627</v>
      </c>
      <c r="C203" s="13">
        <f t="shared" si="12"/>
        <v>78742084.675618887</v>
      </c>
      <c r="D203" s="13">
        <f t="shared" si="12"/>
        <v>80455720.337023109</v>
      </c>
      <c r="E203" s="13">
        <f t="shared" si="12"/>
        <v>86144376.002242461</v>
      </c>
      <c r="F203" s="13">
        <f t="shared" si="12"/>
        <v>81208784.569072947</v>
      </c>
      <c r="G203" s="13">
        <v>407157607.64000005</v>
      </c>
      <c r="H203" s="13">
        <v>84874734.529999912</v>
      </c>
      <c r="I203" s="13">
        <v>88197327.679999948</v>
      </c>
      <c r="J203" s="13">
        <v>85809825.010000229</v>
      </c>
      <c r="K203" s="13">
        <v>84274726.420000076</v>
      </c>
      <c r="L203" s="13">
        <v>88763465.119999647</v>
      </c>
      <c r="M203" s="13">
        <v>80521581.610000134</v>
      </c>
      <c r="N203" s="13">
        <v>90013187.350000024</v>
      </c>
      <c r="O203" s="13">
        <f t="shared" si="13"/>
        <v>1009612455.36</v>
      </c>
      <c r="P203" s="14"/>
      <c r="Q203" s="13">
        <v>79575127.520000026</v>
      </c>
      <c r="R203" s="13">
        <v>77734430.679999933</v>
      </c>
      <c r="S203" s="13">
        <v>79426137.130000085</v>
      </c>
      <c r="T203" s="13">
        <v>85041995.679999888</v>
      </c>
      <c r="U203" s="13">
        <v>80169564.480000019</v>
      </c>
      <c r="V203" s="13">
        <v>87252118.669999957</v>
      </c>
      <c r="W203" s="13">
        <v>83774351.569999993</v>
      </c>
      <c r="X203" s="13">
        <v>84246135.49000001</v>
      </c>
      <c r="Y203" s="13">
        <f t="shared" si="14"/>
        <v>657219861.21999991</v>
      </c>
    </row>
    <row r="204" spans="1:25" ht="15" thickTop="1" x14ac:dyDescent="0.35">
      <c r="A204" t="s">
        <v>23</v>
      </c>
      <c r="B204" s="10">
        <f t="shared" si="12"/>
        <v>157269894.72207713</v>
      </c>
      <c r="C204" s="10">
        <f t="shared" si="12"/>
        <v>91715596.034198463</v>
      </c>
      <c r="D204" s="10">
        <f t="shared" si="12"/>
        <v>100771741.84145884</v>
      </c>
      <c r="E204" s="10">
        <f t="shared" si="12"/>
        <v>145455045.62463433</v>
      </c>
      <c r="F204" s="10">
        <f t="shared" si="12"/>
        <v>121360096.09763129</v>
      </c>
      <c r="G204" s="10">
        <v>616572374.32000005</v>
      </c>
      <c r="H204" s="10">
        <v>130582451.64999998</v>
      </c>
      <c r="I204" s="10">
        <v>206389084.00999999</v>
      </c>
      <c r="J204" s="10">
        <v>90254051.169999957</v>
      </c>
      <c r="K204" s="10">
        <v>104190495.26000011</v>
      </c>
      <c r="L204" s="10">
        <v>102349449.67999983</v>
      </c>
      <c r="M204" s="10">
        <v>112759784.0400002</v>
      </c>
      <c r="N204" s="10">
        <v>105431340.86999989</v>
      </c>
      <c r="O204" s="10">
        <f t="shared" si="13"/>
        <v>1468529031</v>
      </c>
      <c r="Q204" s="10">
        <v>152165240.52000001</v>
      </c>
      <c r="R204" s="10">
        <v>88738698.23999998</v>
      </c>
      <c r="S204" s="10">
        <v>97500900.360000014</v>
      </c>
      <c r="T204" s="10">
        <v>140733876.88999999</v>
      </c>
      <c r="U204" s="10">
        <v>117420999.38999999</v>
      </c>
      <c r="V204" s="10">
        <v>154390654.90999997</v>
      </c>
      <c r="W204" s="10">
        <v>121086470.67000008</v>
      </c>
      <c r="X204" s="10">
        <v>111640333.09000003</v>
      </c>
      <c r="Y204" s="10">
        <f t="shared" si="14"/>
        <v>983677174.07000005</v>
      </c>
    </row>
    <row r="205" spans="1:25" x14ac:dyDescent="0.35">
      <c r="A205" t="s">
        <v>24</v>
      </c>
      <c r="B205" s="10">
        <f t="shared" si="12"/>
        <v>0</v>
      </c>
      <c r="C205" s="10">
        <f t="shared" si="12"/>
        <v>0</v>
      </c>
      <c r="D205" s="10">
        <f t="shared" si="12"/>
        <v>0</v>
      </c>
      <c r="E205" s="10">
        <f t="shared" si="12"/>
        <v>0</v>
      </c>
      <c r="F205" s="10">
        <f t="shared" si="12"/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f t="shared" si="13"/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f t="shared" si="14"/>
        <v>0</v>
      </c>
    </row>
    <row r="206" spans="1:25" x14ac:dyDescent="0.35">
      <c r="A206" t="s">
        <v>25</v>
      </c>
      <c r="B206" s="10">
        <f t="shared" si="12"/>
        <v>0</v>
      </c>
      <c r="C206" s="10">
        <f t="shared" si="12"/>
        <v>0</v>
      </c>
      <c r="D206" s="10">
        <f t="shared" si="12"/>
        <v>0</v>
      </c>
      <c r="E206" s="10">
        <f t="shared" si="12"/>
        <v>0</v>
      </c>
      <c r="F206" s="10">
        <f t="shared" si="12"/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f t="shared" si="13"/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f t="shared" si="14"/>
        <v>0</v>
      </c>
    </row>
    <row r="207" spans="1:25" x14ac:dyDescent="0.35">
      <c r="A207" t="s">
        <v>26</v>
      </c>
      <c r="B207" s="10">
        <f t="shared" si="12"/>
        <v>71859949.880084068</v>
      </c>
      <c r="C207" s="10">
        <f t="shared" si="12"/>
        <v>5564584.6896564271</v>
      </c>
      <c r="D207" s="10">
        <f t="shared" si="12"/>
        <v>14068501.919432646</v>
      </c>
      <c r="E207" s="10">
        <f t="shared" si="12"/>
        <v>55941695.539588295</v>
      </c>
      <c r="F207" s="10">
        <f t="shared" si="12"/>
        <v>36006222.871238567</v>
      </c>
      <c r="G207" s="10">
        <v>183440954.90000001</v>
      </c>
      <c r="H207" s="10">
        <v>25986029.079999983</v>
      </c>
      <c r="I207" s="10">
        <v>113348390.72999999</v>
      </c>
      <c r="J207" s="10">
        <v>285006.06999999285</v>
      </c>
      <c r="K207" s="10">
        <v>15882403.050000012</v>
      </c>
      <c r="L207" s="10">
        <v>9901019.8400000334</v>
      </c>
      <c r="M207" s="10">
        <v>27557229.689999998</v>
      </c>
      <c r="N207" s="10">
        <v>11692090.779999971</v>
      </c>
      <c r="O207" s="10">
        <f t="shared" si="13"/>
        <v>388093124.13999993</v>
      </c>
      <c r="Q207" s="10">
        <v>66490568.979999997</v>
      </c>
      <c r="R207" s="10">
        <v>5148798.5000000075</v>
      </c>
      <c r="S207" s="10">
        <v>13017302.390000001</v>
      </c>
      <c r="T207" s="10">
        <v>51761727.810000002</v>
      </c>
      <c r="U207" s="10">
        <v>33315835.169999987</v>
      </c>
      <c r="V207" s="10">
        <v>62466373.170000017</v>
      </c>
      <c r="W207" s="10">
        <v>33516019.210000008</v>
      </c>
      <c r="X207" s="10">
        <v>23271850.849999964</v>
      </c>
      <c r="Y207" s="10">
        <f t="shared" si="14"/>
        <v>288988476.07999998</v>
      </c>
    </row>
    <row r="208" spans="1:25" x14ac:dyDescent="0.35">
      <c r="A208" t="s">
        <v>27</v>
      </c>
      <c r="B208" s="10">
        <f t="shared" si="12"/>
        <v>6368155.0914868359</v>
      </c>
      <c r="C208" s="10">
        <f t="shared" si="12"/>
        <v>6113331.5843308959</v>
      </c>
      <c r="D208" s="10">
        <f t="shared" si="12"/>
        <v>5280180.7631255202</v>
      </c>
      <c r="E208" s="10">
        <f t="shared" si="12"/>
        <v>4103229.0778572476</v>
      </c>
      <c r="F208" s="10">
        <f t="shared" si="12"/>
        <v>4108915.2631995035</v>
      </c>
      <c r="G208" s="10">
        <v>25973811.780000001</v>
      </c>
      <c r="H208" s="10">
        <v>19721688.039999999</v>
      </c>
      <c r="I208" s="10">
        <v>4843365.6000000015</v>
      </c>
      <c r="J208" s="10">
        <v>4159220.0899999961</v>
      </c>
      <c r="K208" s="10">
        <v>4033365.7899999991</v>
      </c>
      <c r="L208" s="10">
        <v>3684964.7200000063</v>
      </c>
      <c r="M208" s="10">
        <v>4680972.7400000021</v>
      </c>
      <c r="N208" s="10">
        <v>3726062.7399999946</v>
      </c>
      <c r="O208" s="10">
        <f t="shared" si="13"/>
        <v>70823451.5</v>
      </c>
      <c r="Q208" s="10">
        <v>6099544.0199999996</v>
      </c>
      <c r="R208" s="10">
        <v>5855469.0600000005</v>
      </c>
      <c r="S208" s="10">
        <v>5057460.8400000017</v>
      </c>
      <c r="T208" s="10">
        <v>3930153.3999999985</v>
      </c>
      <c r="U208" s="10">
        <v>3935599.7399999984</v>
      </c>
      <c r="V208" s="10">
        <v>4672163.07</v>
      </c>
      <c r="W208" s="10">
        <v>3796099.8899999969</v>
      </c>
      <c r="X208" s="10">
        <v>4122346.7500000075</v>
      </c>
      <c r="Y208" s="10">
        <f t="shared" si="14"/>
        <v>37468836.770000003</v>
      </c>
    </row>
    <row r="209" spans="1:25" x14ac:dyDescent="0.35">
      <c r="B209" s="10">
        <f t="shared" si="12"/>
        <v>0</v>
      </c>
      <c r="C209" s="10">
        <f t="shared" si="12"/>
        <v>0</v>
      </c>
      <c r="D209" s="10">
        <f t="shared" si="12"/>
        <v>0</v>
      </c>
      <c r="E209" s="10">
        <f t="shared" si="12"/>
        <v>0</v>
      </c>
      <c r="F209" s="10">
        <f t="shared" si="12"/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f t="shared" si="13"/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f t="shared" si="14"/>
        <v>0</v>
      </c>
    </row>
    <row r="210" spans="1:25" ht="15" thickBot="1" x14ac:dyDescent="0.4">
      <c r="A210" s="12" t="s">
        <v>28</v>
      </c>
      <c r="B210" s="13">
        <f t="shared" si="12"/>
        <v>25728826.280456189</v>
      </c>
      <c r="C210" s="13">
        <f t="shared" si="12"/>
        <v>25798691.451026082</v>
      </c>
      <c r="D210" s="13">
        <f t="shared" si="12"/>
        <v>37116706.205353007</v>
      </c>
      <c r="E210" s="13">
        <f t="shared" si="12"/>
        <v>31672290.887431383</v>
      </c>
      <c r="F210" s="13">
        <f t="shared" si="12"/>
        <v>33739499.835733339</v>
      </c>
      <c r="G210" s="13">
        <v>154056014.66</v>
      </c>
      <c r="H210" s="13">
        <v>26479688.229999959</v>
      </c>
      <c r="I210" s="13">
        <v>42310902.7900002</v>
      </c>
      <c r="J210" s="13">
        <v>27905540.51000008</v>
      </c>
      <c r="K210" s="13">
        <v>30277970.44999969</v>
      </c>
      <c r="L210" s="13">
        <v>32707070.720000386</v>
      </c>
      <c r="M210" s="13">
        <v>33748328.199999869</v>
      </c>
      <c r="N210" s="13">
        <v>14412978.559999764</v>
      </c>
      <c r="O210" s="13">
        <f t="shared" si="13"/>
        <v>361898494.11999995</v>
      </c>
      <c r="P210" s="14"/>
      <c r="Q210" s="13">
        <v>28606794.400000028</v>
      </c>
      <c r="R210" s="13">
        <v>28684474.530000053</v>
      </c>
      <c r="S210" s="13">
        <v>41268496.729999781</v>
      </c>
      <c r="T210" s="13">
        <v>35215081.470000088</v>
      </c>
      <c r="U210" s="13">
        <v>37513523.720000222</v>
      </c>
      <c r="V210" s="13">
        <v>33045203.039999932</v>
      </c>
      <c r="W210" s="13">
        <v>43504856.339999944</v>
      </c>
      <c r="X210" s="13">
        <v>32672863.119999677</v>
      </c>
      <c r="Y210" s="13">
        <f t="shared" si="14"/>
        <v>280511293.34999973</v>
      </c>
    </row>
    <row r="211" spans="1:25" ht="15" thickTop="1" x14ac:dyDescent="0.35">
      <c r="A211" t="s">
        <v>29</v>
      </c>
      <c r="B211" s="10">
        <f t="shared" ref="B211:F228" si="15">IF(OR(SUM($Q211:$U211)=0,COUNTIF($Q211:$U211,"&lt;0")*COUNTIF($Q211:$U211,"&gt;0")&gt;0),$G211/5,$G211*Q211/SUM($Q211:$U211))</f>
        <v>1697234.8700000003</v>
      </c>
      <c r="C211" s="10">
        <f t="shared" si="15"/>
        <v>1697234.8700000003</v>
      </c>
      <c r="D211" s="10">
        <f t="shared" si="15"/>
        <v>1697234.8700000003</v>
      </c>
      <c r="E211" s="10">
        <f t="shared" si="15"/>
        <v>1697234.8700000003</v>
      </c>
      <c r="F211" s="10">
        <f t="shared" si="15"/>
        <v>1697234.8700000003</v>
      </c>
      <c r="G211" s="10">
        <v>8486174.3500000015</v>
      </c>
      <c r="H211" s="10">
        <v>672196.83999998868</v>
      </c>
      <c r="I211" s="10">
        <v>-8827706.559999954</v>
      </c>
      <c r="J211" s="10">
        <v>3386469.5899999272</v>
      </c>
      <c r="K211" s="10">
        <v>1119162.2800000627</v>
      </c>
      <c r="L211" s="10">
        <v>2882265.449999948</v>
      </c>
      <c r="M211" s="10">
        <v>2138775.9200000288</v>
      </c>
      <c r="N211" s="10">
        <v>-13570008.709999966</v>
      </c>
      <c r="O211" s="10">
        <f t="shared" si="13"/>
        <v>-3712670.8399999626</v>
      </c>
      <c r="Q211" s="10">
        <v>-2666225.6699999962</v>
      </c>
      <c r="R211" s="10">
        <v>2684691.0099999951</v>
      </c>
      <c r="S211" s="10">
        <v>1109254.2899999935</v>
      </c>
      <c r="T211" s="10">
        <v>2892414.4700000104</v>
      </c>
      <c r="U211" s="10">
        <v>3180947.7899999986</v>
      </c>
      <c r="V211" s="10">
        <v>-1546653.1999999862</v>
      </c>
      <c r="W211" s="10">
        <v>-9558022.0899999999</v>
      </c>
      <c r="X211" s="10">
        <v>2784120.9999999711</v>
      </c>
      <c r="Y211" s="10">
        <f t="shared" si="14"/>
        <v>-1119472.4000000134</v>
      </c>
    </row>
    <row r="212" spans="1:25" x14ac:dyDescent="0.35">
      <c r="A212" t="s">
        <v>30</v>
      </c>
      <c r="B212" s="10">
        <f t="shared" si="15"/>
        <v>384415.77622719016</v>
      </c>
      <c r="C212" s="10">
        <f t="shared" si="15"/>
        <v>364676.62766893819</v>
      </c>
      <c r="D212" s="10">
        <f t="shared" si="15"/>
        <v>464262.80206503469</v>
      </c>
      <c r="E212" s="10">
        <f t="shared" si="15"/>
        <v>468440.05744797288</v>
      </c>
      <c r="F212" s="10">
        <f t="shared" si="15"/>
        <v>462535.26659086387</v>
      </c>
      <c r="G212" s="10">
        <v>2144330.5299999998</v>
      </c>
      <c r="H212" s="10">
        <v>384547.93000000017</v>
      </c>
      <c r="I212" s="10">
        <v>373143.25</v>
      </c>
      <c r="J212" s="10">
        <v>394790.54000000004</v>
      </c>
      <c r="K212" s="10">
        <v>474458.25</v>
      </c>
      <c r="L212" s="10">
        <v>487032.83000000007</v>
      </c>
      <c r="M212" s="10">
        <v>444635.96999999974</v>
      </c>
      <c r="N212" s="10">
        <v>859825.43000000063</v>
      </c>
      <c r="O212" s="10">
        <f t="shared" si="13"/>
        <v>5562764.7300000004</v>
      </c>
      <c r="Q212" s="10">
        <v>366554.89</v>
      </c>
      <c r="R212" s="10">
        <v>347732.87</v>
      </c>
      <c r="S212" s="10">
        <v>442692.03</v>
      </c>
      <c r="T212" s="10">
        <v>446675.19999999995</v>
      </c>
      <c r="U212" s="10">
        <v>441044.76</v>
      </c>
      <c r="V212" s="10">
        <v>364973.37999999989</v>
      </c>
      <c r="W212" s="10">
        <v>365148.86000000034</v>
      </c>
      <c r="X212" s="10">
        <v>432097.26999999955</v>
      </c>
      <c r="Y212" s="10">
        <f t="shared" si="14"/>
        <v>3206919.26</v>
      </c>
    </row>
    <row r="213" spans="1:25" x14ac:dyDescent="0.35">
      <c r="A213" t="s">
        <v>31</v>
      </c>
      <c r="B213" s="10">
        <f t="shared" si="15"/>
        <v>16922142.554829083</v>
      </c>
      <c r="C213" s="10">
        <f t="shared" si="15"/>
        <v>17855909.032046426</v>
      </c>
      <c r="D213" s="10">
        <f t="shared" si="15"/>
        <v>18900154.84118364</v>
      </c>
      <c r="E213" s="10">
        <f t="shared" si="15"/>
        <v>17791216.093327582</v>
      </c>
      <c r="F213" s="10">
        <f t="shared" si="15"/>
        <v>18541981.318613272</v>
      </c>
      <c r="G213" s="10">
        <v>90011403.840000004</v>
      </c>
      <c r="H213" s="10">
        <v>18101326.289999992</v>
      </c>
      <c r="I213" s="10">
        <v>18256134.920000032</v>
      </c>
      <c r="J213" s="10">
        <v>19638226.269999936</v>
      </c>
      <c r="K213" s="10">
        <v>18282077.200000048</v>
      </c>
      <c r="L213" s="10">
        <v>18625198.99999997</v>
      </c>
      <c r="M213" s="10">
        <v>18856014.360000014</v>
      </c>
      <c r="N213" s="10">
        <v>21331444.450000018</v>
      </c>
      <c r="O213" s="10">
        <f t="shared" si="13"/>
        <v>223101826.33000004</v>
      </c>
      <c r="Q213" s="10">
        <v>17874139.540000003</v>
      </c>
      <c r="R213" s="10">
        <v>18860437.359999996</v>
      </c>
      <c r="S213" s="10">
        <v>19963429.799999997</v>
      </c>
      <c r="T213" s="10">
        <v>18792104.960000016</v>
      </c>
      <c r="U213" s="10">
        <v>19585106.340000004</v>
      </c>
      <c r="V213" s="10">
        <v>19249017.100000009</v>
      </c>
      <c r="W213" s="10">
        <v>19464974.729999989</v>
      </c>
      <c r="X213" s="10">
        <v>19790103.98999998</v>
      </c>
      <c r="Y213" s="10">
        <f t="shared" si="14"/>
        <v>153579313.81999999</v>
      </c>
    </row>
    <row r="214" spans="1:25" x14ac:dyDescent="0.35">
      <c r="A214" t="s">
        <v>32</v>
      </c>
      <c r="B214" s="10">
        <f t="shared" si="15"/>
        <v>11285239.71495143</v>
      </c>
      <c r="C214" s="10">
        <f t="shared" si="15"/>
        <v>7386193.1756125437</v>
      </c>
      <c r="D214" s="10">
        <f t="shared" si="15"/>
        <v>7537996.5842823461</v>
      </c>
      <c r="E214" s="10">
        <f t="shared" si="15"/>
        <v>7814847.5440739701</v>
      </c>
      <c r="F214" s="10">
        <f t="shared" si="15"/>
        <v>6470682.2810797188</v>
      </c>
      <c r="G214" s="10">
        <v>40494959.300000004</v>
      </c>
      <c r="H214" s="10">
        <v>9346419.4899999872</v>
      </c>
      <c r="I214" s="10">
        <v>18417867.950000003</v>
      </c>
      <c r="J214" s="10">
        <v>6960160.3800000101</v>
      </c>
      <c r="K214" s="10">
        <v>7733109.8299999982</v>
      </c>
      <c r="L214" s="10">
        <v>8495767.8700000048</v>
      </c>
      <c r="M214" s="10">
        <v>8440522.6499999762</v>
      </c>
      <c r="N214" s="10">
        <v>24692883.729999989</v>
      </c>
      <c r="O214" s="10">
        <f t="shared" si="13"/>
        <v>124581691.19999997</v>
      </c>
      <c r="Q214" s="10">
        <v>11824540.24</v>
      </c>
      <c r="R214" s="10">
        <v>7739165.5499999989</v>
      </c>
      <c r="S214" s="10">
        <v>7898223.3600000031</v>
      </c>
      <c r="T214" s="10">
        <v>8188304.5099999942</v>
      </c>
      <c r="U214" s="10">
        <v>6779904.1000000089</v>
      </c>
      <c r="V214" s="10">
        <v>9759616.4200000018</v>
      </c>
      <c r="W214" s="10">
        <v>20192535.759999976</v>
      </c>
      <c r="X214" s="10">
        <v>7694251.3700000048</v>
      </c>
      <c r="Y214" s="10">
        <f t="shared" si="14"/>
        <v>80076541.309999987</v>
      </c>
    </row>
    <row r="215" spans="1:25" x14ac:dyDescent="0.35">
      <c r="A215" t="s">
        <v>33</v>
      </c>
      <c r="B215" s="10">
        <f t="shared" si="15"/>
        <v>8257293.6242038067</v>
      </c>
      <c r="C215" s="10">
        <f t="shared" si="15"/>
        <v>7986305.1731352462</v>
      </c>
      <c r="D215" s="10">
        <f t="shared" si="15"/>
        <v>10363137.565585352</v>
      </c>
      <c r="E215" s="10">
        <f t="shared" si="15"/>
        <v>7416944.4138927022</v>
      </c>
      <c r="F215" s="10">
        <f t="shared" si="15"/>
        <v>9150919.9431828894</v>
      </c>
      <c r="G215" s="10">
        <v>43174600.719999999</v>
      </c>
      <c r="H215" s="10">
        <v>8467257.8900000006</v>
      </c>
      <c r="I215" s="10">
        <v>9039116.7800000012</v>
      </c>
      <c r="J215" s="10">
        <v>9686386.8400000036</v>
      </c>
      <c r="K215" s="10">
        <v>9904263.3399999887</v>
      </c>
      <c r="L215" s="10">
        <v>7734198.5100000054</v>
      </c>
      <c r="M215" s="10">
        <v>8721351.7600000054</v>
      </c>
      <c r="N215" s="10">
        <v>11068394.859999999</v>
      </c>
      <c r="O215" s="10">
        <f t="shared" si="13"/>
        <v>107795570.7</v>
      </c>
      <c r="Q215" s="10">
        <v>9082379.8599999994</v>
      </c>
      <c r="R215" s="10">
        <v>8784313.6700000018</v>
      </c>
      <c r="S215" s="10">
        <v>11398644.18</v>
      </c>
      <c r="T215" s="10">
        <v>8158061.1799999997</v>
      </c>
      <c r="U215" s="10">
        <v>10065299.210000001</v>
      </c>
      <c r="V215" s="10">
        <v>11401027.259999998</v>
      </c>
      <c r="W215" s="10">
        <v>9195609.9200000018</v>
      </c>
      <c r="X215" s="10">
        <v>9743828.8900000006</v>
      </c>
      <c r="Y215" s="10">
        <f t="shared" si="14"/>
        <v>77829164.170000002</v>
      </c>
    </row>
    <row r="216" spans="1:25" x14ac:dyDescent="0.35">
      <c r="B216" s="10">
        <f t="shared" si="15"/>
        <v>0</v>
      </c>
      <c r="C216" s="10">
        <f t="shared" si="15"/>
        <v>0</v>
      </c>
      <c r="D216" s="10">
        <f t="shared" si="15"/>
        <v>0</v>
      </c>
      <c r="E216" s="10">
        <f t="shared" si="15"/>
        <v>0</v>
      </c>
      <c r="F216" s="10">
        <f t="shared" si="15"/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f t="shared" si="13"/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f t="shared" si="14"/>
        <v>0</v>
      </c>
    </row>
    <row r="217" spans="1:25" ht="15" thickBot="1" x14ac:dyDescent="0.4">
      <c r="A217" s="12" t="s">
        <v>34</v>
      </c>
      <c r="B217" s="13">
        <f t="shared" si="15"/>
        <v>27743822.001417037</v>
      </c>
      <c r="C217" s="13">
        <f t="shared" si="15"/>
        <v>23065676.562086426</v>
      </c>
      <c r="D217" s="13">
        <f t="shared" si="15"/>
        <v>35627223.449260749</v>
      </c>
      <c r="E217" s="13">
        <f t="shared" si="15"/>
        <v>28675015.008202832</v>
      </c>
      <c r="F217" s="13">
        <f t="shared" si="15"/>
        <v>30458103.289032958</v>
      </c>
      <c r="G217" s="13">
        <v>145569840.31</v>
      </c>
      <c r="H217" s="13">
        <v>25807491.389999986</v>
      </c>
      <c r="I217" s="13">
        <v>51138609.350000113</v>
      </c>
      <c r="J217" s="13">
        <v>24519070.920000196</v>
      </c>
      <c r="K217" s="13">
        <v>29158808.16999957</v>
      </c>
      <c r="L217" s="13">
        <v>29824805.270000458</v>
      </c>
      <c r="M217" s="13">
        <v>31609552.279999912</v>
      </c>
      <c r="N217" s="13">
        <v>27982987.269999683</v>
      </c>
      <c r="O217" s="13">
        <f t="shared" si="13"/>
        <v>365611164.95999992</v>
      </c>
      <c r="P217" s="14"/>
      <c r="Q217" s="13">
        <v>31273020.070000023</v>
      </c>
      <c r="R217" s="13">
        <v>25999783.520000063</v>
      </c>
      <c r="S217" s="13">
        <v>40159242.439999782</v>
      </c>
      <c r="T217" s="13">
        <v>32322667.000000089</v>
      </c>
      <c r="U217" s="13">
        <v>34332575.930000231</v>
      </c>
      <c r="V217" s="13">
        <v>34591856.23999989</v>
      </c>
      <c r="W217" s="13">
        <v>53062878.429999948</v>
      </c>
      <c r="X217" s="13">
        <v>29888742.119999677</v>
      </c>
      <c r="Y217" s="13">
        <f t="shared" si="14"/>
        <v>281630765.7499997</v>
      </c>
    </row>
    <row r="218" spans="1:25" ht="15" thickTop="1" x14ac:dyDescent="0.35">
      <c r="A218" t="s">
        <v>35</v>
      </c>
      <c r="B218" s="10">
        <f t="shared" si="15"/>
        <v>8242444.2567721391</v>
      </c>
      <c r="C218" s="10">
        <f t="shared" si="15"/>
        <v>5574260.8089899654</v>
      </c>
      <c r="D218" s="10">
        <f t="shared" si="15"/>
        <v>7217780.4877864746</v>
      </c>
      <c r="E218" s="10">
        <f t="shared" si="15"/>
        <v>6352643.533309143</v>
      </c>
      <c r="F218" s="10">
        <f t="shared" si="15"/>
        <v>6528066.9931422696</v>
      </c>
      <c r="G218" s="10">
        <v>33915196.079999991</v>
      </c>
      <c r="H218" s="10">
        <v>5360009.4700000063</v>
      </c>
      <c r="I218" s="10">
        <v>6916970.1999999955</v>
      </c>
      <c r="J218" s="10">
        <v>7259997.2099999934</v>
      </c>
      <c r="K218" s="10">
        <v>6320655.3900000229</v>
      </c>
      <c r="L218" s="10">
        <v>4287737.9999999851</v>
      </c>
      <c r="M218" s="10">
        <v>7389054.7899999917</v>
      </c>
      <c r="N218" s="10">
        <v>-413313.25</v>
      </c>
      <c r="O218" s="10">
        <f t="shared" si="13"/>
        <v>71036307.889999986</v>
      </c>
      <c r="Q218" s="10">
        <v>10799025.07</v>
      </c>
      <c r="R218" s="10">
        <v>7303244.0799999982</v>
      </c>
      <c r="S218" s="10">
        <v>9456538.6200000048</v>
      </c>
      <c r="T218" s="10">
        <v>8323059.8399999961</v>
      </c>
      <c r="U218" s="10">
        <v>8552894.859999992</v>
      </c>
      <c r="V218" s="10">
        <v>9485119.549999997</v>
      </c>
      <c r="W218" s="10">
        <v>12414128.590000026</v>
      </c>
      <c r="X218" s="10">
        <v>7668365.9100000113</v>
      </c>
      <c r="Y218" s="10">
        <f t="shared" si="14"/>
        <v>74002376.520000026</v>
      </c>
    </row>
    <row r="219" spans="1:25" x14ac:dyDescent="0.35">
      <c r="A219" t="s">
        <v>36</v>
      </c>
      <c r="B219" s="10">
        <f t="shared" si="15"/>
        <v>11591851.347088406</v>
      </c>
      <c r="C219" s="10">
        <f t="shared" si="15"/>
        <v>12927976.260366583</v>
      </c>
      <c r="D219" s="10">
        <f t="shared" si="15"/>
        <v>15662077.979690177</v>
      </c>
      <c r="E219" s="10">
        <f t="shared" si="15"/>
        <v>14894190.344899185</v>
      </c>
      <c r="F219" s="10">
        <f t="shared" si="15"/>
        <v>15547403.227955643</v>
      </c>
      <c r="G219" s="10">
        <v>70623499.159999996</v>
      </c>
      <c r="H219" s="10">
        <v>14168583.620000005</v>
      </c>
      <c r="I219" s="10">
        <v>15278862.579999998</v>
      </c>
      <c r="J219" s="10">
        <v>15450963.099999994</v>
      </c>
      <c r="K219" s="10">
        <v>14271644.440000013</v>
      </c>
      <c r="L219" s="10">
        <v>13490717.400000006</v>
      </c>
      <c r="M219" s="10">
        <v>15604779.699999988</v>
      </c>
      <c r="N219" s="10">
        <v>15589051.479999989</v>
      </c>
      <c r="O219" s="10">
        <f t="shared" si="13"/>
        <v>174478101.47999999</v>
      </c>
      <c r="Q219" s="10">
        <v>13502228.800000001</v>
      </c>
      <c r="R219" s="10">
        <v>15058551.75</v>
      </c>
      <c r="S219" s="10">
        <v>18243242.949999999</v>
      </c>
      <c r="T219" s="10">
        <v>17348804.759999998</v>
      </c>
      <c r="U219" s="10">
        <v>18109669.399999999</v>
      </c>
      <c r="V219" s="10">
        <v>18489086.689999998</v>
      </c>
      <c r="W219" s="10">
        <v>20151435.88000001</v>
      </c>
      <c r="X219" s="10">
        <v>15558754.359999999</v>
      </c>
      <c r="Y219" s="10">
        <f t="shared" si="14"/>
        <v>136461774.59</v>
      </c>
    </row>
    <row r="220" spans="1:25" x14ac:dyDescent="0.35">
      <c r="A220" t="s">
        <v>37</v>
      </c>
      <c r="B220" s="10">
        <f t="shared" si="15"/>
        <v>2623208.1119690868</v>
      </c>
      <c r="C220" s="10">
        <f t="shared" si="15"/>
        <v>7525805.6819713255</v>
      </c>
      <c r="D220" s="10">
        <f t="shared" si="15"/>
        <v>8526680.331241589</v>
      </c>
      <c r="E220" s="10">
        <f t="shared" si="15"/>
        <v>8758647.0187016837</v>
      </c>
      <c r="F220" s="10">
        <f t="shared" si="15"/>
        <v>9273961.9361163136</v>
      </c>
      <c r="G220" s="10">
        <v>36708303.079999998</v>
      </c>
      <c r="H220" s="10">
        <v>8808574.1499999985</v>
      </c>
      <c r="I220" s="10">
        <v>8361892.3800000027</v>
      </c>
      <c r="J220" s="10">
        <v>8190965.8900000006</v>
      </c>
      <c r="K220" s="10">
        <v>7950989.049999997</v>
      </c>
      <c r="L220" s="10">
        <v>9202979.400000006</v>
      </c>
      <c r="M220" s="10">
        <v>8215724.9099999964</v>
      </c>
      <c r="N220" s="10">
        <v>16002364.730000004</v>
      </c>
      <c r="O220" s="10">
        <f t="shared" si="13"/>
        <v>103441793.59</v>
      </c>
      <c r="Q220" s="10">
        <v>2703203.73</v>
      </c>
      <c r="R220" s="10">
        <v>7755307.6699999999</v>
      </c>
      <c r="S220" s="10">
        <v>8786704.3300000001</v>
      </c>
      <c r="T220" s="10">
        <v>9025744.9199999981</v>
      </c>
      <c r="U220" s="10">
        <v>9556774.5399999991</v>
      </c>
      <c r="V220" s="10">
        <v>9003967.1400000006</v>
      </c>
      <c r="W220" s="10">
        <v>7737307.2899999991</v>
      </c>
      <c r="X220" s="10">
        <v>7890388.450000003</v>
      </c>
      <c r="Y220" s="10">
        <f t="shared" si="14"/>
        <v>62459398.07</v>
      </c>
    </row>
    <row r="221" spans="1:25" x14ac:dyDescent="0.35">
      <c r="B221" s="10">
        <f t="shared" si="15"/>
        <v>0</v>
      </c>
      <c r="C221" s="10">
        <f t="shared" si="15"/>
        <v>0</v>
      </c>
      <c r="D221" s="10">
        <f t="shared" si="15"/>
        <v>0</v>
      </c>
      <c r="E221" s="10">
        <f t="shared" si="15"/>
        <v>0</v>
      </c>
      <c r="F221" s="10">
        <f t="shared" si="15"/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f t="shared" si="13"/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f t="shared" si="14"/>
        <v>0</v>
      </c>
    </row>
    <row r="222" spans="1:25" ht="15" thickBot="1" x14ac:dyDescent="0.4">
      <c r="A222" s="12" t="s">
        <v>38</v>
      </c>
      <c r="B222" s="13">
        <f t="shared" si="15"/>
        <v>36213448.415500373</v>
      </c>
      <c r="C222" s="13">
        <f t="shared" si="15"/>
        <v>28665529.998824932</v>
      </c>
      <c r="D222" s="13">
        <f t="shared" si="15"/>
        <v>42706707.554437213</v>
      </c>
      <c r="E222" s="13">
        <f t="shared" si="15"/>
        <v>34985747.123365574</v>
      </c>
      <c r="F222" s="13">
        <f t="shared" si="15"/>
        <v>36913603.297871895</v>
      </c>
      <c r="G222" s="13">
        <v>179485036.38999999</v>
      </c>
      <c r="H222" s="13">
        <v>31167500.860000014</v>
      </c>
      <c r="I222" s="13">
        <v>58055579.550000072</v>
      </c>
      <c r="J222" s="13">
        <v>31779068.130000234</v>
      </c>
      <c r="K222" s="13">
        <v>35479463.559999585</v>
      </c>
      <c r="L222" s="13">
        <v>34112543.270000398</v>
      </c>
      <c r="M222" s="13">
        <v>38998607.069999933</v>
      </c>
      <c r="N222" s="13">
        <v>27569674.019999683</v>
      </c>
      <c r="O222" s="13">
        <f t="shared" si="13"/>
        <v>436647472.8499999</v>
      </c>
      <c r="P222" s="14"/>
      <c r="Q222" s="13">
        <v>42072045.140000023</v>
      </c>
      <c r="R222" s="13">
        <v>33303027.600000061</v>
      </c>
      <c r="S222" s="13">
        <v>49615781.059999779</v>
      </c>
      <c r="T222" s="13">
        <v>40645726.840000093</v>
      </c>
      <c r="U222" s="13">
        <v>42885470.7900002</v>
      </c>
      <c r="V222" s="13">
        <v>44076975.789999932</v>
      </c>
      <c r="W222" s="13">
        <v>65477007.019999981</v>
      </c>
      <c r="X222" s="13">
        <v>37557108.029999673</v>
      </c>
      <c r="Y222" s="13">
        <f t="shared" si="14"/>
        <v>355633142.26999974</v>
      </c>
    </row>
    <row r="223" spans="1:25" ht="15" thickTop="1" x14ac:dyDescent="0.35">
      <c r="A223" t="s">
        <v>39</v>
      </c>
      <c r="B223" s="10">
        <f t="shared" si="15"/>
        <v>0</v>
      </c>
      <c r="C223" s="10">
        <f t="shared" si="15"/>
        <v>0</v>
      </c>
      <c r="D223" s="10">
        <f t="shared" si="15"/>
        <v>0</v>
      </c>
      <c r="E223" s="10">
        <f t="shared" si="15"/>
        <v>0</v>
      </c>
      <c r="F223" s="10">
        <f t="shared" si="15"/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f t="shared" si="13"/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f t="shared" si="14"/>
        <v>0</v>
      </c>
    </row>
    <row r="224" spans="1:25" x14ac:dyDescent="0.35">
      <c r="A224" t="s">
        <v>40</v>
      </c>
      <c r="B224" s="10">
        <f t="shared" si="15"/>
        <v>0</v>
      </c>
      <c r="C224" s="10">
        <f t="shared" si="15"/>
        <v>0</v>
      </c>
      <c r="D224" s="10">
        <f t="shared" si="15"/>
        <v>0</v>
      </c>
      <c r="E224" s="10">
        <f t="shared" si="15"/>
        <v>0</v>
      </c>
      <c r="F224" s="10">
        <f t="shared" si="15"/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f t="shared" si="13"/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f t="shared" si="14"/>
        <v>0</v>
      </c>
    </row>
    <row r="225" spans="1:25" x14ac:dyDescent="0.35">
      <c r="B225" s="10">
        <f t="shared" si="15"/>
        <v>0</v>
      </c>
      <c r="C225" s="10">
        <f t="shared" si="15"/>
        <v>0</v>
      </c>
      <c r="D225" s="10">
        <f t="shared" si="15"/>
        <v>0</v>
      </c>
      <c r="E225" s="10">
        <f t="shared" si="15"/>
        <v>0</v>
      </c>
      <c r="F225" s="10">
        <f t="shared" si="15"/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f t="shared" si="13"/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f t="shared" si="14"/>
        <v>0</v>
      </c>
    </row>
    <row r="226" spans="1:25" ht="15" thickBot="1" x14ac:dyDescent="0.4">
      <c r="A226" s="12" t="s">
        <v>41</v>
      </c>
      <c r="B226" s="13">
        <f t="shared" si="15"/>
        <v>36213448.415500373</v>
      </c>
      <c r="C226" s="13">
        <f t="shared" si="15"/>
        <v>28665529.998824932</v>
      </c>
      <c r="D226" s="13">
        <f t="shared" si="15"/>
        <v>42706707.554437213</v>
      </c>
      <c r="E226" s="13">
        <f t="shared" si="15"/>
        <v>34985747.123365574</v>
      </c>
      <c r="F226" s="13">
        <f t="shared" si="15"/>
        <v>36913603.297871895</v>
      </c>
      <c r="G226" s="13">
        <v>179485036.38999999</v>
      </c>
      <c r="H226" s="13">
        <v>31167500.860000014</v>
      </c>
      <c r="I226" s="13">
        <v>58055579.550000072</v>
      </c>
      <c r="J226" s="13">
        <v>31779068.130000234</v>
      </c>
      <c r="K226" s="13">
        <v>35479463.559999585</v>
      </c>
      <c r="L226" s="13">
        <v>34112543.270000398</v>
      </c>
      <c r="M226" s="13">
        <v>38998607.069999933</v>
      </c>
      <c r="N226" s="13">
        <v>27569674.019999683</v>
      </c>
      <c r="O226" s="13">
        <f t="shared" si="13"/>
        <v>436647472.8499999</v>
      </c>
      <c r="P226" s="14"/>
      <c r="Q226" s="13">
        <v>42072045.140000023</v>
      </c>
      <c r="R226" s="13">
        <v>33303027.600000061</v>
      </c>
      <c r="S226" s="13">
        <v>49615781.059999779</v>
      </c>
      <c r="T226" s="13">
        <v>40645726.840000093</v>
      </c>
      <c r="U226" s="13">
        <v>42885470.7900002</v>
      </c>
      <c r="V226" s="13">
        <v>44076975.789999932</v>
      </c>
      <c r="W226" s="13">
        <v>65477007.019999981</v>
      </c>
      <c r="X226" s="13">
        <v>37557108.029999673</v>
      </c>
      <c r="Y226" s="13">
        <f t="shared" si="14"/>
        <v>355633142.26999974</v>
      </c>
    </row>
    <row r="227" spans="1:25" ht="15" thickTop="1" x14ac:dyDescent="0.35">
      <c r="A227" t="s">
        <v>42</v>
      </c>
      <c r="B227" s="10">
        <f t="shared" si="15"/>
        <v>7403299.2593385242</v>
      </c>
      <c r="C227" s="10">
        <f t="shared" si="15"/>
        <v>5527295.0755133191</v>
      </c>
      <c r="D227" s="10">
        <f t="shared" si="15"/>
        <v>8724910.6262420863</v>
      </c>
      <c r="E227" s="10">
        <f t="shared" si="15"/>
        <v>7238688.1915690862</v>
      </c>
      <c r="F227" s="10">
        <f t="shared" si="15"/>
        <v>7378220.1073369812</v>
      </c>
      <c r="G227" s="10">
        <v>36272413.259999998</v>
      </c>
      <c r="H227" s="10">
        <v>6086239.5900000036</v>
      </c>
      <c r="I227" s="10">
        <v>12721478.909999996</v>
      </c>
      <c r="J227" s="10">
        <v>6003487.5600000024</v>
      </c>
      <c r="K227" s="10">
        <v>6920889.8200000003</v>
      </c>
      <c r="L227" s="10">
        <v>6972432.7600000054</v>
      </c>
      <c r="M227" s="10">
        <v>7921847.2099999934</v>
      </c>
      <c r="N227" s="10">
        <v>4824675.349999994</v>
      </c>
      <c r="O227" s="10">
        <f t="shared" si="13"/>
        <v>87723464.459999993</v>
      </c>
      <c r="Q227" s="10">
        <v>8727689.7799999993</v>
      </c>
      <c r="R227" s="10">
        <v>6516083.5800000001</v>
      </c>
      <c r="S227" s="10">
        <v>10285726.760000002</v>
      </c>
      <c r="T227" s="10">
        <v>8533631.120000001</v>
      </c>
      <c r="U227" s="10">
        <v>8698124.1699999943</v>
      </c>
      <c r="V227" s="10">
        <v>8866389.1400000006</v>
      </c>
      <c r="W227" s="10">
        <v>14551471.70000001</v>
      </c>
      <c r="X227" s="10">
        <v>7336987.1899999902</v>
      </c>
      <c r="Y227" s="10">
        <f t="shared" si="14"/>
        <v>73516103.439999998</v>
      </c>
    </row>
    <row r="228" spans="1:25" ht="15" thickBot="1" x14ac:dyDescent="0.4">
      <c r="A228" s="12" t="s">
        <v>43</v>
      </c>
      <c r="B228" s="13">
        <f t="shared" si="15"/>
        <v>28808576.649862982</v>
      </c>
      <c r="C228" s="13">
        <f t="shared" si="15"/>
        <v>23143159.364882693</v>
      </c>
      <c r="D228" s="13">
        <f t="shared" si="15"/>
        <v>33980050.647613302</v>
      </c>
      <c r="E228" s="13">
        <f t="shared" si="15"/>
        <v>27743939.29495832</v>
      </c>
      <c r="F228" s="13">
        <f t="shared" si="15"/>
        <v>29536897.172682691</v>
      </c>
      <c r="G228" s="13">
        <v>143212623.13</v>
      </c>
      <c r="H228" s="13">
        <v>25081261.269999981</v>
      </c>
      <c r="I228" s="13">
        <v>45334100.640000105</v>
      </c>
      <c r="J228" s="13">
        <v>25775580.570000201</v>
      </c>
      <c r="K228" s="13">
        <v>28558573.739999622</v>
      </c>
      <c r="L228" s="13">
        <v>27140110.510000408</v>
      </c>
      <c r="M228" s="13">
        <v>31076759.859999895</v>
      </c>
      <c r="N228" s="13">
        <v>22744998.669999719</v>
      </c>
      <c r="O228" s="13">
        <f t="shared" si="13"/>
        <v>348924008.38999993</v>
      </c>
      <c r="P228" s="14"/>
      <c r="Q228" s="13">
        <v>33344355.360000022</v>
      </c>
      <c r="R228" s="13">
        <v>26786944.02000007</v>
      </c>
      <c r="S228" s="13">
        <v>39330054.299999781</v>
      </c>
      <c r="T228" s="13">
        <v>32112095.720000058</v>
      </c>
      <c r="U228" s="13">
        <v>34187346.620000258</v>
      </c>
      <c r="V228" s="13">
        <v>35210586.649999887</v>
      </c>
      <c r="W228" s="13">
        <v>50925535.319999963</v>
      </c>
      <c r="X228" s="13">
        <v>30220120.839999706</v>
      </c>
      <c r="Y228" s="13">
        <f t="shared" si="14"/>
        <v>282117038.82999974</v>
      </c>
    </row>
    <row r="229" spans="1:25" ht="15" thickTop="1" x14ac:dyDescent="0.35"/>
    <row r="230" spans="1:25" x14ac:dyDescent="0.35">
      <c r="A230" s="15"/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Q230" s="16"/>
      <c r="R230" s="15"/>
      <c r="S230" s="15"/>
      <c r="T230" s="15"/>
      <c r="U230" s="15"/>
      <c r="V230" s="15"/>
      <c r="W230" s="15"/>
      <c r="X230" s="15"/>
      <c r="Y230" s="15"/>
    </row>
    <row r="231" spans="1:25" x14ac:dyDescent="0.35">
      <c r="A231" s="15"/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Q231" s="16"/>
      <c r="R231" s="15"/>
      <c r="S231" s="15"/>
      <c r="T231" s="15"/>
      <c r="U231" s="15"/>
      <c r="V231" s="15"/>
      <c r="W231" s="15"/>
      <c r="X231" s="15"/>
      <c r="Y231" s="15"/>
    </row>
    <row r="233" spans="1:25" ht="23.5" x14ac:dyDescent="0.35">
      <c r="A233" s="1" t="s">
        <v>47</v>
      </c>
      <c r="B233" s="2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3"/>
      <c r="R233" s="5"/>
      <c r="S233" s="5"/>
      <c r="T233" s="5"/>
      <c r="U233" s="5"/>
      <c r="V233" s="5"/>
      <c r="W233" s="5"/>
      <c r="X233" s="5"/>
      <c r="Y233" s="5"/>
    </row>
    <row r="234" spans="1:25" ht="23.5" x14ac:dyDescent="0.35">
      <c r="A234" s="1"/>
      <c r="B234" s="2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4"/>
      <c r="Q234" s="3"/>
      <c r="R234" s="5"/>
      <c r="S234" s="5"/>
      <c r="T234" s="5"/>
      <c r="U234" s="5"/>
      <c r="V234" s="5"/>
      <c r="W234" s="5"/>
      <c r="X234" s="5"/>
      <c r="Y234" s="5"/>
    </row>
    <row r="236" spans="1:25" s="9" customFormat="1" x14ac:dyDescent="0.35">
      <c r="A236" s="6" t="s">
        <v>1</v>
      </c>
      <c r="B236" s="7">
        <v>45658</v>
      </c>
      <c r="C236" s="7">
        <v>45689</v>
      </c>
      <c r="D236" s="7">
        <v>45717</v>
      </c>
      <c r="E236" s="7">
        <v>45748</v>
      </c>
      <c r="F236" s="7">
        <v>45778</v>
      </c>
      <c r="G236" s="7" t="s">
        <v>2</v>
      </c>
      <c r="H236" s="7">
        <v>45809</v>
      </c>
      <c r="I236" s="7">
        <v>45839</v>
      </c>
      <c r="J236" s="7">
        <v>45870</v>
      </c>
      <c r="K236" s="7">
        <v>45901</v>
      </c>
      <c r="L236" s="7">
        <v>45931</v>
      </c>
      <c r="M236" s="7">
        <v>45962</v>
      </c>
      <c r="N236" s="7">
        <v>45992</v>
      </c>
      <c r="O236" s="7" t="s">
        <v>3</v>
      </c>
      <c r="P236" s="8"/>
      <c r="Q236" s="7">
        <v>46023</v>
      </c>
      <c r="R236" s="7">
        <v>46054</v>
      </c>
      <c r="S236" s="7">
        <v>46082</v>
      </c>
      <c r="T236" s="7">
        <v>46113</v>
      </c>
      <c r="U236" s="7">
        <v>46143</v>
      </c>
      <c r="V236" s="7">
        <v>46174</v>
      </c>
      <c r="W236" s="7">
        <v>46204</v>
      </c>
      <c r="X236" s="7">
        <v>46235</v>
      </c>
      <c r="Y236" s="7" t="s">
        <v>3</v>
      </c>
    </row>
    <row r="237" spans="1:25" x14ac:dyDescent="0.35">
      <c r="A237" t="s">
        <v>4</v>
      </c>
      <c r="B237" s="10">
        <f t="shared" ref="B237:F268" si="16">IF(OR(SUM($Q237:$U237)=0,COUNTIF($Q237:$U237,"&lt;0")*COUNTIF($Q237:$U237,"&gt;0")&gt;0),$G237/5,$G237*Q237/SUM($Q237:$U237))</f>
        <v>0</v>
      </c>
      <c r="C237" s="10">
        <f t="shared" si="16"/>
        <v>0</v>
      </c>
      <c r="D237" s="10">
        <f t="shared" si="16"/>
        <v>0</v>
      </c>
      <c r="E237" s="10">
        <f t="shared" si="16"/>
        <v>0</v>
      </c>
      <c r="F237" s="10">
        <f t="shared" si="16"/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f t="shared" ref="O237:O286" si="17">SUM(B237:F237,H237:N237)</f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f t="shared" ref="Y237:Y286" si="18">SUM(Q237:X237)</f>
        <v>0</v>
      </c>
    </row>
    <row r="238" spans="1:25" x14ac:dyDescent="0.35">
      <c r="A238" t="s">
        <v>5</v>
      </c>
      <c r="B238" s="10">
        <f t="shared" si="16"/>
        <v>27942226.591560658</v>
      </c>
      <c r="C238" s="10">
        <f t="shared" si="16"/>
        <v>39701938.140280724</v>
      </c>
      <c r="D238" s="10">
        <f t="shared" si="16"/>
        <v>42027366.139906712</v>
      </c>
      <c r="E238" s="10">
        <f t="shared" si="16"/>
        <v>32919206.100874055</v>
      </c>
      <c r="F238" s="10">
        <f t="shared" si="16"/>
        <v>41905831.157377839</v>
      </c>
      <c r="G238" s="10">
        <v>184496568.13</v>
      </c>
      <c r="H238" s="10">
        <v>40658149.080000013</v>
      </c>
      <c r="I238" s="10">
        <v>37862559.789999992</v>
      </c>
      <c r="J238" s="10">
        <v>39708927.019999921</v>
      </c>
      <c r="K238" s="10">
        <v>35003148.820000172</v>
      </c>
      <c r="L238" s="10">
        <v>36233707.109999955</v>
      </c>
      <c r="M238" s="10">
        <v>32081045.819999933</v>
      </c>
      <c r="N238" s="10">
        <v>26988543.519999981</v>
      </c>
      <c r="O238" s="10">
        <f t="shared" si="17"/>
        <v>433032649.28999996</v>
      </c>
      <c r="Q238" s="10">
        <v>33317921.710000001</v>
      </c>
      <c r="R238" s="10">
        <v>47340037.93</v>
      </c>
      <c r="S238" s="10">
        <v>50112845.879999995</v>
      </c>
      <c r="T238" s="10">
        <v>39252402.739999995</v>
      </c>
      <c r="U238" s="10">
        <v>49967929.25999999</v>
      </c>
      <c r="V238" s="10">
        <v>43072541.580000013</v>
      </c>
      <c r="W238" s="10">
        <v>43723822.240000039</v>
      </c>
      <c r="X238" s="10">
        <v>43354718.649999976</v>
      </c>
      <c r="Y238" s="10">
        <f t="shared" si="18"/>
        <v>350142219.99000001</v>
      </c>
    </row>
    <row r="239" spans="1:25" x14ac:dyDescent="0.35">
      <c r="A239" t="s">
        <v>6</v>
      </c>
      <c r="B239" s="10">
        <f t="shared" si="16"/>
        <v>2435135.2779221712</v>
      </c>
      <c r="C239" s="10">
        <f t="shared" si="16"/>
        <v>2725276.0343092415</v>
      </c>
      <c r="D239" s="10">
        <f t="shared" si="16"/>
        <v>3644980.2456815932</v>
      </c>
      <c r="E239" s="10">
        <f t="shared" si="16"/>
        <v>4054393.6112218881</v>
      </c>
      <c r="F239" s="10">
        <f t="shared" si="16"/>
        <v>3761837.6308651068</v>
      </c>
      <c r="G239" s="10">
        <v>16621622.800000001</v>
      </c>
      <c r="H239" s="10">
        <v>3210062.7999999933</v>
      </c>
      <c r="I239" s="10">
        <v>3419029.5400000028</v>
      </c>
      <c r="J239" s="10">
        <v>3108941.5799999982</v>
      </c>
      <c r="K239" s="10">
        <v>3416677.9800000004</v>
      </c>
      <c r="L239" s="10">
        <v>2953371.9600000046</v>
      </c>
      <c r="M239" s="10">
        <v>3369181.8600000031</v>
      </c>
      <c r="N239" s="10">
        <v>3325167.950000003</v>
      </c>
      <c r="O239" s="10">
        <f t="shared" si="17"/>
        <v>39424056.470000006</v>
      </c>
      <c r="Q239" s="10">
        <v>2585178.16</v>
      </c>
      <c r="R239" s="10">
        <v>2893196.1799999997</v>
      </c>
      <c r="S239" s="10">
        <v>3869568.7299999986</v>
      </c>
      <c r="T239" s="10">
        <v>4304208.4400000013</v>
      </c>
      <c r="U239" s="10">
        <v>3993626.3800000008</v>
      </c>
      <c r="V239" s="10">
        <v>3378668.1999999993</v>
      </c>
      <c r="W239" s="10">
        <v>3918233.6400000043</v>
      </c>
      <c r="X239" s="10">
        <v>3433278.4899999946</v>
      </c>
      <c r="Y239" s="10">
        <f t="shared" si="18"/>
        <v>28375958.219999999</v>
      </c>
    </row>
    <row r="240" spans="1:25" ht="15" thickBot="1" x14ac:dyDescent="0.4">
      <c r="A240" s="12" t="s">
        <v>7</v>
      </c>
      <c r="B240" s="13">
        <f t="shared" si="16"/>
        <v>25497286.682191063</v>
      </c>
      <c r="C240" s="13">
        <f t="shared" si="16"/>
        <v>36875128.456200875</v>
      </c>
      <c r="D240" s="13">
        <f t="shared" si="16"/>
        <v>38365533.25280863</v>
      </c>
      <c r="E240" s="13">
        <f t="shared" si="16"/>
        <v>28994617.016287033</v>
      </c>
      <c r="F240" s="13">
        <f t="shared" si="16"/>
        <v>38142379.922512382</v>
      </c>
      <c r="G240" s="13">
        <v>167874945.32999998</v>
      </c>
      <c r="H240" s="13">
        <v>37448086.280000031</v>
      </c>
      <c r="I240" s="13">
        <v>34443530.25</v>
      </c>
      <c r="J240" s="13">
        <v>36599985.439999938</v>
      </c>
      <c r="K240" s="13">
        <v>31586470.840000093</v>
      </c>
      <c r="L240" s="13">
        <v>33280335.149999976</v>
      </c>
      <c r="M240" s="13">
        <v>28711863.959999979</v>
      </c>
      <c r="N240" s="13">
        <v>23663375.569999933</v>
      </c>
      <c r="O240" s="13">
        <f t="shared" si="17"/>
        <v>393608592.81999993</v>
      </c>
      <c r="P240" s="14"/>
      <c r="Q240" s="13">
        <v>30732743.550000004</v>
      </c>
      <c r="R240" s="13">
        <v>44446841.750000007</v>
      </c>
      <c r="S240" s="13">
        <v>46243277.149999991</v>
      </c>
      <c r="T240" s="13">
        <v>34948194.299999997</v>
      </c>
      <c r="U240" s="13">
        <v>45974302.879999995</v>
      </c>
      <c r="V240" s="13">
        <v>39693873.379999995</v>
      </c>
      <c r="W240" s="13">
        <v>39805588.600000024</v>
      </c>
      <c r="X240" s="13">
        <v>39921440.159999967</v>
      </c>
      <c r="Y240" s="13">
        <f t="shared" si="18"/>
        <v>321766261.76999998</v>
      </c>
    </row>
    <row r="241" spans="1:25" ht="15" thickTop="1" x14ac:dyDescent="0.35">
      <c r="B241" s="10">
        <f t="shared" si="16"/>
        <v>0</v>
      </c>
      <c r="C241" s="10">
        <f t="shared" si="16"/>
        <v>0</v>
      </c>
      <c r="D241" s="10">
        <f t="shared" si="16"/>
        <v>0</v>
      </c>
      <c r="E241" s="10">
        <f t="shared" si="16"/>
        <v>0</v>
      </c>
      <c r="F241" s="10">
        <f t="shared" si="16"/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f t="shared" si="17"/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f t="shared" si="18"/>
        <v>0</v>
      </c>
    </row>
    <row r="242" spans="1:25" x14ac:dyDescent="0.35">
      <c r="A242" t="s">
        <v>4</v>
      </c>
      <c r="B242" s="10">
        <f t="shared" si="16"/>
        <v>97775.943845254296</v>
      </c>
      <c r="C242" s="10">
        <f t="shared" si="16"/>
        <v>83235.269402052465</v>
      </c>
      <c r="D242" s="10">
        <f t="shared" si="16"/>
        <v>70285.653638086835</v>
      </c>
      <c r="E242" s="10">
        <f t="shared" si="16"/>
        <v>174766.42955017288</v>
      </c>
      <c r="F242" s="10">
        <f t="shared" si="16"/>
        <v>62306.023564433533</v>
      </c>
      <c r="G242" s="10">
        <v>488369.32</v>
      </c>
      <c r="H242" s="10">
        <v>130843.6700000001</v>
      </c>
      <c r="I242" s="10">
        <v>146107.30999999982</v>
      </c>
      <c r="J242" s="10">
        <v>65979.62</v>
      </c>
      <c r="K242" s="10">
        <v>260205.0399999998</v>
      </c>
      <c r="L242" s="10">
        <v>124868.68999999994</v>
      </c>
      <c r="M242" s="10">
        <v>66845.40000000014</v>
      </c>
      <c r="N242" s="10">
        <v>74938.270000000019</v>
      </c>
      <c r="O242" s="10">
        <f t="shared" si="17"/>
        <v>1358157.32</v>
      </c>
      <c r="Q242" s="10">
        <v>151545.28</v>
      </c>
      <c r="R242" s="10">
        <v>129008.34</v>
      </c>
      <c r="S242" s="10">
        <v>108937.42000000004</v>
      </c>
      <c r="T242" s="10">
        <v>270874.67999999993</v>
      </c>
      <c r="U242" s="10">
        <v>96569.600000000093</v>
      </c>
      <c r="V242" s="10">
        <v>149184.71999999997</v>
      </c>
      <c r="W242" s="10">
        <v>82050.759999999776</v>
      </c>
      <c r="X242" s="10">
        <v>94488.740000000224</v>
      </c>
      <c r="Y242" s="10">
        <f t="shared" si="18"/>
        <v>1082659.54</v>
      </c>
    </row>
    <row r="243" spans="1:25" x14ac:dyDescent="0.35">
      <c r="A243" t="s">
        <v>8</v>
      </c>
      <c r="B243" s="10">
        <f t="shared" si="16"/>
        <v>112120.86315391606</v>
      </c>
      <c r="C243" s="10">
        <f t="shared" si="16"/>
        <v>95446.895045849495</v>
      </c>
      <c r="D243" s="10">
        <f t="shared" si="16"/>
        <v>80597.413262628048</v>
      </c>
      <c r="E243" s="10">
        <f t="shared" si="16"/>
        <v>206984.16406304407</v>
      </c>
      <c r="F243" s="10">
        <f t="shared" si="16"/>
        <v>71447.074474562382</v>
      </c>
      <c r="G243" s="10">
        <v>566596.41</v>
      </c>
      <c r="H243" s="10">
        <v>151007.03000000003</v>
      </c>
      <c r="I243" s="10">
        <v>146107.30999999994</v>
      </c>
      <c r="J243" s="10">
        <v>66979.619999999879</v>
      </c>
      <c r="K243" s="10">
        <v>260205.04000000004</v>
      </c>
      <c r="L243" s="10">
        <v>138468.68999999994</v>
      </c>
      <c r="M243" s="10">
        <v>66845.40000000014</v>
      </c>
      <c r="N243" s="10">
        <v>100498.26999999979</v>
      </c>
      <c r="O243" s="10">
        <f t="shared" si="17"/>
        <v>1496707.7699999998</v>
      </c>
      <c r="Q243" s="10">
        <v>151545.28</v>
      </c>
      <c r="R243" s="10">
        <v>129008.34</v>
      </c>
      <c r="S243" s="10">
        <v>108937.42000000004</v>
      </c>
      <c r="T243" s="10">
        <v>279764.81999999995</v>
      </c>
      <c r="U243" s="10">
        <v>96569.599999999977</v>
      </c>
      <c r="V243" s="10">
        <v>149184.71999999997</v>
      </c>
      <c r="W243" s="10">
        <v>86609.939999999944</v>
      </c>
      <c r="X243" s="10">
        <v>94488.740000000224</v>
      </c>
      <c r="Y243" s="10">
        <f t="shared" si="18"/>
        <v>1096108.8600000001</v>
      </c>
    </row>
    <row r="244" spans="1:25" x14ac:dyDescent="0.35">
      <c r="A244" t="s">
        <v>9</v>
      </c>
      <c r="B244" s="10">
        <f t="shared" si="16"/>
        <v>0</v>
      </c>
      <c r="C244" s="10">
        <f t="shared" si="16"/>
        <v>0</v>
      </c>
      <c r="D244" s="10">
        <f t="shared" si="16"/>
        <v>0</v>
      </c>
      <c r="E244" s="10">
        <f t="shared" si="16"/>
        <v>0</v>
      </c>
      <c r="F244" s="10">
        <f t="shared" si="16"/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f t="shared" si="17"/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f t="shared" si="18"/>
        <v>0</v>
      </c>
    </row>
    <row r="245" spans="1:25" x14ac:dyDescent="0.35">
      <c r="A245" t="s">
        <v>10</v>
      </c>
      <c r="B245" s="10">
        <f t="shared" si="16"/>
        <v>0</v>
      </c>
      <c r="C245" s="10">
        <f t="shared" si="16"/>
        <v>0</v>
      </c>
      <c r="D245" s="10">
        <f t="shared" si="16"/>
        <v>0</v>
      </c>
      <c r="E245" s="10">
        <f t="shared" si="16"/>
        <v>78227.09</v>
      </c>
      <c r="F245" s="10">
        <f t="shared" si="16"/>
        <v>0</v>
      </c>
      <c r="G245" s="10">
        <v>78227.09</v>
      </c>
      <c r="H245" s="10">
        <v>20163.36</v>
      </c>
      <c r="I245" s="10">
        <v>0</v>
      </c>
      <c r="J245" s="10">
        <v>1000</v>
      </c>
      <c r="K245" s="10">
        <v>0</v>
      </c>
      <c r="L245" s="10">
        <v>13600</v>
      </c>
      <c r="M245" s="10">
        <v>0</v>
      </c>
      <c r="N245" s="10">
        <v>25560.000000000015</v>
      </c>
      <c r="O245" s="10">
        <f t="shared" si="17"/>
        <v>138550.45000000001</v>
      </c>
      <c r="Q245" s="10">
        <v>0</v>
      </c>
      <c r="R245" s="10">
        <v>0</v>
      </c>
      <c r="S245" s="10">
        <v>0</v>
      </c>
      <c r="T245" s="10">
        <v>8890.14</v>
      </c>
      <c r="U245" s="10">
        <v>0</v>
      </c>
      <c r="V245" s="10">
        <v>0</v>
      </c>
      <c r="W245" s="10">
        <v>4559.18</v>
      </c>
      <c r="X245" s="10">
        <v>0</v>
      </c>
      <c r="Y245" s="10">
        <f t="shared" si="18"/>
        <v>13449.32</v>
      </c>
    </row>
    <row r="246" spans="1:25" ht="15" thickBot="1" x14ac:dyDescent="0.4">
      <c r="A246" s="12" t="s">
        <v>11</v>
      </c>
      <c r="B246" s="13">
        <f t="shared" si="16"/>
        <v>25601784.752392184</v>
      </c>
      <c r="C246" s="13">
        <f t="shared" si="16"/>
        <v>36951516.85184788</v>
      </c>
      <c r="D246" s="13">
        <f t="shared" si="16"/>
        <v>38424048.769583933</v>
      </c>
      <c r="E246" s="13">
        <f t="shared" si="16"/>
        <v>29195136.341613229</v>
      </c>
      <c r="F246" s="13">
        <f t="shared" si="16"/>
        <v>38190827.93456275</v>
      </c>
      <c r="G246" s="13">
        <v>168363314.64999998</v>
      </c>
      <c r="H246" s="13">
        <v>37578929.950000018</v>
      </c>
      <c r="I246" s="13">
        <v>34589637.560000002</v>
      </c>
      <c r="J246" s="13">
        <v>36665965.059999973</v>
      </c>
      <c r="K246" s="13">
        <v>31846675.880000055</v>
      </c>
      <c r="L246" s="13">
        <v>33405203.839999974</v>
      </c>
      <c r="M246" s="13">
        <v>28778709.360000014</v>
      </c>
      <c r="N246" s="13">
        <v>23738313.839999974</v>
      </c>
      <c r="O246" s="13">
        <f t="shared" si="17"/>
        <v>394966750.13999999</v>
      </c>
      <c r="P246" s="14"/>
      <c r="Q246" s="13">
        <v>30884288.830000002</v>
      </c>
      <c r="R246" s="13">
        <v>44575850.090000018</v>
      </c>
      <c r="S246" s="13">
        <v>46352214.569999978</v>
      </c>
      <c r="T246" s="13">
        <v>35219068.980000004</v>
      </c>
      <c r="U246" s="13">
        <v>46070872.479999989</v>
      </c>
      <c r="V246" s="13">
        <v>39843058.100000024</v>
      </c>
      <c r="W246" s="13">
        <v>39887639.360000014</v>
      </c>
      <c r="X246" s="13">
        <v>40015928.899999976</v>
      </c>
      <c r="Y246" s="13">
        <f t="shared" si="18"/>
        <v>322848921.31</v>
      </c>
    </row>
    <row r="247" spans="1:25" ht="15" thickTop="1" x14ac:dyDescent="0.35">
      <c r="B247" s="10">
        <f t="shared" si="16"/>
        <v>0</v>
      </c>
      <c r="C247" s="10">
        <f t="shared" si="16"/>
        <v>0</v>
      </c>
      <c r="D247" s="10">
        <f t="shared" si="16"/>
        <v>0</v>
      </c>
      <c r="E247" s="10">
        <f t="shared" si="16"/>
        <v>0</v>
      </c>
      <c r="F247" s="10">
        <f t="shared" si="16"/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f t="shared" si="17"/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f t="shared" si="18"/>
        <v>0</v>
      </c>
    </row>
    <row r="248" spans="1:25" x14ac:dyDescent="0.35">
      <c r="A248" t="s">
        <v>12</v>
      </c>
      <c r="B248" s="10">
        <f t="shared" si="16"/>
        <v>8634463.6946059335</v>
      </c>
      <c r="C248" s="10">
        <f t="shared" si="16"/>
        <v>8702075.5665472057</v>
      </c>
      <c r="D248" s="10">
        <f t="shared" si="16"/>
        <v>8802701.2870879844</v>
      </c>
      <c r="E248" s="10">
        <f t="shared" si="16"/>
        <v>8798353.7271455768</v>
      </c>
      <c r="F248" s="10">
        <f t="shared" si="16"/>
        <v>10807788.674613299</v>
      </c>
      <c r="G248" s="10">
        <v>45745382.950000003</v>
      </c>
      <c r="H248" s="10">
        <v>9706911.8699999973</v>
      </c>
      <c r="I248" s="10">
        <v>8745468.4399999976</v>
      </c>
      <c r="J248" s="10">
        <v>8645905.8099999949</v>
      </c>
      <c r="K248" s="10">
        <v>9360729.1400000006</v>
      </c>
      <c r="L248" s="10">
        <v>9239053.6700000018</v>
      </c>
      <c r="M248" s="10">
        <v>7594667.5500000119</v>
      </c>
      <c r="N248" s="10">
        <v>9038148.5199999958</v>
      </c>
      <c r="O248" s="10">
        <f t="shared" si="17"/>
        <v>108076267.95</v>
      </c>
      <c r="Q248" s="10">
        <v>7963596.5800000001</v>
      </c>
      <c r="R248" s="10">
        <v>8025955.25</v>
      </c>
      <c r="S248" s="10">
        <v>8118762.709999999</v>
      </c>
      <c r="T248" s="10">
        <v>8114752.9400000013</v>
      </c>
      <c r="U248" s="10">
        <v>9968061.9400000013</v>
      </c>
      <c r="V248" s="10">
        <v>9422817.9899999946</v>
      </c>
      <c r="W248" s="10">
        <v>8327582.150000006</v>
      </c>
      <c r="X248" s="10">
        <v>8316303.3199999928</v>
      </c>
      <c r="Y248" s="10">
        <f t="shared" si="18"/>
        <v>68257832.879999995</v>
      </c>
    </row>
    <row r="249" spans="1:25" x14ac:dyDescent="0.35">
      <c r="B249" s="10">
        <f t="shared" si="16"/>
        <v>0</v>
      </c>
      <c r="C249" s="10">
        <f t="shared" si="16"/>
        <v>0</v>
      </c>
      <c r="D249" s="10">
        <f t="shared" si="16"/>
        <v>0</v>
      </c>
      <c r="E249" s="10">
        <f t="shared" si="16"/>
        <v>0</v>
      </c>
      <c r="F249" s="10">
        <f t="shared" si="16"/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f t="shared" si="17"/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f t="shared" si="18"/>
        <v>0</v>
      </c>
    </row>
    <row r="250" spans="1:25" ht="15" thickBot="1" x14ac:dyDescent="0.4">
      <c r="A250" s="12" t="s">
        <v>13</v>
      </c>
      <c r="B250" s="13">
        <f t="shared" si="16"/>
        <v>17466083.646651834</v>
      </c>
      <c r="C250" s="13">
        <f t="shared" si="16"/>
        <v>27851842.936888989</v>
      </c>
      <c r="D250" s="13">
        <f t="shared" si="16"/>
        <v>29134751.298229035</v>
      </c>
      <c r="E250" s="13">
        <f t="shared" si="16"/>
        <v>20654099.185853653</v>
      </c>
      <c r="F250" s="13">
        <f t="shared" si="16"/>
        <v>27511154.632376477</v>
      </c>
      <c r="G250" s="13">
        <v>122617931.69999999</v>
      </c>
      <c r="H250" s="13">
        <v>27872018.080000013</v>
      </c>
      <c r="I250" s="13">
        <v>25844169.120000005</v>
      </c>
      <c r="J250" s="13">
        <v>28020059.25</v>
      </c>
      <c r="K250" s="13">
        <v>22485946.740000039</v>
      </c>
      <c r="L250" s="13">
        <v>24166150.169999957</v>
      </c>
      <c r="M250" s="13">
        <v>21184041.810000002</v>
      </c>
      <c r="N250" s="13">
        <v>14700165.319999933</v>
      </c>
      <c r="O250" s="13">
        <f t="shared" si="17"/>
        <v>286890482.18999994</v>
      </c>
      <c r="P250" s="14"/>
      <c r="Q250" s="13">
        <v>22920692.25</v>
      </c>
      <c r="R250" s="13">
        <v>36549894.840000018</v>
      </c>
      <c r="S250" s="13">
        <v>38233451.85999997</v>
      </c>
      <c r="T250" s="13">
        <v>27104316.040000007</v>
      </c>
      <c r="U250" s="13">
        <v>36102810.539999977</v>
      </c>
      <c r="V250" s="13">
        <v>30420240.110000044</v>
      </c>
      <c r="W250" s="13">
        <v>31560057.210000008</v>
      </c>
      <c r="X250" s="13">
        <v>31699625.579999983</v>
      </c>
      <c r="Y250" s="13">
        <f t="shared" si="18"/>
        <v>254591088.43000001</v>
      </c>
    </row>
    <row r="251" spans="1:25" ht="15" thickTop="1" x14ac:dyDescent="0.35">
      <c r="B251" s="10">
        <f t="shared" si="16"/>
        <v>0</v>
      </c>
      <c r="C251" s="10">
        <f t="shared" si="16"/>
        <v>0</v>
      </c>
      <c r="D251" s="10">
        <f t="shared" si="16"/>
        <v>0</v>
      </c>
      <c r="E251" s="10">
        <f t="shared" si="16"/>
        <v>0</v>
      </c>
      <c r="F251" s="10">
        <f t="shared" si="16"/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f t="shared" si="17"/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f t="shared" si="18"/>
        <v>0</v>
      </c>
    </row>
    <row r="252" spans="1:25" x14ac:dyDescent="0.35">
      <c r="A252" t="s">
        <v>14</v>
      </c>
      <c r="B252" s="10">
        <f t="shared" si="16"/>
        <v>4157007.6079999967</v>
      </c>
      <c r="C252" s="10">
        <f t="shared" si="16"/>
        <v>4157007.6079999967</v>
      </c>
      <c r="D252" s="10">
        <f t="shared" si="16"/>
        <v>4157007.6079999967</v>
      </c>
      <c r="E252" s="10">
        <f t="shared" si="16"/>
        <v>4157007.6079999967</v>
      </c>
      <c r="F252" s="10">
        <f t="shared" si="16"/>
        <v>4157007.6079999967</v>
      </c>
      <c r="G252" s="10">
        <v>20785038.039999984</v>
      </c>
      <c r="H252" s="10">
        <v>6509554.4800000228</v>
      </c>
      <c r="I252" s="10">
        <v>-585384.53999999911</v>
      </c>
      <c r="J252" s="10">
        <v>5813426.5599999912</v>
      </c>
      <c r="K252" s="10">
        <v>962924.91000000015</v>
      </c>
      <c r="L252" s="10">
        <v>1193582.6700000353</v>
      </c>
      <c r="M252" s="10">
        <v>-1508798.450000003</v>
      </c>
      <c r="N252" s="10">
        <v>-7765107.6400000006</v>
      </c>
      <c r="O252" s="10">
        <f t="shared" si="17"/>
        <v>25405236.030000031</v>
      </c>
      <c r="Q252" s="10">
        <v>-950311.28999999783</v>
      </c>
      <c r="R252" s="10">
        <v>14281045.049999993</v>
      </c>
      <c r="S252" s="10">
        <v>11547030.489999996</v>
      </c>
      <c r="T252" s="10">
        <v>1635278.2699999958</v>
      </c>
      <c r="U252" s="10">
        <v>8108573.1099999994</v>
      </c>
      <c r="V252" s="10">
        <v>3486280.8099999949</v>
      </c>
      <c r="W252" s="10">
        <v>2613448.3600000367</v>
      </c>
      <c r="X252" s="10">
        <v>2819560.4099999741</v>
      </c>
      <c r="Y252" s="10">
        <f t="shared" si="18"/>
        <v>43540905.209999993</v>
      </c>
    </row>
    <row r="253" spans="1:25" x14ac:dyDescent="0.35">
      <c r="A253" t="s">
        <v>15</v>
      </c>
      <c r="B253" s="10">
        <f t="shared" si="16"/>
        <v>23470641.624320846</v>
      </c>
      <c r="C253" s="10">
        <f t="shared" si="16"/>
        <v>34164296.022725441</v>
      </c>
      <c r="D253" s="10">
        <f t="shared" si="16"/>
        <v>35001596.181564778</v>
      </c>
      <c r="E253" s="10">
        <f t="shared" si="16"/>
        <v>27509731.570567954</v>
      </c>
      <c r="F253" s="10">
        <f t="shared" si="16"/>
        <v>33625150.330820955</v>
      </c>
      <c r="G253" s="10">
        <v>153771415.72999999</v>
      </c>
      <c r="H253" s="10">
        <v>33788045.360000014</v>
      </c>
      <c r="I253" s="10">
        <v>31755624.289999992</v>
      </c>
      <c r="J253" s="10">
        <v>34243113.849999994</v>
      </c>
      <c r="K253" s="10">
        <v>29733406.630000025</v>
      </c>
      <c r="L253" s="10">
        <v>30624008.289999962</v>
      </c>
      <c r="M253" s="10">
        <v>27390375.320000052</v>
      </c>
      <c r="N253" s="10">
        <v>22165286.069999993</v>
      </c>
      <c r="O253" s="10">
        <f t="shared" si="17"/>
        <v>363471275.54000002</v>
      </c>
      <c r="Q253" s="10">
        <v>28502767.289999999</v>
      </c>
      <c r="R253" s="10">
        <v>41489150.350000001</v>
      </c>
      <c r="S253" s="10">
        <v>42505968.379999995</v>
      </c>
      <c r="T253" s="10">
        <v>33407841.579999998</v>
      </c>
      <c r="U253" s="10">
        <v>40834411.360000014</v>
      </c>
      <c r="V253" s="10">
        <v>35776184.439999998</v>
      </c>
      <c r="W253" s="10">
        <v>36436722.789999992</v>
      </c>
      <c r="X253" s="10">
        <v>36979554.50999999</v>
      </c>
      <c r="Y253" s="10">
        <f t="shared" si="18"/>
        <v>295932600.69999999</v>
      </c>
    </row>
    <row r="254" spans="1:25" x14ac:dyDescent="0.35">
      <c r="A254" t="s">
        <v>16</v>
      </c>
      <c r="B254" s="10">
        <f t="shared" si="16"/>
        <v>25748726.364349779</v>
      </c>
      <c r="C254" s="10">
        <f t="shared" si="16"/>
        <v>23786106.310049277</v>
      </c>
      <c r="D254" s="10">
        <f t="shared" si="16"/>
        <v>27065191.779368494</v>
      </c>
      <c r="E254" s="10">
        <f t="shared" si="16"/>
        <v>27776486.466127835</v>
      </c>
      <c r="F254" s="10">
        <f t="shared" si="16"/>
        <v>28609866.770104613</v>
      </c>
      <c r="G254" s="10">
        <v>132986377.69</v>
      </c>
      <c r="H254" s="10">
        <v>27278490.879999995</v>
      </c>
      <c r="I254" s="10">
        <v>32341008.830000013</v>
      </c>
      <c r="J254" s="10">
        <v>28429687.289999992</v>
      </c>
      <c r="K254" s="10">
        <v>28770481.719999999</v>
      </c>
      <c r="L254" s="10">
        <v>29430425.619999975</v>
      </c>
      <c r="M254" s="10">
        <v>28899173.770000041</v>
      </c>
      <c r="N254" s="10">
        <v>29930393.709999979</v>
      </c>
      <c r="O254" s="10">
        <f t="shared" si="17"/>
        <v>338066039.50999999</v>
      </c>
      <c r="Q254" s="10">
        <v>29453078.579999998</v>
      </c>
      <c r="R254" s="10">
        <v>27208105.300000004</v>
      </c>
      <c r="S254" s="10">
        <v>30958937.889999993</v>
      </c>
      <c r="T254" s="10">
        <v>31772563.310000002</v>
      </c>
      <c r="U254" s="10">
        <v>32725838.250000015</v>
      </c>
      <c r="V254" s="10">
        <v>32289903.629999995</v>
      </c>
      <c r="W254" s="10">
        <v>33823274.429999977</v>
      </c>
      <c r="X254" s="10">
        <v>34159994.100000024</v>
      </c>
      <c r="Y254" s="10">
        <f t="shared" si="18"/>
        <v>252391695.49000001</v>
      </c>
    </row>
    <row r="255" spans="1:25" ht="15" thickBot="1" x14ac:dyDescent="0.4">
      <c r="A255" s="12" t="s">
        <v>17</v>
      </c>
      <c r="B255" s="13">
        <f t="shared" si="16"/>
        <v>19248254.245669015</v>
      </c>
      <c r="C255" s="13">
        <f t="shared" si="16"/>
        <v>17956366.258263037</v>
      </c>
      <c r="D255" s="13">
        <f t="shared" si="16"/>
        <v>21518451.14412874</v>
      </c>
      <c r="E255" s="13">
        <f t="shared" si="16"/>
        <v>20536820.480464276</v>
      </c>
      <c r="F255" s="13">
        <f t="shared" si="16"/>
        <v>22573001.531474933</v>
      </c>
      <c r="G255" s="13">
        <v>101832893.66</v>
      </c>
      <c r="H255" s="13">
        <v>21362463.599999994</v>
      </c>
      <c r="I255" s="13">
        <v>26429553.659999996</v>
      </c>
      <c r="J255" s="13">
        <v>22206632.689999998</v>
      </c>
      <c r="K255" s="13">
        <v>21523021.830000043</v>
      </c>
      <c r="L255" s="13">
        <v>22972567.49999994</v>
      </c>
      <c r="M255" s="13">
        <v>22692840.25999999</v>
      </c>
      <c r="N255" s="13">
        <v>22465272.959999979</v>
      </c>
      <c r="O255" s="13">
        <f t="shared" si="17"/>
        <v>261485246.15999994</v>
      </c>
      <c r="P255" s="14"/>
      <c r="Q255" s="13">
        <v>23871003.539999999</v>
      </c>
      <c r="R255" s="13">
        <v>22268849.790000021</v>
      </c>
      <c r="S255" s="13">
        <v>26686421.369999968</v>
      </c>
      <c r="T255" s="13">
        <v>25469037.770000011</v>
      </c>
      <c r="U255" s="13">
        <v>27994237.429999977</v>
      </c>
      <c r="V255" s="13">
        <v>26933959.300000042</v>
      </c>
      <c r="W255" s="13">
        <v>28946608.849999964</v>
      </c>
      <c r="X255" s="13">
        <v>28880065.170000017</v>
      </c>
      <c r="Y255" s="13">
        <f t="shared" si="18"/>
        <v>211050183.22</v>
      </c>
    </row>
    <row r="256" spans="1:25" ht="15" thickTop="1" x14ac:dyDescent="0.35">
      <c r="B256" s="10">
        <f t="shared" si="16"/>
        <v>0</v>
      </c>
      <c r="C256" s="10">
        <f t="shared" si="16"/>
        <v>0</v>
      </c>
      <c r="D256" s="10">
        <f t="shared" si="16"/>
        <v>0</v>
      </c>
      <c r="E256" s="10">
        <f t="shared" si="16"/>
        <v>0</v>
      </c>
      <c r="F256" s="10">
        <f t="shared" si="16"/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f t="shared" si="17"/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f t="shared" si="18"/>
        <v>0</v>
      </c>
    </row>
    <row r="257" spans="1:25" x14ac:dyDescent="0.35">
      <c r="A257" t="s">
        <v>18</v>
      </c>
      <c r="B257" s="10">
        <f t="shared" si="16"/>
        <v>11488464.410961509</v>
      </c>
      <c r="C257" s="10">
        <f t="shared" si="16"/>
        <v>9079317.1595630776</v>
      </c>
      <c r="D257" s="10">
        <f t="shared" si="16"/>
        <v>11265810.493999729</v>
      </c>
      <c r="E257" s="10">
        <f t="shared" si="16"/>
        <v>8048942.0618718024</v>
      </c>
      <c r="F257" s="10">
        <f t="shared" si="16"/>
        <v>12054883.403603891</v>
      </c>
      <c r="G257" s="10">
        <v>51937417.530000009</v>
      </c>
      <c r="H257" s="10">
        <v>9341969.9099999964</v>
      </c>
      <c r="I257" s="10">
        <v>13993738.540000014</v>
      </c>
      <c r="J257" s="10">
        <v>14899817.919999972</v>
      </c>
      <c r="K257" s="10">
        <v>10291676</v>
      </c>
      <c r="L257" s="10">
        <v>10920322.800000027</v>
      </c>
      <c r="M257" s="10">
        <v>9576726.3499999791</v>
      </c>
      <c r="N257" s="10">
        <v>16929654.970000044</v>
      </c>
      <c r="O257" s="10">
        <f t="shared" si="17"/>
        <v>137891324.02000004</v>
      </c>
      <c r="Q257" s="10">
        <v>15303979.369999999</v>
      </c>
      <c r="R257" s="10">
        <v>12094713.230000002</v>
      </c>
      <c r="S257" s="10">
        <v>15007378.289999999</v>
      </c>
      <c r="T257" s="10">
        <v>10722132.990000002</v>
      </c>
      <c r="U257" s="10">
        <v>16058515.770000018</v>
      </c>
      <c r="V257" s="10">
        <v>14068941.979999974</v>
      </c>
      <c r="W257" s="10">
        <v>17690195.840000018</v>
      </c>
      <c r="X257" s="10">
        <v>3927986.369999975</v>
      </c>
      <c r="Y257" s="10">
        <f t="shared" si="18"/>
        <v>104873843.83999999</v>
      </c>
    </row>
    <row r="258" spans="1:25" x14ac:dyDescent="0.35">
      <c r="A258" t="s">
        <v>19</v>
      </c>
      <c r="B258" s="10">
        <f t="shared" si="16"/>
        <v>2933568.7739228308</v>
      </c>
      <c r="C258" s="10">
        <f t="shared" si="16"/>
        <v>2911782.7323479643</v>
      </c>
      <c r="D258" s="10">
        <f t="shared" si="16"/>
        <v>4058802.2589389565</v>
      </c>
      <c r="E258" s="10">
        <f t="shared" si="16"/>
        <v>2179496.6840187805</v>
      </c>
      <c r="F258" s="10">
        <f t="shared" si="16"/>
        <v>4217030.9707714655</v>
      </c>
      <c r="G258" s="10">
        <v>16300681.419999998</v>
      </c>
      <c r="H258" s="10">
        <v>2799167.9100000076</v>
      </c>
      <c r="I258" s="10">
        <v>3899965.9199999943</v>
      </c>
      <c r="J258" s="10">
        <v>5383298.1999999993</v>
      </c>
      <c r="K258" s="10">
        <v>2173831.5500000045</v>
      </c>
      <c r="L258" s="10">
        <v>1347642.4599999934</v>
      </c>
      <c r="M258" s="10">
        <v>1007385.549999997</v>
      </c>
      <c r="N258" s="10">
        <v>2828762.0700000115</v>
      </c>
      <c r="O258" s="10">
        <f t="shared" si="17"/>
        <v>35740735.080000006</v>
      </c>
      <c r="Q258" s="10">
        <v>3405993.96</v>
      </c>
      <c r="R258" s="10">
        <v>3380699.4699999997</v>
      </c>
      <c r="S258" s="10">
        <v>4712436.3000000007</v>
      </c>
      <c r="T258" s="10">
        <v>2530485.2599999998</v>
      </c>
      <c r="U258" s="10">
        <v>4896146.339999998</v>
      </c>
      <c r="V258" s="10">
        <v>4771173.2599999979</v>
      </c>
      <c r="W258" s="10">
        <v>8151610.700000003</v>
      </c>
      <c r="X258" s="10">
        <v>-4110422.3699999973</v>
      </c>
      <c r="Y258" s="10">
        <f t="shared" si="18"/>
        <v>27738122.920000002</v>
      </c>
    </row>
    <row r="259" spans="1:25" x14ac:dyDescent="0.35">
      <c r="A259" t="s">
        <v>20</v>
      </c>
      <c r="B259" s="10">
        <f t="shared" si="16"/>
        <v>2979652.3701342642</v>
      </c>
      <c r="C259" s="10">
        <f t="shared" si="16"/>
        <v>2924720.0010680929</v>
      </c>
      <c r="D259" s="10">
        <f t="shared" si="16"/>
        <v>4088277.8703265251</v>
      </c>
      <c r="E259" s="10">
        <f t="shared" si="16"/>
        <v>2193305.9725556243</v>
      </c>
      <c r="F259" s="10">
        <f t="shared" si="16"/>
        <v>4233554.2259154897</v>
      </c>
      <c r="G259" s="10">
        <v>16419510.439999998</v>
      </c>
      <c r="H259" s="10">
        <v>2818915.570000004</v>
      </c>
      <c r="I259" s="10">
        <v>3939803.7399999984</v>
      </c>
      <c r="J259" s="10">
        <v>5388790.2800000012</v>
      </c>
      <c r="K259" s="10">
        <v>2191343.3200000003</v>
      </c>
      <c r="L259" s="10">
        <v>1376282.6699999981</v>
      </c>
      <c r="M259" s="10">
        <v>1007054.7099999972</v>
      </c>
      <c r="N259" s="10">
        <v>2841851.3100000024</v>
      </c>
      <c r="O259" s="10">
        <f t="shared" si="17"/>
        <v>35983552.039999992</v>
      </c>
      <c r="Q259" s="10">
        <v>3450759.46</v>
      </c>
      <c r="R259" s="10">
        <v>3387141.84</v>
      </c>
      <c r="S259" s="10">
        <v>4734667.6000000006</v>
      </c>
      <c r="T259" s="10">
        <v>2540085.3499999996</v>
      </c>
      <c r="U259" s="10">
        <v>4902913.32</v>
      </c>
      <c r="V259" s="10">
        <v>4818876.2399999984</v>
      </c>
      <c r="W259" s="10">
        <v>8161574</v>
      </c>
      <c r="X259" s="10">
        <v>-4120763.1199999973</v>
      </c>
      <c r="Y259" s="10">
        <f t="shared" si="18"/>
        <v>27875254.690000001</v>
      </c>
    </row>
    <row r="260" spans="1:25" x14ac:dyDescent="0.35">
      <c r="A260" t="s">
        <v>21</v>
      </c>
      <c r="B260" s="10">
        <f t="shared" si="16"/>
        <v>59232.415195313821</v>
      </c>
      <c r="C260" s="10">
        <f t="shared" si="16"/>
        <v>8524.3577013958075</v>
      </c>
      <c r="D260" s="10">
        <f t="shared" si="16"/>
        <v>29415.813336868345</v>
      </c>
      <c r="E260" s="10">
        <f t="shared" si="16"/>
        <v>12702.561499198715</v>
      </c>
      <c r="F260" s="10">
        <f t="shared" si="16"/>
        <v>8953.8722672233162</v>
      </c>
      <c r="G260" s="10">
        <v>118829.02</v>
      </c>
      <c r="H260" s="10">
        <v>19747.659999999989</v>
      </c>
      <c r="I260" s="10">
        <v>39837.820000000007</v>
      </c>
      <c r="J260" s="10">
        <v>5492.0799999999872</v>
      </c>
      <c r="K260" s="10">
        <v>17511.770000000019</v>
      </c>
      <c r="L260" s="10">
        <v>28640.209999999992</v>
      </c>
      <c r="M260" s="10">
        <v>-330.83999999999651</v>
      </c>
      <c r="N260" s="10">
        <v>13089.239999999991</v>
      </c>
      <c r="O260" s="10">
        <f t="shared" si="17"/>
        <v>242816.96</v>
      </c>
      <c r="Q260" s="10">
        <v>44765.5</v>
      </c>
      <c r="R260" s="10">
        <v>6442.3700000000026</v>
      </c>
      <c r="S260" s="10">
        <v>22231.299999999996</v>
      </c>
      <c r="T260" s="10">
        <v>9600.0899999999965</v>
      </c>
      <c r="U260" s="10">
        <v>6766.9800000000105</v>
      </c>
      <c r="V260" s="10">
        <v>47702.979999999996</v>
      </c>
      <c r="W260" s="10">
        <v>9963.2999999999884</v>
      </c>
      <c r="X260" s="10">
        <v>-10340.75</v>
      </c>
      <c r="Y260" s="10">
        <f t="shared" si="18"/>
        <v>137131.76999999999</v>
      </c>
    </row>
    <row r="261" spans="1:25" ht="15" thickBot="1" x14ac:dyDescent="0.4">
      <c r="A261" s="12" t="s">
        <v>22</v>
      </c>
      <c r="B261" s="13">
        <f t="shared" si="16"/>
        <v>8436078.0309291985</v>
      </c>
      <c r="C261" s="13">
        <f t="shared" si="16"/>
        <v>6178533.3826485807</v>
      </c>
      <c r="D261" s="13">
        <f t="shared" si="16"/>
        <v>7299465.4942621533</v>
      </c>
      <c r="E261" s="13">
        <f t="shared" si="16"/>
        <v>5808158.0259866882</v>
      </c>
      <c r="F261" s="13">
        <f t="shared" si="16"/>
        <v>7914501.1761733871</v>
      </c>
      <c r="G261" s="13">
        <v>35636736.110000007</v>
      </c>
      <c r="H261" s="13">
        <v>6542801.9999999925</v>
      </c>
      <c r="I261" s="13">
        <v>10093772.620000005</v>
      </c>
      <c r="J261" s="13">
        <v>9516519.7199999914</v>
      </c>
      <c r="K261" s="13">
        <v>8117844.4499999806</v>
      </c>
      <c r="L261" s="13">
        <v>9572680.3400000483</v>
      </c>
      <c r="M261" s="13">
        <v>8569340.7999999672</v>
      </c>
      <c r="N261" s="13">
        <v>14100892.900000021</v>
      </c>
      <c r="O261" s="13">
        <f t="shared" si="17"/>
        <v>102150588.94000001</v>
      </c>
      <c r="P261" s="14"/>
      <c r="Q261" s="13">
        <v>11897985.41</v>
      </c>
      <c r="R261" s="13">
        <v>8714013.7600000016</v>
      </c>
      <c r="S261" s="13">
        <v>10294941.990000002</v>
      </c>
      <c r="T261" s="13">
        <v>8191647.7299999967</v>
      </c>
      <c r="U261" s="13">
        <v>11162369.430000015</v>
      </c>
      <c r="V261" s="13">
        <v>9297768.7199999839</v>
      </c>
      <c r="W261" s="13">
        <v>9538585.1400000229</v>
      </c>
      <c r="X261" s="13">
        <v>8038408.7399999648</v>
      </c>
      <c r="Y261" s="13">
        <f t="shared" si="18"/>
        <v>77135720.919999987</v>
      </c>
    </row>
    <row r="262" spans="1:25" ht="15" thickTop="1" x14ac:dyDescent="0.35">
      <c r="A262" t="s">
        <v>23</v>
      </c>
      <c r="B262" s="10">
        <f t="shared" si="16"/>
        <v>18941743.150286797</v>
      </c>
      <c r="C262" s="10">
        <f t="shared" si="16"/>
        <v>12624118.903324991</v>
      </c>
      <c r="D262" s="10">
        <f t="shared" si="16"/>
        <v>14963016.102599777</v>
      </c>
      <c r="E262" s="10">
        <f t="shared" si="16"/>
        <v>12767999.956457138</v>
      </c>
      <c r="F262" s="10">
        <f t="shared" si="16"/>
        <v>16696989.8673313</v>
      </c>
      <c r="G262" s="10">
        <v>75993867.980000004</v>
      </c>
      <c r="H262" s="10">
        <v>15241843.219999999</v>
      </c>
      <c r="I262" s="10">
        <v>20646359.469999999</v>
      </c>
      <c r="J262" s="10">
        <v>23905482.61999999</v>
      </c>
      <c r="K262" s="10">
        <v>17528866.159999996</v>
      </c>
      <c r="L262" s="10">
        <v>18743866.300000012</v>
      </c>
      <c r="M262" s="10">
        <v>15696224.960000008</v>
      </c>
      <c r="N262" s="10">
        <v>21381248.900000006</v>
      </c>
      <c r="O262" s="10">
        <f t="shared" si="17"/>
        <v>209137759.61000001</v>
      </c>
      <c r="Q262" s="10">
        <v>22777713.859999999</v>
      </c>
      <c r="R262" s="10">
        <v>15180681.410000004</v>
      </c>
      <c r="S262" s="10">
        <v>17993238.349999994</v>
      </c>
      <c r="T262" s="10">
        <v>15353700.410000004</v>
      </c>
      <c r="U262" s="10">
        <v>20078366.310000002</v>
      </c>
      <c r="V262" s="10">
        <v>16448801.719999999</v>
      </c>
      <c r="W262" s="10">
        <v>17980124.870000005</v>
      </c>
      <c r="X262" s="10">
        <v>14729626.629999995</v>
      </c>
      <c r="Y262" s="10">
        <f t="shared" si="18"/>
        <v>140542253.56</v>
      </c>
    </row>
    <row r="263" spans="1:25" x14ac:dyDescent="0.35">
      <c r="A263" t="s">
        <v>24</v>
      </c>
      <c r="B263" s="10">
        <f t="shared" si="16"/>
        <v>0</v>
      </c>
      <c r="C263" s="10">
        <f t="shared" si="16"/>
        <v>0</v>
      </c>
      <c r="D263" s="10">
        <f t="shared" si="16"/>
        <v>0</v>
      </c>
      <c r="E263" s="10">
        <f t="shared" si="16"/>
        <v>0</v>
      </c>
      <c r="F263" s="10">
        <f t="shared" si="16"/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f t="shared" si="17"/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30060</v>
      </c>
      <c r="Y263" s="10">
        <f t="shared" si="18"/>
        <v>30060</v>
      </c>
    </row>
    <row r="264" spans="1:25" x14ac:dyDescent="0.35">
      <c r="A264" t="s">
        <v>25</v>
      </c>
      <c r="B264" s="10">
        <f t="shared" si="16"/>
        <v>0</v>
      </c>
      <c r="C264" s="10">
        <f t="shared" si="16"/>
        <v>0</v>
      </c>
      <c r="D264" s="10">
        <f t="shared" si="16"/>
        <v>0</v>
      </c>
      <c r="E264" s="10">
        <f t="shared" si="16"/>
        <v>0</v>
      </c>
      <c r="F264" s="10">
        <f t="shared" si="16"/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f t="shared" si="17"/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f t="shared" si="18"/>
        <v>0</v>
      </c>
    </row>
    <row r="265" spans="1:25" x14ac:dyDescent="0.35">
      <c r="A265" t="s">
        <v>26</v>
      </c>
      <c r="B265" s="10">
        <f t="shared" si="16"/>
        <v>10608021.313764164</v>
      </c>
      <c r="C265" s="10">
        <f t="shared" si="16"/>
        <v>6303305.2120490232</v>
      </c>
      <c r="D265" s="10">
        <f t="shared" si="16"/>
        <v>7398874.0498227663</v>
      </c>
      <c r="E265" s="10">
        <f t="shared" si="16"/>
        <v>6814442.8809632827</v>
      </c>
      <c r="F265" s="10">
        <f t="shared" si="16"/>
        <v>8661070.313400764</v>
      </c>
      <c r="G265" s="10">
        <v>39785713.770000003</v>
      </c>
      <c r="H265" s="10">
        <v>8688530.5</v>
      </c>
      <c r="I265" s="10">
        <v>10518852.139999993</v>
      </c>
      <c r="J265" s="10">
        <v>14224602.189999998</v>
      </c>
      <c r="K265" s="10">
        <v>9345450.3900000006</v>
      </c>
      <c r="L265" s="10">
        <v>9027771.25</v>
      </c>
      <c r="M265" s="10">
        <v>7091660.0700000077</v>
      </c>
      <c r="N265" s="10">
        <v>7228324.8599999994</v>
      </c>
      <c r="O265" s="10">
        <f t="shared" si="17"/>
        <v>105910905.17</v>
      </c>
      <c r="Q265" s="10">
        <v>10857994.810000001</v>
      </c>
      <c r="R265" s="10">
        <v>6451839.9099999983</v>
      </c>
      <c r="S265" s="10">
        <v>7573225.3599999994</v>
      </c>
      <c r="T265" s="10">
        <v>6975022.3200000003</v>
      </c>
      <c r="U265" s="10">
        <v>8865164.7400000021</v>
      </c>
      <c r="V265" s="10">
        <v>7032476.6599999964</v>
      </c>
      <c r="W265" s="10">
        <v>8145885.450000003</v>
      </c>
      <c r="X265" s="10">
        <v>6628120.75</v>
      </c>
      <c r="Y265" s="10">
        <f t="shared" si="18"/>
        <v>62529730</v>
      </c>
    </row>
    <row r="266" spans="1:25" x14ac:dyDescent="0.35">
      <c r="A266" t="s">
        <v>27</v>
      </c>
      <c r="B266" s="10">
        <f t="shared" si="16"/>
        <v>31086.744528200208</v>
      </c>
      <c r="C266" s="10">
        <f t="shared" si="16"/>
        <v>21208.880119049332</v>
      </c>
      <c r="D266" s="10">
        <f t="shared" si="16"/>
        <v>178895.49219028789</v>
      </c>
      <c r="E266" s="10">
        <f t="shared" si="16"/>
        <v>267519.15557344811</v>
      </c>
      <c r="F266" s="10">
        <f t="shared" si="16"/>
        <v>72707.827589014414</v>
      </c>
      <c r="G266" s="10">
        <v>571418.1</v>
      </c>
      <c r="H266" s="10">
        <v>10510.719999999972</v>
      </c>
      <c r="I266" s="10">
        <v>33734.710000000079</v>
      </c>
      <c r="J266" s="10">
        <v>164360.70999999996</v>
      </c>
      <c r="K266" s="10">
        <v>65571.320000000065</v>
      </c>
      <c r="L266" s="10">
        <v>143414.70999999996</v>
      </c>
      <c r="M266" s="10">
        <v>35224.089999999851</v>
      </c>
      <c r="N266" s="10">
        <v>52031.14000000013</v>
      </c>
      <c r="O266" s="10">
        <f t="shared" si="17"/>
        <v>1076265.5</v>
      </c>
      <c r="Q266" s="10">
        <v>21733.64</v>
      </c>
      <c r="R266" s="10">
        <v>14827.739999999998</v>
      </c>
      <c r="S266" s="10">
        <v>125071</v>
      </c>
      <c r="T266" s="10">
        <v>187030.36</v>
      </c>
      <c r="U266" s="10">
        <v>50832.140000000014</v>
      </c>
      <c r="V266" s="10">
        <v>118556.33999999997</v>
      </c>
      <c r="W266" s="10">
        <v>295654.28000000003</v>
      </c>
      <c r="X266" s="10">
        <v>93157.140000000014</v>
      </c>
      <c r="Y266" s="10">
        <f t="shared" si="18"/>
        <v>906862.64</v>
      </c>
    </row>
    <row r="267" spans="1:25" x14ac:dyDescent="0.35">
      <c r="B267" s="10">
        <f t="shared" si="16"/>
        <v>0</v>
      </c>
      <c r="C267" s="10">
        <f t="shared" si="16"/>
        <v>0</v>
      </c>
      <c r="D267" s="10">
        <f t="shared" si="16"/>
        <v>0</v>
      </c>
      <c r="E267" s="10">
        <f t="shared" si="16"/>
        <v>0</v>
      </c>
      <c r="F267" s="10">
        <f t="shared" si="16"/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f t="shared" si="17"/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f t="shared" si="18"/>
        <v>0</v>
      </c>
    </row>
    <row r="268" spans="1:25" ht="15" thickBot="1" x14ac:dyDescent="0.4">
      <c r="A268" s="12" t="s">
        <v>28</v>
      </c>
      <c r="B268" s="13">
        <f t="shared" si="16"/>
        <v>7485719.1510112258</v>
      </c>
      <c r="C268" s="13">
        <f t="shared" si="16"/>
        <v>8889986.4621481095</v>
      </c>
      <c r="D268" s="13">
        <f t="shared" si="16"/>
        <v>10204948.032665694</v>
      </c>
      <c r="E268" s="13">
        <f t="shared" si="16"/>
        <v>12885593.099684825</v>
      </c>
      <c r="F268" s="13">
        <f t="shared" si="16"/>
        <v>10429229.384490142</v>
      </c>
      <c r="G268" s="13">
        <v>49895476.129999995</v>
      </c>
      <c r="H268" s="13">
        <v>12020493.68999999</v>
      </c>
      <c r="I268" s="13">
        <v>12435815.119999997</v>
      </c>
      <c r="J268" s="13">
        <v>7306814.7700000107</v>
      </c>
      <c r="K268" s="13">
        <v>11231345.830000058</v>
      </c>
      <c r="L268" s="13">
        <v>12052244.699999914</v>
      </c>
      <c r="M268" s="13">
        <v>13116113.909999982</v>
      </c>
      <c r="N268" s="13">
        <v>5535617.9899999499</v>
      </c>
      <c r="O268" s="13">
        <f t="shared" si="17"/>
        <v>123593922.1399999</v>
      </c>
      <c r="P268" s="14"/>
      <c r="Q268" s="13">
        <v>8567024.1699999981</v>
      </c>
      <c r="R268" s="13">
        <v>10174136.560000021</v>
      </c>
      <c r="S268" s="13">
        <v>11679043.079999972</v>
      </c>
      <c r="T268" s="13">
        <v>14746904.780000012</v>
      </c>
      <c r="U268" s="13">
        <v>11935721.659999967</v>
      </c>
      <c r="V268" s="13">
        <v>12865017.320000067</v>
      </c>
      <c r="W268" s="13">
        <v>11256413.009999931</v>
      </c>
      <c r="X268" s="13">
        <v>24952078.800000057</v>
      </c>
      <c r="Y268" s="13">
        <f t="shared" si="18"/>
        <v>106176339.38000003</v>
      </c>
    </row>
    <row r="269" spans="1:25" ht="15" thickTop="1" x14ac:dyDescent="0.35">
      <c r="A269" t="s">
        <v>29</v>
      </c>
      <c r="B269" s="10">
        <f t="shared" ref="B269:F286" si="19">IF(OR(SUM($Q269:$U269)=0,COUNTIF($Q269:$U269,"&lt;0")*COUNTIF($Q269:$U269,"&gt;0")&gt;0),$G269/5,$G269*Q269/SUM($Q269:$U269))</f>
        <v>3264244.776209543</v>
      </c>
      <c r="C269" s="10">
        <f t="shared" si="19"/>
        <v>5019883.7060117563</v>
      </c>
      <c r="D269" s="10">
        <f t="shared" si="19"/>
        <v>5656563.9266415918</v>
      </c>
      <c r="E269" s="10">
        <f t="shared" si="19"/>
        <v>5399506.0810357351</v>
      </c>
      <c r="F269" s="10">
        <f t="shared" si="19"/>
        <v>5342982.290101367</v>
      </c>
      <c r="G269" s="10">
        <v>24683180.779999994</v>
      </c>
      <c r="H269" s="10">
        <v>4590307.900000006</v>
      </c>
      <c r="I269" s="10">
        <v>3911085.1100000106</v>
      </c>
      <c r="J269" s="10">
        <v>3779209.979999993</v>
      </c>
      <c r="K269" s="10">
        <v>6396497.9400000051</v>
      </c>
      <c r="L269" s="10">
        <v>7531491.4399999976</v>
      </c>
      <c r="M269" s="10">
        <v>7498960.8699999899</v>
      </c>
      <c r="N269" s="10">
        <v>5578208.2300000116</v>
      </c>
      <c r="O269" s="10">
        <f t="shared" si="17"/>
        <v>63968942.250000015</v>
      </c>
      <c r="Q269" s="10">
        <v>3783149.1799999997</v>
      </c>
      <c r="R269" s="10">
        <v>5817875.2599999998</v>
      </c>
      <c r="S269" s="10">
        <v>6555766.0800000019</v>
      </c>
      <c r="T269" s="10">
        <v>6257844.7399999965</v>
      </c>
      <c r="U269" s="10">
        <v>6192335.5800000057</v>
      </c>
      <c r="V269" s="10">
        <v>5455226.6399999931</v>
      </c>
      <c r="W269" s="10">
        <v>5733892.6300000101</v>
      </c>
      <c r="X269" s="10">
        <v>22339728.499999978</v>
      </c>
      <c r="Y269" s="10">
        <f t="shared" si="18"/>
        <v>62135818.609999985</v>
      </c>
    </row>
    <row r="270" spans="1:25" x14ac:dyDescent="0.35">
      <c r="A270" t="s">
        <v>30</v>
      </c>
      <c r="B270" s="10">
        <f t="shared" si="19"/>
        <v>190946.14877787096</v>
      </c>
      <c r="C270" s="10">
        <f t="shared" si="19"/>
        <v>177236.39053373804</v>
      </c>
      <c r="D270" s="10">
        <f t="shared" si="19"/>
        <v>217822.75662428339</v>
      </c>
      <c r="E270" s="10">
        <f t="shared" si="19"/>
        <v>207192.56070088758</v>
      </c>
      <c r="F270" s="10">
        <f t="shared" si="19"/>
        <v>206909.27336322001</v>
      </c>
      <c r="G270" s="10">
        <v>1000107.13</v>
      </c>
      <c r="H270" s="10">
        <v>198780.77999999991</v>
      </c>
      <c r="I270" s="10">
        <v>201188.42000000016</v>
      </c>
      <c r="J270" s="10">
        <v>211175.94999999995</v>
      </c>
      <c r="K270" s="10">
        <v>204689.5</v>
      </c>
      <c r="L270" s="10">
        <v>213907.08000000007</v>
      </c>
      <c r="M270" s="10">
        <v>206850.84999999986</v>
      </c>
      <c r="N270" s="10">
        <v>210970.99000000022</v>
      </c>
      <c r="O270" s="10">
        <f t="shared" si="17"/>
        <v>2447670.7000000002</v>
      </c>
      <c r="Q270" s="10">
        <v>205823.94</v>
      </c>
      <c r="R270" s="10">
        <v>191045.96999999997</v>
      </c>
      <c r="S270" s="10">
        <v>234794.66999999998</v>
      </c>
      <c r="T270" s="10">
        <v>223336.21000000008</v>
      </c>
      <c r="U270" s="10">
        <v>223030.84999999986</v>
      </c>
      <c r="V270" s="10">
        <v>222673.89000000013</v>
      </c>
      <c r="W270" s="10">
        <v>211401.11999999988</v>
      </c>
      <c r="X270" s="10">
        <v>171380.4600000002</v>
      </c>
      <c r="Y270" s="10">
        <f t="shared" si="18"/>
        <v>1683487.11</v>
      </c>
    </row>
    <row r="271" spans="1:25" x14ac:dyDescent="0.35">
      <c r="A271" t="s">
        <v>31</v>
      </c>
      <c r="B271" s="10">
        <f t="shared" si="19"/>
        <v>5152166.6395725897</v>
      </c>
      <c r="C271" s="10">
        <f t="shared" si="19"/>
        <v>6730128.1898093512</v>
      </c>
      <c r="D271" s="10">
        <f t="shared" si="19"/>
        <v>7483160.7405488659</v>
      </c>
      <c r="E271" s="10">
        <f t="shared" si="19"/>
        <v>7412071.6013406683</v>
      </c>
      <c r="F271" s="10">
        <f t="shared" si="19"/>
        <v>7525668.2487285258</v>
      </c>
      <c r="G271" s="10">
        <v>34303195.420000002</v>
      </c>
      <c r="H271" s="10">
        <v>6484462.1700000018</v>
      </c>
      <c r="I271" s="10">
        <v>5939118.6900000051</v>
      </c>
      <c r="J271" s="10">
        <v>5776415.9199999943</v>
      </c>
      <c r="K271" s="10">
        <v>8279020.9800000042</v>
      </c>
      <c r="L271" s="10">
        <v>9473798.150000006</v>
      </c>
      <c r="M271" s="10">
        <v>9332886.7399999797</v>
      </c>
      <c r="N271" s="10">
        <v>7346746.8600000143</v>
      </c>
      <c r="O271" s="10">
        <f t="shared" si="17"/>
        <v>86935644.930000007</v>
      </c>
      <c r="Q271" s="10">
        <v>5695588.0699999994</v>
      </c>
      <c r="R271" s="10">
        <v>7439984.0900000008</v>
      </c>
      <c r="S271" s="10">
        <v>8272442.2600000016</v>
      </c>
      <c r="T271" s="10">
        <v>8193855.0399999954</v>
      </c>
      <c r="U271" s="10">
        <v>8319433.2200000025</v>
      </c>
      <c r="V271" s="10">
        <v>7580963.4699999988</v>
      </c>
      <c r="W271" s="10">
        <v>7822038.8400000036</v>
      </c>
      <c r="X271" s="10">
        <v>24372392.159999989</v>
      </c>
      <c r="Y271" s="10">
        <f t="shared" si="18"/>
        <v>77696697.149999991</v>
      </c>
    </row>
    <row r="272" spans="1:25" x14ac:dyDescent="0.35">
      <c r="A272" t="s">
        <v>32</v>
      </c>
      <c r="B272" s="10">
        <f t="shared" si="19"/>
        <v>179036.76765504989</v>
      </c>
      <c r="C272" s="10">
        <f t="shared" si="19"/>
        <v>153134.60817704827</v>
      </c>
      <c r="D272" s="10">
        <f t="shared" si="19"/>
        <v>189559.27725844886</v>
      </c>
      <c r="E272" s="10">
        <f t="shared" si="19"/>
        <v>126803.77255398071</v>
      </c>
      <c r="F272" s="10">
        <f t="shared" si="19"/>
        <v>239234.73435547232</v>
      </c>
      <c r="G272" s="10">
        <v>887769.16</v>
      </c>
      <c r="H272" s="10">
        <v>197088.92999999982</v>
      </c>
      <c r="I272" s="10">
        <v>158642.56000000006</v>
      </c>
      <c r="J272" s="10">
        <v>134308.35000000033</v>
      </c>
      <c r="K272" s="10">
        <v>126831.12999999966</v>
      </c>
      <c r="L272" s="10">
        <v>142793.89000000036</v>
      </c>
      <c r="M272" s="10">
        <v>102986.58999999985</v>
      </c>
      <c r="N272" s="10">
        <v>120095.26999999979</v>
      </c>
      <c r="O272" s="10">
        <f t="shared" si="17"/>
        <v>1870515.88</v>
      </c>
      <c r="Q272" s="10">
        <v>196191.28</v>
      </c>
      <c r="R272" s="10">
        <v>167807.28999999995</v>
      </c>
      <c r="S272" s="10">
        <v>207722.01000000013</v>
      </c>
      <c r="T272" s="10">
        <v>138953.54999999993</v>
      </c>
      <c r="U272" s="10">
        <v>262157.15000000014</v>
      </c>
      <c r="V272" s="10">
        <v>244552.03999999969</v>
      </c>
      <c r="W272" s="10">
        <v>138898.38000000012</v>
      </c>
      <c r="X272" s="10">
        <v>143937.19000000018</v>
      </c>
      <c r="Y272" s="10">
        <f t="shared" si="18"/>
        <v>1500218.8900000001</v>
      </c>
    </row>
    <row r="273" spans="1:25" x14ac:dyDescent="0.35">
      <c r="A273" t="s">
        <v>33</v>
      </c>
      <c r="B273" s="10">
        <f t="shared" si="19"/>
        <v>1985903.0861691039</v>
      </c>
      <c r="C273" s="10">
        <f t="shared" si="19"/>
        <v>1699989.107028638</v>
      </c>
      <c r="D273" s="10">
        <f t="shared" si="19"/>
        <v>1801658.3216477009</v>
      </c>
      <c r="E273" s="10">
        <f t="shared" si="19"/>
        <v>2087489.7266640933</v>
      </c>
      <c r="F273" s="10">
        <f t="shared" si="19"/>
        <v>2157312.3684904636</v>
      </c>
      <c r="G273" s="10">
        <v>9732352.6099999994</v>
      </c>
      <c r="H273" s="10">
        <v>1895846.120000001</v>
      </c>
      <c r="I273" s="10">
        <v>2070579.4399999995</v>
      </c>
      <c r="J273" s="10">
        <v>2074073.540000001</v>
      </c>
      <c r="K273" s="10">
        <v>1960381.4100000001</v>
      </c>
      <c r="L273" s="10">
        <v>2013419.8999999985</v>
      </c>
      <c r="M273" s="10">
        <v>1937790.129999999</v>
      </c>
      <c r="N273" s="10">
        <v>1859414.3500000015</v>
      </c>
      <c r="O273" s="10">
        <f t="shared" si="17"/>
        <v>23543857.5</v>
      </c>
      <c r="Q273" s="10">
        <v>1922071.55</v>
      </c>
      <c r="R273" s="10">
        <v>1645347.51</v>
      </c>
      <c r="S273" s="10">
        <v>1743748.8400000003</v>
      </c>
      <c r="T273" s="10">
        <v>2020392.96</v>
      </c>
      <c r="U273" s="10">
        <v>2087971.3399999989</v>
      </c>
      <c r="V273" s="10">
        <v>2103858.6800000016</v>
      </c>
      <c r="W273" s="10">
        <v>2160648.9499999993</v>
      </c>
      <c r="X273" s="10">
        <v>2060106.9299999997</v>
      </c>
      <c r="Y273" s="10">
        <f t="shared" si="18"/>
        <v>15744146.76</v>
      </c>
    </row>
    <row r="274" spans="1:25" x14ac:dyDescent="0.35">
      <c r="B274" s="10">
        <f t="shared" si="19"/>
        <v>0</v>
      </c>
      <c r="C274" s="10">
        <f t="shared" si="19"/>
        <v>0</v>
      </c>
      <c r="D274" s="10">
        <f t="shared" si="19"/>
        <v>0</v>
      </c>
      <c r="E274" s="10">
        <f t="shared" si="19"/>
        <v>0</v>
      </c>
      <c r="F274" s="10">
        <f t="shared" si="19"/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f t="shared" si="17"/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f t="shared" si="18"/>
        <v>0</v>
      </c>
    </row>
    <row r="275" spans="1:25" ht="15" thickBot="1" x14ac:dyDescent="0.4">
      <c r="A275" s="12" t="s">
        <v>34</v>
      </c>
      <c r="B275" s="13">
        <f t="shared" si="19"/>
        <v>4232631.3949679332</v>
      </c>
      <c r="C275" s="13">
        <f t="shared" si="19"/>
        <v>3854291.4230841785</v>
      </c>
      <c r="D275" s="13">
        <f t="shared" si="19"/>
        <v>4532924.2759575155</v>
      </c>
      <c r="E275" s="13">
        <f t="shared" si="19"/>
        <v>7510869.7685831077</v>
      </c>
      <c r="F275" s="13">
        <f t="shared" si="19"/>
        <v>5081578.4874072662</v>
      </c>
      <c r="G275" s="13">
        <v>25212295.350000001</v>
      </c>
      <c r="H275" s="13">
        <v>7430185.7899999842</v>
      </c>
      <c r="I275" s="13">
        <v>8524730.0099999905</v>
      </c>
      <c r="J275" s="13">
        <v>3527604.790000014</v>
      </c>
      <c r="K275" s="13">
        <v>4834847.8900000453</v>
      </c>
      <c r="L275" s="13">
        <v>4520753.2599999234</v>
      </c>
      <c r="M275" s="13">
        <v>5617153.0399999991</v>
      </c>
      <c r="N275" s="13">
        <v>-42590.240000069141</v>
      </c>
      <c r="O275" s="13">
        <f t="shared" si="17"/>
        <v>59624979.889999889</v>
      </c>
      <c r="P275" s="14"/>
      <c r="Q275" s="13">
        <v>4783874.9899999984</v>
      </c>
      <c r="R275" s="13">
        <v>4356261.3000000194</v>
      </c>
      <c r="S275" s="13">
        <v>5123276.9999999721</v>
      </c>
      <c r="T275" s="13">
        <v>8489060.0400000159</v>
      </c>
      <c r="U275" s="13">
        <v>5743386.079999961</v>
      </c>
      <c r="V275" s="13">
        <v>7409790.6800000817</v>
      </c>
      <c r="W275" s="13">
        <v>5522520.3799999207</v>
      </c>
      <c r="X275" s="13">
        <v>2612350.3000000641</v>
      </c>
      <c r="Y275" s="13">
        <f t="shared" si="18"/>
        <v>44040520.770000033</v>
      </c>
    </row>
    <row r="276" spans="1:25" ht="15" thickTop="1" x14ac:dyDescent="0.35">
      <c r="A276" t="s">
        <v>35</v>
      </c>
      <c r="B276" s="10">
        <f t="shared" si="19"/>
        <v>2164122.0590964206</v>
      </c>
      <c r="C276" s="10">
        <f t="shared" si="19"/>
        <v>2821037.4102917919</v>
      </c>
      <c r="D276" s="10">
        <f t="shared" si="19"/>
        <v>2922019.1636502519</v>
      </c>
      <c r="E276" s="10">
        <f t="shared" si="19"/>
        <v>2275243.9679180551</v>
      </c>
      <c r="F276" s="10">
        <f t="shared" si="19"/>
        <v>2547517.4690434802</v>
      </c>
      <c r="G276" s="10">
        <v>12729940.07</v>
      </c>
      <c r="H276" s="10">
        <v>2460752.4900000021</v>
      </c>
      <c r="I276" s="10">
        <v>2524720.34</v>
      </c>
      <c r="J276" s="10">
        <v>2829515.0599999987</v>
      </c>
      <c r="K276" s="10">
        <v>3145025.7899999991</v>
      </c>
      <c r="L276" s="10">
        <v>2619102.8500000015</v>
      </c>
      <c r="M276" s="10">
        <v>2231659.4500000067</v>
      </c>
      <c r="N276" s="10">
        <v>1943900.6999999993</v>
      </c>
      <c r="O276" s="10">
        <f t="shared" si="17"/>
        <v>30484616.750000007</v>
      </c>
      <c r="Q276" s="10">
        <v>2236957.2100000004</v>
      </c>
      <c r="R276" s="10">
        <v>2915981.5400000005</v>
      </c>
      <c r="S276" s="10">
        <v>3020361.910000002</v>
      </c>
      <c r="T276" s="10">
        <v>2351819.0099999988</v>
      </c>
      <c r="U276" s="10">
        <v>2633256.0799999982</v>
      </c>
      <c r="V276" s="10">
        <v>2536409.6800000034</v>
      </c>
      <c r="W276" s="10">
        <v>2659993.2199999951</v>
      </c>
      <c r="X276" s="10">
        <v>4337962.5600000024</v>
      </c>
      <c r="Y276" s="10">
        <f t="shared" si="18"/>
        <v>22692741.210000001</v>
      </c>
    </row>
    <row r="277" spans="1:25" x14ac:dyDescent="0.35">
      <c r="A277" t="s">
        <v>36</v>
      </c>
      <c r="B277" s="10">
        <f t="shared" si="19"/>
        <v>2691611.3147940249</v>
      </c>
      <c r="C277" s="10">
        <f t="shared" si="19"/>
        <v>3336301.5291691944</v>
      </c>
      <c r="D277" s="10">
        <f t="shared" si="19"/>
        <v>3494686.3806271753</v>
      </c>
      <c r="E277" s="10">
        <f t="shared" si="19"/>
        <v>2904299.6939436365</v>
      </c>
      <c r="F277" s="10">
        <f t="shared" si="19"/>
        <v>3116417.2914659693</v>
      </c>
      <c r="G277" s="10">
        <v>15543316.210000001</v>
      </c>
      <c r="H277" s="10">
        <v>3078363.9900000021</v>
      </c>
      <c r="I277" s="10">
        <v>3151477.5700000003</v>
      </c>
      <c r="J277" s="10">
        <v>3864854.6199999973</v>
      </c>
      <c r="K277" s="10">
        <v>3294398.3099999987</v>
      </c>
      <c r="L277" s="10">
        <v>3150329.84</v>
      </c>
      <c r="M277" s="10">
        <v>2787835.0000000075</v>
      </c>
      <c r="N277" s="10">
        <v>2441937.1999999955</v>
      </c>
      <c r="O277" s="10">
        <f t="shared" si="17"/>
        <v>37312512.740000002</v>
      </c>
      <c r="Q277" s="10">
        <v>2813739.2000000007</v>
      </c>
      <c r="R277" s="10">
        <v>3487681.28</v>
      </c>
      <c r="S277" s="10">
        <v>3653252.6100000013</v>
      </c>
      <c r="T277" s="10">
        <v>3036078</v>
      </c>
      <c r="U277" s="10">
        <v>3257820.1199999992</v>
      </c>
      <c r="V277" s="10">
        <v>3081747.6400000006</v>
      </c>
      <c r="W277" s="10">
        <v>3251706.6099999994</v>
      </c>
      <c r="X277" s="10">
        <v>4812162.8599999994</v>
      </c>
      <c r="Y277" s="10">
        <f t="shared" si="18"/>
        <v>27394188.32</v>
      </c>
    </row>
    <row r="278" spans="1:25" x14ac:dyDescent="0.35">
      <c r="A278" t="s">
        <v>37</v>
      </c>
      <c r="B278" s="10">
        <f t="shared" si="19"/>
        <v>525113.93199953728</v>
      </c>
      <c r="C278" s="10">
        <f t="shared" si="19"/>
        <v>520486.94931426883</v>
      </c>
      <c r="D278" s="10">
        <f t="shared" si="19"/>
        <v>576196.43082638469</v>
      </c>
      <c r="E278" s="10">
        <f t="shared" si="19"/>
        <v>622963.15587962803</v>
      </c>
      <c r="F278" s="10">
        <f t="shared" si="19"/>
        <v>568615.67198018148</v>
      </c>
      <c r="G278" s="10">
        <v>2813376.14</v>
      </c>
      <c r="H278" s="10">
        <v>617611.5</v>
      </c>
      <c r="I278" s="10">
        <v>626757.22999999952</v>
      </c>
      <c r="J278" s="10">
        <v>1035339.56</v>
      </c>
      <c r="K278" s="10">
        <v>149372.52000000048</v>
      </c>
      <c r="L278" s="10">
        <v>531226.98999999929</v>
      </c>
      <c r="M278" s="10">
        <v>556175.54999999981</v>
      </c>
      <c r="N278" s="10">
        <v>498036.5</v>
      </c>
      <c r="O278" s="10">
        <f t="shared" si="17"/>
        <v>6827895.9899999993</v>
      </c>
      <c r="Q278" s="10">
        <v>576781.99</v>
      </c>
      <c r="R278" s="10">
        <v>571699.74</v>
      </c>
      <c r="S278" s="10">
        <v>632890.69999999995</v>
      </c>
      <c r="T278" s="10">
        <v>684258.99</v>
      </c>
      <c r="U278" s="10">
        <v>624564.04</v>
      </c>
      <c r="V278" s="10">
        <v>545337.96</v>
      </c>
      <c r="W278" s="10">
        <v>591713.38999999873</v>
      </c>
      <c r="X278" s="10">
        <v>474200.30000000075</v>
      </c>
      <c r="Y278" s="10">
        <f t="shared" si="18"/>
        <v>4701447.1099999994</v>
      </c>
    </row>
    <row r="279" spans="1:25" x14ac:dyDescent="0.35">
      <c r="B279" s="10">
        <f t="shared" si="19"/>
        <v>0</v>
      </c>
      <c r="C279" s="10">
        <f t="shared" si="19"/>
        <v>0</v>
      </c>
      <c r="D279" s="10">
        <f t="shared" si="19"/>
        <v>0</v>
      </c>
      <c r="E279" s="10">
        <f t="shared" si="19"/>
        <v>0</v>
      </c>
      <c r="F279" s="10">
        <f t="shared" si="19"/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f t="shared" si="17"/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f t="shared" si="18"/>
        <v>0</v>
      </c>
    </row>
    <row r="280" spans="1:25" ht="15" thickBot="1" x14ac:dyDescent="0.4">
      <c r="A280" s="12" t="s">
        <v>38</v>
      </c>
      <c r="B280" s="13">
        <f t="shared" si="19"/>
        <v>6395173.6757016154</v>
      </c>
      <c r="C280" s="13">
        <f t="shared" si="19"/>
        <v>6624179.9616970895</v>
      </c>
      <c r="D280" s="13">
        <f t="shared" si="19"/>
        <v>7417921.935472439</v>
      </c>
      <c r="E280" s="13">
        <f t="shared" si="19"/>
        <v>9874798.6488019545</v>
      </c>
      <c r="F280" s="13">
        <f t="shared" si="19"/>
        <v>7630161.1983268969</v>
      </c>
      <c r="G280" s="13">
        <v>37942235.419999994</v>
      </c>
      <c r="H280" s="13">
        <v>9890938.2799999937</v>
      </c>
      <c r="I280" s="13">
        <v>11049450.349999987</v>
      </c>
      <c r="J280" s="13">
        <v>6357119.8500000164</v>
      </c>
      <c r="K280" s="13">
        <v>7979873.680000037</v>
      </c>
      <c r="L280" s="13">
        <v>7139856.1099999249</v>
      </c>
      <c r="M280" s="13">
        <v>7848812.4900000095</v>
      </c>
      <c r="N280" s="13">
        <v>1901310.4599999189</v>
      </c>
      <c r="O280" s="13">
        <f t="shared" si="17"/>
        <v>90109596.639999896</v>
      </c>
      <c r="P280" s="14"/>
      <c r="Q280" s="13">
        <v>7020832.1999999993</v>
      </c>
      <c r="R280" s="13">
        <v>7272242.8400000203</v>
      </c>
      <c r="S280" s="13">
        <v>8143638.9099999722</v>
      </c>
      <c r="T280" s="13">
        <v>10840879.050000016</v>
      </c>
      <c r="U280" s="13">
        <v>8376642.1599999592</v>
      </c>
      <c r="V280" s="13">
        <v>9946200.3600000814</v>
      </c>
      <c r="W280" s="13">
        <v>8182513.5999999195</v>
      </c>
      <c r="X280" s="13">
        <v>6950312.8600000739</v>
      </c>
      <c r="Y280" s="13">
        <f t="shared" si="18"/>
        <v>66733261.980000041</v>
      </c>
    </row>
    <row r="281" spans="1:25" ht="15" thickTop="1" x14ac:dyDescent="0.35">
      <c r="A281" t="s">
        <v>39</v>
      </c>
      <c r="B281" s="10">
        <f t="shared" si="19"/>
        <v>441.74170901722198</v>
      </c>
      <c r="C281" s="10">
        <f t="shared" si="19"/>
        <v>157688.77747460638</v>
      </c>
      <c r="D281" s="10">
        <f t="shared" si="19"/>
        <v>164583.37083924797</v>
      </c>
      <c r="E281" s="10">
        <f t="shared" si="19"/>
        <v>1.4276717547337592</v>
      </c>
      <c r="F281" s="10">
        <f t="shared" si="19"/>
        <v>58807.372305373683</v>
      </c>
      <c r="G281" s="10">
        <v>381522.69</v>
      </c>
      <c r="H281" s="10">
        <v>106388.09000000003</v>
      </c>
      <c r="I281" s="10">
        <v>164108.20999999996</v>
      </c>
      <c r="J281" s="10">
        <v>0</v>
      </c>
      <c r="K281" s="10">
        <v>0</v>
      </c>
      <c r="L281" s="10">
        <v>280998.66000000003</v>
      </c>
      <c r="M281" s="10">
        <v>529.77000000001863</v>
      </c>
      <c r="N281" s="10">
        <v>452366.09999999974</v>
      </c>
      <c r="O281" s="10">
        <f t="shared" si="17"/>
        <v>1385913.5199999998</v>
      </c>
      <c r="Q281" s="10">
        <v>4050.23</v>
      </c>
      <c r="R281" s="10">
        <v>1445812.8</v>
      </c>
      <c r="S281" s="10">
        <v>1509027.7699999998</v>
      </c>
      <c r="T281" s="10">
        <v>13.09000000031665</v>
      </c>
      <c r="U281" s="10">
        <v>539191.52</v>
      </c>
      <c r="V281" s="10">
        <v>39209.379999999888</v>
      </c>
      <c r="W281" s="10">
        <v>833146.6799999997</v>
      </c>
      <c r="X281" s="10">
        <v>45744.310000000522</v>
      </c>
      <c r="Y281" s="10">
        <f t="shared" si="18"/>
        <v>4416195.78</v>
      </c>
    </row>
    <row r="282" spans="1:25" x14ac:dyDescent="0.35">
      <c r="A282" t="s">
        <v>40</v>
      </c>
      <c r="B282" s="10">
        <f t="shared" si="19"/>
        <v>4231.1000000000004</v>
      </c>
      <c r="C282" s="10">
        <f t="shared" si="19"/>
        <v>4231.1000000000004</v>
      </c>
      <c r="D282" s="10">
        <f t="shared" si="19"/>
        <v>4231.1000000000004</v>
      </c>
      <c r="E282" s="10">
        <f t="shared" si="19"/>
        <v>4231.1000000000004</v>
      </c>
      <c r="F282" s="10">
        <f t="shared" si="19"/>
        <v>4231.1000000000004</v>
      </c>
      <c r="G282" s="10">
        <v>21155.5</v>
      </c>
      <c r="H282" s="10">
        <v>0</v>
      </c>
      <c r="I282" s="10">
        <v>56929.03</v>
      </c>
      <c r="J282" s="10">
        <v>-78084.53</v>
      </c>
      <c r="K282" s="10">
        <v>518449.88999999996</v>
      </c>
      <c r="L282" s="10">
        <v>0</v>
      </c>
      <c r="M282" s="10">
        <v>4293.7600000000675</v>
      </c>
      <c r="N282" s="10">
        <v>39089</v>
      </c>
      <c r="O282" s="10">
        <f t="shared" si="17"/>
        <v>561832.65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99268.66</v>
      </c>
      <c r="X282" s="10">
        <v>0</v>
      </c>
      <c r="Y282" s="10">
        <f t="shared" si="18"/>
        <v>99268.66</v>
      </c>
    </row>
    <row r="283" spans="1:25" x14ac:dyDescent="0.35">
      <c r="B283" s="10">
        <f t="shared" si="19"/>
        <v>0</v>
      </c>
      <c r="C283" s="10">
        <f t="shared" si="19"/>
        <v>0</v>
      </c>
      <c r="D283" s="10">
        <f t="shared" si="19"/>
        <v>0</v>
      </c>
      <c r="E283" s="10">
        <f t="shared" si="19"/>
        <v>0</v>
      </c>
      <c r="F283" s="10">
        <f t="shared" si="19"/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f t="shared" si="17"/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f t="shared" si="18"/>
        <v>0</v>
      </c>
    </row>
    <row r="284" spans="1:25" ht="15" thickBot="1" x14ac:dyDescent="0.4">
      <c r="A284" s="12" t="s">
        <v>41</v>
      </c>
      <c r="B284" s="13">
        <f t="shared" si="19"/>
        <v>5959189.186948345</v>
      </c>
      <c r="C284" s="13">
        <f t="shared" si="19"/>
        <v>7395503.5431250883</v>
      </c>
      <c r="D284" s="13">
        <f t="shared" si="19"/>
        <v>8188331.6166292643</v>
      </c>
      <c r="E284" s="13">
        <f t="shared" si="19"/>
        <v>9196300.1318957899</v>
      </c>
      <c r="F284" s="13">
        <f t="shared" si="19"/>
        <v>7563278.1314015035</v>
      </c>
      <c r="G284" s="13">
        <v>38302602.609999992</v>
      </c>
      <c r="H284" s="13">
        <v>9997326.3699999899</v>
      </c>
      <c r="I284" s="13">
        <v>11156629.529999994</v>
      </c>
      <c r="J284" s="13">
        <v>6435204.380000025</v>
      </c>
      <c r="K284" s="13">
        <v>7461423.7900000215</v>
      </c>
      <c r="L284" s="13">
        <v>7420854.7699999213</v>
      </c>
      <c r="M284" s="13">
        <v>7845048.5000000149</v>
      </c>
      <c r="N284" s="13">
        <v>2314587.5599999279</v>
      </c>
      <c r="O284" s="13">
        <f t="shared" si="17"/>
        <v>90933677.509999886</v>
      </c>
      <c r="P284" s="14"/>
      <c r="Q284" s="13">
        <v>7024882.4299999988</v>
      </c>
      <c r="R284" s="13">
        <v>8718055.6400000229</v>
      </c>
      <c r="S284" s="13">
        <v>9652666.6799999699</v>
      </c>
      <c r="T284" s="13">
        <v>10840892.140000015</v>
      </c>
      <c r="U284" s="13">
        <v>8915833.6799999624</v>
      </c>
      <c r="V284" s="13">
        <v>9985409.740000084</v>
      </c>
      <c r="W284" s="13">
        <v>8916391.6199999154</v>
      </c>
      <c r="X284" s="13">
        <v>6996057.1700000688</v>
      </c>
      <c r="Y284" s="13">
        <f t="shared" si="18"/>
        <v>71050189.100000039</v>
      </c>
    </row>
    <row r="285" spans="1:25" ht="15" thickTop="1" x14ac:dyDescent="0.35">
      <c r="A285" t="s">
        <v>42</v>
      </c>
      <c r="B285" s="10">
        <f t="shared" si="19"/>
        <v>1072178.482567539</v>
      </c>
      <c r="C285" s="10">
        <f t="shared" si="19"/>
        <v>1466316.9869867596</v>
      </c>
      <c r="D285" s="10">
        <f t="shared" si="19"/>
        <v>1654047.9717058304</v>
      </c>
      <c r="E285" s="10">
        <f t="shared" si="19"/>
        <v>1838480.0892675437</v>
      </c>
      <c r="F285" s="10">
        <f t="shared" si="19"/>
        <v>1435928.0694723269</v>
      </c>
      <c r="G285" s="10">
        <v>7466951.5999999996</v>
      </c>
      <c r="H285" s="10">
        <v>2094658.9700000007</v>
      </c>
      <c r="I285" s="10">
        <v>2343455.4699999988</v>
      </c>
      <c r="J285" s="10">
        <v>1261128.8900000006</v>
      </c>
      <c r="K285" s="10">
        <v>1433462.6400000006</v>
      </c>
      <c r="L285" s="10">
        <v>1411798.4000000004</v>
      </c>
      <c r="M285" s="10">
        <v>1533575.7299999986</v>
      </c>
      <c r="N285" s="10">
        <v>470502.41000000015</v>
      </c>
      <c r="O285" s="10">
        <f t="shared" si="17"/>
        <v>18015534.109999999</v>
      </c>
      <c r="Q285" s="10">
        <v>1330559.1499999999</v>
      </c>
      <c r="R285" s="10">
        <v>1819679.7600000002</v>
      </c>
      <c r="S285" s="10">
        <v>2052651.3999999994</v>
      </c>
      <c r="T285" s="10">
        <v>2281529.1900000004</v>
      </c>
      <c r="U285" s="10">
        <v>1781967.5199999996</v>
      </c>
      <c r="V285" s="10">
        <v>2047445.0700000003</v>
      </c>
      <c r="W285" s="10">
        <v>1771474.1799999997</v>
      </c>
      <c r="X285" s="10">
        <v>1288536.2400000002</v>
      </c>
      <c r="Y285" s="10">
        <f t="shared" si="18"/>
        <v>14373842.51</v>
      </c>
    </row>
    <row r="286" spans="1:25" ht="15" thickBot="1" x14ac:dyDescent="0.4">
      <c r="A286" s="12" t="s">
        <v>43</v>
      </c>
      <c r="B286" s="13">
        <f t="shared" si="19"/>
        <v>4892951.0563251888</v>
      </c>
      <c r="C286" s="13">
        <f t="shared" si="19"/>
        <v>5927555.1965104304</v>
      </c>
      <c r="D286" s="13">
        <f t="shared" si="19"/>
        <v>6530451.6382082636</v>
      </c>
      <c r="E286" s="13">
        <f t="shared" si="19"/>
        <v>7354788.6075890772</v>
      </c>
      <c r="F286" s="13">
        <f t="shared" si="19"/>
        <v>6129904.5113670342</v>
      </c>
      <c r="G286" s="13">
        <v>30835651.009999994</v>
      </c>
      <c r="H286" s="13">
        <v>7902667.3999999873</v>
      </c>
      <c r="I286" s="13">
        <v>8813174.0599999949</v>
      </c>
      <c r="J286" s="13">
        <v>5174075.4900000244</v>
      </c>
      <c r="K286" s="13">
        <v>6027961.1500000283</v>
      </c>
      <c r="L286" s="13">
        <v>6009056.3699999154</v>
      </c>
      <c r="M286" s="13">
        <v>6311472.7700000256</v>
      </c>
      <c r="N286" s="13">
        <v>1844085.1499999166</v>
      </c>
      <c r="O286" s="13">
        <f t="shared" si="17"/>
        <v>72918143.399999887</v>
      </c>
      <c r="P286" s="14"/>
      <c r="Q286" s="13">
        <v>5694323.2799999984</v>
      </c>
      <c r="R286" s="13">
        <v>6898375.8800000222</v>
      </c>
      <c r="S286" s="13">
        <v>7600015.2799999733</v>
      </c>
      <c r="T286" s="13">
        <v>8559362.9500000142</v>
      </c>
      <c r="U286" s="13">
        <v>7133866.1599999592</v>
      </c>
      <c r="V286" s="13">
        <v>7937964.6700000912</v>
      </c>
      <c r="W286" s="13">
        <v>7144917.4399999082</v>
      </c>
      <c r="X286" s="13">
        <v>5707520.9300000668</v>
      </c>
      <c r="Y286" s="13">
        <f t="shared" si="18"/>
        <v>56676346.590000033</v>
      </c>
    </row>
    <row r="287" spans="1:25" ht="15" thickTop="1" x14ac:dyDescent="0.35"/>
    <row r="288" spans="1:25" x14ac:dyDescent="0.35">
      <c r="A288" s="15"/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Q288" s="16"/>
      <c r="R288" s="15"/>
      <c r="S288" s="15"/>
      <c r="T288" s="15"/>
      <c r="U288" s="15"/>
      <c r="V288" s="15"/>
      <c r="W288" s="15"/>
      <c r="X288" s="15"/>
      <c r="Y288" s="15"/>
    </row>
    <row r="289" spans="1:25" x14ac:dyDescent="0.35">
      <c r="A289" s="15"/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Q289" s="16"/>
      <c r="R289" s="15"/>
      <c r="S289" s="15"/>
      <c r="T289" s="15"/>
      <c r="U289" s="15"/>
      <c r="V289" s="15"/>
      <c r="W289" s="15"/>
      <c r="X289" s="15"/>
      <c r="Y289" s="15"/>
    </row>
    <row r="291" spans="1:25" ht="23.5" x14ac:dyDescent="0.35">
      <c r="A291" s="1" t="s">
        <v>48</v>
      </c>
      <c r="B291" s="2"/>
      <c r="C291" s="2"/>
      <c r="D291" s="2"/>
      <c r="E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4"/>
      <c r="Q291" s="3"/>
      <c r="R291" s="5"/>
      <c r="S291" s="5"/>
      <c r="T291" s="5"/>
      <c r="U291" s="5"/>
      <c r="V291" s="5"/>
      <c r="W291" s="5"/>
      <c r="X291" s="5"/>
      <c r="Y291" s="5"/>
    </row>
    <row r="292" spans="1:25" ht="23.5" x14ac:dyDescent="0.35">
      <c r="A292" s="1"/>
      <c r="B292" s="2"/>
      <c r="C292" s="2"/>
      <c r="D292" s="2"/>
      <c r="E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4"/>
      <c r="Q292" s="3"/>
      <c r="R292" s="5"/>
      <c r="S292" s="5"/>
      <c r="T292" s="5"/>
      <c r="U292" s="5"/>
      <c r="V292" s="5"/>
      <c r="W292" s="5"/>
      <c r="X292" s="5"/>
      <c r="Y292" s="5"/>
    </row>
    <row r="294" spans="1:25" s="9" customFormat="1" x14ac:dyDescent="0.35">
      <c r="A294" s="6" t="s">
        <v>1</v>
      </c>
      <c r="B294" s="7">
        <v>45658</v>
      </c>
      <c r="C294" s="7">
        <v>45689</v>
      </c>
      <c r="D294" s="7">
        <v>45717</v>
      </c>
      <c r="E294" s="7">
        <v>45748</v>
      </c>
      <c r="F294" s="7">
        <v>45778</v>
      </c>
      <c r="G294" s="7" t="s">
        <v>2</v>
      </c>
      <c r="H294" s="7">
        <v>45809</v>
      </c>
      <c r="I294" s="7">
        <v>45839</v>
      </c>
      <c r="J294" s="7">
        <v>45870</v>
      </c>
      <c r="K294" s="7">
        <v>45901</v>
      </c>
      <c r="L294" s="7">
        <v>45931</v>
      </c>
      <c r="M294" s="7">
        <v>45962</v>
      </c>
      <c r="N294" s="7">
        <v>45992</v>
      </c>
      <c r="O294" s="7" t="s">
        <v>3</v>
      </c>
      <c r="P294" s="8"/>
      <c r="Q294" s="7">
        <v>46023</v>
      </c>
      <c r="R294" s="7">
        <v>46054</v>
      </c>
      <c r="S294" s="7">
        <v>46082</v>
      </c>
      <c r="T294" s="7">
        <v>46113</v>
      </c>
      <c r="U294" s="7">
        <v>46143</v>
      </c>
      <c r="V294" s="7">
        <v>46174</v>
      </c>
      <c r="W294" s="7">
        <v>46204</v>
      </c>
      <c r="X294" s="7">
        <v>46235</v>
      </c>
      <c r="Y294" s="7" t="s">
        <v>3</v>
      </c>
    </row>
    <row r="295" spans="1:25" x14ac:dyDescent="0.35">
      <c r="A295" t="s">
        <v>4</v>
      </c>
      <c r="B295" s="10">
        <f t="shared" ref="B295:F326" si="20">IF(OR(SUM($Q295:$U295)=0,COUNTIF($Q295:$U295,"&lt;0")*COUNTIF($Q295:$U295,"&gt;0")&gt;0),$G295/5,$G295*Q295/SUM($Q295:$U295))</f>
        <v>0</v>
      </c>
      <c r="C295" s="10">
        <f t="shared" si="20"/>
        <v>0</v>
      </c>
      <c r="D295" s="10">
        <f t="shared" si="20"/>
        <v>0</v>
      </c>
      <c r="E295" s="10">
        <f t="shared" si="20"/>
        <v>0</v>
      </c>
      <c r="F295" s="10">
        <f t="shared" si="20"/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f t="shared" ref="O295:O344" si="21">SUM(B295:F295,H295:N295)</f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f t="shared" ref="Y295:Y344" si="22">SUM(Q295:X295)</f>
        <v>0</v>
      </c>
    </row>
    <row r="296" spans="1:25" x14ac:dyDescent="0.35">
      <c r="A296" t="s">
        <v>5</v>
      </c>
      <c r="B296" s="10">
        <f t="shared" si="20"/>
        <v>115008288.88099438</v>
      </c>
      <c r="C296" s="10">
        <f t="shared" si="20"/>
        <v>92091009.077430934</v>
      </c>
      <c r="D296" s="10">
        <f t="shared" si="20"/>
        <v>105343979.24930429</v>
      </c>
      <c r="E296" s="10">
        <f t="shared" si="20"/>
        <v>112081842.5187977</v>
      </c>
      <c r="F296" s="10">
        <f t="shared" si="20"/>
        <v>90471057.173472658</v>
      </c>
      <c r="G296" s="10">
        <v>514996176.89999998</v>
      </c>
      <c r="H296" s="10">
        <v>103379013.6500001</v>
      </c>
      <c r="I296" s="10">
        <v>81861641.799999952</v>
      </c>
      <c r="J296" s="10">
        <v>76218998.009999871</v>
      </c>
      <c r="K296" s="10">
        <v>76869619.190000176</v>
      </c>
      <c r="L296" s="10">
        <v>68884351.409999967</v>
      </c>
      <c r="M296" s="10">
        <v>129619716.92999995</v>
      </c>
      <c r="N296" s="10">
        <v>164602829.07000005</v>
      </c>
      <c r="O296" s="10">
        <f t="shared" si="21"/>
        <v>1216432346.96</v>
      </c>
      <c r="Q296" s="10">
        <v>119624949.95999999</v>
      </c>
      <c r="R296" s="10">
        <v>95787725.040000007</v>
      </c>
      <c r="S296" s="10">
        <v>109572695.75</v>
      </c>
      <c r="T296" s="10">
        <v>116581030.22999996</v>
      </c>
      <c r="U296" s="10">
        <v>94102745.050000012</v>
      </c>
      <c r="V296" s="10">
        <v>107879711.75</v>
      </c>
      <c r="W296" s="10">
        <v>97361770.389999986</v>
      </c>
      <c r="X296" s="10">
        <v>100184286.22000003</v>
      </c>
      <c r="Y296" s="10">
        <f t="shared" si="22"/>
        <v>841094914.38999999</v>
      </c>
    </row>
    <row r="297" spans="1:25" x14ac:dyDescent="0.35">
      <c r="A297" t="s">
        <v>6</v>
      </c>
      <c r="B297" s="10">
        <f t="shared" si="20"/>
        <v>2426645.1599999997</v>
      </c>
      <c r="C297" s="10">
        <f t="shared" si="20"/>
        <v>2426645.1599999997</v>
      </c>
      <c r="D297" s="10">
        <f t="shared" si="20"/>
        <v>2426645.1599999997</v>
      </c>
      <c r="E297" s="10">
        <f t="shared" si="20"/>
        <v>2426645.1599999997</v>
      </c>
      <c r="F297" s="10">
        <f t="shared" si="20"/>
        <v>2426645.1599999997</v>
      </c>
      <c r="G297" s="10">
        <v>12133225.799999999</v>
      </c>
      <c r="H297" s="10">
        <v>1445973.160000002</v>
      </c>
      <c r="I297" s="10">
        <v>3531118.41</v>
      </c>
      <c r="J297" s="10">
        <v>1400453.2899999991</v>
      </c>
      <c r="K297" s="10">
        <v>-2020026.4999999981</v>
      </c>
      <c r="L297" s="10">
        <v>4282508.8599999938</v>
      </c>
      <c r="M297" s="10">
        <v>-3088928.679999996</v>
      </c>
      <c r="N297" s="10">
        <v>3862036.2100000009</v>
      </c>
      <c r="O297" s="10">
        <f t="shared" si="21"/>
        <v>21546360.550000001</v>
      </c>
      <c r="Q297" s="10">
        <v>8332797.2300000004</v>
      </c>
      <c r="R297" s="10">
        <v>642305.74000000022</v>
      </c>
      <c r="S297" s="10">
        <v>1441718</v>
      </c>
      <c r="T297" s="10">
        <v>-894707.11000000127</v>
      </c>
      <c r="U297" s="10">
        <v>3159856.6700000018</v>
      </c>
      <c r="V297" s="10">
        <v>1605636.2899999954</v>
      </c>
      <c r="W297" s="10">
        <v>196136.30000000261</v>
      </c>
      <c r="X297" s="10">
        <v>1788958.4299999997</v>
      </c>
      <c r="Y297" s="10">
        <f t="shared" si="22"/>
        <v>16272701.549999999</v>
      </c>
    </row>
    <row r="298" spans="1:25" ht="15" thickBot="1" x14ac:dyDescent="0.4">
      <c r="A298" s="12" t="s">
        <v>7</v>
      </c>
      <c r="B298" s="13">
        <f t="shared" si="20"/>
        <v>107009699.23894382</v>
      </c>
      <c r="C298" s="13">
        <f t="shared" si="20"/>
        <v>91484282.166389152</v>
      </c>
      <c r="D298" s="13">
        <f t="shared" si="20"/>
        <v>103970164.32517366</v>
      </c>
      <c r="E298" s="13">
        <f t="shared" si="20"/>
        <v>112955343.32168512</v>
      </c>
      <c r="F298" s="13">
        <f t="shared" si="20"/>
        <v>87443462.04780823</v>
      </c>
      <c r="G298" s="13">
        <v>502862951.09999996</v>
      </c>
      <c r="H298" s="13">
        <v>101933040.49000019</v>
      </c>
      <c r="I298" s="13">
        <v>78330523.389999986</v>
      </c>
      <c r="J298" s="13">
        <v>74818544.719999671</v>
      </c>
      <c r="K298" s="13">
        <v>78889645.690000176</v>
      </c>
      <c r="L298" s="13">
        <v>64601842.550000072</v>
      </c>
      <c r="M298" s="13">
        <v>132708645.6099999</v>
      </c>
      <c r="N298" s="13">
        <v>160740792.8599999</v>
      </c>
      <c r="O298" s="13">
        <f t="shared" si="21"/>
        <v>1194885986.4099998</v>
      </c>
      <c r="P298" s="14"/>
      <c r="Q298" s="13">
        <v>111292152.73</v>
      </c>
      <c r="R298" s="13">
        <v>95145419.299999967</v>
      </c>
      <c r="S298" s="13">
        <v>108130977.75</v>
      </c>
      <c r="T298" s="13">
        <v>117475737.34000003</v>
      </c>
      <c r="U298" s="13">
        <v>90942888.379999936</v>
      </c>
      <c r="V298" s="13">
        <v>106274075.45999998</v>
      </c>
      <c r="W298" s="13">
        <v>97165634.090000033</v>
      </c>
      <c r="X298" s="13">
        <v>98395327.789999962</v>
      </c>
      <c r="Y298" s="13">
        <f t="shared" si="22"/>
        <v>824822212.83999991</v>
      </c>
    </row>
    <row r="299" spans="1:25" ht="15" thickTop="1" x14ac:dyDescent="0.35">
      <c r="B299" s="10">
        <f t="shared" si="20"/>
        <v>0</v>
      </c>
      <c r="C299" s="10">
        <f t="shared" si="20"/>
        <v>0</v>
      </c>
      <c r="D299" s="10">
        <f t="shared" si="20"/>
        <v>0</v>
      </c>
      <c r="E299" s="10">
        <f t="shared" si="20"/>
        <v>0</v>
      </c>
      <c r="F299" s="10">
        <f t="shared" si="20"/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f t="shared" si="21"/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f t="shared" si="22"/>
        <v>0</v>
      </c>
    </row>
    <row r="300" spans="1:25" x14ac:dyDescent="0.35">
      <c r="A300" t="s">
        <v>4</v>
      </c>
      <c r="B300" s="10">
        <f t="shared" si="20"/>
        <v>40269.690903326977</v>
      </c>
      <c r="C300" s="10">
        <f t="shared" si="20"/>
        <v>12838.546864431766</v>
      </c>
      <c r="D300" s="10">
        <f t="shared" si="20"/>
        <v>175014.56905914092</v>
      </c>
      <c r="E300" s="10">
        <f t="shared" si="20"/>
        <v>7532.6231731003209</v>
      </c>
      <c r="F300" s="10">
        <f t="shared" si="20"/>
        <v>0</v>
      </c>
      <c r="G300" s="10">
        <v>235655.43</v>
      </c>
      <c r="H300" s="10">
        <v>569.5800000000163</v>
      </c>
      <c r="I300" s="10">
        <v>-394.86999999999534</v>
      </c>
      <c r="J300" s="10">
        <v>-24522.139999999985</v>
      </c>
      <c r="K300" s="10">
        <v>-46397.290000000037</v>
      </c>
      <c r="L300" s="10">
        <v>1118769.52</v>
      </c>
      <c r="M300" s="10">
        <v>169585.95999999973</v>
      </c>
      <c r="N300" s="10">
        <v>112066.51000000024</v>
      </c>
      <c r="O300" s="10">
        <f t="shared" si="21"/>
        <v>1565332.7</v>
      </c>
      <c r="Q300" s="10">
        <v>160829.41</v>
      </c>
      <c r="R300" s="10">
        <v>51274.69</v>
      </c>
      <c r="S300" s="10">
        <v>698974.57000000007</v>
      </c>
      <c r="T300" s="10">
        <v>30083.849999999977</v>
      </c>
      <c r="U300" s="10">
        <v>0</v>
      </c>
      <c r="V300" s="10">
        <v>5889.8699999999953</v>
      </c>
      <c r="W300" s="10">
        <v>-2287.4500000000698</v>
      </c>
      <c r="X300" s="10">
        <v>0</v>
      </c>
      <c r="Y300" s="10">
        <f t="shared" si="22"/>
        <v>944764.94</v>
      </c>
    </row>
    <row r="301" spans="1:25" x14ac:dyDescent="0.35">
      <c r="A301" t="s">
        <v>8</v>
      </c>
      <c r="B301" s="10">
        <f t="shared" si="20"/>
        <v>924.75</v>
      </c>
      <c r="C301" s="10">
        <f t="shared" si="20"/>
        <v>924.75</v>
      </c>
      <c r="D301" s="10">
        <f t="shared" si="20"/>
        <v>924.75</v>
      </c>
      <c r="E301" s="10">
        <f t="shared" si="20"/>
        <v>924.75</v>
      </c>
      <c r="F301" s="10">
        <f t="shared" si="20"/>
        <v>924.75</v>
      </c>
      <c r="G301" s="10">
        <v>4623.75</v>
      </c>
      <c r="H301" s="10">
        <v>1206.4700000000003</v>
      </c>
      <c r="I301" s="10">
        <v>494.02999999999975</v>
      </c>
      <c r="J301" s="10">
        <v>-1206.4700000000003</v>
      </c>
      <c r="K301" s="10">
        <v>-494.02999999999975</v>
      </c>
      <c r="L301" s="10">
        <v>0</v>
      </c>
      <c r="M301" s="10">
        <v>0</v>
      </c>
      <c r="N301" s="10">
        <v>105929.69</v>
      </c>
      <c r="O301" s="10">
        <f t="shared" si="21"/>
        <v>110553.44</v>
      </c>
      <c r="Q301" s="10">
        <v>0</v>
      </c>
      <c r="R301" s="10">
        <v>-567499.37</v>
      </c>
      <c r="S301" s="10">
        <v>567499.37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f t="shared" si="22"/>
        <v>0</v>
      </c>
    </row>
    <row r="302" spans="1:25" x14ac:dyDescent="0.35">
      <c r="A302" t="s">
        <v>9</v>
      </c>
      <c r="B302" s="10">
        <f t="shared" si="20"/>
        <v>39479.567020697767</v>
      </c>
      <c r="C302" s="10">
        <f t="shared" si="20"/>
        <v>151893.43772659029</v>
      </c>
      <c r="D302" s="10">
        <f t="shared" si="20"/>
        <v>32273.848234347468</v>
      </c>
      <c r="E302" s="10">
        <f t="shared" si="20"/>
        <v>7384.8270183644736</v>
      </c>
      <c r="F302" s="10">
        <f t="shared" si="20"/>
        <v>0</v>
      </c>
      <c r="G302" s="10">
        <v>231031.67999999999</v>
      </c>
      <c r="H302" s="10">
        <v>-636.88999999998487</v>
      </c>
      <c r="I302" s="10">
        <v>-888.89999999999418</v>
      </c>
      <c r="J302" s="10">
        <v>-23315.670000000013</v>
      </c>
      <c r="K302" s="10">
        <v>-45903.260000000009</v>
      </c>
      <c r="L302" s="10">
        <v>1118769.52</v>
      </c>
      <c r="M302" s="10">
        <v>169585.95999999996</v>
      </c>
      <c r="N302" s="10">
        <v>6136.8200000000652</v>
      </c>
      <c r="O302" s="10">
        <f t="shared" si="21"/>
        <v>1454779.26</v>
      </c>
      <c r="Q302" s="10">
        <v>160829.41</v>
      </c>
      <c r="R302" s="10">
        <v>618774.05999999994</v>
      </c>
      <c r="S302" s="10">
        <v>131475.20000000007</v>
      </c>
      <c r="T302" s="10">
        <v>30083.849999999977</v>
      </c>
      <c r="U302" s="10">
        <v>0</v>
      </c>
      <c r="V302" s="10">
        <v>5889.8699999999953</v>
      </c>
      <c r="W302" s="10">
        <v>-2287.4500000000698</v>
      </c>
      <c r="X302" s="10">
        <v>0</v>
      </c>
      <c r="Y302" s="10">
        <f t="shared" si="22"/>
        <v>944764.94</v>
      </c>
    </row>
    <row r="303" spans="1:25" x14ac:dyDescent="0.35">
      <c r="A303" t="s">
        <v>10</v>
      </c>
      <c r="B303" s="10">
        <f t="shared" si="20"/>
        <v>0</v>
      </c>
      <c r="C303" s="10">
        <f t="shared" si="20"/>
        <v>0</v>
      </c>
      <c r="D303" s="10">
        <f t="shared" si="20"/>
        <v>0</v>
      </c>
      <c r="E303" s="10">
        <f t="shared" si="20"/>
        <v>0</v>
      </c>
      <c r="F303" s="10">
        <f t="shared" si="20"/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f t="shared" si="21"/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f t="shared" si="22"/>
        <v>0</v>
      </c>
    </row>
    <row r="304" spans="1:25" ht="15" thickBot="1" x14ac:dyDescent="0.4">
      <c r="A304" s="12" t="s">
        <v>11</v>
      </c>
      <c r="B304" s="13">
        <f t="shared" si="20"/>
        <v>107021964.53078003</v>
      </c>
      <c r="C304" s="13">
        <f t="shared" si="20"/>
        <v>91411974.915553361</v>
      </c>
      <c r="D304" s="13">
        <f t="shared" si="20"/>
        <v>104503218.06954506</v>
      </c>
      <c r="E304" s="13">
        <f t="shared" si="20"/>
        <v>112834161.86889976</v>
      </c>
      <c r="F304" s="13">
        <f t="shared" si="20"/>
        <v>87327287.14522171</v>
      </c>
      <c r="G304" s="13">
        <v>503098606.52999991</v>
      </c>
      <c r="H304" s="13">
        <v>101933610.07000023</v>
      </c>
      <c r="I304" s="13">
        <v>78330128.519999981</v>
      </c>
      <c r="J304" s="13">
        <v>74794022.579999685</v>
      </c>
      <c r="K304" s="13">
        <v>78843248.400000215</v>
      </c>
      <c r="L304" s="13">
        <v>65720612.070000052</v>
      </c>
      <c r="M304" s="13">
        <v>132878231.56999993</v>
      </c>
      <c r="N304" s="13">
        <v>160852859.36999989</v>
      </c>
      <c r="O304" s="13">
        <f t="shared" si="21"/>
        <v>1196451319.1099999</v>
      </c>
      <c r="P304" s="14"/>
      <c r="Q304" s="13">
        <v>111452982.14</v>
      </c>
      <c r="R304" s="13">
        <v>95196693.989999965</v>
      </c>
      <c r="S304" s="13">
        <v>108829952.32000008</v>
      </c>
      <c r="T304" s="13">
        <v>117505821.18999994</v>
      </c>
      <c r="U304" s="13">
        <v>90942888.379999995</v>
      </c>
      <c r="V304" s="13">
        <v>106279965.32999992</v>
      </c>
      <c r="W304" s="13">
        <v>97163346.639999986</v>
      </c>
      <c r="X304" s="13">
        <v>98395327.790000081</v>
      </c>
      <c r="Y304" s="13">
        <f t="shared" si="22"/>
        <v>825766977.77999997</v>
      </c>
    </row>
    <row r="305" spans="1:25" ht="15" thickTop="1" x14ac:dyDescent="0.35">
      <c r="B305" s="10">
        <f t="shared" si="20"/>
        <v>0</v>
      </c>
      <c r="C305" s="10">
        <f t="shared" si="20"/>
        <v>0</v>
      </c>
      <c r="D305" s="10">
        <f t="shared" si="20"/>
        <v>0</v>
      </c>
      <c r="E305" s="10">
        <f t="shared" si="20"/>
        <v>0</v>
      </c>
      <c r="F305" s="10">
        <f t="shared" si="20"/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f t="shared" si="21"/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f t="shared" si="22"/>
        <v>0</v>
      </c>
    </row>
    <row r="306" spans="1:25" x14ac:dyDescent="0.35">
      <c r="A306" t="s">
        <v>12</v>
      </c>
      <c r="B306" s="10">
        <f t="shared" si="20"/>
        <v>37605845.20689176</v>
      </c>
      <c r="C306" s="10">
        <f t="shared" si="20"/>
        <v>43703395.530453742</v>
      </c>
      <c r="D306" s="10">
        <f t="shared" si="20"/>
        <v>27320334.01324816</v>
      </c>
      <c r="E306" s="10">
        <f t="shared" si="20"/>
        <v>46839055.414774582</v>
      </c>
      <c r="F306" s="10">
        <f t="shared" si="20"/>
        <v>33067292.374631736</v>
      </c>
      <c r="G306" s="10">
        <v>188535922.53999999</v>
      </c>
      <c r="H306" s="10">
        <v>34637004.24000001</v>
      </c>
      <c r="I306" s="10">
        <v>31181983.439999998</v>
      </c>
      <c r="J306" s="10">
        <v>30255992.679999977</v>
      </c>
      <c r="K306" s="10">
        <v>37181718.530000031</v>
      </c>
      <c r="L306" s="10">
        <v>22141072.620000005</v>
      </c>
      <c r="M306" s="10">
        <v>84914999.560000002</v>
      </c>
      <c r="N306" s="10">
        <v>29723846.659999967</v>
      </c>
      <c r="O306" s="10">
        <f t="shared" si="21"/>
        <v>458572540.26999998</v>
      </c>
      <c r="Q306" s="10">
        <v>39409207.799999997</v>
      </c>
      <c r="R306" s="10">
        <v>45799161.980000004</v>
      </c>
      <c r="S306" s="10">
        <v>28630461.950000003</v>
      </c>
      <c r="T306" s="10">
        <v>49085190.290000007</v>
      </c>
      <c r="U306" s="10">
        <v>34653011.769999981</v>
      </c>
      <c r="V306" s="10">
        <v>34025696.980000019</v>
      </c>
      <c r="W306" s="10">
        <v>35693851.039999992</v>
      </c>
      <c r="X306" s="10">
        <v>39900327.540000021</v>
      </c>
      <c r="Y306" s="10">
        <f t="shared" si="22"/>
        <v>307196909.35000002</v>
      </c>
    </row>
    <row r="307" spans="1:25" x14ac:dyDescent="0.35">
      <c r="B307" s="10">
        <f t="shared" si="20"/>
        <v>0</v>
      </c>
      <c r="C307" s="10">
        <f t="shared" si="20"/>
        <v>0</v>
      </c>
      <c r="D307" s="10">
        <f t="shared" si="20"/>
        <v>0</v>
      </c>
      <c r="E307" s="10">
        <f t="shared" si="20"/>
        <v>0</v>
      </c>
      <c r="F307" s="10">
        <f t="shared" si="20"/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f t="shared" si="21"/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f t="shared" si="22"/>
        <v>0</v>
      </c>
    </row>
    <row r="308" spans="1:25" ht="15" thickBot="1" x14ac:dyDescent="0.4">
      <c r="A308" s="12" t="s">
        <v>13</v>
      </c>
      <c r="B308" s="13">
        <f t="shared" si="20"/>
        <v>69441374.149339303</v>
      </c>
      <c r="C308" s="13">
        <f t="shared" si="20"/>
        <v>47613170.378496461</v>
      </c>
      <c r="D308" s="13">
        <f t="shared" si="20"/>
        <v>77302485.445677251</v>
      </c>
      <c r="E308" s="13">
        <f t="shared" si="20"/>
        <v>65949107.655549042</v>
      </c>
      <c r="F308" s="13">
        <f t="shared" si="20"/>
        <v>54256546.360937893</v>
      </c>
      <c r="G308" s="13">
        <v>314562683.98999995</v>
      </c>
      <c r="H308" s="13">
        <v>67296605.830000222</v>
      </c>
      <c r="I308" s="13">
        <v>47148145.079999924</v>
      </c>
      <c r="J308" s="13">
        <v>44538029.899999738</v>
      </c>
      <c r="K308" s="13">
        <v>41661529.870000124</v>
      </c>
      <c r="L308" s="13">
        <v>43579539.450000286</v>
      </c>
      <c r="M308" s="13">
        <v>47963232.009999633</v>
      </c>
      <c r="N308" s="13">
        <v>131129012.70999992</v>
      </c>
      <c r="O308" s="13">
        <f t="shared" si="21"/>
        <v>737878778.83999979</v>
      </c>
      <c r="P308" s="14"/>
      <c r="Q308" s="13">
        <v>72043774.340000004</v>
      </c>
      <c r="R308" s="13">
        <v>49397532.009999961</v>
      </c>
      <c r="S308" s="13">
        <v>80199490.370000035</v>
      </c>
      <c r="T308" s="13">
        <v>68420630.899999946</v>
      </c>
      <c r="U308" s="13">
        <v>56289876.610000074</v>
      </c>
      <c r="V308" s="13">
        <v>72254268.349999905</v>
      </c>
      <c r="W308" s="13">
        <v>61469495.600000024</v>
      </c>
      <c r="X308" s="13">
        <v>58495000.25</v>
      </c>
      <c r="Y308" s="13">
        <f t="shared" si="22"/>
        <v>518570068.42999995</v>
      </c>
    </row>
    <row r="309" spans="1:25" ht="15" thickTop="1" x14ac:dyDescent="0.35">
      <c r="B309" s="10">
        <f t="shared" si="20"/>
        <v>0</v>
      </c>
      <c r="C309" s="10">
        <f t="shared" si="20"/>
        <v>0</v>
      </c>
      <c r="D309" s="10">
        <f t="shared" si="20"/>
        <v>0</v>
      </c>
      <c r="E309" s="10">
        <f t="shared" si="20"/>
        <v>0</v>
      </c>
      <c r="F309" s="10">
        <f t="shared" si="20"/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f t="shared" si="21"/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f t="shared" si="22"/>
        <v>0</v>
      </c>
    </row>
    <row r="310" spans="1:25" x14ac:dyDescent="0.35">
      <c r="A310" t="s">
        <v>14</v>
      </c>
      <c r="B310" s="10">
        <f t="shared" si="20"/>
        <v>4196181.102</v>
      </c>
      <c r="C310" s="10">
        <f t="shared" si="20"/>
        <v>4196181.102</v>
      </c>
      <c r="D310" s="10">
        <f t="shared" si="20"/>
        <v>4196181.102</v>
      </c>
      <c r="E310" s="10">
        <f t="shared" si="20"/>
        <v>4196181.102</v>
      </c>
      <c r="F310" s="10">
        <f t="shared" si="20"/>
        <v>4196181.102</v>
      </c>
      <c r="G310" s="10">
        <v>20980905.509999998</v>
      </c>
      <c r="H310" s="10">
        <v>10924433.390000001</v>
      </c>
      <c r="I310" s="10">
        <v>-3321155.629999999</v>
      </c>
      <c r="J310" s="10">
        <v>-4753427.5</v>
      </c>
      <c r="K310" s="10">
        <v>-6823181.3599999994</v>
      </c>
      <c r="L310" s="10">
        <v>-1725763.320000004</v>
      </c>
      <c r="M310" s="10">
        <v>-3229311.9199999925</v>
      </c>
      <c r="N310" s="10">
        <v>65175496.890000001</v>
      </c>
      <c r="O310" s="10">
        <f t="shared" si="21"/>
        <v>77227996.060000002</v>
      </c>
      <c r="Q310" s="10">
        <v>5948237.290000001</v>
      </c>
      <c r="R310" s="10">
        <v>-2669561.7500000019</v>
      </c>
      <c r="S310" s="10">
        <v>16868863.440000001</v>
      </c>
      <c r="T310" s="10">
        <v>8604835.5399999954</v>
      </c>
      <c r="U310" s="10">
        <v>-10355552.249999993</v>
      </c>
      <c r="V310" s="10">
        <v>9580608.5899999961</v>
      </c>
      <c r="W310" s="10">
        <v>-5128855.0799999945</v>
      </c>
      <c r="X310" s="10">
        <v>-6617935.2899999991</v>
      </c>
      <c r="Y310" s="10">
        <f t="shared" si="22"/>
        <v>16230640.490000006</v>
      </c>
    </row>
    <row r="311" spans="1:25" x14ac:dyDescent="0.35">
      <c r="A311" t="s">
        <v>15</v>
      </c>
      <c r="B311" s="10">
        <f t="shared" si="20"/>
        <v>6597518.5178990411</v>
      </c>
      <c r="C311" s="10">
        <f t="shared" si="20"/>
        <v>1277912.3926605883</v>
      </c>
      <c r="D311" s="10">
        <f t="shared" si="20"/>
        <v>14281213.925577097</v>
      </c>
      <c r="E311" s="10">
        <f t="shared" si="20"/>
        <v>12522012.311787114</v>
      </c>
      <c r="F311" s="10">
        <f t="shared" si="20"/>
        <v>369455.50207615743</v>
      </c>
      <c r="G311" s="10">
        <v>35048112.649999999</v>
      </c>
      <c r="H311" s="10">
        <v>11863790.140000001</v>
      </c>
      <c r="I311" s="10">
        <v>1360635.3200000003</v>
      </c>
      <c r="J311" s="10">
        <v>1242799.3900000006</v>
      </c>
      <c r="K311" s="10">
        <v>575400.93999999762</v>
      </c>
      <c r="L311" s="10">
        <v>1262689.7899999991</v>
      </c>
      <c r="M311" s="10">
        <v>2064516.1300000027</v>
      </c>
      <c r="N311" s="10">
        <v>70116773.120000005</v>
      </c>
      <c r="O311" s="10">
        <f t="shared" si="21"/>
        <v>123534717.48</v>
      </c>
      <c r="Q311" s="10">
        <v>8196718.5100000007</v>
      </c>
      <c r="R311" s="10">
        <v>1587670.8999999994</v>
      </c>
      <c r="S311" s="10">
        <v>17742896.850000001</v>
      </c>
      <c r="T311" s="10">
        <v>15557275.029999997</v>
      </c>
      <c r="U311" s="10">
        <v>459009.3599999994</v>
      </c>
      <c r="V311" s="10">
        <v>11566272.240000002</v>
      </c>
      <c r="W311" s="10">
        <v>1226948.3599999994</v>
      </c>
      <c r="X311" s="10">
        <v>1437976.0900000036</v>
      </c>
      <c r="Y311" s="10">
        <f t="shared" si="22"/>
        <v>57774767.340000004</v>
      </c>
    </row>
    <row r="312" spans="1:25" x14ac:dyDescent="0.35">
      <c r="A312" t="s">
        <v>16</v>
      </c>
      <c r="B312" s="10">
        <f t="shared" si="20"/>
        <v>1257810.7751416534</v>
      </c>
      <c r="C312" s="10">
        <f t="shared" si="20"/>
        <v>2381515.598985014</v>
      </c>
      <c r="D312" s="10">
        <f t="shared" si="20"/>
        <v>488938.32474696031</v>
      </c>
      <c r="E312" s="10">
        <f t="shared" si="20"/>
        <v>3889226.7483747718</v>
      </c>
      <c r="F312" s="10">
        <f t="shared" si="20"/>
        <v>6049715.6927516013</v>
      </c>
      <c r="G312" s="10">
        <v>14067207.140000001</v>
      </c>
      <c r="H312" s="10">
        <v>939356.75</v>
      </c>
      <c r="I312" s="10">
        <v>4681790.9499999993</v>
      </c>
      <c r="J312" s="10">
        <v>5996226.8900000006</v>
      </c>
      <c r="K312" s="10">
        <v>7398582.3000000007</v>
      </c>
      <c r="L312" s="10">
        <v>2988453.1099999994</v>
      </c>
      <c r="M312" s="10">
        <v>5293828.049999997</v>
      </c>
      <c r="N312" s="10">
        <v>4941276.2300000042</v>
      </c>
      <c r="O312" s="10">
        <f t="shared" si="21"/>
        <v>46306721.420000002</v>
      </c>
      <c r="Q312" s="10">
        <v>2248481.2200000002</v>
      </c>
      <c r="R312" s="10">
        <v>4257232.6500000004</v>
      </c>
      <c r="S312" s="10">
        <v>874033.40999999922</v>
      </c>
      <c r="T312" s="10">
        <v>6952439.4899999993</v>
      </c>
      <c r="U312" s="10">
        <v>10814561.609999999</v>
      </c>
      <c r="V312" s="10">
        <v>1985663.6500000022</v>
      </c>
      <c r="W312" s="10">
        <v>6355803.4399999939</v>
      </c>
      <c r="X312" s="10">
        <v>8055911.3800000064</v>
      </c>
      <c r="Y312" s="10">
        <f t="shared" si="22"/>
        <v>41544126.850000001</v>
      </c>
    </row>
    <row r="313" spans="1:25" ht="15" thickBot="1" x14ac:dyDescent="0.4">
      <c r="A313" s="12" t="s">
        <v>17</v>
      </c>
      <c r="B313" s="13">
        <f t="shared" si="20"/>
        <v>63010757.931589887</v>
      </c>
      <c r="C313" s="13">
        <f t="shared" si="20"/>
        <v>49637043.400235951</v>
      </c>
      <c r="D313" s="13">
        <f t="shared" si="20"/>
        <v>60374890.367004901</v>
      </c>
      <c r="E313" s="13">
        <f t="shared" si="20"/>
        <v>57024101.325680584</v>
      </c>
      <c r="F313" s="13">
        <f t="shared" si="20"/>
        <v>63534985.45548857</v>
      </c>
      <c r="G313" s="13">
        <v>293581778.4799999</v>
      </c>
      <c r="H313" s="13">
        <v>56372172.440000296</v>
      </c>
      <c r="I313" s="13">
        <v>50469300.709999919</v>
      </c>
      <c r="J313" s="13">
        <v>49291457.399999738</v>
      </c>
      <c r="K313" s="13">
        <v>48484711.230000138</v>
      </c>
      <c r="L313" s="13">
        <v>45305302.770000219</v>
      </c>
      <c r="M313" s="13">
        <v>51192543.929999709</v>
      </c>
      <c r="N313" s="13">
        <v>65953515.819999814</v>
      </c>
      <c r="O313" s="13">
        <f t="shared" si="21"/>
        <v>660650782.77999973</v>
      </c>
      <c r="P313" s="14"/>
      <c r="Q313" s="13">
        <v>66095537.049999997</v>
      </c>
      <c r="R313" s="13">
        <v>52067093.759999976</v>
      </c>
      <c r="S313" s="13">
        <v>63330626.930000037</v>
      </c>
      <c r="T313" s="13">
        <v>59815795.359999955</v>
      </c>
      <c r="U313" s="13">
        <v>66645428.860000014</v>
      </c>
      <c r="V313" s="13">
        <v>62673659.759999931</v>
      </c>
      <c r="W313" s="13">
        <v>66598350.680000007</v>
      </c>
      <c r="X313" s="13">
        <v>65112935.539999962</v>
      </c>
      <c r="Y313" s="13">
        <f t="shared" si="22"/>
        <v>502339427.93999988</v>
      </c>
    </row>
    <row r="314" spans="1:25" ht="15" thickTop="1" x14ac:dyDescent="0.35">
      <c r="B314" s="10">
        <f t="shared" si="20"/>
        <v>0</v>
      </c>
      <c r="C314" s="10">
        <f t="shared" si="20"/>
        <v>0</v>
      </c>
      <c r="D314" s="10">
        <f t="shared" si="20"/>
        <v>0</v>
      </c>
      <c r="E314" s="10">
        <f t="shared" si="20"/>
        <v>0</v>
      </c>
      <c r="F314" s="10">
        <f t="shared" si="20"/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f t="shared" si="21"/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f t="shared" si="22"/>
        <v>0</v>
      </c>
    </row>
    <row r="315" spans="1:25" x14ac:dyDescent="0.35">
      <c r="A315" t="s">
        <v>18</v>
      </c>
      <c r="B315" s="10">
        <f t="shared" si="20"/>
        <v>55008743.155247413</v>
      </c>
      <c r="C315" s="10">
        <f t="shared" si="20"/>
        <v>40545554.566398554</v>
      </c>
      <c r="D315" s="10">
        <f t="shared" si="20"/>
        <v>53779156.729049392</v>
      </c>
      <c r="E315" s="10">
        <f t="shared" si="20"/>
        <v>50797290.406784832</v>
      </c>
      <c r="F315" s="10">
        <f t="shared" si="20"/>
        <v>52514327.762519814</v>
      </c>
      <c r="G315" s="10">
        <v>252645072.62</v>
      </c>
      <c r="H315" s="10">
        <v>48890140.400000036</v>
      </c>
      <c r="I315" s="10">
        <v>42337550.289999962</v>
      </c>
      <c r="J315" s="10">
        <v>40148205.149999976</v>
      </c>
      <c r="K315" s="10">
        <v>40008481.350000024</v>
      </c>
      <c r="L315" s="10">
        <v>40450367.029999971</v>
      </c>
      <c r="M315" s="10">
        <v>42578401.5200001</v>
      </c>
      <c r="N315" s="10">
        <v>56116565.23999995</v>
      </c>
      <c r="O315" s="10">
        <f t="shared" si="21"/>
        <v>563174783.60000002</v>
      </c>
      <c r="Q315" s="10">
        <v>57960473.219999991</v>
      </c>
      <c r="R315" s="10">
        <v>42721200.210000001</v>
      </c>
      <c r="S315" s="10">
        <v>56664908.060000017</v>
      </c>
      <c r="T315" s="10">
        <v>53523036.909999967</v>
      </c>
      <c r="U315" s="10">
        <v>55332209.270000041</v>
      </c>
      <c r="V315" s="10">
        <v>57293723.389999926</v>
      </c>
      <c r="W315" s="10">
        <v>66400292.280000091</v>
      </c>
      <c r="X315" s="10">
        <v>60068152.019999981</v>
      </c>
      <c r="Y315" s="10">
        <f t="shared" si="22"/>
        <v>449963995.36000001</v>
      </c>
    </row>
    <row r="316" spans="1:25" x14ac:dyDescent="0.35">
      <c r="A316" t="s">
        <v>19</v>
      </c>
      <c r="B316" s="10">
        <f t="shared" si="20"/>
        <v>16445151.322366452</v>
      </c>
      <c r="C316" s="10">
        <f t="shared" si="20"/>
        <v>10609921.732959205</v>
      </c>
      <c r="D316" s="10">
        <f t="shared" si="20"/>
        <v>16602577.153354578</v>
      </c>
      <c r="E316" s="10">
        <f t="shared" si="20"/>
        <v>13470795.387426259</v>
      </c>
      <c r="F316" s="10">
        <f t="shared" si="20"/>
        <v>13810513.313893503</v>
      </c>
      <c r="G316" s="10">
        <v>70938958.909999996</v>
      </c>
      <c r="H316" s="10">
        <v>14451855.86999999</v>
      </c>
      <c r="I316" s="10">
        <v>11995849.160000011</v>
      </c>
      <c r="J316" s="10">
        <v>11307658.449999988</v>
      </c>
      <c r="K316" s="10">
        <v>9370860.0099999905</v>
      </c>
      <c r="L316" s="10">
        <v>10304187.940000027</v>
      </c>
      <c r="M316" s="10">
        <v>11432331.76000002</v>
      </c>
      <c r="N316" s="10">
        <v>18118615.659999967</v>
      </c>
      <c r="O316" s="10">
        <f t="shared" si="21"/>
        <v>157920317.75999999</v>
      </c>
      <c r="Q316" s="10">
        <v>19718886.43</v>
      </c>
      <c r="R316" s="10">
        <v>12722038.099999998</v>
      </c>
      <c r="S316" s="10">
        <v>19907651.010000017</v>
      </c>
      <c r="T316" s="10">
        <v>16152425.669999994</v>
      </c>
      <c r="U316" s="10">
        <v>16559771.219999999</v>
      </c>
      <c r="V316" s="10">
        <v>18511910.669999957</v>
      </c>
      <c r="W316" s="10">
        <v>21440471.500000045</v>
      </c>
      <c r="X316" s="10">
        <v>18586129.399999991</v>
      </c>
      <c r="Y316" s="10">
        <f t="shared" si="22"/>
        <v>143599284</v>
      </c>
    </row>
    <row r="317" spans="1:25" x14ac:dyDescent="0.35">
      <c r="A317" t="s">
        <v>20</v>
      </c>
      <c r="B317" s="10">
        <f t="shared" si="20"/>
        <v>23247333.075203236</v>
      </c>
      <c r="C317" s="10">
        <f t="shared" si="20"/>
        <v>21726819.164373077</v>
      </c>
      <c r="D317" s="10">
        <f t="shared" si="20"/>
        <v>24285183.89690268</v>
      </c>
      <c r="E317" s="10">
        <f t="shared" si="20"/>
        <v>22198682.954196449</v>
      </c>
      <c r="F317" s="10">
        <f t="shared" si="20"/>
        <v>20788880.379324552</v>
      </c>
      <c r="G317" s="10">
        <v>112246899.47</v>
      </c>
      <c r="H317" s="10">
        <v>21285127.50999999</v>
      </c>
      <c r="I317" s="10">
        <v>18785294.860000014</v>
      </c>
      <c r="J317" s="10">
        <v>17323796.909999996</v>
      </c>
      <c r="K317" s="10">
        <v>16928249.419999987</v>
      </c>
      <c r="L317" s="10">
        <v>16054113.610000014</v>
      </c>
      <c r="M317" s="10">
        <v>18910878.710000008</v>
      </c>
      <c r="N317" s="10">
        <v>25481628.969999999</v>
      </c>
      <c r="O317" s="10">
        <f t="shared" si="21"/>
        <v>247015989.46000001</v>
      </c>
      <c r="Q317" s="10">
        <v>26683255.010000002</v>
      </c>
      <c r="R317" s="10">
        <v>24938011.359999996</v>
      </c>
      <c r="S317" s="10">
        <v>27874498.670000009</v>
      </c>
      <c r="T317" s="10">
        <v>25479615.929999992</v>
      </c>
      <c r="U317" s="10">
        <v>23861446.590000004</v>
      </c>
      <c r="V317" s="10">
        <v>25792948.889999986</v>
      </c>
      <c r="W317" s="10">
        <v>29962819.590000004</v>
      </c>
      <c r="X317" s="10">
        <v>25843015.360000014</v>
      </c>
      <c r="Y317" s="10">
        <f t="shared" si="22"/>
        <v>210435611.40000001</v>
      </c>
    </row>
    <row r="318" spans="1:25" x14ac:dyDescent="0.35">
      <c r="A318" t="s">
        <v>21</v>
      </c>
      <c r="B318" s="10">
        <f t="shared" si="20"/>
        <v>6571714.2050888035</v>
      </c>
      <c r="C318" s="10">
        <f t="shared" si="20"/>
        <v>11527230.944133485</v>
      </c>
      <c r="D318" s="10">
        <f t="shared" si="20"/>
        <v>7517673.0432323702</v>
      </c>
      <c r="E318" s="10">
        <f t="shared" si="20"/>
        <v>8801318.8878650535</v>
      </c>
      <c r="F318" s="10">
        <f t="shared" si="20"/>
        <v>6890003.4796802904</v>
      </c>
      <c r="G318" s="10">
        <v>41307940.560000002</v>
      </c>
      <c r="H318" s="10">
        <v>6833271.6400000006</v>
      </c>
      <c r="I318" s="10">
        <v>6789445.6999999955</v>
      </c>
      <c r="J318" s="10">
        <v>6016138.4600000009</v>
      </c>
      <c r="K318" s="10">
        <v>7557389.4099999964</v>
      </c>
      <c r="L318" s="10">
        <v>5749925.6700000018</v>
      </c>
      <c r="M318" s="10">
        <v>7478546.950000003</v>
      </c>
      <c r="N318" s="10">
        <v>7363013.3100000024</v>
      </c>
      <c r="O318" s="10">
        <f t="shared" si="21"/>
        <v>89095671.700000003</v>
      </c>
      <c r="Q318" s="10">
        <v>6964368.5800000001</v>
      </c>
      <c r="R318" s="10">
        <v>12215973.26</v>
      </c>
      <c r="S318" s="10">
        <v>7966847.6600000001</v>
      </c>
      <c r="T318" s="10">
        <v>9327190.2599999979</v>
      </c>
      <c r="U318" s="10">
        <v>7301675.3700000048</v>
      </c>
      <c r="V318" s="10">
        <v>7281038.2199999988</v>
      </c>
      <c r="W318" s="10">
        <v>8522348.0899999961</v>
      </c>
      <c r="X318" s="10">
        <v>7256885.9599999934</v>
      </c>
      <c r="Y318" s="10">
        <f t="shared" si="22"/>
        <v>66836327.399999991</v>
      </c>
    </row>
    <row r="319" spans="1:25" ht="15" thickBot="1" x14ac:dyDescent="0.4">
      <c r="A319" s="12" t="s">
        <v>22</v>
      </c>
      <c r="B319" s="13">
        <f t="shared" si="20"/>
        <v>38360879.086786605</v>
      </c>
      <c r="C319" s="13">
        <f t="shared" si="20"/>
        <v>30092742.66588613</v>
      </c>
      <c r="D319" s="13">
        <f t="shared" si="20"/>
        <v>36871919.070724979</v>
      </c>
      <c r="E319" s="13">
        <f t="shared" si="20"/>
        <v>37487186.581698552</v>
      </c>
      <c r="F319" s="13">
        <f t="shared" si="20"/>
        <v>38893386.304903746</v>
      </c>
      <c r="G319" s="13">
        <v>181706113.71000001</v>
      </c>
      <c r="H319" s="13">
        <v>34438284.530000001</v>
      </c>
      <c r="I319" s="13">
        <v>30341701.129999995</v>
      </c>
      <c r="J319" s="13">
        <v>28840546.699999988</v>
      </c>
      <c r="K319" s="13">
        <v>30637621.340000033</v>
      </c>
      <c r="L319" s="13">
        <v>30146179.089999914</v>
      </c>
      <c r="M319" s="13">
        <v>31146069.76000011</v>
      </c>
      <c r="N319" s="13">
        <v>37997949.579999983</v>
      </c>
      <c r="O319" s="13">
        <f t="shared" si="21"/>
        <v>405254465.84000003</v>
      </c>
      <c r="P319" s="14"/>
      <c r="Q319" s="13">
        <v>38241586.789999992</v>
      </c>
      <c r="R319" s="13">
        <v>29999162.109999999</v>
      </c>
      <c r="S319" s="13">
        <v>36757257.050000012</v>
      </c>
      <c r="T319" s="13">
        <v>37370611.239999995</v>
      </c>
      <c r="U319" s="13">
        <v>38772438.049999982</v>
      </c>
      <c r="V319" s="13">
        <v>38781812.720000029</v>
      </c>
      <c r="W319" s="13">
        <v>44959820.780000001</v>
      </c>
      <c r="X319" s="13">
        <v>41482022.620000005</v>
      </c>
      <c r="Y319" s="13">
        <f t="shared" si="22"/>
        <v>306364711.36000001</v>
      </c>
    </row>
    <row r="320" spans="1:25" ht="15" thickTop="1" x14ac:dyDescent="0.35">
      <c r="A320" t="s">
        <v>23</v>
      </c>
      <c r="B320" s="10">
        <f t="shared" si="20"/>
        <v>45511237.277605243</v>
      </c>
      <c r="C320" s="10">
        <f t="shared" si="20"/>
        <v>37630511.49511262</v>
      </c>
      <c r="D320" s="10">
        <f t="shared" si="20"/>
        <v>42261091.957338773</v>
      </c>
      <c r="E320" s="10">
        <f t="shared" si="20"/>
        <v>38477824.331990562</v>
      </c>
      <c r="F320" s="10">
        <f t="shared" si="20"/>
        <v>45830498.847952783</v>
      </c>
      <c r="G320" s="10">
        <v>209711163.91</v>
      </c>
      <c r="H320" s="10">
        <v>39922394.090000004</v>
      </c>
      <c r="I320" s="10">
        <v>45089788.639999986</v>
      </c>
      <c r="J320" s="10">
        <v>33748848.290000021</v>
      </c>
      <c r="K320" s="10">
        <v>29838441.5</v>
      </c>
      <c r="L320" s="10">
        <v>35898784.279999971</v>
      </c>
      <c r="M320" s="10">
        <v>36536480.680000007</v>
      </c>
      <c r="N320" s="10">
        <v>59498066.110000014</v>
      </c>
      <c r="O320" s="10">
        <f t="shared" si="21"/>
        <v>490243967.5</v>
      </c>
      <c r="Q320" s="10">
        <v>43638850.899999999</v>
      </c>
      <c r="R320" s="10">
        <v>36082347.539999999</v>
      </c>
      <c r="S320" s="10">
        <v>40522420.420000002</v>
      </c>
      <c r="T320" s="10">
        <v>36894800.920000002</v>
      </c>
      <c r="U320" s="10">
        <v>43944977.669999987</v>
      </c>
      <c r="V320" s="10">
        <v>43237186.76000002</v>
      </c>
      <c r="W320" s="10">
        <v>57511879.51000002</v>
      </c>
      <c r="X320" s="10">
        <v>53173226.929999948</v>
      </c>
      <c r="Y320" s="10">
        <f t="shared" si="22"/>
        <v>355005690.64999998</v>
      </c>
    </row>
    <row r="321" spans="1:25" x14ac:dyDescent="0.35">
      <c r="A321" t="s">
        <v>24</v>
      </c>
      <c r="B321" s="10">
        <f t="shared" si="20"/>
        <v>0</v>
      </c>
      <c r="C321" s="10">
        <f t="shared" si="20"/>
        <v>0</v>
      </c>
      <c r="D321" s="10">
        <f t="shared" si="20"/>
        <v>0</v>
      </c>
      <c r="E321" s="10">
        <f t="shared" si="20"/>
        <v>0</v>
      </c>
      <c r="F321" s="10">
        <f t="shared" si="20"/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f t="shared" si="21"/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f t="shared" si="22"/>
        <v>0</v>
      </c>
    </row>
    <row r="322" spans="1:25" x14ac:dyDescent="0.35">
      <c r="A322" t="s">
        <v>25</v>
      </c>
      <c r="B322" s="10">
        <f t="shared" si="20"/>
        <v>0</v>
      </c>
      <c r="C322" s="10">
        <f t="shared" si="20"/>
        <v>0</v>
      </c>
      <c r="D322" s="10">
        <f t="shared" si="20"/>
        <v>0</v>
      </c>
      <c r="E322" s="10">
        <f t="shared" si="20"/>
        <v>0</v>
      </c>
      <c r="F322" s="10">
        <f t="shared" si="20"/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f t="shared" si="21"/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f t="shared" si="22"/>
        <v>0</v>
      </c>
    </row>
    <row r="323" spans="1:25" x14ac:dyDescent="0.35">
      <c r="A323" t="s">
        <v>26</v>
      </c>
      <c r="B323" s="10">
        <f t="shared" si="20"/>
        <v>4790293.068</v>
      </c>
      <c r="C323" s="10">
        <f t="shared" si="20"/>
        <v>4790293.068</v>
      </c>
      <c r="D323" s="10">
        <f t="shared" si="20"/>
        <v>4790293.068</v>
      </c>
      <c r="E323" s="10">
        <f t="shared" si="20"/>
        <v>4790293.068</v>
      </c>
      <c r="F323" s="10">
        <f t="shared" si="20"/>
        <v>4790293.068</v>
      </c>
      <c r="G323" s="10">
        <v>23951465.34</v>
      </c>
      <c r="H323" s="10">
        <v>4689294.6000000015</v>
      </c>
      <c r="I323" s="10">
        <v>14213982.349999998</v>
      </c>
      <c r="J323" s="10">
        <v>4369007.4800000042</v>
      </c>
      <c r="K323" s="10">
        <v>-1815733.5100000054</v>
      </c>
      <c r="L323" s="10">
        <v>5056418.2199999988</v>
      </c>
      <c r="M323" s="10">
        <v>4048733.6300000027</v>
      </c>
      <c r="N323" s="10">
        <v>20704669.640000001</v>
      </c>
      <c r="O323" s="10">
        <f t="shared" si="21"/>
        <v>75217837.75</v>
      </c>
      <c r="Q323" s="10">
        <v>4608799.67</v>
      </c>
      <c r="R323" s="10">
        <v>5167583.9000000004</v>
      </c>
      <c r="S323" s="10">
        <v>3209285.91</v>
      </c>
      <c r="T323" s="10">
        <v>-1512498.42</v>
      </c>
      <c r="U323" s="10">
        <v>4205502.209999999</v>
      </c>
      <c r="V323" s="10">
        <v>3896676.16</v>
      </c>
      <c r="W323" s="10">
        <v>11673391.390000001</v>
      </c>
      <c r="X323" s="10">
        <v>10682543.479999997</v>
      </c>
      <c r="Y323" s="10">
        <f t="shared" si="22"/>
        <v>41931284.299999997</v>
      </c>
    </row>
    <row r="324" spans="1:25" x14ac:dyDescent="0.35">
      <c r="A324" t="s">
        <v>27</v>
      </c>
      <c r="B324" s="10">
        <f t="shared" si="20"/>
        <v>749614.37241240824</v>
      </c>
      <c r="C324" s="10">
        <f t="shared" si="20"/>
        <v>870487.02702532895</v>
      </c>
      <c r="D324" s="10">
        <f t="shared" si="20"/>
        <v>528487.66815165908</v>
      </c>
      <c r="E324" s="10">
        <f t="shared" si="20"/>
        <v>985607.2893647704</v>
      </c>
      <c r="F324" s="10">
        <f t="shared" si="20"/>
        <v>919388.5030458332</v>
      </c>
      <c r="G324" s="10">
        <v>4053584.86</v>
      </c>
      <c r="H324" s="10">
        <v>794814.96000000043</v>
      </c>
      <c r="I324" s="10">
        <v>534105.16000000015</v>
      </c>
      <c r="J324" s="10">
        <v>539294.1099999994</v>
      </c>
      <c r="K324" s="10">
        <v>1016553.6699999999</v>
      </c>
      <c r="L324" s="10">
        <v>696186.97000000067</v>
      </c>
      <c r="M324" s="10">
        <v>1341677.2899999991</v>
      </c>
      <c r="N324" s="10">
        <v>795446.8900000006</v>
      </c>
      <c r="O324" s="10">
        <f t="shared" si="21"/>
        <v>9771663.9100000001</v>
      </c>
      <c r="Q324" s="10">
        <v>788464.44</v>
      </c>
      <c r="R324" s="10">
        <v>915601.53</v>
      </c>
      <c r="S324" s="10">
        <v>555877.4600000002</v>
      </c>
      <c r="T324" s="10">
        <v>1036688.0999999996</v>
      </c>
      <c r="U324" s="10">
        <v>967037.41000000061</v>
      </c>
      <c r="V324" s="10">
        <v>558697.87999999989</v>
      </c>
      <c r="W324" s="10">
        <v>878667.33999999985</v>
      </c>
      <c r="X324" s="10">
        <v>1008660.8300000001</v>
      </c>
      <c r="Y324" s="10">
        <f t="shared" si="22"/>
        <v>6709694.9900000002</v>
      </c>
    </row>
    <row r="325" spans="1:25" x14ac:dyDescent="0.35">
      <c r="B325" s="10">
        <f t="shared" si="20"/>
        <v>0</v>
      </c>
      <c r="C325" s="10">
        <f t="shared" si="20"/>
        <v>0</v>
      </c>
      <c r="D325" s="10">
        <f t="shared" si="20"/>
        <v>0</v>
      </c>
      <c r="E325" s="10">
        <f t="shared" si="20"/>
        <v>0</v>
      </c>
      <c r="F325" s="10">
        <f t="shared" si="20"/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f t="shared" si="21"/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f t="shared" si="22"/>
        <v>0</v>
      </c>
    </row>
    <row r="326" spans="1:25" ht="15" thickBot="1" x14ac:dyDescent="0.4">
      <c r="A326" s="12" t="s">
        <v>28</v>
      </c>
      <c r="B326" s="13">
        <f t="shared" si="20"/>
        <v>7976084.8938601678</v>
      </c>
      <c r="C326" s="13">
        <f t="shared" si="20"/>
        <v>9163252.0557346251</v>
      </c>
      <c r="D326" s="13">
        <f t="shared" si="20"/>
        <v>6535454.5086250082</v>
      </c>
      <c r="E326" s="13">
        <f t="shared" si="20"/>
        <v>6169782.642474466</v>
      </c>
      <c r="F326" s="13">
        <f t="shared" si="20"/>
        <v>11092131.759305667</v>
      </c>
      <c r="G326" s="13">
        <v>40936705.859999932</v>
      </c>
      <c r="H326" s="13">
        <v>7482032.0400002524</v>
      </c>
      <c r="I326" s="13">
        <v>8131750.4199999347</v>
      </c>
      <c r="J326" s="13">
        <v>9143252.2499997318</v>
      </c>
      <c r="K326" s="13">
        <v>8476229.880000107</v>
      </c>
      <c r="L326" s="13">
        <v>4854935.7400002778</v>
      </c>
      <c r="M326" s="13">
        <v>8614142.4099996239</v>
      </c>
      <c r="N326" s="13">
        <v>9836950.5799999535</v>
      </c>
      <c r="O326" s="13">
        <f t="shared" si="21"/>
        <v>97475999.179999813</v>
      </c>
      <c r="P326" s="14"/>
      <c r="Q326" s="13">
        <v>8135063.8300000066</v>
      </c>
      <c r="R326" s="13">
        <v>9345893.5499999709</v>
      </c>
      <c r="S326" s="13">
        <v>6665718.8700000122</v>
      </c>
      <c r="T326" s="13">
        <v>6292758.4499999955</v>
      </c>
      <c r="U326" s="13">
        <v>11313219.589999992</v>
      </c>
      <c r="V326" s="13">
        <v>5379936.3699999526</v>
      </c>
      <c r="W326" s="13">
        <v>198058.39999997616</v>
      </c>
      <c r="X326" s="13">
        <v>5044783.5200000033</v>
      </c>
      <c r="Y326" s="13">
        <f t="shared" si="22"/>
        <v>52375432.579999909</v>
      </c>
    </row>
    <row r="327" spans="1:25" ht="15" thickTop="1" x14ac:dyDescent="0.35">
      <c r="A327" t="s">
        <v>29</v>
      </c>
      <c r="B327" s="10">
        <f t="shared" ref="B327:F344" si="23">IF(OR(SUM($Q327:$U327)=0,COUNTIF($Q327:$U327,"&lt;0")*COUNTIF($Q327:$U327,"&gt;0")&gt;0),$G327/5,$G327*Q327/SUM($Q327:$U327))</f>
        <v>3151927.4705396625</v>
      </c>
      <c r="C327" s="10">
        <f t="shared" si="23"/>
        <v>3972240.1718315273</v>
      </c>
      <c r="D327" s="10">
        <f t="shared" si="23"/>
        <v>2593282.6245017373</v>
      </c>
      <c r="E327" s="10">
        <f t="shared" si="23"/>
        <v>1828419.5775194194</v>
      </c>
      <c r="F327" s="10">
        <f t="shared" si="23"/>
        <v>2485666.8356076605</v>
      </c>
      <c r="G327" s="10">
        <v>14031536.680000007</v>
      </c>
      <c r="H327" s="10">
        <v>2434597.9500000011</v>
      </c>
      <c r="I327" s="10">
        <v>3927769.6699999925</v>
      </c>
      <c r="J327" s="10">
        <v>3965097.2899999879</v>
      </c>
      <c r="K327" s="10">
        <v>3366746.6900000088</v>
      </c>
      <c r="L327" s="10">
        <v>4446959.7199999951</v>
      </c>
      <c r="M327" s="10">
        <v>1527703.9700000063</v>
      </c>
      <c r="N327" s="10">
        <v>5422350.3399999887</v>
      </c>
      <c r="O327" s="10">
        <f t="shared" si="21"/>
        <v>39122762.309999987</v>
      </c>
      <c r="Q327" s="10">
        <v>3773055.7799999989</v>
      </c>
      <c r="R327" s="10">
        <v>4755021.7700000014</v>
      </c>
      <c r="S327" s="10">
        <v>3104322.6999999974</v>
      </c>
      <c r="T327" s="10">
        <v>2188733.4400000088</v>
      </c>
      <c r="U327" s="10">
        <v>2975499.819999991</v>
      </c>
      <c r="V327" s="10">
        <v>3350279.4600000083</v>
      </c>
      <c r="W327" s="10">
        <v>4024673.7499999925</v>
      </c>
      <c r="X327" s="10">
        <v>4056227.1200000048</v>
      </c>
      <c r="Y327" s="10">
        <f t="shared" si="22"/>
        <v>28227813.840000004</v>
      </c>
    </row>
    <row r="328" spans="1:25" x14ac:dyDescent="0.35">
      <c r="A328" t="s">
        <v>30</v>
      </c>
      <c r="B328" s="10">
        <f t="shared" si="23"/>
        <v>62225.377043333028</v>
      </c>
      <c r="C328" s="10">
        <f t="shared" si="23"/>
        <v>56842.063076147992</v>
      </c>
      <c r="D328" s="10">
        <f t="shared" si="23"/>
        <v>62284.825230417184</v>
      </c>
      <c r="E328" s="10">
        <f t="shared" si="23"/>
        <v>64293.032831622448</v>
      </c>
      <c r="F328" s="10">
        <f t="shared" si="23"/>
        <v>63473.481818479384</v>
      </c>
      <c r="G328" s="10">
        <v>309118.78000000003</v>
      </c>
      <c r="H328" s="10">
        <v>59713.539999999979</v>
      </c>
      <c r="I328" s="10">
        <v>133578.14999999997</v>
      </c>
      <c r="J328" s="10">
        <v>69355.239999999991</v>
      </c>
      <c r="K328" s="10">
        <v>62438.70000000007</v>
      </c>
      <c r="L328" s="10">
        <v>59936.619999999995</v>
      </c>
      <c r="M328" s="10">
        <v>66599.789999999921</v>
      </c>
      <c r="N328" s="10">
        <v>147261.32000000007</v>
      </c>
      <c r="O328" s="10">
        <f t="shared" si="21"/>
        <v>908002.14</v>
      </c>
      <c r="Q328" s="10">
        <v>66853.759999999995</v>
      </c>
      <c r="R328" s="10">
        <v>61070.03</v>
      </c>
      <c r="S328" s="10">
        <v>66917.630000000019</v>
      </c>
      <c r="T328" s="10">
        <v>69075.209999999992</v>
      </c>
      <c r="U328" s="10">
        <v>68194.700000000012</v>
      </c>
      <c r="V328" s="10">
        <v>144733.49</v>
      </c>
      <c r="W328" s="10">
        <v>84934.590000000026</v>
      </c>
      <c r="X328" s="10">
        <v>143501.25</v>
      </c>
      <c r="Y328" s="10">
        <f t="shared" si="22"/>
        <v>705280.66</v>
      </c>
    </row>
    <row r="329" spans="1:25" x14ac:dyDescent="0.35">
      <c r="A329" t="s">
        <v>31</v>
      </c>
      <c r="B329" s="10">
        <f t="shared" si="23"/>
        <v>8195682.9577644421</v>
      </c>
      <c r="C329" s="10">
        <f t="shared" si="23"/>
        <v>7756853.7441516761</v>
      </c>
      <c r="D329" s="10">
        <f t="shared" si="23"/>
        <v>7777432.6202465659</v>
      </c>
      <c r="E329" s="10">
        <f t="shared" si="23"/>
        <v>8059675.132644847</v>
      </c>
      <c r="F329" s="10">
        <f t="shared" si="23"/>
        <v>7284905.0651924806</v>
      </c>
      <c r="G329" s="10">
        <v>39074549.520000011</v>
      </c>
      <c r="H329" s="10">
        <v>7720158.9799999967</v>
      </c>
      <c r="I329" s="10">
        <v>8427150.5499999896</v>
      </c>
      <c r="J329" s="10">
        <v>8100201.5399999991</v>
      </c>
      <c r="K329" s="10">
        <v>8204868.2899999991</v>
      </c>
      <c r="L329" s="10">
        <v>8200787.3700000048</v>
      </c>
      <c r="M329" s="10">
        <v>7734173.349999994</v>
      </c>
      <c r="N329" s="10">
        <v>9591882.6099999994</v>
      </c>
      <c r="O329" s="10">
        <f t="shared" si="21"/>
        <v>97053772.209999993</v>
      </c>
      <c r="Q329" s="10">
        <v>8943416.1499999985</v>
      </c>
      <c r="R329" s="10">
        <v>8464550.3500000015</v>
      </c>
      <c r="S329" s="10">
        <v>8487006.7399999984</v>
      </c>
      <c r="T329" s="10">
        <v>8794999.6500000097</v>
      </c>
      <c r="U329" s="10">
        <v>7949543.4299999923</v>
      </c>
      <c r="V329" s="10">
        <v>8570418.640000008</v>
      </c>
      <c r="W329" s="10">
        <v>8424676.7499999925</v>
      </c>
      <c r="X329" s="10">
        <v>8819969.8000000045</v>
      </c>
      <c r="Y329" s="10">
        <f t="shared" si="22"/>
        <v>68454581.510000005</v>
      </c>
    </row>
    <row r="330" spans="1:25" x14ac:dyDescent="0.35">
      <c r="A330" t="s">
        <v>32</v>
      </c>
      <c r="B330" s="10">
        <f t="shared" si="23"/>
        <v>3227686.4971105959</v>
      </c>
      <c r="C330" s="10">
        <f t="shared" si="23"/>
        <v>2285564.9594079</v>
      </c>
      <c r="D330" s="10">
        <f t="shared" si="23"/>
        <v>3234949.1591416616</v>
      </c>
      <c r="E330" s="10">
        <f t="shared" si="23"/>
        <v>4008942.4933361267</v>
      </c>
      <c r="F330" s="10">
        <f t="shared" si="23"/>
        <v>2548897.4610037147</v>
      </c>
      <c r="G330" s="10">
        <v>15306040.569999998</v>
      </c>
      <c r="H330" s="10">
        <v>3308939.410000002</v>
      </c>
      <c r="I330" s="10">
        <v>2528141.3699999973</v>
      </c>
      <c r="J330" s="10">
        <v>2294058.4000000022</v>
      </c>
      <c r="K330" s="10">
        <v>2671087.5400000028</v>
      </c>
      <c r="L330" s="10">
        <v>1831364.8599999994</v>
      </c>
      <c r="M330" s="10">
        <v>4276530.6999999993</v>
      </c>
      <c r="N330" s="10">
        <v>2644444.7599999979</v>
      </c>
      <c r="O330" s="10">
        <f t="shared" si="21"/>
        <v>34860607.609999999</v>
      </c>
      <c r="Q330" s="10">
        <v>3372900.47</v>
      </c>
      <c r="R330" s="10">
        <v>2388392.7799999998</v>
      </c>
      <c r="S330" s="10">
        <v>3380489.879999999</v>
      </c>
      <c r="T330" s="10">
        <v>4189305.26</v>
      </c>
      <c r="U330" s="10">
        <v>2663572.6400000043</v>
      </c>
      <c r="V330" s="10">
        <v>3499234.1999999937</v>
      </c>
      <c r="W330" s="10">
        <v>2672614.8800000027</v>
      </c>
      <c r="X330" s="10">
        <v>3077694.1600000039</v>
      </c>
      <c r="Y330" s="10">
        <f t="shared" si="22"/>
        <v>25244204.270000003</v>
      </c>
    </row>
    <row r="331" spans="1:25" x14ac:dyDescent="0.35">
      <c r="A331" t="s">
        <v>33</v>
      </c>
      <c r="B331" s="10">
        <f t="shared" si="23"/>
        <v>1839730.0532063576</v>
      </c>
      <c r="C331" s="10">
        <f t="shared" si="23"/>
        <v>1363979.4953645507</v>
      </c>
      <c r="D331" s="10">
        <f t="shared" si="23"/>
        <v>2041827.6308218446</v>
      </c>
      <c r="E331" s="10">
        <f t="shared" si="23"/>
        <v>2453254.2645799899</v>
      </c>
      <c r="F331" s="10">
        <f t="shared" si="23"/>
        <v>2347299.6060272576</v>
      </c>
      <c r="G331" s="10">
        <v>10046091.050000001</v>
      </c>
      <c r="H331" s="10">
        <v>2036335.1600000001</v>
      </c>
      <c r="I331" s="10">
        <v>2104817.6599999983</v>
      </c>
      <c r="J331" s="10">
        <v>1910401.0900000017</v>
      </c>
      <c r="K331" s="10">
        <v>2229472.7599999979</v>
      </c>
      <c r="L331" s="10">
        <v>1982399.4100000001</v>
      </c>
      <c r="M331" s="10">
        <v>1996538.4700000025</v>
      </c>
      <c r="N331" s="10">
        <v>1672348.8299999982</v>
      </c>
      <c r="O331" s="10">
        <f t="shared" si="21"/>
        <v>23978404.43</v>
      </c>
      <c r="Q331" s="10">
        <v>1864313.66</v>
      </c>
      <c r="R331" s="10">
        <v>1382205.8300000003</v>
      </c>
      <c r="S331" s="10">
        <v>2069111.79</v>
      </c>
      <c r="T331" s="10">
        <v>2486036.16</v>
      </c>
      <c r="U331" s="10">
        <v>2378665.669999999</v>
      </c>
      <c r="V331" s="10">
        <v>1865638.4700000007</v>
      </c>
      <c r="W331" s="10">
        <v>1812322.709999999</v>
      </c>
      <c r="X331" s="10">
        <v>1829549.7700000014</v>
      </c>
      <c r="Y331" s="10">
        <f t="shared" si="22"/>
        <v>15687844.060000001</v>
      </c>
    </row>
    <row r="332" spans="1:25" x14ac:dyDescent="0.35">
      <c r="B332" s="10">
        <f t="shared" si="23"/>
        <v>0</v>
      </c>
      <c r="C332" s="10">
        <f t="shared" si="23"/>
        <v>0</v>
      </c>
      <c r="D332" s="10">
        <f t="shared" si="23"/>
        <v>0</v>
      </c>
      <c r="E332" s="10">
        <f t="shared" si="23"/>
        <v>0</v>
      </c>
      <c r="F332" s="10">
        <f t="shared" si="23"/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f t="shared" si="21"/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f t="shared" si="22"/>
        <v>0</v>
      </c>
    </row>
    <row r="333" spans="1:25" ht="15" thickBot="1" x14ac:dyDescent="0.4">
      <c r="A333" s="12" t="s">
        <v>34</v>
      </c>
      <c r="B333" s="13">
        <f t="shared" si="23"/>
        <v>4702695.4170444421</v>
      </c>
      <c r="C333" s="13">
        <f t="shared" si="23"/>
        <v>4949434.1671479689</v>
      </c>
      <c r="D333" s="13">
        <f t="shared" si="23"/>
        <v>3839553.0808198904</v>
      </c>
      <c r="E333" s="13">
        <f t="shared" si="23"/>
        <v>4424563.0417767521</v>
      </c>
      <c r="F333" s="13">
        <f t="shared" si="23"/>
        <v>8988923.4732108712</v>
      </c>
      <c r="G333" s="13">
        <v>26905169.179999925</v>
      </c>
      <c r="H333" s="13">
        <v>5047434.0900002494</v>
      </c>
      <c r="I333" s="13">
        <v>4203980.7499999404</v>
      </c>
      <c r="J333" s="13">
        <v>5178154.9599997476</v>
      </c>
      <c r="K333" s="13">
        <v>5109483.1900001019</v>
      </c>
      <c r="L333" s="13">
        <v>407976.0200002864</v>
      </c>
      <c r="M333" s="13">
        <v>7086438.4399996102</v>
      </c>
      <c r="N333" s="13">
        <v>4414600.2399999574</v>
      </c>
      <c r="O333" s="13">
        <f t="shared" si="21"/>
        <v>58353236.869999819</v>
      </c>
      <c r="P333" s="14"/>
      <c r="Q333" s="13">
        <v>4362008.0500000073</v>
      </c>
      <c r="R333" s="13">
        <v>4590871.7799999705</v>
      </c>
      <c r="S333" s="13">
        <v>3561396.170000013</v>
      </c>
      <c r="T333" s="13">
        <v>4104025.0099999867</v>
      </c>
      <c r="U333" s="13">
        <v>8337719.7700000014</v>
      </c>
      <c r="V333" s="13">
        <v>2029656.9099999443</v>
      </c>
      <c r="W333" s="13">
        <v>-3826615.3500000127</v>
      </c>
      <c r="X333" s="13">
        <v>988556.39999999478</v>
      </c>
      <c r="Y333" s="13">
        <f t="shared" si="22"/>
        <v>24147618.739999905</v>
      </c>
    </row>
    <row r="334" spans="1:25" ht="15" thickTop="1" x14ac:dyDescent="0.35">
      <c r="A334" t="s">
        <v>35</v>
      </c>
      <c r="B334" s="10">
        <f t="shared" si="23"/>
        <v>263722.14073504653</v>
      </c>
      <c r="C334" s="10">
        <f t="shared" si="23"/>
        <v>43038.991286658646</v>
      </c>
      <c r="D334" s="10">
        <f t="shared" si="23"/>
        <v>626300.62009299116</v>
      </c>
      <c r="E334" s="10">
        <f t="shared" si="23"/>
        <v>109777.05331454836</v>
      </c>
      <c r="F334" s="10">
        <f t="shared" si="23"/>
        <v>122108.48457075487</v>
      </c>
      <c r="G334" s="10">
        <v>1164947.2899999996</v>
      </c>
      <c r="H334" s="10">
        <v>170794.70000000088</v>
      </c>
      <c r="I334" s="10">
        <v>60345.720000000205</v>
      </c>
      <c r="J334" s="10">
        <v>957.24999999767169</v>
      </c>
      <c r="K334" s="10">
        <v>697163.79000000423</v>
      </c>
      <c r="L334" s="10">
        <v>121182.30999999656</v>
      </c>
      <c r="M334" s="10">
        <v>406224.74000000115</v>
      </c>
      <c r="N334" s="10">
        <v>708807.54000000097</v>
      </c>
      <c r="O334" s="10">
        <f t="shared" si="21"/>
        <v>3330423.3400000012</v>
      </c>
      <c r="Q334" s="10">
        <v>315634.70000000007</v>
      </c>
      <c r="R334" s="10">
        <v>51511.029999999679</v>
      </c>
      <c r="S334" s="10">
        <v>749585.1800000004</v>
      </c>
      <c r="T334" s="10">
        <v>131386.18999999971</v>
      </c>
      <c r="U334" s="10">
        <v>146145.01000000024</v>
      </c>
      <c r="V334" s="10">
        <v>584973.09999999916</v>
      </c>
      <c r="W334" s="10">
        <v>351159.36000000197</v>
      </c>
      <c r="X334" s="10">
        <v>254752.08999999985</v>
      </c>
      <c r="Y334" s="10">
        <f t="shared" si="22"/>
        <v>2585146.6600000011</v>
      </c>
    </row>
    <row r="335" spans="1:25" x14ac:dyDescent="0.35">
      <c r="A335" t="s">
        <v>36</v>
      </c>
      <c r="B335" s="10">
        <f t="shared" si="23"/>
        <v>1164728.0800850641</v>
      </c>
      <c r="C335" s="10">
        <f t="shared" si="23"/>
        <v>704118.25247998117</v>
      </c>
      <c r="D335" s="10">
        <f t="shared" si="23"/>
        <v>1291752.2566191114</v>
      </c>
      <c r="E335" s="10">
        <f t="shared" si="23"/>
        <v>826602.38164872117</v>
      </c>
      <c r="F335" s="10">
        <f t="shared" si="23"/>
        <v>836641.22916712228</v>
      </c>
      <c r="G335" s="10">
        <v>4823842.2</v>
      </c>
      <c r="H335" s="10">
        <v>808236.13999999966</v>
      </c>
      <c r="I335" s="10">
        <v>805425.62999999989</v>
      </c>
      <c r="J335" s="10">
        <v>879073.76999999862</v>
      </c>
      <c r="K335" s="10">
        <v>858113.23000000324</v>
      </c>
      <c r="L335" s="10">
        <v>713130.19999999832</v>
      </c>
      <c r="M335" s="10">
        <v>998559.99000000022</v>
      </c>
      <c r="N335" s="10">
        <v>460662.58000000007</v>
      </c>
      <c r="O335" s="10">
        <f t="shared" si="21"/>
        <v>10347043.74</v>
      </c>
      <c r="Q335" s="10">
        <v>1188110.3</v>
      </c>
      <c r="R335" s="10">
        <v>718253.60999999987</v>
      </c>
      <c r="S335" s="10">
        <v>1317684.5200000003</v>
      </c>
      <c r="T335" s="10">
        <v>843196.63999999966</v>
      </c>
      <c r="U335" s="10">
        <v>853437.02</v>
      </c>
      <c r="V335" s="10">
        <v>1052320.58</v>
      </c>
      <c r="W335" s="10">
        <v>1077813.5500000007</v>
      </c>
      <c r="X335" s="10">
        <v>824113.75</v>
      </c>
      <c r="Y335" s="10">
        <f t="shared" si="22"/>
        <v>7874929.9700000007</v>
      </c>
    </row>
    <row r="336" spans="1:25" x14ac:dyDescent="0.35">
      <c r="A336" t="s">
        <v>37</v>
      </c>
      <c r="B336" s="10">
        <f t="shared" si="23"/>
        <v>905251.37392716238</v>
      </c>
      <c r="C336" s="10">
        <f t="shared" si="23"/>
        <v>691789.70346075145</v>
      </c>
      <c r="D336" s="10">
        <f t="shared" si="23"/>
        <v>589440.79130936612</v>
      </c>
      <c r="E336" s="10">
        <f t="shared" si="23"/>
        <v>738550.6114305224</v>
      </c>
      <c r="F336" s="10">
        <f t="shared" si="23"/>
        <v>733862.42987219826</v>
      </c>
      <c r="G336" s="10">
        <v>3658894.9100000006</v>
      </c>
      <c r="H336" s="10">
        <v>637441.43999999901</v>
      </c>
      <c r="I336" s="10">
        <v>745079.90999999922</v>
      </c>
      <c r="J336" s="10">
        <v>878116.52000000142</v>
      </c>
      <c r="K336" s="10">
        <v>160949.43999999855</v>
      </c>
      <c r="L336" s="10">
        <v>591947.89000000153</v>
      </c>
      <c r="M336" s="10">
        <v>592335.25</v>
      </c>
      <c r="N336" s="10">
        <v>-248144.96000000089</v>
      </c>
      <c r="O336" s="10">
        <f t="shared" si="21"/>
        <v>7016620.3999999994</v>
      </c>
      <c r="Q336" s="10">
        <v>872475.6</v>
      </c>
      <c r="R336" s="10">
        <v>666742.58000000019</v>
      </c>
      <c r="S336" s="10">
        <v>568099.33999999985</v>
      </c>
      <c r="T336" s="10">
        <v>711810.45000000019</v>
      </c>
      <c r="U336" s="10">
        <v>707292.00999999978</v>
      </c>
      <c r="V336" s="10">
        <v>467347.48000000045</v>
      </c>
      <c r="W336" s="10">
        <v>726654.18999999901</v>
      </c>
      <c r="X336" s="10">
        <v>569361.66000000015</v>
      </c>
      <c r="Y336" s="10">
        <f t="shared" si="22"/>
        <v>5289783.3099999996</v>
      </c>
    </row>
    <row r="337" spans="1:25" x14ac:dyDescent="0.35">
      <c r="B337" s="10">
        <f t="shared" si="23"/>
        <v>0</v>
      </c>
      <c r="C337" s="10">
        <f t="shared" si="23"/>
        <v>0</v>
      </c>
      <c r="D337" s="10">
        <f t="shared" si="23"/>
        <v>0</v>
      </c>
      <c r="E337" s="10">
        <f t="shared" si="23"/>
        <v>0</v>
      </c>
      <c r="F337" s="10">
        <f t="shared" si="23"/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f t="shared" si="21"/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f t="shared" si="22"/>
        <v>0</v>
      </c>
    </row>
    <row r="338" spans="1:25" ht="15" thickBot="1" x14ac:dyDescent="0.4">
      <c r="A338" s="12" t="s">
        <v>38</v>
      </c>
      <c r="B338" s="13">
        <f t="shared" si="23"/>
        <v>4982943.7257153895</v>
      </c>
      <c r="C338" s="13">
        <f t="shared" si="23"/>
        <v>4945382.4355137618</v>
      </c>
      <c r="D338" s="13">
        <f t="shared" si="23"/>
        <v>4592351.0233137375</v>
      </c>
      <c r="E338" s="13">
        <f t="shared" si="23"/>
        <v>4511848.5512525691</v>
      </c>
      <c r="F338" s="13">
        <f t="shared" si="23"/>
        <v>9037590.7342044674</v>
      </c>
      <c r="G338" s="13">
        <v>28070116.469999924</v>
      </c>
      <c r="H338" s="13">
        <v>5218228.7900002524</v>
      </c>
      <c r="I338" s="13">
        <v>4264326.4699999392</v>
      </c>
      <c r="J338" s="13">
        <v>5179112.2099997476</v>
      </c>
      <c r="K338" s="13">
        <v>5806646.9800001085</v>
      </c>
      <c r="L338" s="13">
        <v>529158.33000028133</v>
      </c>
      <c r="M338" s="13">
        <v>7492663.1799996123</v>
      </c>
      <c r="N338" s="13">
        <v>5123407.7799999565</v>
      </c>
      <c r="O338" s="13">
        <f t="shared" si="21"/>
        <v>61683660.20999983</v>
      </c>
      <c r="P338" s="14"/>
      <c r="Q338" s="13">
        <v>4677642.7500000084</v>
      </c>
      <c r="R338" s="13">
        <v>4642382.8099999698</v>
      </c>
      <c r="S338" s="13">
        <v>4310981.3500000127</v>
      </c>
      <c r="T338" s="13">
        <v>4235411.1999999862</v>
      </c>
      <c r="U338" s="13">
        <v>8483864.7800000012</v>
      </c>
      <c r="V338" s="13">
        <v>2614630.0099999458</v>
      </c>
      <c r="W338" s="13">
        <v>-3475455.9900000133</v>
      </c>
      <c r="X338" s="13">
        <v>1243308.4899999946</v>
      </c>
      <c r="Y338" s="13">
        <f t="shared" si="22"/>
        <v>26732765.399999905</v>
      </c>
    </row>
    <row r="339" spans="1:25" ht="15" thickTop="1" x14ac:dyDescent="0.35">
      <c r="A339" t="s">
        <v>39</v>
      </c>
      <c r="B339" s="10">
        <f t="shared" si="23"/>
        <v>46139.113136178406</v>
      </c>
      <c r="C339" s="10">
        <f t="shared" si="23"/>
        <v>174502.69921009146</v>
      </c>
      <c r="D339" s="10">
        <f t="shared" si="23"/>
        <v>251133.29949414972</v>
      </c>
      <c r="E339" s="10">
        <f t="shared" si="23"/>
        <v>281177.05773070944</v>
      </c>
      <c r="F339" s="10">
        <f t="shared" si="23"/>
        <v>28840.060428870987</v>
      </c>
      <c r="G339" s="10">
        <v>781792.23</v>
      </c>
      <c r="H339" s="10">
        <v>779436.84000000008</v>
      </c>
      <c r="I339" s="10">
        <v>1191526.9000000001</v>
      </c>
      <c r="J339" s="10">
        <v>339669.24000000022</v>
      </c>
      <c r="K339" s="10">
        <v>138665.77999999933</v>
      </c>
      <c r="L339" s="10">
        <v>1162522.6200000006</v>
      </c>
      <c r="M339" s="10">
        <v>0</v>
      </c>
      <c r="N339" s="10">
        <v>41114.829999999143</v>
      </c>
      <c r="O339" s="10">
        <f t="shared" si="21"/>
        <v>4434728.4399999995</v>
      </c>
      <c r="Q339" s="10">
        <v>179166.28</v>
      </c>
      <c r="R339" s="10">
        <v>677624.62999999989</v>
      </c>
      <c r="S339" s="10">
        <v>975194.71</v>
      </c>
      <c r="T339" s="10">
        <v>1091859.9000000001</v>
      </c>
      <c r="U339" s="10">
        <v>111991.02000000002</v>
      </c>
      <c r="V339" s="10">
        <v>276177.93999999994</v>
      </c>
      <c r="W339" s="10">
        <v>4631.679999999702</v>
      </c>
      <c r="X339" s="10">
        <v>0</v>
      </c>
      <c r="Y339" s="10">
        <f t="shared" si="22"/>
        <v>3316646.1599999997</v>
      </c>
    </row>
    <row r="340" spans="1:25" x14ac:dyDescent="0.35">
      <c r="A340" t="s">
        <v>40</v>
      </c>
      <c r="B340" s="10">
        <f t="shared" si="23"/>
        <v>42427.242022058541</v>
      </c>
      <c r="C340" s="10">
        <f t="shared" si="23"/>
        <v>23062.990652586985</v>
      </c>
      <c r="D340" s="10">
        <f t="shared" si="23"/>
        <v>264.87778161976502</v>
      </c>
      <c r="E340" s="10">
        <f t="shared" si="23"/>
        <v>99992.622535550065</v>
      </c>
      <c r="F340" s="10">
        <f t="shared" si="23"/>
        <v>17824.327008184679</v>
      </c>
      <c r="G340" s="10">
        <v>183572.06000000003</v>
      </c>
      <c r="H340" s="10">
        <v>55000</v>
      </c>
      <c r="I340" s="10">
        <v>12841.50999999998</v>
      </c>
      <c r="J340" s="10">
        <v>-251413.57</v>
      </c>
      <c r="K340" s="10">
        <v>817294.91</v>
      </c>
      <c r="L340" s="10">
        <v>-90420.270000000019</v>
      </c>
      <c r="M340" s="10">
        <v>0</v>
      </c>
      <c r="N340" s="10">
        <v>41005.130000000005</v>
      </c>
      <c r="O340" s="10">
        <f t="shared" si="21"/>
        <v>767879.77</v>
      </c>
      <c r="Q340" s="10">
        <v>116845.68</v>
      </c>
      <c r="R340" s="10">
        <v>63516.049999999959</v>
      </c>
      <c r="S340" s="10">
        <v>729.48000000003958</v>
      </c>
      <c r="T340" s="10">
        <v>275382.17000000004</v>
      </c>
      <c r="U340" s="10">
        <v>49088.640000000014</v>
      </c>
      <c r="V340" s="10">
        <v>105772.40000000002</v>
      </c>
      <c r="W340" s="10">
        <v>5605.4799999999814</v>
      </c>
      <c r="X340" s="10">
        <v>235529.5299999998</v>
      </c>
      <c r="Y340" s="10">
        <f t="shared" si="22"/>
        <v>852469.42999999982</v>
      </c>
    </row>
    <row r="341" spans="1:25" x14ac:dyDescent="0.35">
      <c r="B341" s="10">
        <f t="shared" si="23"/>
        <v>0</v>
      </c>
      <c r="C341" s="10">
        <f t="shared" si="23"/>
        <v>0</v>
      </c>
      <c r="D341" s="10">
        <f t="shared" si="23"/>
        <v>0</v>
      </c>
      <c r="E341" s="10">
        <f t="shared" si="23"/>
        <v>0</v>
      </c>
      <c r="F341" s="10">
        <f t="shared" si="23"/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f t="shared" si="21"/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f t="shared" si="22"/>
        <v>0</v>
      </c>
    </row>
    <row r="342" spans="1:25" ht="15" thickBot="1" x14ac:dyDescent="0.4">
      <c r="A342" s="12" t="s">
        <v>41</v>
      </c>
      <c r="B342" s="13">
        <f t="shared" si="23"/>
        <v>4705133.0433120662</v>
      </c>
      <c r="C342" s="13">
        <f t="shared" si="23"/>
        <v>5217865.5201994739</v>
      </c>
      <c r="D342" s="13">
        <f t="shared" si="23"/>
        <v>5246607.9410126163</v>
      </c>
      <c r="E342" s="13">
        <f t="shared" si="23"/>
        <v>5014766.5246579051</v>
      </c>
      <c r="F342" s="13">
        <f t="shared" si="23"/>
        <v>8483963.6108178645</v>
      </c>
      <c r="G342" s="13">
        <v>28668336.639999926</v>
      </c>
      <c r="H342" s="13">
        <v>5942665.630000256</v>
      </c>
      <c r="I342" s="13">
        <v>5443011.8599999398</v>
      </c>
      <c r="J342" s="13">
        <v>5770195.0199997425</v>
      </c>
      <c r="K342" s="13">
        <v>5128017.8500001058</v>
      </c>
      <c r="L342" s="13">
        <v>1782101.2200002819</v>
      </c>
      <c r="M342" s="13">
        <v>7492663.1799996123</v>
      </c>
      <c r="N342" s="13">
        <v>5123517.479999952</v>
      </c>
      <c r="O342" s="13">
        <f t="shared" si="21"/>
        <v>65350508.879999816</v>
      </c>
      <c r="P342" s="14"/>
      <c r="Q342" s="13">
        <v>4739963.350000008</v>
      </c>
      <c r="R342" s="13">
        <v>5256491.3899999699</v>
      </c>
      <c r="S342" s="13">
        <v>5285446.5800000113</v>
      </c>
      <c r="T342" s="13">
        <v>5051888.9299999885</v>
      </c>
      <c r="U342" s="13">
        <v>8546767.1599999964</v>
      </c>
      <c r="V342" s="13">
        <v>2785035.5499999486</v>
      </c>
      <c r="W342" s="13">
        <v>-3476429.790000014</v>
      </c>
      <c r="X342" s="13">
        <v>1007778.9599999972</v>
      </c>
      <c r="Y342" s="13">
        <f t="shared" si="22"/>
        <v>29196942.129999906</v>
      </c>
    </row>
    <row r="343" spans="1:25" ht="15" thickTop="1" x14ac:dyDescent="0.35">
      <c r="A343" t="s">
        <v>42</v>
      </c>
      <c r="B343" s="10">
        <f t="shared" si="23"/>
        <v>871360.49793686497</v>
      </c>
      <c r="C343" s="10">
        <f t="shared" si="23"/>
        <v>1062908.4527775943</v>
      </c>
      <c r="D343" s="10">
        <f t="shared" si="23"/>
        <v>947960.51293053338</v>
      </c>
      <c r="E343" s="10">
        <f t="shared" si="23"/>
        <v>892250.54909918387</v>
      </c>
      <c r="F343" s="10">
        <f t="shared" si="23"/>
        <v>1708708.8272558241</v>
      </c>
      <c r="G343" s="10">
        <v>5483188.8400000008</v>
      </c>
      <c r="H343" s="10">
        <v>1183591.4999999981</v>
      </c>
      <c r="I343" s="10">
        <v>1005426.5500000007</v>
      </c>
      <c r="J343" s="10">
        <v>1099129.7700000005</v>
      </c>
      <c r="K343" s="10">
        <v>1001079.9199999999</v>
      </c>
      <c r="L343" s="10">
        <v>70879.410000000149</v>
      </c>
      <c r="M343" s="10">
        <v>1495479.0999999996</v>
      </c>
      <c r="N343" s="10">
        <v>918297.54000000097</v>
      </c>
      <c r="O343" s="10">
        <f t="shared" si="21"/>
        <v>12257072.630000001</v>
      </c>
      <c r="Q343" s="10">
        <v>877591.35</v>
      </c>
      <c r="R343" s="10">
        <v>1070509.0099999998</v>
      </c>
      <c r="S343" s="10">
        <v>954739.10999999987</v>
      </c>
      <c r="T343" s="10">
        <v>898630.78000000073</v>
      </c>
      <c r="U343" s="10">
        <v>1720927.3200000008</v>
      </c>
      <c r="V343" s="10">
        <v>465617.0999999987</v>
      </c>
      <c r="W343" s="10">
        <v>-1200775.830000001</v>
      </c>
      <c r="X343" s="10">
        <v>-13019.549999998882</v>
      </c>
      <c r="Y343" s="10">
        <f t="shared" si="22"/>
        <v>4774219.29</v>
      </c>
    </row>
    <row r="344" spans="1:25" ht="15" thickBot="1" x14ac:dyDescent="0.4">
      <c r="A344" s="12" t="s">
        <v>43</v>
      </c>
      <c r="B344" s="13">
        <f t="shared" si="23"/>
        <v>3833763.7164906738</v>
      </c>
      <c r="C344" s="13">
        <f t="shared" si="23"/>
        <v>4154977.1400354817</v>
      </c>
      <c r="D344" s="13">
        <f t="shared" si="23"/>
        <v>4298630.2627559286</v>
      </c>
      <c r="E344" s="13">
        <f t="shared" si="23"/>
        <v>4122495.2958153947</v>
      </c>
      <c r="F344" s="13">
        <f t="shared" si="23"/>
        <v>6775281.3849024475</v>
      </c>
      <c r="G344" s="13">
        <v>23185147.799999926</v>
      </c>
      <c r="H344" s="13">
        <v>4759074.130000256</v>
      </c>
      <c r="I344" s="13">
        <v>4437585.3099999353</v>
      </c>
      <c r="J344" s="13">
        <v>4671065.249999743</v>
      </c>
      <c r="K344" s="13">
        <v>4126937.9300001115</v>
      </c>
      <c r="L344" s="13">
        <v>1711221.8100002781</v>
      </c>
      <c r="M344" s="13">
        <v>5997184.0799996108</v>
      </c>
      <c r="N344" s="13">
        <v>4205219.9399999529</v>
      </c>
      <c r="O344" s="13">
        <f t="shared" si="21"/>
        <v>53093436.249999814</v>
      </c>
      <c r="P344" s="14"/>
      <c r="Q344" s="13">
        <v>3862372.0000000079</v>
      </c>
      <c r="R344" s="13">
        <v>4185982.3799999687</v>
      </c>
      <c r="S344" s="13">
        <v>4330707.4700000137</v>
      </c>
      <c r="T344" s="13">
        <v>4153258.1499999873</v>
      </c>
      <c r="U344" s="13">
        <v>6825839.8399999961</v>
      </c>
      <c r="V344" s="13">
        <v>2319418.4499999471</v>
      </c>
      <c r="W344" s="13">
        <v>-2275653.9600000083</v>
      </c>
      <c r="X344" s="13">
        <v>1020798.5099999905</v>
      </c>
      <c r="Y344" s="13">
        <f t="shared" si="22"/>
        <v>24422722.839999903</v>
      </c>
    </row>
    <row r="345" spans="1:25" ht="15" thickTop="1" x14ac:dyDescent="0.35"/>
    <row r="346" spans="1:25" x14ac:dyDescent="0.35">
      <c r="A346" s="15"/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Q346" s="16"/>
      <c r="R346" s="15"/>
      <c r="S346" s="15"/>
      <c r="T346" s="15"/>
      <c r="U346" s="15"/>
      <c r="V346" s="15"/>
      <c r="W346" s="15"/>
      <c r="X346" s="15"/>
      <c r="Y346" s="15"/>
    </row>
    <row r="347" spans="1:25" x14ac:dyDescent="0.35">
      <c r="A347" s="15"/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Q347" s="16"/>
      <c r="R347" s="15"/>
      <c r="S347" s="15"/>
      <c r="T347" s="15"/>
      <c r="U347" s="15"/>
      <c r="V347" s="15"/>
      <c r="W347" s="15"/>
      <c r="X347" s="15"/>
      <c r="Y347" s="15"/>
    </row>
    <row r="349" spans="1:25" ht="23.5" x14ac:dyDescent="0.35">
      <c r="A349" s="1" t="s">
        <v>49</v>
      </c>
      <c r="B349" s="2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4"/>
      <c r="Q349" s="3"/>
      <c r="R349" s="5"/>
      <c r="S349" s="5"/>
      <c r="T349" s="5"/>
      <c r="U349" s="5"/>
      <c r="V349" s="5"/>
      <c r="W349" s="5"/>
      <c r="X349" s="5"/>
      <c r="Y349" s="5"/>
    </row>
    <row r="350" spans="1:25" ht="23.5" x14ac:dyDescent="0.35">
      <c r="A350" s="1"/>
      <c r="B350" s="2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4"/>
      <c r="Q350" s="3"/>
      <c r="R350" s="5"/>
      <c r="S350" s="5"/>
      <c r="T350" s="5"/>
      <c r="U350" s="5"/>
      <c r="V350" s="5"/>
      <c r="W350" s="5"/>
      <c r="X350" s="5"/>
      <c r="Y350" s="5"/>
    </row>
    <row r="352" spans="1:25" s="9" customFormat="1" x14ac:dyDescent="0.35">
      <c r="A352" s="6" t="s">
        <v>1</v>
      </c>
      <c r="B352" s="7">
        <v>45658</v>
      </c>
      <c r="C352" s="7">
        <v>45689</v>
      </c>
      <c r="D352" s="7">
        <v>45717</v>
      </c>
      <c r="E352" s="7">
        <v>45748</v>
      </c>
      <c r="F352" s="7">
        <v>45778</v>
      </c>
      <c r="G352" s="7" t="s">
        <v>2</v>
      </c>
      <c r="H352" s="7">
        <v>45809</v>
      </c>
      <c r="I352" s="7">
        <v>45839</v>
      </c>
      <c r="J352" s="7">
        <v>45870</v>
      </c>
      <c r="K352" s="7">
        <v>45901</v>
      </c>
      <c r="L352" s="7">
        <v>45931</v>
      </c>
      <c r="M352" s="7">
        <v>45962</v>
      </c>
      <c r="N352" s="7">
        <v>45992</v>
      </c>
      <c r="O352" s="7" t="s">
        <v>3</v>
      </c>
      <c r="P352" s="8"/>
      <c r="Q352" s="7">
        <v>46023</v>
      </c>
      <c r="R352" s="7">
        <v>46054</v>
      </c>
      <c r="S352" s="7">
        <v>46082</v>
      </c>
      <c r="T352" s="7">
        <v>46113</v>
      </c>
      <c r="U352" s="7">
        <v>46143</v>
      </c>
      <c r="V352" s="7">
        <v>46174</v>
      </c>
      <c r="W352" s="7">
        <v>46204</v>
      </c>
      <c r="X352" s="7">
        <v>46235</v>
      </c>
      <c r="Y352" s="7" t="s">
        <v>3</v>
      </c>
    </row>
    <row r="353" spans="1:25" x14ac:dyDescent="0.35">
      <c r="A353" t="s">
        <v>4</v>
      </c>
      <c r="B353" s="10">
        <f t="shared" ref="B353:F384" si="24">IF(OR(SUM($Q353:$U353)=0,COUNTIF($Q353:$U353,"&lt;0")*COUNTIF($Q353:$U353,"&gt;0")&gt;0),$G353/5,$G353*Q353/SUM($Q353:$U353))</f>
        <v>0</v>
      </c>
      <c r="C353" s="10">
        <f t="shared" si="24"/>
        <v>0</v>
      </c>
      <c r="D353" s="10">
        <f t="shared" si="24"/>
        <v>0</v>
      </c>
      <c r="E353" s="10">
        <f t="shared" si="24"/>
        <v>0</v>
      </c>
      <c r="F353" s="10">
        <f t="shared" si="24"/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f t="shared" ref="O353:O402" si="25">SUM(B353:F353,H353:N353)</f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f t="shared" ref="Y353:Y402" si="26">SUM(Q353:X353)</f>
        <v>0</v>
      </c>
    </row>
    <row r="354" spans="1:25" x14ac:dyDescent="0.35">
      <c r="A354" t="s">
        <v>5</v>
      </c>
      <c r="B354" s="10">
        <f t="shared" si="24"/>
        <v>61920274.393228866</v>
      </c>
      <c r="C354" s="10">
        <f t="shared" si="24"/>
        <v>89078065.093210056</v>
      </c>
      <c r="D354" s="10">
        <f t="shared" si="24"/>
        <v>71176292.755058065</v>
      </c>
      <c r="E354" s="10">
        <f t="shared" si="24"/>
        <v>64074604.194775447</v>
      </c>
      <c r="F354" s="10">
        <f t="shared" si="24"/>
        <v>60940807.243727565</v>
      </c>
      <c r="G354" s="10">
        <v>347190043.68000001</v>
      </c>
      <c r="H354" s="10">
        <v>56601309.75</v>
      </c>
      <c r="I354" s="10">
        <v>63438705.469999909</v>
      </c>
      <c r="J354" s="10">
        <v>62968184.500000119</v>
      </c>
      <c r="K354" s="10">
        <v>60291605.709999979</v>
      </c>
      <c r="L354" s="10">
        <v>55853686.809999943</v>
      </c>
      <c r="M354" s="10">
        <v>52458789.199999928</v>
      </c>
      <c r="N354" s="10">
        <v>44931474.420000196</v>
      </c>
      <c r="O354" s="10">
        <f t="shared" si="25"/>
        <v>743733799.54000008</v>
      </c>
      <c r="Q354" s="10">
        <v>55492142.020000003</v>
      </c>
      <c r="R354" s="10">
        <v>79830599.710000008</v>
      </c>
      <c r="S354" s="10">
        <v>63787264.909999996</v>
      </c>
      <c r="T354" s="10">
        <v>57422824.280000031</v>
      </c>
      <c r="U354" s="10">
        <v>54614356.339999944</v>
      </c>
      <c r="V354" s="10">
        <v>46968743.110000014</v>
      </c>
      <c r="W354" s="10">
        <v>50295105.349999964</v>
      </c>
      <c r="X354" s="10">
        <v>50302519.370000005</v>
      </c>
      <c r="Y354" s="10">
        <f t="shared" si="26"/>
        <v>458713555.08999997</v>
      </c>
    </row>
    <row r="355" spans="1:25" x14ac:dyDescent="0.35">
      <c r="A355" t="s">
        <v>6</v>
      </c>
      <c r="B355" s="10">
        <f t="shared" si="24"/>
        <v>4448873.9815716706</v>
      </c>
      <c r="C355" s="10">
        <f t="shared" si="24"/>
        <v>5994821.2555025779</v>
      </c>
      <c r="D355" s="10">
        <f t="shared" si="24"/>
        <v>6055951.6320379227</v>
      </c>
      <c r="E355" s="10">
        <f t="shared" si="24"/>
        <v>18030768.945589386</v>
      </c>
      <c r="F355" s="10">
        <f t="shared" si="24"/>
        <v>15657300.025298437</v>
      </c>
      <c r="G355" s="10">
        <v>50187715.839999996</v>
      </c>
      <c r="H355" s="10">
        <v>2767734.4799999967</v>
      </c>
      <c r="I355" s="10">
        <v>6321110.6200000122</v>
      </c>
      <c r="J355" s="10">
        <v>5885393.2800000012</v>
      </c>
      <c r="K355" s="10">
        <v>4123544.2599999979</v>
      </c>
      <c r="L355" s="10">
        <v>7907965.8600000143</v>
      </c>
      <c r="M355" s="10">
        <v>5595818.5199999809</v>
      </c>
      <c r="N355" s="10">
        <v>6450448.6100000143</v>
      </c>
      <c r="O355" s="10">
        <f t="shared" si="25"/>
        <v>89239731.470000014</v>
      </c>
      <c r="Q355" s="10">
        <v>4299628.6399999997</v>
      </c>
      <c r="R355" s="10">
        <v>5793714.3799999999</v>
      </c>
      <c r="S355" s="10">
        <v>5852794.0299999975</v>
      </c>
      <c r="T355" s="10">
        <v>17425894.930000011</v>
      </c>
      <c r="U355" s="10">
        <v>15132048.219999995</v>
      </c>
      <c r="V355" s="10">
        <v>5948777.9499999955</v>
      </c>
      <c r="W355" s="10">
        <v>4172055.8900000006</v>
      </c>
      <c r="X355" s="10">
        <v>4936154.7600000054</v>
      </c>
      <c r="Y355" s="10">
        <f t="shared" si="26"/>
        <v>63561068.800000004</v>
      </c>
    </row>
    <row r="356" spans="1:25" ht="15" thickBot="1" x14ac:dyDescent="0.4">
      <c r="A356" s="12" t="s">
        <v>7</v>
      </c>
      <c r="B356" s="13">
        <f t="shared" si="24"/>
        <v>57889566.613933541</v>
      </c>
      <c r="C356" s="13">
        <f t="shared" si="24"/>
        <v>83722461.004886776</v>
      </c>
      <c r="D356" s="13">
        <f t="shared" si="24"/>
        <v>65513513.399031952</v>
      </c>
      <c r="E356" s="13">
        <f t="shared" si="24"/>
        <v>45229365.645176686</v>
      </c>
      <c r="F356" s="13">
        <f t="shared" si="24"/>
        <v>44647421.176971018</v>
      </c>
      <c r="G356" s="13">
        <v>297002327.83999997</v>
      </c>
      <c r="H356" s="13">
        <v>53833575.270000041</v>
      </c>
      <c r="I356" s="13">
        <v>57117594.849999964</v>
      </c>
      <c r="J356" s="13">
        <v>57082791.220000029</v>
      </c>
      <c r="K356" s="13">
        <v>56168061.450000048</v>
      </c>
      <c r="L356" s="13">
        <v>47945720.949999869</v>
      </c>
      <c r="M356" s="13">
        <v>46862970.679999948</v>
      </c>
      <c r="N356" s="13">
        <v>38481025.810000181</v>
      </c>
      <c r="O356" s="13">
        <f t="shared" si="25"/>
        <v>654494068.07000005</v>
      </c>
      <c r="P356" s="14"/>
      <c r="Q356" s="13">
        <v>51192513.380000003</v>
      </c>
      <c r="R356" s="13">
        <v>74036885.330000013</v>
      </c>
      <c r="S356" s="13">
        <v>57934470.879999995</v>
      </c>
      <c r="T356" s="13">
        <v>39996929.350000024</v>
      </c>
      <c r="U356" s="13">
        <v>39482308.119999915</v>
      </c>
      <c r="V356" s="13">
        <v>41019965.160000086</v>
      </c>
      <c r="W356" s="13">
        <v>46123049.459999979</v>
      </c>
      <c r="X356" s="13">
        <v>45366364.609999955</v>
      </c>
      <c r="Y356" s="13">
        <f t="shared" si="26"/>
        <v>395152486.28999996</v>
      </c>
    </row>
    <row r="357" spans="1:25" ht="15" thickTop="1" x14ac:dyDescent="0.35">
      <c r="B357" s="10">
        <f t="shared" si="24"/>
        <v>0</v>
      </c>
      <c r="C357" s="10">
        <f t="shared" si="24"/>
        <v>0</v>
      </c>
      <c r="D357" s="10">
        <f t="shared" si="24"/>
        <v>0</v>
      </c>
      <c r="E357" s="10">
        <f t="shared" si="24"/>
        <v>0</v>
      </c>
      <c r="F357" s="10">
        <f t="shared" si="24"/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f t="shared" si="25"/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f t="shared" si="26"/>
        <v>0</v>
      </c>
    </row>
    <row r="358" spans="1:25" x14ac:dyDescent="0.35">
      <c r="A358" t="s">
        <v>4</v>
      </c>
      <c r="B358" s="10">
        <f t="shared" si="24"/>
        <v>0</v>
      </c>
      <c r="C358" s="10">
        <f t="shared" si="24"/>
        <v>113322.76929860402</v>
      </c>
      <c r="D358" s="10">
        <f t="shared" si="24"/>
        <v>6567967.7997657284</v>
      </c>
      <c r="E358" s="10">
        <f t="shared" si="24"/>
        <v>2057971.5289445911</v>
      </c>
      <c r="F358" s="10">
        <f t="shared" si="24"/>
        <v>1287527.851991076</v>
      </c>
      <c r="G358" s="10">
        <v>10026789.949999999</v>
      </c>
      <c r="H358" s="10">
        <v>1420836.4600000009</v>
      </c>
      <c r="I358" s="10">
        <v>602452.14999999851</v>
      </c>
      <c r="J358" s="10">
        <v>205273.77999999933</v>
      </c>
      <c r="K358" s="10">
        <v>1322823.3200000003</v>
      </c>
      <c r="L358" s="10">
        <v>513374.12000000291</v>
      </c>
      <c r="M358" s="10">
        <v>0</v>
      </c>
      <c r="N358" s="10">
        <v>25724.470000000671</v>
      </c>
      <c r="O358" s="10">
        <f t="shared" si="25"/>
        <v>14117274.250000002</v>
      </c>
      <c r="Q358" s="10">
        <v>0</v>
      </c>
      <c r="R358" s="10">
        <v>78700.679999999993</v>
      </c>
      <c r="S358" s="10">
        <v>4561338.6899999995</v>
      </c>
      <c r="T358" s="10">
        <v>1429225.2100000009</v>
      </c>
      <c r="U358" s="10">
        <v>894165.55999999959</v>
      </c>
      <c r="V358" s="10">
        <v>1688739.9699999997</v>
      </c>
      <c r="W358" s="10">
        <v>10148.730000000447</v>
      </c>
      <c r="X358" s="10">
        <v>725675.41999999993</v>
      </c>
      <c r="Y358" s="10">
        <f t="shared" si="26"/>
        <v>9387994.2599999998</v>
      </c>
    </row>
    <row r="359" spans="1:25" x14ac:dyDescent="0.35">
      <c r="A359" t="s">
        <v>8</v>
      </c>
      <c r="B359" s="10">
        <f t="shared" si="24"/>
        <v>0</v>
      </c>
      <c r="C359" s="10">
        <f t="shared" si="24"/>
        <v>250281.77437412174</v>
      </c>
      <c r="D359" s="10">
        <f t="shared" si="24"/>
        <v>1587595.9905441136</v>
      </c>
      <c r="E359" s="10">
        <f t="shared" si="24"/>
        <v>4287897.5139561659</v>
      </c>
      <c r="F359" s="10">
        <f t="shared" si="24"/>
        <v>2833343.7411255967</v>
      </c>
      <c r="G359" s="10">
        <v>8959119.0199999977</v>
      </c>
      <c r="H359" s="10">
        <v>1429742.160000002</v>
      </c>
      <c r="I359" s="10">
        <v>927348.30000000075</v>
      </c>
      <c r="J359" s="10">
        <v>205273.77999999933</v>
      </c>
      <c r="K359" s="10">
        <v>2063397.8399999999</v>
      </c>
      <c r="L359" s="10">
        <v>-1712469.8499999978</v>
      </c>
      <c r="M359" s="10">
        <v>0</v>
      </c>
      <c r="N359" s="10">
        <v>19053.509999999776</v>
      </c>
      <c r="O359" s="10">
        <f t="shared" si="25"/>
        <v>11891464.760000002</v>
      </c>
      <c r="Q359" s="10">
        <v>0</v>
      </c>
      <c r="R359" s="10">
        <v>78700.679999999993</v>
      </c>
      <c r="S359" s="10">
        <v>499216.87000000005</v>
      </c>
      <c r="T359" s="10">
        <v>1348322.1099999999</v>
      </c>
      <c r="U359" s="10">
        <v>890940.1399999999</v>
      </c>
      <c r="V359" s="10">
        <v>1735959.3500000006</v>
      </c>
      <c r="W359" s="10">
        <v>289922.87000000011</v>
      </c>
      <c r="X359" s="10">
        <v>878642.87999999989</v>
      </c>
      <c r="Y359" s="10">
        <f t="shared" si="26"/>
        <v>5721704.9000000004</v>
      </c>
    </row>
    <row r="360" spans="1:25" x14ac:dyDescent="0.35">
      <c r="A360" t="s">
        <v>9</v>
      </c>
      <c r="B360" s="10">
        <f t="shared" si="24"/>
        <v>0</v>
      </c>
      <c r="C360" s="10">
        <f t="shared" si="24"/>
        <v>0</v>
      </c>
      <c r="D360" s="10">
        <f t="shared" si="24"/>
        <v>1865325.816961383</v>
      </c>
      <c r="E360" s="10">
        <f t="shared" si="24"/>
        <v>479157.34058971878</v>
      </c>
      <c r="F360" s="10">
        <f t="shared" si="24"/>
        <v>1481.1124488983062</v>
      </c>
      <c r="G360" s="10">
        <v>2345964.27</v>
      </c>
      <c r="H360" s="10">
        <v>0</v>
      </c>
      <c r="I360" s="10">
        <v>788930.10000000009</v>
      </c>
      <c r="J360" s="10">
        <v>0</v>
      </c>
      <c r="K360" s="10">
        <v>73606.60999999987</v>
      </c>
      <c r="L360" s="10">
        <v>2386332.7899999996</v>
      </c>
      <c r="M360" s="10">
        <v>0</v>
      </c>
      <c r="N360" s="10">
        <v>6670.9600000008941</v>
      </c>
      <c r="O360" s="10">
        <f t="shared" si="25"/>
        <v>5601504.7300000004</v>
      </c>
      <c r="Q360" s="10">
        <v>0</v>
      </c>
      <c r="R360" s="10">
        <v>0</v>
      </c>
      <c r="S360" s="10">
        <v>4062121.82</v>
      </c>
      <c r="T360" s="10">
        <v>1043461.3999999999</v>
      </c>
      <c r="U360" s="10">
        <v>3225.4199999999255</v>
      </c>
      <c r="V360" s="10">
        <v>0</v>
      </c>
      <c r="W360" s="10">
        <v>0</v>
      </c>
      <c r="X360" s="10">
        <v>0</v>
      </c>
      <c r="Y360" s="10">
        <f t="shared" si="26"/>
        <v>5108808.6399999997</v>
      </c>
    </row>
    <row r="361" spans="1:25" x14ac:dyDescent="0.35">
      <c r="A361" t="s">
        <v>10</v>
      </c>
      <c r="B361" s="10">
        <f t="shared" si="24"/>
        <v>0</v>
      </c>
      <c r="C361" s="10">
        <f t="shared" si="24"/>
        <v>0</v>
      </c>
      <c r="D361" s="10">
        <f t="shared" si="24"/>
        <v>0</v>
      </c>
      <c r="E361" s="10">
        <f t="shared" si="24"/>
        <v>1278293.3400000001</v>
      </c>
      <c r="F361" s="10">
        <f t="shared" si="24"/>
        <v>0</v>
      </c>
      <c r="G361" s="10">
        <v>1278293.3400000001</v>
      </c>
      <c r="H361" s="10">
        <v>8905.7000000001863</v>
      </c>
      <c r="I361" s="10">
        <v>1113826.2500000002</v>
      </c>
      <c r="J361" s="10">
        <v>0</v>
      </c>
      <c r="K361" s="10">
        <v>814181.12999999942</v>
      </c>
      <c r="L361" s="10">
        <v>160488.8200000003</v>
      </c>
      <c r="M361" s="10">
        <v>0</v>
      </c>
      <c r="N361" s="10">
        <v>0</v>
      </c>
      <c r="O361" s="10">
        <f t="shared" si="25"/>
        <v>3375695.24</v>
      </c>
      <c r="Q361" s="10">
        <v>0</v>
      </c>
      <c r="R361" s="10">
        <v>0</v>
      </c>
      <c r="S361" s="10">
        <v>0</v>
      </c>
      <c r="T361" s="10">
        <v>962558.29999999993</v>
      </c>
      <c r="U361" s="10">
        <v>0</v>
      </c>
      <c r="V361" s="10">
        <v>47219.380000000005</v>
      </c>
      <c r="W361" s="10">
        <v>279774.1399999999</v>
      </c>
      <c r="X361" s="10">
        <v>152967.4600000002</v>
      </c>
      <c r="Y361" s="10">
        <f t="shared" si="26"/>
        <v>1442519.28</v>
      </c>
    </row>
    <row r="362" spans="1:25" ht="15" thickBot="1" x14ac:dyDescent="0.4">
      <c r="A362" s="12" t="s">
        <v>11</v>
      </c>
      <c r="B362" s="13">
        <f t="shared" si="24"/>
        <v>58298260.805354722</v>
      </c>
      <c r="C362" s="13">
        <f t="shared" si="24"/>
        <v>84403157.369505957</v>
      </c>
      <c r="D362" s="13">
        <f t="shared" si="24"/>
        <v>71170504.532740071</v>
      </c>
      <c r="E362" s="13">
        <f t="shared" si="24"/>
        <v>47176288.157114379</v>
      </c>
      <c r="F362" s="13">
        <f t="shared" si="24"/>
        <v>45980906.925284848</v>
      </c>
      <c r="G362" s="13">
        <v>307029117.78999996</v>
      </c>
      <c r="H362" s="13">
        <v>55254411.730000079</v>
      </c>
      <c r="I362" s="13">
        <v>57720046.999999881</v>
      </c>
      <c r="J362" s="13">
        <v>57288065.00000006</v>
      </c>
      <c r="K362" s="13">
        <v>57490884.7700001</v>
      </c>
      <c r="L362" s="13">
        <v>48459095.069999814</v>
      </c>
      <c r="M362" s="13">
        <v>46862970.679999948</v>
      </c>
      <c r="N362" s="13">
        <v>38506750.28000021</v>
      </c>
      <c r="O362" s="13">
        <f t="shared" si="25"/>
        <v>668611342.32000005</v>
      </c>
      <c r="P362" s="14"/>
      <c r="Q362" s="13">
        <v>51192513.380000003</v>
      </c>
      <c r="R362" s="13">
        <v>74115586.00999999</v>
      </c>
      <c r="S362" s="13">
        <v>62495809.570000052</v>
      </c>
      <c r="T362" s="13">
        <v>41426154.559999973</v>
      </c>
      <c r="U362" s="13">
        <v>40376473.679999977</v>
      </c>
      <c r="V362" s="13">
        <v>42708705.130000055</v>
      </c>
      <c r="W362" s="13">
        <v>46133198.189999938</v>
      </c>
      <c r="X362" s="13">
        <v>46092040.029999971</v>
      </c>
      <c r="Y362" s="13">
        <f t="shared" si="26"/>
        <v>404540480.54999995</v>
      </c>
    </row>
    <row r="363" spans="1:25" ht="15" thickTop="1" x14ac:dyDescent="0.35">
      <c r="B363" s="10">
        <f t="shared" si="24"/>
        <v>0</v>
      </c>
      <c r="C363" s="10">
        <f t="shared" si="24"/>
        <v>0</v>
      </c>
      <c r="D363" s="10">
        <f t="shared" si="24"/>
        <v>0</v>
      </c>
      <c r="E363" s="10">
        <f t="shared" si="24"/>
        <v>0</v>
      </c>
      <c r="F363" s="10">
        <f t="shared" si="24"/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f t="shared" si="25"/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f t="shared" si="26"/>
        <v>0</v>
      </c>
    </row>
    <row r="364" spans="1:25" x14ac:dyDescent="0.35">
      <c r="A364" t="s">
        <v>12</v>
      </c>
      <c r="B364" s="10">
        <f t="shared" si="24"/>
        <v>21467625.170211151</v>
      </c>
      <c r="C364" s="10">
        <f t="shared" si="24"/>
        <v>31306713.324258335</v>
      </c>
      <c r="D364" s="10">
        <f t="shared" si="24"/>
        <v>38841474.205574378</v>
      </c>
      <c r="E364" s="10">
        <f t="shared" si="24"/>
        <v>17812035.654172834</v>
      </c>
      <c r="F364" s="10">
        <f t="shared" si="24"/>
        <v>18640650.655783303</v>
      </c>
      <c r="G364" s="10">
        <v>128068499.01000001</v>
      </c>
      <c r="H364" s="10">
        <v>24480039.600000009</v>
      </c>
      <c r="I364" s="10">
        <v>27234464.199999988</v>
      </c>
      <c r="J364" s="10">
        <v>20124405.030000001</v>
      </c>
      <c r="K364" s="10">
        <v>21237598.979999989</v>
      </c>
      <c r="L364" s="10">
        <v>23685551.930000007</v>
      </c>
      <c r="M364" s="10">
        <v>23183097.069999993</v>
      </c>
      <c r="N364" s="10">
        <v>23708609.540000021</v>
      </c>
      <c r="O364" s="10">
        <f t="shared" si="25"/>
        <v>291722265.36000001</v>
      </c>
      <c r="Q364" s="10">
        <v>18254565.34</v>
      </c>
      <c r="R364" s="10">
        <v>26621037.000000004</v>
      </c>
      <c r="S364" s="10">
        <v>33028070.090000004</v>
      </c>
      <c r="T364" s="10">
        <v>15146107.969999999</v>
      </c>
      <c r="U364" s="10">
        <v>15850704.149999991</v>
      </c>
      <c r="V364" s="10">
        <v>21920937.409999996</v>
      </c>
      <c r="W364" s="10">
        <v>23762794.780000016</v>
      </c>
      <c r="X364" s="10">
        <v>19178661.769999981</v>
      </c>
      <c r="Y364" s="10">
        <f t="shared" si="26"/>
        <v>173762878.50999999</v>
      </c>
    </row>
    <row r="365" spans="1:25" x14ac:dyDescent="0.35">
      <c r="B365" s="10">
        <f t="shared" si="24"/>
        <v>0</v>
      </c>
      <c r="C365" s="10">
        <f t="shared" si="24"/>
        <v>0</v>
      </c>
      <c r="D365" s="10">
        <f t="shared" si="24"/>
        <v>0</v>
      </c>
      <c r="E365" s="10">
        <f t="shared" si="24"/>
        <v>0</v>
      </c>
      <c r="F365" s="10">
        <f t="shared" si="24"/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f t="shared" si="25"/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f t="shared" si="26"/>
        <v>0</v>
      </c>
    </row>
    <row r="366" spans="1:25" ht="15" thickBot="1" x14ac:dyDescent="0.4">
      <c r="A366" s="12" t="s">
        <v>13</v>
      </c>
      <c r="B366" s="13">
        <f t="shared" si="24"/>
        <v>36679362.509261966</v>
      </c>
      <c r="C366" s="13">
        <f t="shared" si="24"/>
        <v>52889444.668384358</v>
      </c>
      <c r="D366" s="13">
        <f t="shared" si="24"/>
        <v>32814973.701543655</v>
      </c>
      <c r="E366" s="13">
        <f t="shared" si="24"/>
        <v>29265191.458323278</v>
      </c>
      <c r="F366" s="13">
        <f t="shared" si="24"/>
        <v>27311646.442486744</v>
      </c>
      <c r="G366" s="13">
        <v>178960618.78</v>
      </c>
      <c r="H366" s="13">
        <v>30774372.130000025</v>
      </c>
      <c r="I366" s="13">
        <v>30485582.799999923</v>
      </c>
      <c r="J366" s="13">
        <v>37163659.970000058</v>
      </c>
      <c r="K366" s="13">
        <v>36253285.790000021</v>
      </c>
      <c r="L366" s="13">
        <v>24773543.139999866</v>
      </c>
      <c r="M366" s="13">
        <v>23679873.610000014</v>
      </c>
      <c r="N366" s="13">
        <v>14798140.740000129</v>
      </c>
      <c r="O366" s="13">
        <f t="shared" si="25"/>
        <v>376889076.96000004</v>
      </c>
      <c r="P366" s="14"/>
      <c r="Q366" s="13">
        <v>32937948.040000003</v>
      </c>
      <c r="R366" s="13">
        <v>47494549.010000005</v>
      </c>
      <c r="S366" s="13">
        <v>29467739.480000019</v>
      </c>
      <c r="T366" s="13">
        <v>26280046.590000004</v>
      </c>
      <c r="U366" s="13">
        <v>24525769.529999942</v>
      </c>
      <c r="V366" s="13">
        <v>20787767.720000058</v>
      </c>
      <c r="W366" s="13">
        <v>22370403.409999967</v>
      </c>
      <c r="X366" s="13">
        <v>26913378.25999999</v>
      </c>
      <c r="Y366" s="13">
        <f t="shared" si="26"/>
        <v>230777602.03999999</v>
      </c>
    </row>
    <row r="367" spans="1:25" ht="15" thickTop="1" x14ac:dyDescent="0.35">
      <c r="B367" s="10">
        <f t="shared" si="24"/>
        <v>0</v>
      </c>
      <c r="C367" s="10">
        <f t="shared" si="24"/>
        <v>0</v>
      </c>
      <c r="D367" s="10">
        <f t="shared" si="24"/>
        <v>0</v>
      </c>
      <c r="E367" s="10">
        <f t="shared" si="24"/>
        <v>0</v>
      </c>
      <c r="F367" s="10">
        <f t="shared" si="24"/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f t="shared" si="25"/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f t="shared" si="26"/>
        <v>0</v>
      </c>
    </row>
    <row r="368" spans="1:25" x14ac:dyDescent="0.35">
      <c r="A368" t="s">
        <v>14</v>
      </c>
      <c r="B368" s="10">
        <f t="shared" si="24"/>
        <v>5399633.0379999988</v>
      </c>
      <c r="C368" s="10">
        <f t="shared" si="24"/>
        <v>5399633.0379999988</v>
      </c>
      <c r="D368" s="10">
        <f t="shared" si="24"/>
        <v>5399633.0379999988</v>
      </c>
      <c r="E368" s="10">
        <f t="shared" si="24"/>
        <v>5399633.0379999988</v>
      </c>
      <c r="F368" s="10">
        <f t="shared" si="24"/>
        <v>5399633.0379999988</v>
      </c>
      <c r="G368" s="10">
        <v>26998165.189999994</v>
      </c>
      <c r="H368" s="10">
        <v>-3202225.5699999928</v>
      </c>
      <c r="I368" s="10">
        <v>2216721.1599999927</v>
      </c>
      <c r="J368" s="10">
        <v>7638925.6700000092</v>
      </c>
      <c r="K368" s="10">
        <v>4443104.1499999985</v>
      </c>
      <c r="L368" s="10">
        <v>-3199160.5200000033</v>
      </c>
      <c r="M368" s="10">
        <v>-7245626.0999999978</v>
      </c>
      <c r="N368" s="10">
        <v>-10796070.090000007</v>
      </c>
      <c r="O368" s="10">
        <f t="shared" si="25"/>
        <v>16853833.889999993</v>
      </c>
      <c r="Q368" s="10">
        <v>1184257.5699999998</v>
      </c>
      <c r="R368" s="10">
        <v>16481579.5</v>
      </c>
      <c r="S368" s="10">
        <v>-1458432.3099999987</v>
      </c>
      <c r="T368" s="10">
        <v>-2173653.2800000012</v>
      </c>
      <c r="U368" s="10">
        <v>-4869557.6500000004</v>
      </c>
      <c r="V368" s="10">
        <v>-8047144.2900000038</v>
      </c>
      <c r="W368" s="10">
        <v>-2151335.5299999965</v>
      </c>
      <c r="X368" s="10">
        <v>234537.22000000183</v>
      </c>
      <c r="Y368" s="10">
        <f t="shared" si="26"/>
        <v>-799748.76999999839</v>
      </c>
    </row>
    <row r="369" spans="1:25" x14ac:dyDescent="0.35">
      <c r="A369" t="s">
        <v>15</v>
      </c>
      <c r="B369" s="10">
        <f t="shared" si="24"/>
        <v>4516276.3151184097</v>
      </c>
      <c r="C369" s="10">
        <f t="shared" si="24"/>
        <v>24739146.944684032</v>
      </c>
      <c r="D369" s="10">
        <f t="shared" si="24"/>
        <v>1068282.46520739</v>
      </c>
      <c r="E369" s="10">
        <f t="shared" si="24"/>
        <v>6194641.6457111118</v>
      </c>
      <c r="F369" s="10">
        <f t="shared" si="24"/>
        <v>1749421.5692790544</v>
      </c>
      <c r="G369" s="10">
        <v>38267768.939999998</v>
      </c>
      <c r="H369" s="10">
        <v>374496.45000000298</v>
      </c>
      <c r="I369" s="10">
        <v>3066187.549999997</v>
      </c>
      <c r="J369" s="10">
        <v>8482935.9600000009</v>
      </c>
      <c r="K369" s="10">
        <v>5790683.8900000006</v>
      </c>
      <c r="L369" s="10">
        <v>1271988.3299999982</v>
      </c>
      <c r="M369" s="10">
        <v>377899.70000000298</v>
      </c>
      <c r="N369" s="10">
        <v>-542424.49000000209</v>
      </c>
      <c r="O369" s="10">
        <f t="shared" si="25"/>
        <v>57089536.329999998</v>
      </c>
      <c r="Q369" s="10">
        <v>3329036.03</v>
      </c>
      <c r="R369" s="10">
        <v>18235711.41</v>
      </c>
      <c r="S369" s="10">
        <v>787452</v>
      </c>
      <c r="T369" s="10">
        <v>4566192.0999999978</v>
      </c>
      <c r="U369" s="10">
        <v>1289533.0199999996</v>
      </c>
      <c r="V369" s="10">
        <v>244018.6799999997</v>
      </c>
      <c r="W369" s="10">
        <v>1882063.1900000013</v>
      </c>
      <c r="X369" s="10">
        <v>3531326.7899999991</v>
      </c>
      <c r="Y369" s="10">
        <f t="shared" si="26"/>
        <v>33865333.219999999</v>
      </c>
    </row>
    <row r="370" spans="1:25" x14ac:dyDescent="0.35">
      <c r="A370" t="s">
        <v>16</v>
      </c>
      <c r="B370" s="10">
        <f t="shared" si="24"/>
        <v>1269226.272857263</v>
      </c>
      <c r="C370" s="10">
        <f t="shared" si="24"/>
        <v>1038051.410787337</v>
      </c>
      <c r="D370" s="10">
        <f t="shared" si="24"/>
        <v>1329058.1872264352</v>
      </c>
      <c r="E370" s="10">
        <f t="shared" si="24"/>
        <v>3988471.9987777406</v>
      </c>
      <c r="F370" s="10">
        <f t="shared" si="24"/>
        <v>3644795.880351224</v>
      </c>
      <c r="G370" s="10">
        <v>11269603.75</v>
      </c>
      <c r="H370" s="10">
        <v>3576722.0199999996</v>
      </c>
      <c r="I370" s="10">
        <v>849466.3900000006</v>
      </c>
      <c r="J370" s="10">
        <v>844010.28999999911</v>
      </c>
      <c r="K370" s="10">
        <v>1347579.7400000021</v>
      </c>
      <c r="L370" s="10">
        <v>4471148.8499999978</v>
      </c>
      <c r="M370" s="10">
        <v>7623525.8000000007</v>
      </c>
      <c r="N370" s="10">
        <v>10253645.599999998</v>
      </c>
      <c r="O370" s="10">
        <f t="shared" si="25"/>
        <v>40235702.439999998</v>
      </c>
      <c r="Q370" s="10">
        <v>2144778.46</v>
      </c>
      <c r="R370" s="10">
        <v>1754131.9100000001</v>
      </c>
      <c r="S370" s="10">
        <v>2245884.3099999996</v>
      </c>
      <c r="T370" s="10">
        <v>6739845.3800000008</v>
      </c>
      <c r="U370" s="10">
        <v>6159090.6699999999</v>
      </c>
      <c r="V370" s="10">
        <v>8291162.9699999988</v>
      </c>
      <c r="W370" s="10">
        <v>4033398.7200000025</v>
      </c>
      <c r="X370" s="10">
        <v>3296789.5700000003</v>
      </c>
      <c r="Y370" s="10">
        <f t="shared" si="26"/>
        <v>34665081.990000002</v>
      </c>
    </row>
    <row r="371" spans="1:25" ht="15" thickBot="1" x14ac:dyDescent="0.4">
      <c r="A371" s="12" t="s">
        <v>17</v>
      </c>
      <c r="B371" s="13">
        <f t="shared" si="24"/>
        <v>31841820.813945077</v>
      </c>
      <c r="C371" s="13">
        <f t="shared" si="24"/>
        <v>31099044.030133542</v>
      </c>
      <c r="D371" s="13">
        <f t="shared" si="24"/>
        <v>31012005.408594124</v>
      </c>
      <c r="E371" s="13">
        <f t="shared" si="24"/>
        <v>28532671.300373495</v>
      </c>
      <c r="F371" s="13">
        <f t="shared" si="24"/>
        <v>29476912.03695377</v>
      </c>
      <c r="G371" s="13">
        <v>151962453.59</v>
      </c>
      <c r="H371" s="13">
        <v>33976597.700000018</v>
      </c>
      <c r="I371" s="13">
        <v>28268861.639999926</v>
      </c>
      <c r="J371" s="13">
        <v>29524734.300000042</v>
      </c>
      <c r="K371" s="13">
        <v>31810181.640000075</v>
      </c>
      <c r="L371" s="13">
        <v>27972703.659999847</v>
      </c>
      <c r="M371" s="13">
        <v>30925499.709999979</v>
      </c>
      <c r="N371" s="13">
        <v>25594210.830000162</v>
      </c>
      <c r="O371" s="13">
        <f t="shared" si="25"/>
        <v>360035243.07000005</v>
      </c>
      <c r="P371" s="14"/>
      <c r="Q371" s="13">
        <v>31753690.470000003</v>
      </c>
      <c r="R371" s="13">
        <v>31012969.510000002</v>
      </c>
      <c r="S371" s="13">
        <v>30926171.790000021</v>
      </c>
      <c r="T371" s="13">
        <v>28453699.870000005</v>
      </c>
      <c r="U371" s="13">
        <v>29395327.179999933</v>
      </c>
      <c r="V371" s="13">
        <v>28834912.01000005</v>
      </c>
      <c r="W371" s="13">
        <v>24521738.939999998</v>
      </c>
      <c r="X371" s="13">
        <v>26678841.039999992</v>
      </c>
      <c r="Y371" s="13">
        <f t="shared" si="26"/>
        <v>231577350.81</v>
      </c>
    </row>
    <row r="372" spans="1:25" ht="15" thickTop="1" x14ac:dyDescent="0.35">
      <c r="B372" s="10">
        <f t="shared" si="24"/>
        <v>0</v>
      </c>
      <c r="C372" s="10">
        <f t="shared" si="24"/>
        <v>0</v>
      </c>
      <c r="D372" s="10">
        <f t="shared" si="24"/>
        <v>0</v>
      </c>
      <c r="E372" s="10">
        <f t="shared" si="24"/>
        <v>0</v>
      </c>
      <c r="F372" s="10">
        <f t="shared" si="24"/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f t="shared" si="25"/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f t="shared" si="26"/>
        <v>0</v>
      </c>
    </row>
    <row r="373" spans="1:25" x14ac:dyDescent="0.35">
      <c r="A373" t="s">
        <v>18</v>
      </c>
      <c r="B373" s="10">
        <f t="shared" si="24"/>
        <v>18345543.697890192</v>
      </c>
      <c r="C373" s="10">
        <f t="shared" si="24"/>
        <v>16438761.530649547</v>
      </c>
      <c r="D373" s="10">
        <f t="shared" si="24"/>
        <v>14889888.055374768</v>
      </c>
      <c r="E373" s="10">
        <f t="shared" si="24"/>
        <v>18070159.329732522</v>
      </c>
      <c r="F373" s="10">
        <f t="shared" si="24"/>
        <v>15939520.356352968</v>
      </c>
      <c r="G373" s="10">
        <v>83683872.969999999</v>
      </c>
      <c r="H373" s="10">
        <v>17529443.119999975</v>
      </c>
      <c r="I373" s="10">
        <v>19621431.069999978</v>
      </c>
      <c r="J373" s="10">
        <v>15231022.500000045</v>
      </c>
      <c r="K373" s="10">
        <v>14789919.210000008</v>
      </c>
      <c r="L373" s="10">
        <v>15192432.679999977</v>
      </c>
      <c r="M373" s="10">
        <v>13634829.430000007</v>
      </c>
      <c r="N373" s="10">
        <v>11775673.419999987</v>
      </c>
      <c r="O373" s="10">
        <f t="shared" si="25"/>
        <v>191458624.39999998</v>
      </c>
      <c r="Q373" s="10">
        <v>15752667.720000001</v>
      </c>
      <c r="R373" s="10">
        <v>14115381.500000006</v>
      </c>
      <c r="S373" s="10">
        <v>12785418.779999986</v>
      </c>
      <c r="T373" s="10">
        <v>15516204.930000007</v>
      </c>
      <c r="U373" s="10">
        <v>13686700.81000001</v>
      </c>
      <c r="V373" s="10">
        <v>13813409.600000009</v>
      </c>
      <c r="W373" s="10">
        <v>9587218.3099999577</v>
      </c>
      <c r="X373" s="10">
        <v>15275229.89000003</v>
      </c>
      <c r="Y373" s="10">
        <f t="shared" si="26"/>
        <v>110532231.54000001</v>
      </c>
    </row>
    <row r="374" spans="1:25" x14ac:dyDescent="0.35">
      <c r="A374" t="s">
        <v>19</v>
      </c>
      <c r="B374" s="10">
        <f t="shared" si="24"/>
        <v>464540.66817928693</v>
      </c>
      <c r="C374" s="10">
        <f t="shared" si="24"/>
        <v>714290.00073943683</v>
      </c>
      <c r="D374" s="10">
        <f t="shared" si="24"/>
        <v>61171.645078657202</v>
      </c>
      <c r="E374" s="10">
        <f t="shared" si="24"/>
        <v>660221.74579703703</v>
      </c>
      <c r="F374" s="10">
        <f t="shared" si="24"/>
        <v>446089.40020557947</v>
      </c>
      <c r="G374" s="10">
        <v>2346313.4599999976</v>
      </c>
      <c r="H374" s="10">
        <v>111189.2200000002</v>
      </c>
      <c r="I374" s="10">
        <v>620885.77999998955</v>
      </c>
      <c r="J374" s="10">
        <v>232381.13000000874</v>
      </c>
      <c r="K374" s="10">
        <v>810350.90000000503</v>
      </c>
      <c r="L374" s="10">
        <v>-439432.13999999734</v>
      </c>
      <c r="M374" s="10">
        <v>-266080.74000000488</v>
      </c>
      <c r="N374" s="10">
        <v>-3163330.2699999986</v>
      </c>
      <c r="O374" s="10">
        <f t="shared" si="25"/>
        <v>252277.34000000032</v>
      </c>
      <c r="Q374" s="10">
        <v>707888.92000000027</v>
      </c>
      <c r="R374" s="10">
        <v>1088468.6999999988</v>
      </c>
      <c r="S374" s="10">
        <v>93216.229999999749</v>
      </c>
      <c r="T374" s="10">
        <v>1006076.9500000004</v>
      </c>
      <c r="U374" s="10">
        <v>679772.00999999698</v>
      </c>
      <c r="V374" s="10">
        <v>-973590.809999994</v>
      </c>
      <c r="W374" s="10">
        <v>-1793446.4800000025</v>
      </c>
      <c r="X374" s="10">
        <v>-589713.57999999961</v>
      </c>
      <c r="Y374" s="10">
        <f t="shared" si="26"/>
        <v>218671.94000000018</v>
      </c>
    </row>
    <row r="375" spans="1:25" x14ac:dyDescent="0.35">
      <c r="A375" t="s">
        <v>20</v>
      </c>
      <c r="B375" s="10">
        <f t="shared" si="24"/>
        <v>5517840.1976076821</v>
      </c>
      <c r="C375" s="10">
        <f t="shared" si="24"/>
        <v>6477630.4522532523</v>
      </c>
      <c r="D375" s="10">
        <f t="shared" si="24"/>
        <v>5622999.1603033254</v>
      </c>
      <c r="E375" s="10">
        <f t="shared" si="24"/>
        <v>5075791.4265473112</v>
      </c>
      <c r="F375" s="10">
        <f t="shared" si="24"/>
        <v>4781405.4132884275</v>
      </c>
      <c r="G375" s="10">
        <v>27475666.649999999</v>
      </c>
      <c r="H375" s="10">
        <v>5170294.2100000009</v>
      </c>
      <c r="I375" s="10">
        <v>5789330.299999997</v>
      </c>
      <c r="J375" s="10">
        <v>5605692.3500000015</v>
      </c>
      <c r="K375" s="10">
        <v>5699791.0600000024</v>
      </c>
      <c r="L375" s="10">
        <v>4546605.9200000018</v>
      </c>
      <c r="M375" s="10">
        <v>4531253.8999999985</v>
      </c>
      <c r="N375" s="10">
        <v>2897551.2800000012</v>
      </c>
      <c r="O375" s="10">
        <f t="shared" si="25"/>
        <v>61716185.670000002</v>
      </c>
      <c r="Q375" s="10">
        <v>4980433.01</v>
      </c>
      <c r="R375" s="10">
        <v>5846744.9900000002</v>
      </c>
      <c r="S375" s="10">
        <v>5075350.07</v>
      </c>
      <c r="T375" s="10">
        <v>4581437.3500000015</v>
      </c>
      <c r="U375" s="10">
        <v>4315722.9099999964</v>
      </c>
      <c r="V375" s="10">
        <v>4104502.0100000016</v>
      </c>
      <c r="W375" s="10">
        <v>2903721.4899999984</v>
      </c>
      <c r="X375" s="10">
        <v>4370450.3299999982</v>
      </c>
      <c r="Y375" s="10">
        <f t="shared" si="26"/>
        <v>36178362.159999996</v>
      </c>
    </row>
    <row r="376" spans="1:25" x14ac:dyDescent="0.35">
      <c r="A376" t="s">
        <v>21</v>
      </c>
      <c r="B376" s="10">
        <f t="shared" si="24"/>
        <v>5058656.5342524583</v>
      </c>
      <c r="C376" s="10">
        <f t="shared" si="24"/>
        <v>5633759.4040339207</v>
      </c>
      <c r="D376" s="10">
        <f t="shared" si="24"/>
        <v>5898804.8744129622</v>
      </c>
      <c r="E376" s="10">
        <f t="shared" si="24"/>
        <v>4233196.8655629447</v>
      </c>
      <c r="F376" s="10">
        <f t="shared" si="24"/>
        <v>4304935.5117377155</v>
      </c>
      <c r="G376" s="10">
        <v>25129353.190000001</v>
      </c>
      <c r="H376" s="10">
        <v>5059104.9899999984</v>
      </c>
      <c r="I376" s="10">
        <v>5168444.5200000033</v>
      </c>
      <c r="J376" s="10">
        <v>5373311.2199999988</v>
      </c>
      <c r="K376" s="10">
        <v>4889440.1599999964</v>
      </c>
      <c r="L376" s="10">
        <v>4986038.0600000024</v>
      </c>
      <c r="M376" s="10">
        <v>4797334.6400000006</v>
      </c>
      <c r="N376" s="10">
        <v>6060881.549999997</v>
      </c>
      <c r="O376" s="10">
        <f t="shared" si="25"/>
        <v>61463908.329999998</v>
      </c>
      <c r="Q376" s="10">
        <v>4272544.09</v>
      </c>
      <c r="R376" s="10">
        <v>4758276.290000001</v>
      </c>
      <c r="S376" s="10">
        <v>4982133.84</v>
      </c>
      <c r="T376" s="10">
        <v>3575360.4000000004</v>
      </c>
      <c r="U376" s="10">
        <v>3635950.8999999985</v>
      </c>
      <c r="V376" s="10">
        <v>5078092.82</v>
      </c>
      <c r="W376" s="10">
        <v>4697167.9699999988</v>
      </c>
      <c r="X376" s="10">
        <v>4960163.91</v>
      </c>
      <c r="Y376" s="10">
        <f t="shared" si="26"/>
        <v>35959690.219999999</v>
      </c>
    </row>
    <row r="377" spans="1:25" ht="15" thickBot="1" x14ac:dyDescent="0.4">
      <c r="A377" s="12" t="s">
        <v>22</v>
      </c>
      <c r="B377" s="13">
        <f t="shared" si="24"/>
        <v>17921624.908450678</v>
      </c>
      <c r="C377" s="13">
        <f t="shared" si="24"/>
        <v>15517904.784129828</v>
      </c>
      <c r="D377" s="13">
        <f t="shared" si="24"/>
        <v>15119191.607069751</v>
      </c>
      <c r="E377" s="13">
        <f t="shared" si="24"/>
        <v>17284738.744791325</v>
      </c>
      <c r="F377" s="13">
        <f t="shared" si="24"/>
        <v>15494099.465558421</v>
      </c>
      <c r="G377" s="13">
        <v>81337559.510000005</v>
      </c>
      <c r="H377" s="13">
        <v>17418253.899999976</v>
      </c>
      <c r="I377" s="13">
        <v>19000545.289999992</v>
      </c>
      <c r="J377" s="13">
        <v>14998641.370000005</v>
      </c>
      <c r="K377" s="13">
        <v>13979568.310000047</v>
      </c>
      <c r="L377" s="13">
        <v>15631864.819999933</v>
      </c>
      <c r="M377" s="13">
        <v>13900910.170000017</v>
      </c>
      <c r="N377" s="13">
        <v>14939003.689999998</v>
      </c>
      <c r="O377" s="13">
        <f t="shared" si="25"/>
        <v>191206347.05999997</v>
      </c>
      <c r="P377" s="14"/>
      <c r="Q377" s="13">
        <v>15044778.800000001</v>
      </c>
      <c r="R377" s="13">
        <v>13026912.800000004</v>
      </c>
      <c r="S377" s="13">
        <v>12692202.549999986</v>
      </c>
      <c r="T377" s="13">
        <v>14510127.980000004</v>
      </c>
      <c r="U377" s="13">
        <v>13006928.800000012</v>
      </c>
      <c r="V377" s="13">
        <v>14787000.410000011</v>
      </c>
      <c r="W377" s="13">
        <v>11380664.789999962</v>
      </c>
      <c r="X377" s="13">
        <v>15864943.470000029</v>
      </c>
      <c r="Y377" s="13">
        <f t="shared" si="26"/>
        <v>110313559.60000001</v>
      </c>
    </row>
    <row r="378" spans="1:25" ht="15" thickTop="1" x14ac:dyDescent="0.35">
      <c r="A378" t="s">
        <v>23</v>
      </c>
      <c r="B378" s="10">
        <f t="shared" si="24"/>
        <v>12545079.671757245</v>
      </c>
      <c r="C378" s="10">
        <f t="shared" si="24"/>
        <v>19802807.477866352</v>
      </c>
      <c r="D378" s="10">
        <f t="shared" si="24"/>
        <v>16402839.880982749</v>
      </c>
      <c r="E378" s="10">
        <f t="shared" si="24"/>
        <v>18061720.59946835</v>
      </c>
      <c r="F378" s="10">
        <f t="shared" si="24"/>
        <v>34568845.709925301</v>
      </c>
      <c r="G378" s="10">
        <v>101381293.34</v>
      </c>
      <c r="H378" s="10">
        <v>3943592.4799999893</v>
      </c>
      <c r="I378" s="10">
        <v>34552417.599999994</v>
      </c>
      <c r="J378" s="10">
        <v>10177572.770000011</v>
      </c>
      <c r="K378" s="10">
        <v>22863188.930000007</v>
      </c>
      <c r="L378" s="10">
        <v>28994761.379999995</v>
      </c>
      <c r="M378" s="10">
        <v>12159721.789999992</v>
      </c>
      <c r="N378" s="10">
        <v>12590910</v>
      </c>
      <c r="O378" s="10">
        <f t="shared" si="25"/>
        <v>226663458.28999999</v>
      </c>
      <c r="Q378" s="10">
        <v>13837550.310000001</v>
      </c>
      <c r="R378" s="10">
        <v>21843013.509999998</v>
      </c>
      <c r="S378" s="10">
        <v>18092760.509999998</v>
      </c>
      <c r="T378" s="10">
        <v>19922549.239999995</v>
      </c>
      <c r="U378" s="10">
        <v>38130339.080000013</v>
      </c>
      <c r="V378" s="10">
        <v>22021218.069999993</v>
      </c>
      <c r="W378" s="10">
        <v>14759001.340000004</v>
      </c>
      <c r="X378" s="10">
        <v>17157227.49000001</v>
      </c>
      <c r="Y378" s="10">
        <f t="shared" si="26"/>
        <v>165763659.55000001</v>
      </c>
    </row>
    <row r="379" spans="1:25" x14ac:dyDescent="0.35">
      <c r="A379" t="s">
        <v>24</v>
      </c>
      <c r="B379" s="10">
        <f t="shared" si="24"/>
        <v>16504.72</v>
      </c>
      <c r="C379" s="10">
        <f t="shared" si="24"/>
        <v>16504.72</v>
      </c>
      <c r="D379" s="10">
        <f t="shared" si="24"/>
        <v>16504.72</v>
      </c>
      <c r="E379" s="10">
        <f t="shared" si="24"/>
        <v>16504.72</v>
      </c>
      <c r="F379" s="10">
        <f t="shared" si="24"/>
        <v>16504.72</v>
      </c>
      <c r="G379" s="10">
        <v>82523.600000000006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f t="shared" si="25"/>
        <v>82523.600000000006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f t="shared" si="26"/>
        <v>0</v>
      </c>
    </row>
    <row r="380" spans="1:25" x14ac:dyDescent="0.35">
      <c r="A380" t="s">
        <v>25</v>
      </c>
      <c r="B380" s="10">
        <f t="shared" si="24"/>
        <v>0</v>
      </c>
      <c r="C380" s="10">
        <f t="shared" si="24"/>
        <v>0</v>
      </c>
      <c r="D380" s="10">
        <f t="shared" si="24"/>
        <v>0</v>
      </c>
      <c r="E380" s="10">
        <f t="shared" si="24"/>
        <v>0</v>
      </c>
      <c r="F380" s="10">
        <f t="shared" si="24"/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f t="shared" si="25"/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f t="shared" si="26"/>
        <v>0</v>
      </c>
    </row>
    <row r="381" spans="1:25" x14ac:dyDescent="0.35">
      <c r="A381" t="s">
        <v>26</v>
      </c>
      <c r="B381" s="10">
        <f t="shared" si="24"/>
        <v>3735630.8159999996</v>
      </c>
      <c r="C381" s="10">
        <f t="shared" si="24"/>
        <v>3735630.8159999996</v>
      </c>
      <c r="D381" s="10">
        <f t="shared" si="24"/>
        <v>3735630.8159999996</v>
      </c>
      <c r="E381" s="10">
        <f t="shared" si="24"/>
        <v>3735630.8159999996</v>
      </c>
      <c r="F381" s="10">
        <f t="shared" si="24"/>
        <v>3735630.8159999996</v>
      </c>
      <c r="G381" s="10">
        <v>18678154.079999998</v>
      </c>
      <c r="H381" s="10">
        <v>-15037499.099999998</v>
      </c>
      <c r="I381" s="10">
        <v>15535458.359999999</v>
      </c>
      <c r="J381" s="10">
        <v>-5859761.8599999994</v>
      </c>
      <c r="K381" s="10">
        <v>7988485.1099999994</v>
      </c>
      <c r="L381" s="10">
        <v>12478294.77</v>
      </c>
      <c r="M381" s="10">
        <v>-2150391.9600000009</v>
      </c>
      <c r="N381" s="10">
        <v>-3613806.5099999979</v>
      </c>
      <c r="O381" s="10">
        <f t="shared" si="25"/>
        <v>28018932.890000001</v>
      </c>
      <c r="Q381" s="10">
        <v>-1531941.98</v>
      </c>
      <c r="R381" s="10">
        <v>8184883.8399999999</v>
      </c>
      <c r="S381" s="10">
        <v>4600770.25</v>
      </c>
      <c r="T381" s="10">
        <v>5332596.7600000016</v>
      </c>
      <c r="U381" s="10">
        <v>23935765.620000001</v>
      </c>
      <c r="V381" s="10">
        <v>6748592.8699999973</v>
      </c>
      <c r="W381" s="10">
        <v>3165074.5</v>
      </c>
      <c r="X381" s="10">
        <v>1273334.0200000033</v>
      </c>
      <c r="Y381" s="10">
        <f t="shared" si="26"/>
        <v>51709075.880000003</v>
      </c>
    </row>
    <row r="382" spans="1:25" x14ac:dyDescent="0.35">
      <c r="A382" t="s">
        <v>27</v>
      </c>
      <c r="B382" s="10">
        <f t="shared" si="24"/>
        <v>155537.4037019836</v>
      </c>
      <c r="C382" s="10">
        <f t="shared" si="24"/>
        <v>302352.18479125242</v>
      </c>
      <c r="D382" s="10">
        <f t="shared" si="24"/>
        <v>383097.43129598646</v>
      </c>
      <c r="E382" s="10">
        <f t="shared" si="24"/>
        <v>38235.84749068784</v>
      </c>
      <c r="F382" s="10">
        <f t="shared" si="24"/>
        <v>568880.48272008973</v>
      </c>
      <c r="G382" s="10">
        <v>1448103.35</v>
      </c>
      <c r="H382" s="10">
        <v>1562837.6799999997</v>
      </c>
      <c r="I382" s="10">
        <v>16413.950000000186</v>
      </c>
      <c r="J382" s="10">
        <v>1038693.2600000002</v>
      </c>
      <c r="K382" s="10">
        <v>895135.50999999978</v>
      </c>
      <c r="L382" s="10">
        <v>884601.79</v>
      </c>
      <c r="M382" s="10">
        <v>409203.58000000007</v>
      </c>
      <c r="N382" s="10">
        <v>1265712.8200000003</v>
      </c>
      <c r="O382" s="10">
        <f t="shared" si="25"/>
        <v>7520701.9400000004</v>
      </c>
      <c r="Q382" s="10">
        <v>324713.49</v>
      </c>
      <c r="R382" s="10">
        <v>631216.87</v>
      </c>
      <c r="S382" s="10">
        <v>799787.71000000008</v>
      </c>
      <c r="T382" s="10">
        <v>79824.5</v>
      </c>
      <c r="U382" s="10">
        <v>1187644.6599999999</v>
      </c>
      <c r="V382" s="10">
        <v>485624.79000000004</v>
      </c>
      <c r="W382" s="10">
        <v>213262.04999999981</v>
      </c>
      <c r="X382" s="10">
        <v>18950</v>
      </c>
      <c r="Y382" s="10">
        <f t="shared" si="26"/>
        <v>3741024.07</v>
      </c>
    </row>
    <row r="383" spans="1:25" x14ac:dyDescent="0.35">
      <c r="B383" s="10">
        <f t="shared" si="24"/>
        <v>0</v>
      </c>
      <c r="C383" s="10">
        <f t="shared" si="24"/>
        <v>0</v>
      </c>
      <c r="D383" s="10">
        <f t="shared" si="24"/>
        <v>0</v>
      </c>
      <c r="E383" s="10">
        <f t="shared" si="24"/>
        <v>0</v>
      </c>
      <c r="F383" s="10">
        <f t="shared" si="24"/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f t="shared" si="25"/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f t="shared" si="26"/>
        <v>0</v>
      </c>
    </row>
    <row r="384" spans="1:25" ht="15" thickBot="1" x14ac:dyDescent="0.4">
      <c r="A384" s="12" t="s">
        <v>28</v>
      </c>
      <c r="B384" s="13">
        <f t="shared" si="24"/>
        <v>13710490.947523132</v>
      </c>
      <c r="C384" s="13">
        <f t="shared" si="24"/>
        <v>14478713.708852163</v>
      </c>
      <c r="D384" s="13">
        <f t="shared" si="24"/>
        <v>15543920.773742944</v>
      </c>
      <c r="E384" s="13">
        <f t="shared" si="24"/>
        <v>11085504.347432816</v>
      </c>
      <c r="F384" s="13">
        <f t="shared" si="24"/>
        <v>13459950.842448937</v>
      </c>
      <c r="G384" s="13">
        <v>68278580.61999999</v>
      </c>
      <c r="H384" s="13">
        <v>16447154.580000058</v>
      </c>
      <c r="I384" s="13">
        <v>8647430.5699999332</v>
      </c>
      <c r="J384" s="13">
        <v>14293711.800000027</v>
      </c>
      <c r="K384" s="13">
        <v>17020262.430000067</v>
      </c>
      <c r="L384" s="13">
        <v>12780270.979999855</v>
      </c>
      <c r="M384" s="13">
        <v>17290670.280000001</v>
      </c>
      <c r="N384" s="13">
        <v>13818537.410000116</v>
      </c>
      <c r="O384" s="13">
        <f t="shared" si="25"/>
        <v>168576618.67000005</v>
      </c>
      <c r="P384" s="14"/>
      <c r="Q384" s="13">
        <v>16001022.75</v>
      </c>
      <c r="R384" s="13">
        <v>16897588.009999994</v>
      </c>
      <c r="S384" s="13">
        <v>18140753.010000031</v>
      </c>
      <c r="T384" s="13">
        <v>12937494.940000005</v>
      </c>
      <c r="U384" s="13">
        <v>15708626.369999923</v>
      </c>
      <c r="V384" s="13">
        <v>15021502.410000041</v>
      </c>
      <c r="W384" s="13">
        <v>14934520.63000004</v>
      </c>
      <c r="X384" s="13">
        <v>11403611.149999961</v>
      </c>
      <c r="Y384" s="13">
        <f t="shared" si="26"/>
        <v>121045119.27</v>
      </c>
    </row>
    <row r="385" spans="1:25" ht="15" thickTop="1" x14ac:dyDescent="0.35">
      <c r="A385" t="s">
        <v>29</v>
      </c>
      <c r="B385" s="10">
        <f t="shared" ref="B385:F402" si="27">IF(OR(SUM($Q385:$U385)=0,COUNTIF($Q385:$U385,"&lt;0")*COUNTIF($Q385:$U385,"&gt;0")&gt;0),$G385/5,$G385*Q385/SUM($Q385:$U385))</f>
        <v>12893433.233289426</v>
      </c>
      <c r="C385" s="10">
        <f t="shared" si="27"/>
        <v>10396846.886631219</v>
      </c>
      <c r="D385" s="10">
        <f t="shared" si="27"/>
        <v>12698473.015428437</v>
      </c>
      <c r="E385" s="10">
        <f t="shared" si="27"/>
        <v>12279277.570323927</v>
      </c>
      <c r="F385" s="10">
        <f t="shared" si="27"/>
        <v>12892596.044327013</v>
      </c>
      <c r="G385" s="10">
        <v>61160626.750000022</v>
      </c>
      <c r="H385" s="10">
        <v>14473850.019999988</v>
      </c>
      <c r="I385" s="10">
        <v>12856753.379999995</v>
      </c>
      <c r="J385" s="10">
        <v>12666601.219999999</v>
      </c>
      <c r="K385" s="10">
        <v>10877157.729999989</v>
      </c>
      <c r="L385" s="10">
        <v>12615499.959999979</v>
      </c>
      <c r="M385" s="10">
        <v>12539846.970000029</v>
      </c>
      <c r="N385" s="10">
        <v>12367863.070000023</v>
      </c>
      <c r="O385" s="10">
        <f t="shared" si="25"/>
        <v>149558199.10000002</v>
      </c>
      <c r="Q385" s="10">
        <v>11955998.630000003</v>
      </c>
      <c r="R385" s="10">
        <v>9640929.9899999946</v>
      </c>
      <c r="S385" s="10">
        <v>11775213.260000005</v>
      </c>
      <c r="T385" s="10">
        <v>11386495.989999987</v>
      </c>
      <c r="U385" s="10">
        <v>11955222.310000002</v>
      </c>
      <c r="V385" s="10">
        <v>11747574.12000002</v>
      </c>
      <c r="W385" s="10">
        <v>11759741.510000005</v>
      </c>
      <c r="X385" s="10">
        <v>11392520.509999976</v>
      </c>
      <c r="Y385" s="10">
        <f t="shared" si="26"/>
        <v>91613696.319999993</v>
      </c>
    </row>
    <row r="386" spans="1:25" x14ac:dyDescent="0.35">
      <c r="A386" t="s">
        <v>30</v>
      </c>
      <c r="B386" s="10">
        <f t="shared" si="27"/>
        <v>47674.986172655765</v>
      </c>
      <c r="C386" s="10">
        <f t="shared" si="27"/>
        <v>43591.048025196636</v>
      </c>
      <c r="D386" s="10">
        <f t="shared" si="27"/>
        <v>47674.986172655765</v>
      </c>
      <c r="E386" s="10">
        <f t="shared" si="27"/>
        <v>46313.673456836041</v>
      </c>
      <c r="F386" s="10">
        <f t="shared" si="27"/>
        <v>47674.986172655787</v>
      </c>
      <c r="G386" s="10">
        <v>232929.68</v>
      </c>
      <c r="H386" s="10">
        <v>46330.400000000023</v>
      </c>
      <c r="I386" s="10">
        <v>47608.079999999958</v>
      </c>
      <c r="J386" s="10">
        <v>47608.080000000016</v>
      </c>
      <c r="K386" s="10">
        <v>46330.400000000023</v>
      </c>
      <c r="L386" s="10">
        <v>46820.130000000005</v>
      </c>
      <c r="M386" s="10">
        <v>45680.599999999977</v>
      </c>
      <c r="N386" s="10">
        <v>57937.170000000042</v>
      </c>
      <c r="O386" s="10">
        <f t="shared" si="25"/>
        <v>571244.54</v>
      </c>
      <c r="Q386" s="10">
        <v>69671.09</v>
      </c>
      <c r="R386" s="10">
        <v>63702.920000000013</v>
      </c>
      <c r="S386" s="10">
        <v>69671.09</v>
      </c>
      <c r="T386" s="10">
        <v>67681.699999999983</v>
      </c>
      <c r="U386" s="10">
        <v>69671.090000000026</v>
      </c>
      <c r="V386" s="10">
        <v>83067.5</v>
      </c>
      <c r="W386" s="10">
        <v>87923.599999999977</v>
      </c>
      <c r="X386" s="10">
        <v>106296.96999999997</v>
      </c>
      <c r="Y386" s="10">
        <f t="shared" si="26"/>
        <v>617685.96</v>
      </c>
    </row>
    <row r="387" spans="1:25" x14ac:dyDescent="0.35">
      <c r="A387" t="s">
        <v>31</v>
      </c>
      <c r="B387" s="10">
        <f t="shared" si="27"/>
        <v>15730996.304379437</v>
      </c>
      <c r="C387" s="10">
        <f t="shared" si="27"/>
        <v>14459402.59686137</v>
      </c>
      <c r="D387" s="10">
        <f t="shared" si="27"/>
        <v>15892708.743881783</v>
      </c>
      <c r="E387" s="10">
        <f t="shared" si="27"/>
        <v>14552173.77067391</v>
      </c>
      <c r="F387" s="10">
        <f t="shared" si="27"/>
        <v>15152526.62420352</v>
      </c>
      <c r="G387" s="10">
        <v>75787808.040000021</v>
      </c>
      <c r="H387" s="10">
        <v>17101720.029999971</v>
      </c>
      <c r="I387" s="10">
        <v>15621187.370000005</v>
      </c>
      <c r="J387" s="10">
        <v>15352010.879999995</v>
      </c>
      <c r="K387" s="10">
        <v>14488659.75999999</v>
      </c>
      <c r="L387" s="10">
        <v>15150968.550000012</v>
      </c>
      <c r="M387" s="10">
        <v>15113841.430000007</v>
      </c>
      <c r="N387" s="10">
        <v>14685121.050000012</v>
      </c>
      <c r="O387" s="10">
        <f t="shared" si="25"/>
        <v>183301317.11000001</v>
      </c>
      <c r="Q387" s="10">
        <v>14568305.42</v>
      </c>
      <c r="R387" s="10">
        <v>13390696.249999998</v>
      </c>
      <c r="S387" s="10">
        <v>14718065.560000006</v>
      </c>
      <c r="T387" s="10">
        <v>13476610.629999995</v>
      </c>
      <c r="U387" s="10">
        <v>14032590.909999996</v>
      </c>
      <c r="V387" s="10">
        <v>13925197.510000005</v>
      </c>
      <c r="W387" s="10">
        <v>14104537.180000007</v>
      </c>
      <c r="X387" s="10">
        <v>13591361.62999998</v>
      </c>
      <c r="Y387" s="10">
        <f t="shared" si="26"/>
        <v>111807365.08999999</v>
      </c>
    </row>
    <row r="388" spans="1:25" x14ac:dyDescent="0.35">
      <c r="A388" t="s">
        <v>32</v>
      </c>
      <c r="B388" s="10">
        <f t="shared" si="27"/>
        <v>1810459.018183666</v>
      </c>
      <c r="C388" s="10">
        <f t="shared" si="27"/>
        <v>3313044.1873025685</v>
      </c>
      <c r="D388" s="10">
        <f t="shared" si="27"/>
        <v>1818326.518256011</v>
      </c>
      <c r="E388" s="10">
        <f t="shared" si="27"/>
        <v>1259756.2983497595</v>
      </c>
      <c r="F388" s="10">
        <f t="shared" si="27"/>
        <v>1231788.9979079943</v>
      </c>
      <c r="G388" s="10">
        <v>9433375.0199999996</v>
      </c>
      <c r="H388" s="10">
        <v>1649469.6399999987</v>
      </c>
      <c r="I388" s="10">
        <v>1586503.5100000035</v>
      </c>
      <c r="J388" s="10">
        <v>1568421.3199999966</v>
      </c>
      <c r="K388" s="10">
        <v>1864506.2200000007</v>
      </c>
      <c r="L388" s="10">
        <v>1359650.4399999995</v>
      </c>
      <c r="M388" s="10">
        <v>1469935.700000003</v>
      </c>
      <c r="N388" s="10">
        <v>1161308.8199999966</v>
      </c>
      <c r="O388" s="10">
        <f t="shared" si="25"/>
        <v>20093170.669999998</v>
      </c>
      <c r="Q388" s="10">
        <v>1446077.5199999998</v>
      </c>
      <c r="R388" s="10">
        <v>2646245.330000001</v>
      </c>
      <c r="S388" s="10">
        <v>1452361.5699999994</v>
      </c>
      <c r="T388" s="10">
        <v>1006211.8200000003</v>
      </c>
      <c r="U388" s="10">
        <v>983873.35000000149</v>
      </c>
      <c r="V388" s="10">
        <v>1162652.5499999989</v>
      </c>
      <c r="W388" s="10">
        <v>1218717.7199999988</v>
      </c>
      <c r="X388" s="10">
        <v>1099866.0100000016</v>
      </c>
      <c r="Y388" s="10">
        <f t="shared" si="26"/>
        <v>11016005.870000001</v>
      </c>
    </row>
    <row r="389" spans="1:25" x14ac:dyDescent="0.35">
      <c r="A389" t="s">
        <v>33</v>
      </c>
      <c r="B389" s="10">
        <f t="shared" si="27"/>
        <v>1068312.440934055</v>
      </c>
      <c r="C389" s="10">
        <f t="shared" si="27"/>
        <v>1008948.4562573839</v>
      </c>
      <c r="D389" s="10">
        <f t="shared" si="27"/>
        <v>1348604.0914951407</v>
      </c>
      <c r="E389" s="10">
        <f t="shared" si="27"/>
        <v>995429.81725733285</v>
      </c>
      <c r="F389" s="10">
        <f t="shared" si="27"/>
        <v>1005441.1440560877</v>
      </c>
      <c r="G389" s="10">
        <v>5426735.9500000002</v>
      </c>
      <c r="H389" s="10">
        <v>1024730.7699999996</v>
      </c>
      <c r="I389" s="10">
        <v>1225538.5600000005</v>
      </c>
      <c r="J389" s="10">
        <v>1164596.419999999</v>
      </c>
      <c r="K389" s="10">
        <v>1793326.2100000009</v>
      </c>
      <c r="L389" s="10">
        <v>1222638.2799999993</v>
      </c>
      <c r="M389" s="10">
        <v>1149739.3600000013</v>
      </c>
      <c r="N389" s="10">
        <v>1213886.33</v>
      </c>
      <c r="O389" s="10">
        <f t="shared" si="25"/>
        <v>14221191.880000001</v>
      </c>
      <c r="Q389" s="10">
        <v>1235900.3600000001</v>
      </c>
      <c r="R389" s="10">
        <v>1167223.8499999999</v>
      </c>
      <c r="S389" s="10">
        <v>1560161.8199999998</v>
      </c>
      <c r="T389" s="10">
        <v>1151584.52</v>
      </c>
      <c r="U389" s="10">
        <v>1163166.3399999999</v>
      </c>
      <c r="V389" s="10">
        <v>1098038.3400000008</v>
      </c>
      <c r="W389" s="10">
        <v>1214001.5499999989</v>
      </c>
      <c r="X389" s="10">
        <v>1205272.08</v>
      </c>
      <c r="Y389" s="10">
        <f t="shared" si="26"/>
        <v>9795348.8599999994</v>
      </c>
    </row>
    <row r="390" spans="1:25" x14ac:dyDescent="0.35">
      <c r="B390" s="10">
        <f t="shared" si="27"/>
        <v>0</v>
      </c>
      <c r="C390" s="10">
        <f t="shared" si="27"/>
        <v>0</v>
      </c>
      <c r="D390" s="10">
        <f t="shared" si="27"/>
        <v>0</v>
      </c>
      <c r="E390" s="10">
        <f t="shared" si="27"/>
        <v>0</v>
      </c>
      <c r="F390" s="10">
        <f t="shared" si="27"/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f t="shared" si="25"/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f t="shared" si="26"/>
        <v>0</v>
      </c>
    </row>
    <row r="391" spans="1:25" ht="15" thickBot="1" x14ac:dyDescent="0.4">
      <c r="A391" s="12" t="s">
        <v>34</v>
      </c>
      <c r="B391" s="13">
        <f t="shared" si="27"/>
        <v>1253385.2182653935</v>
      </c>
      <c r="C391" s="13">
        <f t="shared" si="27"/>
        <v>2248537.369976182</v>
      </c>
      <c r="D391" s="13">
        <f t="shared" si="27"/>
        <v>1972416.774842575</v>
      </c>
      <c r="E391" s="13">
        <f t="shared" si="27"/>
        <v>480590.25108487235</v>
      </c>
      <c r="F391" s="13">
        <f t="shared" si="27"/>
        <v>1163024.2558309457</v>
      </c>
      <c r="G391" s="13">
        <v>7117953.8699999684</v>
      </c>
      <c r="H391" s="13">
        <v>1973304.560000076</v>
      </c>
      <c r="I391" s="13">
        <v>-4209322.8100000694</v>
      </c>
      <c r="J391" s="13">
        <v>1627110.5800000364</v>
      </c>
      <c r="K391" s="13">
        <v>6143104.7000000691</v>
      </c>
      <c r="L391" s="13">
        <v>164771.01999986917</v>
      </c>
      <c r="M391" s="13">
        <v>4750823.3099999651</v>
      </c>
      <c r="N391" s="13">
        <v>1450674.3400001116</v>
      </c>
      <c r="O391" s="13">
        <f t="shared" si="25"/>
        <v>19018419.570000026</v>
      </c>
      <c r="P391" s="14"/>
      <c r="Q391" s="13">
        <v>4045024.1199999982</v>
      </c>
      <c r="R391" s="13">
        <v>7256658.0199999986</v>
      </c>
      <c r="S391" s="13">
        <v>6365539.7500000261</v>
      </c>
      <c r="T391" s="13">
        <v>1550998.9500000142</v>
      </c>
      <c r="U391" s="13">
        <v>3753404.0599999279</v>
      </c>
      <c r="V391" s="13">
        <v>3273928.2900000252</v>
      </c>
      <c r="W391" s="13">
        <v>3174779.1200000234</v>
      </c>
      <c r="X391" s="13">
        <v>11090.639999993145</v>
      </c>
      <c r="Y391" s="13">
        <f t="shared" si="26"/>
        <v>29431422.950000007</v>
      </c>
    </row>
    <row r="392" spans="1:25" ht="15" thickTop="1" x14ac:dyDescent="0.35">
      <c r="A392" t="s">
        <v>35</v>
      </c>
      <c r="B392" s="10">
        <f t="shared" si="27"/>
        <v>257636.46060963944</v>
      </c>
      <c r="C392" s="10">
        <f t="shared" si="27"/>
        <v>209032.55881104607</v>
      </c>
      <c r="D392" s="10">
        <f t="shared" si="27"/>
        <v>123569.1333017696</v>
      </c>
      <c r="E392" s="10">
        <f t="shared" si="27"/>
        <v>130887.14476747994</v>
      </c>
      <c r="F392" s="10">
        <f t="shared" si="27"/>
        <v>100876.46251006544</v>
      </c>
      <c r="G392" s="10">
        <v>822001.76000000047</v>
      </c>
      <c r="H392" s="10">
        <v>197251.15999999992</v>
      </c>
      <c r="I392" s="10">
        <v>154420.1799999997</v>
      </c>
      <c r="J392" s="10">
        <v>-205145.11000000022</v>
      </c>
      <c r="K392" s="10">
        <v>469900.80999999971</v>
      </c>
      <c r="L392" s="10">
        <v>253257.33000000031</v>
      </c>
      <c r="M392" s="10">
        <v>165160.80000000028</v>
      </c>
      <c r="N392" s="10">
        <v>408253.58000000007</v>
      </c>
      <c r="O392" s="10">
        <f t="shared" si="25"/>
        <v>2265100.5100000002</v>
      </c>
      <c r="Q392" s="10">
        <v>394601.06000000041</v>
      </c>
      <c r="R392" s="10">
        <v>320158.36999999941</v>
      </c>
      <c r="S392" s="10">
        <v>189260.9100000005</v>
      </c>
      <c r="T392" s="10">
        <v>200469.3199999996</v>
      </c>
      <c r="U392" s="10">
        <v>154504.36999999988</v>
      </c>
      <c r="V392" s="10">
        <v>281594.39999999944</v>
      </c>
      <c r="W392" s="10">
        <v>227180.28000000049</v>
      </c>
      <c r="X392" s="10">
        <v>113406.41000000015</v>
      </c>
      <c r="Y392" s="10">
        <f t="shared" si="26"/>
        <v>1881175.1199999999</v>
      </c>
    </row>
    <row r="393" spans="1:25" x14ac:dyDescent="0.35">
      <c r="A393" t="s">
        <v>36</v>
      </c>
      <c r="B393" s="10">
        <f t="shared" si="27"/>
        <v>374560.46062531078</v>
      </c>
      <c r="C393" s="10">
        <f t="shared" si="27"/>
        <v>318651.46855238173</v>
      </c>
      <c r="D393" s="10">
        <f t="shared" si="27"/>
        <v>245038.31181170055</v>
      </c>
      <c r="E393" s="10">
        <f t="shared" si="27"/>
        <v>248152.19832267909</v>
      </c>
      <c r="F393" s="10">
        <f t="shared" si="27"/>
        <v>209494.76068792827</v>
      </c>
      <c r="G393" s="10">
        <v>1395897.2000000004</v>
      </c>
      <c r="H393" s="10">
        <v>249427.35999999987</v>
      </c>
      <c r="I393" s="10">
        <v>258567.83999999985</v>
      </c>
      <c r="J393" s="10">
        <v>212080.27999999956</v>
      </c>
      <c r="K393" s="10">
        <v>198037.41000000015</v>
      </c>
      <c r="L393" s="10">
        <v>327356.41999999993</v>
      </c>
      <c r="M393" s="10">
        <v>299762.25000000047</v>
      </c>
      <c r="N393" s="10">
        <v>92794.930000000168</v>
      </c>
      <c r="O393" s="10">
        <f t="shared" si="25"/>
        <v>3033923.6900000004</v>
      </c>
      <c r="Q393" s="10">
        <v>487819.62999999995</v>
      </c>
      <c r="R393" s="10">
        <v>415004.94</v>
      </c>
      <c r="S393" s="10">
        <v>319132.72000000009</v>
      </c>
      <c r="T393" s="10">
        <v>323188.18000000017</v>
      </c>
      <c r="U393" s="10">
        <v>272841.54999999981</v>
      </c>
      <c r="V393" s="10">
        <v>404657.5</v>
      </c>
      <c r="W393" s="10">
        <v>274816.35999999987</v>
      </c>
      <c r="X393" s="10">
        <v>204128.16999999993</v>
      </c>
      <c r="Y393" s="10">
        <f t="shared" si="26"/>
        <v>2701589.05</v>
      </c>
    </row>
    <row r="394" spans="1:25" x14ac:dyDescent="0.35">
      <c r="A394" t="s">
        <v>37</v>
      </c>
      <c r="B394" s="10">
        <f t="shared" si="27"/>
        <v>95703.726528521423</v>
      </c>
      <c r="C394" s="10">
        <f t="shared" si="27"/>
        <v>97375.128125741132</v>
      </c>
      <c r="D394" s="10">
        <f t="shared" si="27"/>
        <v>133334.12203173808</v>
      </c>
      <c r="E394" s="10">
        <f t="shared" si="27"/>
        <v>125990.47826341898</v>
      </c>
      <c r="F394" s="10">
        <f t="shared" si="27"/>
        <v>121491.98505058032</v>
      </c>
      <c r="G394" s="10">
        <v>573895.43999999994</v>
      </c>
      <c r="H394" s="10">
        <v>52176.199999999953</v>
      </c>
      <c r="I394" s="10">
        <v>104147.66000000003</v>
      </c>
      <c r="J394" s="10">
        <v>417225.39</v>
      </c>
      <c r="K394" s="10">
        <v>-271863.39999999991</v>
      </c>
      <c r="L394" s="10">
        <v>74099.089999999967</v>
      </c>
      <c r="M394" s="10">
        <v>134601.44999999984</v>
      </c>
      <c r="N394" s="10">
        <v>-315458.64999999979</v>
      </c>
      <c r="O394" s="10">
        <f t="shared" si="25"/>
        <v>768823.18</v>
      </c>
      <c r="Q394" s="10">
        <v>93218.569999999541</v>
      </c>
      <c r="R394" s="10">
        <v>94846.570000000618</v>
      </c>
      <c r="S394" s="10">
        <v>129871.80999999962</v>
      </c>
      <c r="T394" s="10">
        <v>122718.86000000039</v>
      </c>
      <c r="U394" s="10">
        <v>118337.18000000005</v>
      </c>
      <c r="V394" s="10">
        <v>123063.10000000033</v>
      </c>
      <c r="W394" s="10">
        <v>47636.079999999725</v>
      </c>
      <c r="X394" s="10">
        <v>90721.759999999893</v>
      </c>
      <c r="Y394" s="10">
        <f t="shared" si="26"/>
        <v>820413.93000000017</v>
      </c>
    </row>
    <row r="395" spans="1:25" x14ac:dyDescent="0.35">
      <c r="B395" s="10">
        <f t="shared" si="27"/>
        <v>0</v>
      </c>
      <c r="C395" s="10">
        <f t="shared" si="27"/>
        <v>0</v>
      </c>
      <c r="D395" s="10">
        <f t="shared" si="27"/>
        <v>0</v>
      </c>
      <c r="E395" s="10">
        <f t="shared" si="27"/>
        <v>0</v>
      </c>
      <c r="F395" s="10">
        <f t="shared" si="27"/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f t="shared" si="25"/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f t="shared" si="26"/>
        <v>0</v>
      </c>
    </row>
    <row r="396" spans="1:25" ht="15" thickBot="1" x14ac:dyDescent="0.4">
      <c r="A396" s="12" t="s">
        <v>38</v>
      </c>
      <c r="B396" s="13">
        <f t="shared" si="27"/>
        <v>1454788.5485247346</v>
      </c>
      <c r="C396" s="13">
        <f t="shared" si="27"/>
        <v>2482791.9636329571</v>
      </c>
      <c r="D396" s="13">
        <f t="shared" si="27"/>
        <v>2147895.0477595082</v>
      </c>
      <c r="E396" s="13">
        <f t="shared" si="27"/>
        <v>573925.92369711038</v>
      </c>
      <c r="F396" s="13">
        <f t="shared" si="27"/>
        <v>1280554.1463856581</v>
      </c>
      <c r="G396" s="13">
        <v>7939955.6299999682</v>
      </c>
      <c r="H396" s="13">
        <v>2170555.720000078</v>
      </c>
      <c r="I396" s="13">
        <v>-4054902.6300000716</v>
      </c>
      <c r="J396" s="13">
        <v>1421965.470000037</v>
      </c>
      <c r="K396" s="13">
        <v>6613005.5100000678</v>
      </c>
      <c r="L396" s="13">
        <v>418028.3499998711</v>
      </c>
      <c r="M396" s="13">
        <v>4915984.109999964</v>
      </c>
      <c r="N396" s="13">
        <v>1858927.9200001135</v>
      </c>
      <c r="O396" s="13">
        <f t="shared" si="25"/>
        <v>21283520.080000028</v>
      </c>
      <c r="P396" s="14"/>
      <c r="Q396" s="13">
        <v>4439625.1799999988</v>
      </c>
      <c r="R396" s="13">
        <v>7576816.3899999978</v>
      </c>
      <c r="S396" s="13">
        <v>6554800.6600000262</v>
      </c>
      <c r="T396" s="13">
        <v>1751468.2700000145</v>
      </c>
      <c r="U396" s="13">
        <v>3907908.4299999289</v>
      </c>
      <c r="V396" s="13">
        <v>3555522.6900000237</v>
      </c>
      <c r="W396" s="13">
        <v>3401959.4000000246</v>
      </c>
      <c r="X396" s="13">
        <v>124497.04999999329</v>
      </c>
      <c r="Y396" s="13">
        <f t="shared" si="26"/>
        <v>31312598.070000008</v>
      </c>
    </row>
    <row r="397" spans="1:25" ht="15" thickTop="1" x14ac:dyDescent="0.35">
      <c r="A397" t="s">
        <v>39</v>
      </c>
      <c r="B397" s="10">
        <f t="shared" si="27"/>
        <v>216318.43799999999</v>
      </c>
      <c r="C397" s="10">
        <f t="shared" si="27"/>
        <v>216318.43799999999</v>
      </c>
      <c r="D397" s="10">
        <f t="shared" si="27"/>
        <v>216318.43799999999</v>
      </c>
      <c r="E397" s="10">
        <f t="shared" si="27"/>
        <v>216318.43799999999</v>
      </c>
      <c r="F397" s="10">
        <f t="shared" si="27"/>
        <v>216318.43799999999</v>
      </c>
      <c r="G397" s="10">
        <v>1081592.19</v>
      </c>
      <c r="H397" s="10">
        <v>1525.8900000001304</v>
      </c>
      <c r="I397" s="10">
        <v>13120.819999999832</v>
      </c>
      <c r="J397" s="10">
        <v>-12902.559999999823</v>
      </c>
      <c r="K397" s="10">
        <v>0</v>
      </c>
      <c r="L397" s="10">
        <v>0</v>
      </c>
      <c r="M397" s="10">
        <v>3892</v>
      </c>
      <c r="N397" s="10">
        <v>22206.35999999987</v>
      </c>
      <c r="O397" s="10">
        <f t="shared" si="25"/>
        <v>1109434.7</v>
      </c>
      <c r="Q397" s="10">
        <v>541720.22</v>
      </c>
      <c r="R397" s="10">
        <v>166475.92000000004</v>
      </c>
      <c r="S397" s="10">
        <v>836851.84</v>
      </c>
      <c r="T397" s="10">
        <v>16482.739999999991</v>
      </c>
      <c r="U397" s="10">
        <v>-2803.7800000000279</v>
      </c>
      <c r="V397" s="10">
        <v>100727.90000000014</v>
      </c>
      <c r="W397" s="10">
        <v>199525.52000000002</v>
      </c>
      <c r="X397" s="10">
        <v>-23044.89000000013</v>
      </c>
      <c r="Y397" s="10">
        <f t="shared" si="26"/>
        <v>1835935.47</v>
      </c>
    </row>
    <row r="398" spans="1:25" x14ac:dyDescent="0.35">
      <c r="A398" t="s">
        <v>40</v>
      </c>
      <c r="B398" s="10">
        <f t="shared" si="27"/>
        <v>283791.79951780959</v>
      </c>
      <c r="C398" s="10">
        <f t="shared" si="27"/>
        <v>3030.4427462917351</v>
      </c>
      <c r="D398" s="10">
        <f t="shared" si="27"/>
        <v>587.28783846333124</v>
      </c>
      <c r="E398" s="10">
        <f t="shared" si="27"/>
        <v>0</v>
      </c>
      <c r="F398" s="10">
        <f t="shared" si="27"/>
        <v>9117.9798974353489</v>
      </c>
      <c r="G398" s="10">
        <v>296527.51</v>
      </c>
      <c r="H398" s="10">
        <v>34422.200000000012</v>
      </c>
      <c r="I398" s="10">
        <v>0</v>
      </c>
      <c r="J398" s="10">
        <v>-330949.71000000002</v>
      </c>
      <c r="K398" s="10">
        <v>331220.81</v>
      </c>
      <c r="L398" s="10">
        <v>17474.400000000023</v>
      </c>
      <c r="M398" s="10">
        <v>-1819.6000000000349</v>
      </c>
      <c r="N398" s="10">
        <v>908064.89</v>
      </c>
      <c r="O398" s="10">
        <f t="shared" si="25"/>
        <v>1254940.5</v>
      </c>
      <c r="Q398" s="10">
        <v>2458027.1</v>
      </c>
      <c r="R398" s="10">
        <v>26247.799999999814</v>
      </c>
      <c r="S398" s="10">
        <v>5086.7200000002049</v>
      </c>
      <c r="T398" s="10">
        <v>0</v>
      </c>
      <c r="U398" s="10">
        <v>78974.239999999758</v>
      </c>
      <c r="V398" s="10">
        <v>0</v>
      </c>
      <c r="W398" s="10">
        <v>0</v>
      </c>
      <c r="X398" s="10">
        <v>0</v>
      </c>
      <c r="Y398" s="10">
        <f t="shared" si="26"/>
        <v>2568335.86</v>
      </c>
    </row>
    <row r="399" spans="1:25" x14ac:dyDescent="0.35">
      <c r="B399" s="10">
        <f t="shared" si="27"/>
        <v>0</v>
      </c>
      <c r="C399" s="10">
        <f t="shared" si="27"/>
        <v>0</v>
      </c>
      <c r="D399" s="10">
        <f t="shared" si="27"/>
        <v>0</v>
      </c>
      <c r="E399" s="10">
        <f t="shared" si="27"/>
        <v>0</v>
      </c>
      <c r="F399" s="10">
        <f t="shared" si="27"/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f t="shared" si="25"/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f t="shared" si="26"/>
        <v>0</v>
      </c>
    </row>
    <row r="400" spans="1:25" ht="15" thickBot="1" x14ac:dyDescent="0.4">
      <c r="A400" s="12" t="s">
        <v>41</v>
      </c>
      <c r="B400" s="13">
        <f t="shared" si="27"/>
        <v>948107.05505977327</v>
      </c>
      <c r="C400" s="13">
        <f t="shared" si="27"/>
        <v>2899588.349254746</v>
      </c>
      <c r="D400" s="13">
        <f t="shared" si="27"/>
        <v>2775414.8688578545</v>
      </c>
      <c r="E400" s="13">
        <f t="shared" si="27"/>
        <v>664286.71546552994</v>
      </c>
      <c r="F400" s="13">
        <f t="shared" si="27"/>
        <v>1437623.3213620656</v>
      </c>
      <c r="G400" s="13">
        <v>8725020.3099999689</v>
      </c>
      <c r="H400" s="13">
        <v>2137659.4100000765</v>
      </c>
      <c r="I400" s="13">
        <v>-4041781.8100000704</v>
      </c>
      <c r="J400" s="13">
        <v>1740012.6200000374</v>
      </c>
      <c r="K400" s="13">
        <v>6281784.7000000663</v>
      </c>
      <c r="L400" s="13">
        <v>400553.94999987073</v>
      </c>
      <c r="M400" s="13">
        <v>4921695.7099999655</v>
      </c>
      <c r="N400" s="13">
        <v>973069.39000011235</v>
      </c>
      <c r="O400" s="13">
        <f t="shared" si="25"/>
        <v>21138014.280000027</v>
      </c>
      <c r="P400" s="14"/>
      <c r="Q400" s="13">
        <v>2523318.2999999989</v>
      </c>
      <c r="R400" s="13">
        <v>7717044.5099999979</v>
      </c>
      <c r="S400" s="13">
        <v>7386565.7800000254</v>
      </c>
      <c r="T400" s="13">
        <v>1767951.0100000128</v>
      </c>
      <c r="U400" s="13">
        <v>3826130.4099999331</v>
      </c>
      <c r="V400" s="13">
        <v>3656250.5900000222</v>
      </c>
      <c r="W400" s="13">
        <v>3601484.9200000204</v>
      </c>
      <c r="X400" s="13">
        <v>101452.1599999927</v>
      </c>
      <c r="Y400" s="13">
        <f t="shared" si="26"/>
        <v>30580197.680000003</v>
      </c>
    </row>
    <row r="401" spans="1:25" ht="15" thickTop="1" x14ac:dyDescent="0.35">
      <c r="A401" t="s">
        <v>42</v>
      </c>
      <c r="B401" s="10">
        <f t="shared" si="27"/>
        <v>268581.7725833549</v>
      </c>
      <c r="C401" s="10">
        <f t="shared" si="27"/>
        <v>440717.8327689892</v>
      </c>
      <c r="D401" s="10">
        <f t="shared" si="27"/>
        <v>409878.85643763142</v>
      </c>
      <c r="E401" s="10">
        <f t="shared" si="27"/>
        <v>63127.713155149992</v>
      </c>
      <c r="F401" s="10">
        <f t="shared" si="27"/>
        <v>201868.3250548745</v>
      </c>
      <c r="G401" s="10">
        <v>1384174.5</v>
      </c>
      <c r="H401" s="10">
        <v>378271.62999999989</v>
      </c>
      <c r="I401" s="10">
        <v>-1207920.6599999999</v>
      </c>
      <c r="J401" s="10">
        <v>243006.01</v>
      </c>
      <c r="K401" s="10">
        <v>1282409.8800000004</v>
      </c>
      <c r="L401" s="10">
        <v>-100279.44000000041</v>
      </c>
      <c r="M401" s="10">
        <v>1047259.3500000001</v>
      </c>
      <c r="N401" s="10">
        <v>174846.93000000017</v>
      </c>
      <c r="O401" s="10">
        <f t="shared" si="25"/>
        <v>3201768.1999999997</v>
      </c>
      <c r="Q401" s="10">
        <v>1047984.69</v>
      </c>
      <c r="R401" s="10">
        <v>1719645.8900000001</v>
      </c>
      <c r="S401" s="10">
        <v>1599314.6600000001</v>
      </c>
      <c r="T401" s="10">
        <v>246319.30999999959</v>
      </c>
      <c r="U401" s="10">
        <v>787674.12999999989</v>
      </c>
      <c r="V401" s="10">
        <v>707736.12000000011</v>
      </c>
      <c r="W401" s="10">
        <v>731996.74000000022</v>
      </c>
      <c r="X401" s="10">
        <v>-211352.09999999963</v>
      </c>
      <c r="Y401" s="10">
        <f t="shared" si="26"/>
        <v>6629319.4400000004</v>
      </c>
    </row>
    <row r="402" spans="1:25" ht="15" thickBot="1" x14ac:dyDescent="0.4">
      <c r="A402" s="12" t="s">
        <v>43</v>
      </c>
      <c r="B402" s="13">
        <f t="shared" si="27"/>
        <v>607752.70473177393</v>
      </c>
      <c r="C402" s="13">
        <f t="shared" si="27"/>
        <v>2470583.7431979938</v>
      </c>
      <c r="D402" s="13">
        <f t="shared" si="27"/>
        <v>2384015.0439885962</v>
      </c>
      <c r="E402" s="13">
        <f t="shared" si="27"/>
        <v>626824.85846751474</v>
      </c>
      <c r="F402" s="13">
        <f t="shared" si="27"/>
        <v>1251669.4596140897</v>
      </c>
      <c r="G402" s="13">
        <v>7340845.8099999689</v>
      </c>
      <c r="H402" s="13">
        <v>1759387.7800000757</v>
      </c>
      <c r="I402" s="13">
        <v>-2833861.1500000693</v>
      </c>
      <c r="J402" s="13">
        <v>1497006.6100000367</v>
      </c>
      <c r="K402" s="13">
        <v>4999374.8200000674</v>
      </c>
      <c r="L402" s="13">
        <v>500833.38999987021</v>
      </c>
      <c r="M402" s="13">
        <v>3874436.3599999659</v>
      </c>
      <c r="N402" s="13">
        <v>798222.46000011638</v>
      </c>
      <c r="O402" s="13">
        <f t="shared" si="25"/>
        <v>17936246.080000032</v>
      </c>
      <c r="P402" s="14"/>
      <c r="Q402" s="13">
        <v>1475333.6099999989</v>
      </c>
      <c r="R402" s="13">
        <v>5997398.6199999973</v>
      </c>
      <c r="S402" s="13">
        <v>5787251.1200000234</v>
      </c>
      <c r="T402" s="13">
        <v>1521631.700000016</v>
      </c>
      <c r="U402" s="13">
        <v>3038456.2799999323</v>
      </c>
      <c r="V402" s="13">
        <v>2948514.4700000212</v>
      </c>
      <c r="W402" s="13">
        <v>2869488.1800000221</v>
      </c>
      <c r="X402" s="13">
        <v>312804.25999999419</v>
      </c>
      <c r="Y402" s="13">
        <f t="shared" si="26"/>
        <v>23950878.240000006</v>
      </c>
    </row>
    <row r="403" spans="1:25" ht="15" thickTop="1" x14ac:dyDescent="0.35">
      <c r="R403" s="10"/>
    </row>
    <row r="404" spans="1:25" x14ac:dyDescent="0.35">
      <c r="A404" s="15"/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Q404" s="16"/>
      <c r="R404" s="15"/>
      <c r="S404" s="15"/>
      <c r="T404" s="15"/>
      <c r="U404" s="15"/>
      <c r="V404" s="15"/>
      <c r="W404" s="15"/>
      <c r="X404" s="15"/>
      <c r="Y404" s="15"/>
    </row>
    <row r="405" spans="1:25" x14ac:dyDescent="0.35">
      <c r="A405" s="15"/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Q405" s="16"/>
      <c r="R405" s="15"/>
      <c r="S405" s="15"/>
      <c r="T405" s="15"/>
      <c r="U405" s="15"/>
      <c r="V405" s="15"/>
      <c r="W405" s="15"/>
      <c r="X405" s="15"/>
      <c r="Y405" s="15"/>
    </row>
    <row r="407" spans="1:25" ht="23.5" x14ac:dyDescent="0.35">
      <c r="A407" s="1" t="s">
        <v>50</v>
      </c>
      <c r="B407" s="2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4"/>
      <c r="Q407" s="3"/>
      <c r="R407" s="5"/>
      <c r="S407" s="5"/>
      <c r="T407" s="5"/>
      <c r="U407" s="5"/>
      <c r="V407" s="5"/>
      <c r="W407" s="5"/>
      <c r="X407" s="5"/>
      <c r="Y407" s="5"/>
    </row>
    <row r="408" spans="1:25" ht="23.5" x14ac:dyDescent="0.35">
      <c r="A408" s="1"/>
      <c r="B408" s="2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4"/>
      <c r="Q408" s="3"/>
      <c r="R408" s="5"/>
      <c r="S408" s="5"/>
      <c r="T408" s="5"/>
      <c r="U408" s="5"/>
      <c r="V408" s="5"/>
      <c r="W408" s="5"/>
      <c r="X408" s="5"/>
      <c r="Y408" s="5"/>
    </row>
    <row r="410" spans="1:25" s="9" customFormat="1" x14ac:dyDescent="0.35">
      <c r="A410" s="6" t="s">
        <v>1</v>
      </c>
      <c r="B410" s="7">
        <v>45658</v>
      </c>
      <c r="C410" s="7">
        <v>45689</v>
      </c>
      <c r="D410" s="7">
        <v>45717</v>
      </c>
      <c r="E410" s="7">
        <v>45748</v>
      </c>
      <c r="F410" s="7">
        <v>45778</v>
      </c>
      <c r="G410" s="7" t="s">
        <v>2</v>
      </c>
      <c r="H410" s="7">
        <v>45809</v>
      </c>
      <c r="I410" s="7">
        <v>45839</v>
      </c>
      <c r="J410" s="7">
        <v>45870</v>
      </c>
      <c r="K410" s="7">
        <v>45901</v>
      </c>
      <c r="L410" s="7">
        <v>45931</v>
      </c>
      <c r="M410" s="7">
        <v>45962</v>
      </c>
      <c r="N410" s="7">
        <v>45992</v>
      </c>
      <c r="O410" s="7" t="s">
        <v>3</v>
      </c>
      <c r="P410" s="8"/>
      <c r="Q410" s="7">
        <v>46023</v>
      </c>
      <c r="R410" s="7">
        <v>46054</v>
      </c>
      <c r="S410" s="7">
        <v>46082</v>
      </c>
      <c r="T410" s="7">
        <v>46113</v>
      </c>
      <c r="U410" s="7">
        <v>46143</v>
      </c>
      <c r="V410" s="7">
        <v>46174</v>
      </c>
      <c r="W410" s="7">
        <v>46204</v>
      </c>
      <c r="X410" s="7">
        <v>46235</v>
      </c>
      <c r="Y410" s="7" t="s">
        <v>3</v>
      </c>
    </row>
    <row r="411" spans="1:25" x14ac:dyDescent="0.35">
      <c r="A411" t="s">
        <v>4</v>
      </c>
      <c r="B411" s="10">
        <f t="shared" ref="B411:F442" si="28">IF(OR(SUM($Q411:$U411)=0,COUNTIF($Q411:$U411,"&lt;0")*COUNTIF($Q411:$U411,"&gt;0")&gt;0),$G411/5,$G411*Q411/SUM($Q411:$U411))</f>
        <v>0</v>
      </c>
      <c r="C411" s="10">
        <f t="shared" si="28"/>
        <v>0</v>
      </c>
      <c r="D411" s="10">
        <f t="shared" si="28"/>
        <v>0</v>
      </c>
      <c r="E411" s="10">
        <f t="shared" si="28"/>
        <v>0</v>
      </c>
      <c r="F411" s="10">
        <f t="shared" si="28"/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f t="shared" ref="O411:O460" si="29">SUM(B411:F411,H411:N411)</f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f t="shared" ref="Y411:Y460" si="30">SUM(Q411:X411)</f>
        <v>0</v>
      </c>
    </row>
    <row r="412" spans="1:25" x14ac:dyDescent="0.35">
      <c r="A412" t="s">
        <v>5</v>
      </c>
      <c r="B412" s="10">
        <f t="shared" si="28"/>
        <v>90899078.089483306</v>
      </c>
      <c r="C412" s="10">
        <f t="shared" si="28"/>
        <v>92883010.287071347</v>
      </c>
      <c r="D412" s="10">
        <f t="shared" si="28"/>
        <v>95924034.882996082</v>
      </c>
      <c r="E412" s="10">
        <f t="shared" si="28"/>
        <v>110495509.42790385</v>
      </c>
      <c r="F412" s="10">
        <f t="shared" si="28"/>
        <v>102848582.67254542</v>
      </c>
      <c r="G412" s="10">
        <v>493050215.36000001</v>
      </c>
      <c r="H412" s="10">
        <v>93964473.940000057</v>
      </c>
      <c r="I412" s="10">
        <v>97928468.23999989</v>
      </c>
      <c r="J412" s="10">
        <v>98135163.980000138</v>
      </c>
      <c r="K412" s="10">
        <v>98440134.909999967</v>
      </c>
      <c r="L412" s="10">
        <v>97262211.120000005</v>
      </c>
      <c r="M412" s="10">
        <v>105819198.43999994</v>
      </c>
      <c r="N412" s="10">
        <v>100411305.79999971</v>
      </c>
      <c r="O412" s="10">
        <f t="shared" si="29"/>
        <v>1185011171.7899997</v>
      </c>
      <c r="Q412" s="10">
        <v>105186712.00000001</v>
      </c>
      <c r="R412" s="10">
        <v>107482481.20999999</v>
      </c>
      <c r="S412" s="10">
        <v>111001497.96000001</v>
      </c>
      <c r="T412" s="10">
        <v>127863335.59999996</v>
      </c>
      <c r="U412" s="10">
        <v>119014455.06999993</v>
      </c>
      <c r="V412" s="10">
        <v>105589109.25999999</v>
      </c>
      <c r="W412" s="10">
        <v>113815139.29000008</v>
      </c>
      <c r="X412" s="10">
        <v>118339404.14999986</v>
      </c>
      <c r="Y412" s="10">
        <f t="shared" si="30"/>
        <v>908292134.53999984</v>
      </c>
    </row>
    <row r="413" spans="1:25" x14ac:dyDescent="0.35">
      <c r="A413" t="s">
        <v>6</v>
      </c>
      <c r="B413" s="10">
        <f t="shared" si="28"/>
        <v>10621616.155513698</v>
      </c>
      <c r="C413" s="10">
        <f t="shared" si="28"/>
        <v>9364450.3428682256</v>
      </c>
      <c r="D413" s="10">
        <f t="shared" si="28"/>
        <v>11267431.590332597</v>
      </c>
      <c r="E413" s="10">
        <f t="shared" si="28"/>
        <v>9725746.9522444978</v>
      </c>
      <c r="F413" s="10">
        <f t="shared" si="28"/>
        <v>10318778.449040985</v>
      </c>
      <c r="G413" s="10">
        <v>51298023.490000002</v>
      </c>
      <c r="H413" s="10">
        <v>8828169.6899999976</v>
      </c>
      <c r="I413" s="10">
        <v>11180335.379999988</v>
      </c>
      <c r="J413" s="10">
        <v>8714090.8400000036</v>
      </c>
      <c r="K413" s="10">
        <v>11083954.870000005</v>
      </c>
      <c r="L413" s="10">
        <v>9865660.9199999869</v>
      </c>
      <c r="M413" s="10">
        <v>10431474.360000014</v>
      </c>
      <c r="N413" s="10">
        <v>9890737.4999999851</v>
      </c>
      <c r="O413" s="10">
        <f t="shared" si="29"/>
        <v>121292447.04999998</v>
      </c>
      <c r="Q413" s="10">
        <v>11198453.250000002</v>
      </c>
      <c r="R413" s="10">
        <v>9873013.4699999969</v>
      </c>
      <c r="S413" s="10">
        <v>11879341.529999997</v>
      </c>
      <c r="T413" s="10">
        <v>10253931.320000011</v>
      </c>
      <c r="U413" s="10">
        <v>10879169.079999991</v>
      </c>
      <c r="V413" s="10">
        <v>12880653.040000007</v>
      </c>
      <c r="W413" s="10">
        <v>11265736.899999984</v>
      </c>
      <c r="X413" s="10">
        <v>12679567.910000011</v>
      </c>
      <c r="Y413" s="10">
        <f t="shared" si="30"/>
        <v>90909866.5</v>
      </c>
    </row>
    <row r="414" spans="1:25" ht="15" thickBot="1" x14ac:dyDescent="0.4">
      <c r="A414" s="12" t="s">
        <v>7</v>
      </c>
      <c r="B414" s="13">
        <f t="shared" si="28"/>
        <v>80391805.107574686</v>
      </c>
      <c r="C414" s="13">
        <f t="shared" si="28"/>
        <v>83489165.684838012</v>
      </c>
      <c r="D414" s="13">
        <f t="shared" si="28"/>
        <v>84783027.024246156</v>
      </c>
      <c r="E414" s="13">
        <f t="shared" si="28"/>
        <v>100595887.54425906</v>
      </c>
      <c r="F414" s="13">
        <f t="shared" si="28"/>
        <v>92492306.509082139</v>
      </c>
      <c r="G414" s="13">
        <v>441752191.87000006</v>
      </c>
      <c r="H414" s="13">
        <v>85136304.24999994</v>
      </c>
      <c r="I414" s="13">
        <v>86748132.859999895</v>
      </c>
      <c r="J414" s="13">
        <v>89421073.140000224</v>
      </c>
      <c r="K414" s="13">
        <v>87356180.039999962</v>
      </c>
      <c r="L414" s="13">
        <v>87396550.199999928</v>
      </c>
      <c r="M414" s="13">
        <v>95387724.080000043</v>
      </c>
      <c r="N414" s="13">
        <v>90520568.299999714</v>
      </c>
      <c r="O414" s="13">
        <f t="shared" si="29"/>
        <v>1063718724.7399998</v>
      </c>
      <c r="P414" s="14"/>
      <c r="Q414" s="13">
        <v>93988258.750000015</v>
      </c>
      <c r="R414" s="13">
        <v>97609467.739999995</v>
      </c>
      <c r="S414" s="13">
        <v>99122156.430000007</v>
      </c>
      <c r="T414" s="13">
        <v>117609404.28000003</v>
      </c>
      <c r="U414" s="13">
        <v>108135285.98999989</v>
      </c>
      <c r="V414" s="13">
        <v>92708456.220000029</v>
      </c>
      <c r="W414" s="13">
        <v>102549402.3900001</v>
      </c>
      <c r="X414" s="13">
        <v>105659836.23999977</v>
      </c>
      <c r="Y414" s="13">
        <f t="shared" si="30"/>
        <v>817382268.03999984</v>
      </c>
    </row>
    <row r="415" spans="1:25" ht="15" thickTop="1" x14ac:dyDescent="0.35">
      <c r="B415" s="10">
        <f t="shared" si="28"/>
        <v>0</v>
      </c>
      <c r="C415" s="10">
        <f t="shared" si="28"/>
        <v>0</v>
      </c>
      <c r="D415" s="10">
        <f t="shared" si="28"/>
        <v>0</v>
      </c>
      <c r="E415" s="10">
        <f t="shared" si="28"/>
        <v>0</v>
      </c>
      <c r="F415" s="10">
        <f t="shared" si="28"/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f t="shared" si="29"/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f t="shared" si="30"/>
        <v>0</v>
      </c>
    </row>
    <row r="416" spans="1:25" x14ac:dyDescent="0.35">
      <c r="A416" t="s">
        <v>4</v>
      </c>
      <c r="B416" s="10">
        <f t="shared" si="28"/>
        <v>111310.7290130468</v>
      </c>
      <c r="C416" s="10">
        <f t="shared" si="28"/>
        <v>71937.530986953221</v>
      </c>
      <c r="D416" s="10">
        <f t="shared" si="28"/>
        <v>0</v>
      </c>
      <c r="E416" s="10">
        <f t="shared" si="28"/>
        <v>0</v>
      </c>
      <c r="F416" s="10">
        <f t="shared" si="28"/>
        <v>0</v>
      </c>
      <c r="G416" s="10">
        <v>183248.26</v>
      </c>
      <c r="H416" s="10">
        <v>7983</v>
      </c>
      <c r="I416" s="10">
        <v>18</v>
      </c>
      <c r="J416" s="10">
        <v>115475.02000000002</v>
      </c>
      <c r="K416" s="10">
        <v>0</v>
      </c>
      <c r="L416" s="10">
        <v>39692.379999999946</v>
      </c>
      <c r="M416" s="10">
        <v>16829.330000000075</v>
      </c>
      <c r="N416" s="10">
        <v>975017.41999999993</v>
      </c>
      <c r="O416" s="10">
        <f t="shared" si="29"/>
        <v>1338263.4099999999</v>
      </c>
      <c r="Q416" s="10">
        <v>30171.38</v>
      </c>
      <c r="R416" s="10">
        <v>19499.060000000001</v>
      </c>
      <c r="S416" s="10">
        <v>0</v>
      </c>
      <c r="T416" s="10">
        <v>0</v>
      </c>
      <c r="U416" s="10">
        <v>0</v>
      </c>
      <c r="V416" s="10">
        <v>32850</v>
      </c>
      <c r="W416" s="10">
        <v>56235.48000000001</v>
      </c>
      <c r="X416" s="10">
        <v>81625.01999999999</v>
      </c>
      <c r="Y416" s="10">
        <f t="shared" si="30"/>
        <v>220380.94</v>
      </c>
    </row>
    <row r="417" spans="1:25" x14ac:dyDescent="0.35">
      <c r="A417" t="s">
        <v>8</v>
      </c>
      <c r="B417" s="10">
        <f t="shared" si="28"/>
        <v>111310.7290130468</v>
      </c>
      <c r="C417" s="10">
        <f t="shared" si="28"/>
        <v>71937.530986953221</v>
      </c>
      <c r="D417" s="10">
        <f t="shared" si="28"/>
        <v>0</v>
      </c>
      <c r="E417" s="10">
        <f t="shared" si="28"/>
        <v>0</v>
      </c>
      <c r="F417" s="10">
        <f t="shared" si="28"/>
        <v>0</v>
      </c>
      <c r="G417" s="10">
        <v>183248.26</v>
      </c>
      <c r="H417" s="10">
        <v>7983</v>
      </c>
      <c r="I417" s="10">
        <v>18</v>
      </c>
      <c r="J417" s="10">
        <v>115475.02000000002</v>
      </c>
      <c r="K417" s="10">
        <v>0</v>
      </c>
      <c r="L417" s="10">
        <v>39692.379999999946</v>
      </c>
      <c r="M417" s="10">
        <v>16829.330000000075</v>
      </c>
      <c r="N417" s="10">
        <v>975017.41999999993</v>
      </c>
      <c r="O417" s="10">
        <f t="shared" si="29"/>
        <v>1338263.4099999999</v>
      </c>
      <c r="Q417" s="10">
        <v>30171.38</v>
      </c>
      <c r="R417" s="10">
        <v>19499.060000000001</v>
      </c>
      <c r="S417" s="10">
        <v>0</v>
      </c>
      <c r="T417" s="10">
        <v>0</v>
      </c>
      <c r="U417" s="10">
        <v>0</v>
      </c>
      <c r="V417" s="10">
        <v>32850</v>
      </c>
      <c r="W417" s="10">
        <v>56235.48000000001</v>
      </c>
      <c r="X417" s="10">
        <v>81625.01999999999</v>
      </c>
      <c r="Y417" s="10">
        <f t="shared" si="30"/>
        <v>220380.94</v>
      </c>
    </row>
    <row r="418" spans="1:25" x14ac:dyDescent="0.35">
      <c r="A418" t="s">
        <v>9</v>
      </c>
      <c r="B418" s="10">
        <f t="shared" si="28"/>
        <v>0</v>
      </c>
      <c r="C418" s="10">
        <f t="shared" si="28"/>
        <v>0</v>
      </c>
      <c r="D418" s="10">
        <f t="shared" si="28"/>
        <v>0</v>
      </c>
      <c r="E418" s="10">
        <f t="shared" si="28"/>
        <v>0</v>
      </c>
      <c r="F418" s="10">
        <f t="shared" si="28"/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f t="shared" si="29"/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f t="shared" si="30"/>
        <v>0</v>
      </c>
    </row>
    <row r="419" spans="1:25" x14ac:dyDescent="0.35">
      <c r="A419" t="s">
        <v>10</v>
      </c>
      <c r="B419" s="10">
        <f t="shared" si="28"/>
        <v>0</v>
      </c>
      <c r="C419" s="10">
        <f t="shared" si="28"/>
        <v>0</v>
      </c>
      <c r="D419" s="10">
        <f t="shared" si="28"/>
        <v>0</v>
      </c>
      <c r="E419" s="10">
        <f t="shared" si="28"/>
        <v>0</v>
      </c>
      <c r="F419" s="10">
        <f t="shared" si="28"/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f t="shared" si="29"/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f t="shared" si="30"/>
        <v>0</v>
      </c>
    </row>
    <row r="420" spans="1:25" ht="15" thickBot="1" x14ac:dyDescent="0.4">
      <c r="A420" s="12" t="s">
        <v>11</v>
      </c>
      <c r="B420" s="13">
        <f t="shared" si="28"/>
        <v>80443234.26170066</v>
      </c>
      <c r="C420" s="13">
        <f t="shared" si="28"/>
        <v>83532450.352138132</v>
      </c>
      <c r="D420" s="13">
        <f t="shared" si="28"/>
        <v>84810040.32079801</v>
      </c>
      <c r="E420" s="13">
        <f t="shared" si="28"/>
        <v>100627939.08378889</v>
      </c>
      <c r="F420" s="13">
        <f t="shared" si="28"/>
        <v>92521776.111574367</v>
      </c>
      <c r="G420" s="13">
        <v>441935440.13000005</v>
      </c>
      <c r="H420" s="13">
        <v>85144287.25</v>
      </c>
      <c r="I420" s="13">
        <v>86748150.859999835</v>
      </c>
      <c r="J420" s="13">
        <v>89536548.160000205</v>
      </c>
      <c r="K420" s="13">
        <v>87356180.039999962</v>
      </c>
      <c r="L420" s="13">
        <v>87436242.579999924</v>
      </c>
      <c r="M420" s="13">
        <v>95404553.410000086</v>
      </c>
      <c r="N420" s="13">
        <v>91495585.719999552</v>
      </c>
      <c r="O420" s="13">
        <f t="shared" si="29"/>
        <v>1065056988.1499996</v>
      </c>
      <c r="P420" s="14"/>
      <c r="Q420" s="13">
        <v>94018430.13000001</v>
      </c>
      <c r="R420" s="13">
        <v>97628966.799999967</v>
      </c>
      <c r="S420" s="13">
        <v>99122156.430000037</v>
      </c>
      <c r="T420" s="13">
        <v>117609404.28000003</v>
      </c>
      <c r="U420" s="13">
        <v>108135285.98999989</v>
      </c>
      <c r="V420" s="13">
        <v>92741306.219999969</v>
      </c>
      <c r="W420" s="13">
        <v>102605637.87000012</v>
      </c>
      <c r="X420" s="13">
        <v>105741461.25999975</v>
      </c>
      <c r="Y420" s="13">
        <f t="shared" si="30"/>
        <v>817602648.97999978</v>
      </c>
    </row>
    <row r="421" spans="1:25" ht="15" thickTop="1" x14ac:dyDescent="0.35">
      <c r="B421" s="10">
        <f t="shared" si="28"/>
        <v>0</v>
      </c>
      <c r="C421" s="10">
        <f t="shared" si="28"/>
        <v>0</v>
      </c>
      <c r="D421" s="10">
        <f t="shared" si="28"/>
        <v>0</v>
      </c>
      <c r="E421" s="10">
        <f t="shared" si="28"/>
        <v>0</v>
      </c>
      <c r="F421" s="10">
        <f t="shared" si="28"/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f t="shared" si="29"/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f t="shared" si="30"/>
        <v>0</v>
      </c>
    </row>
    <row r="422" spans="1:25" x14ac:dyDescent="0.35">
      <c r="A422" t="s">
        <v>12</v>
      </c>
      <c r="B422" s="10">
        <f t="shared" si="28"/>
        <v>8467562.308803359</v>
      </c>
      <c r="C422" s="10">
        <f t="shared" si="28"/>
        <v>8899682.5336219408</v>
      </c>
      <c r="D422" s="10">
        <f t="shared" si="28"/>
        <v>9070718.3370627705</v>
      </c>
      <c r="E422" s="10">
        <f t="shared" si="28"/>
        <v>17388897.957007874</v>
      </c>
      <c r="F422" s="10">
        <f t="shared" si="28"/>
        <v>16893572.113504056</v>
      </c>
      <c r="G422" s="10">
        <v>60720433.25</v>
      </c>
      <c r="H422" s="10">
        <v>9249796.4699999988</v>
      </c>
      <c r="I422" s="10">
        <v>8467245.7199999988</v>
      </c>
      <c r="J422" s="10">
        <v>9086564.5</v>
      </c>
      <c r="K422" s="10">
        <v>9458885.299999997</v>
      </c>
      <c r="L422" s="10">
        <v>12800470.340000004</v>
      </c>
      <c r="M422" s="10">
        <v>9070499.1200000048</v>
      </c>
      <c r="N422" s="10">
        <v>8415499.2399999946</v>
      </c>
      <c r="O422" s="10">
        <f t="shared" si="29"/>
        <v>127269393.94</v>
      </c>
      <c r="Q422" s="10">
        <v>9370194.0500000007</v>
      </c>
      <c r="R422" s="10">
        <v>9848377.7599999979</v>
      </c>
      <c r="S422" s="10">
        <v>10037645.77</v>
      </c>
      <c r="T422" s="10">
        <v>19242533.120000005</v>
      </c>
      <c r="U422" s="10">
        <v>18694406.149999991</v>
      </c>
      <c r="V422" s="10">
        <v>9605190.9400000125</v>
      </c>
      <c r="W422" s="10">
        <v>10265921.189999998</v>
      </c>
      <c r="X422" s="10">
        <v>10437498.929999992</v>
      </c>
      <c r="Y422" s="10">
        <f t="shared" si="30"/>
        <v>97501767.909999996</v>
      </c>
    </row>
    <row r="423" spans="1:25" x14ac:dyDescent="0.35">
      <c r="B423" s="10">
        <f t="shared" si="28"/>
        <v>0</v>
      </c>
      <c r="C423" s="10">
        <f t="shared" si="28"/>
        <v>0</v>
      </c>
      <c r="D423" s="10">
        <f t="shared" si="28"/>
        <v>0</v>
      </c>
      <c r="E423" s="10">
        <f t="shared" si="28"/>
        <v>0</v>
      </c>
      <c r="F423" s="10">
        <f t="shared" si="28"/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f t="shared" si="29"/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f t="shared" si="30"/>
        <v>0</v>
      </c>
    </row>
    <row r="424" spans="1:25" ht="15" thickBot="1" x14ac:dyDescent="0.4">
      <c r="A424" s="12" t="s">
        <v>13</v>
      </c>
      <c r="B424" s="13">
        <f t="shared" si="28"/>
        <v>71817635.203524187</v>
      </c>
      <c r="C424" s="13">
        <f t="shared" si="28"/>
        <v>74475200.117190599</v>
      </c>
      <c r="D424" s="13">
        <f t="shared" si="28"/>
        <v>75581479.13227424</v>
      </c>
      <c r="E424" s="13">
        <f t="shared" si="28"/>
        <v>83456860.960509524</v>
      </c>
      <c r="F424" s="13">
        <f t="shared" si="28"/>
        <v>75883831.466501489</v>
      </c>
      <c r="G424" s="13">
        <v>381215006.88000005</v>
      </c>
      <c r="H424" s="13">
        <v>75894490.779999971</v>
      </c>
      <c r="I424" s="13">
        <v>78280905.139999926</v>
      </c>
      <c r="J424" s="13">
        <v>80449983.660000086</v>
      </c>
      <c r="K424" s="13">
        <v>77897294.74000001</v>
      </c>
      <c r="L424" s="13">
        <v>74635772.23999989</v>
      </c>
      <c r="M424" s="13">
        <v>86334054.289999962</v>
      </c>
      <c r="N424" s="13">
        <v>83080086.479999781</v>
      </c>
      <c r="O424" s="13">
        <f t="shared" si="29"/>
        <v>937787594.20999968</v>
      </c>
      <c r="P424" s="14"/>
      <c r="Q424" s="13">
        <v>84648236.079999998</v>
      </c>
      <c r="R424" s="13">
        <v>87780589.040000007</v>
      </c>
      <c r="S424" s="13">
        <v>89084510.660000026</v>
      </c>
      <c r="T424" s="13">
        <v>98366871.160000026</v>
      </c>
      <c r="U424" s="13">
        <v>89440879.839999855</v>
      </c>
      <c r="V424" s="13">
        <v>83136115.280000031</v>
      </c>
      <c r="W424" s="13">
        <v>92339716.680000067</v>
      </c>
      <c r="X424" s="13">
        <v>95303962.329999924</v>
      </c>
      <c r="Y424" s="13">
        <f t="shared" si="30"/>
        <v>720100881.06999993</v>
      </c>
    </row>
    <row r="425" spans="1:25" ht="15" thickTop="1" x14ac:dyDescent="0.35">
      <c r="B425" s="10">
        <f t="shared" si="28"/>
        <v>0</v>
      </c>
      <c r="C425" s="10">
        <f t="shared" si="28"/>
        <v>0</v>
      </c>
      <c r="D425" s="10">
        <f t="shared" si="28"/>
        <v>0</v>
      </c>
      <c r="E425" s="10">
        <f t="shared" si="28"/>
        <v>0</v>
      </c>
      <c r="F425" s="10">
        <f t="shared" si="28"/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f t="shared" si="29"/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f t="shared" si="30"/>
        <v>0</v>
      </c>
    </row>
    <row r="426" spans="1:25" x14ac:dyDescent="0.35">
      <c r="A426" t="s">
        <v>14</v>
      </c>
      <c r="B426" s="10">
        <f t="shared" si="28"/>
        <v>4755544.0587897794</v>
      </c>
      <c r="C426" s="10">
        <f t="shared" si="28"/>
        <v>8242307.352787097</v>
      </c>
      <c r="D426" s="10">
        <f t="shared" si="28"/>
        <v>5089659.8882242134</v>
      </c>
      <c r="E426" s="10">
        <f t="shared" si="28"/>
        <v>10938561.479724269</v>
      </c>
      <c r="F426" s="10">
        <f t="shared" si="28"/>
        <v>1276187.350474644</v>
      </c>
      <c r="G426" s="10">
        <v>30302260.130000003</v>
      </c>
      <c r="H426" s="10">
        <v>888807.99999999627</v>
      </c>
      <c r="I426" s="10">
        <v>3976869.84</v>
      </c>
      <c r="J426" s="10">
        <v>-3064208.7499999963</v>
      </c>
      <c r="K426" s="10">
        <v>3067252.7199999951</v>
      </c>
      <c r="L426" s="10">
        <v>1998943.8600000069</v>
      </c>
      <c r="M426" s="10">
        <v>4239284.9600000009</v>
      </c>
      <c r="N426" s="10">
        <v>2238732.4099999964</v>
      </c>
      <c r="O426" s="10">
        <f t="shared" si="29"/>
        <v>43647943.170000002</v>
      </c>
      <c r="Q426" s="10">
        <v>7198133.9699999997</v>
      </c>
      <c r="R426" s="10">
        <v>12475803.359999999</v>
      </c>
      <c r="S426" s="10">
        <v>7703861.6999999955</v>
      </c>
      <c r="T426" s="10">
        <v>16556934.390000008</v>
      </c>
      <c r="U426" s="10">
        <v>1931675.4100000039</v>
      </c>
      <c r="V426" s="10">
        <v>4315130.2799999937</v>
      </c>
      <c r="W426" s="10">
        <v>-438986.67000000924</v>
      </c>
      <c r="X426" s="10">
        <v>-172917.28999999166</v>
      </c>
      <c r="Y426" s="10">
        <f t="shared" si="30"/>
        <v>49569635.149999999</v>
      </c>
    </row>
    <row r="427" spans="1:25" x14ac:dyDescent="0.35">
      <c r="A427" t="s">
        <v>15</v>
      </c>
      <c r="B427" s="10">
        <f t="shared" si="28"/>
        <v>6730293.9897502447</v>
      </c>
      <c r="C427" s="10">
        <f t="shared" si="28"/>
        <v>8883419.1294054817</v>
      </c>
      <c r="D427" s="10">
        <f t="shared" si="28"/>
        <v>8615931.0273554306</v>
      </c>
      <c r="E427" s="10">
        <f t="shared" si="28"/>
        <v>12120794.05776377</v>
      </c>
      <c r="F427" s="10">
        <f t="shared" si="28"/>
        <v>1914829.8757250726</v>
      </c>
      <c r="G427" s="10">
        <v>38265268.079999998</v>
      </c>
      <c r="H427" s="10">
        <v>3433661.3999999985</v>
      </c>
      <c r="I427" s="10">
        <v>4855726.9700000063</v>
      </c>
      <c r="J427" s="10">
        <v>1769232.8699999973</v>
      </c>
      <c r="K427" s="10">
        <v>4935623.8299999982</v>
      </c>
      <c r="L427" s="10">
        <v>3884295.3000000045</v>
      </c>
      <c r="M427" s="10">
        <v>5400611.1699999943</v>
      </c>
      <c r="N427" s="10">
        <v>6775387.1499999985</v>
      </c>
      <c r="O427" s="10">
        <f t="shared" si="29"/>
        <v>69319806.770000011</v>
      </c>
      <c r="Q427" s="10">
        <v>9762281.8200000003</v>
      </c>
      <c r="R427" s="10">
        <v>12885386.759999998</v>
      </c>
      <c r="S427" s="10">
        <v>12497395.649999999</v>
      </c>
      <c r="T427" s="10">
        <v>17581194.470000006</v>
      </c>
      <c r="U427" s="10">
        <v>2777458</v>
      </c>
      <c r="V427" s="10">
        <v>6464829.7599999979</v>
      </c>
      <c r="W427" s="10">
        <v>5288491.6399999931</v>
      </c>
      <c r="X427" s="10">
        <v>7310159.6700000018</v>
      </c>
      <c r="Y427" s="10">
        <f t="shared" si="30"/>
        <v>74567197.769999996</v>
      </c>
    </row>
    <row r="428" spans="1:25" x14ac:dyDescent="0.35">
      <c r="A428" t="s">
        <v>16</v>
      </c>
      <c r="B428" s="10">
        <f t="shared" si="28"/>
        <v>2118675.6706284834</v>
      </c>
      <c r="C428" s="10">
        <f t="shared" si="28"/>
        <v>338426.03291120444</v>
      </c>
      <c r="D428" s="10">
        <f t="shared" si="28"/>
        <v>3960748.1121639116</v>
      </c>
      <c r="E428" s="10">
        <f t="shared" si="28"/>
        <v>846314.26845842064</v>
      </c>
      <c r="F428" s="10">
        <f t="shared" si="28"/>
        <v>698843.86583798018</v>
      </c>
      <c r="G428" s="10">
        <v>7963007.9500000002</v>
      </c>
      <c r="H428" s="10">
        <v>2544853.3999999994</v>
      </c>
      <c r="I428" s="10">
        <v>878857.13000000082</v>
      </c>
      <c r="J428" s="10">
        <v>4833441.6199999992</v>
      </c>
      <c r="K428" s="10">
        <v>1868371.1100000013</v>
      </c>
      <c r="L428" s="10">
        <v>1885351.4399999976</v>
      </c>
      <c r="M428" s="10">
        <v>1161326.2100000009</v>
      </c>
      <c r="N428" s="10">
        <v>4536654.7400000021</v>
      </c>
      <c r="O428" s="10">
        <f t="shared" si="29"/>
        <v>25671863.600000001</v>
      </c>
      <c r="Q428" s="10">
        <v>2564147.85</v>
      </c>
      <c r="R428" s="10">
        <v>409583.39999999991</v>
      </c>
      <c r="S428" s="10">
        <v>4793533.95</v>
      </c>
      <c r="T428" s="10">
        <v>1024260.0799999991</v>
      </c>
      <c r="U428" s="10">
        <v>845782.58999999985</v>
      </c>
      <c r="V428" s="10">
        <v>2149699.4800000004</v>
      </c>
      <c r="W428" s="10">
        <v>5727478.3100000005</v>
      </c>
      <c r="X428" s="10">
        <v>7483076.9600000009</v>
      </c>
      <c r="Y428" s="10">
        <f t="shared" si="30"/>
        <v>24997562.620000001</v>
      </c>
    </row>
    <row r="429" spans="1:25" ht="15" thickBot="1" x14ac:dyDescent="0.4">
      <c r="A429" s="12" t="s">
        <v>17</v>
      </c>
      <c r="B429" s="13">
        <f t="shared" si="28"/>
        <v>67363769.842956871</v>
      </c>
      <c r="C429" s="13">
        <f t="shared" si="28"/>
        <v>65497838.123130582</v>
      </c>
      <c r="D429" s="13">
        <f t="shared" si="28"/>
        <v>70782441.299119771</v>
      </c>
      <c r="E429" s="13">
        <f t="shared" si="28"/>
        <v>71155822.927308664</v>
      </c>
      <c r="F429" s="13">
        <f t="shared" si="28"/>
        <v>76112874.557484165</v>
      </c>
      <c r="G429" s="13">
        <v>350912746.75000006</v>
      </c>
      <c r="H429" s="13">
        <v>75005682.780000031</v>
      </c>
      <c r="I429" s="13">
        <v>74304035.299999833</v>
      </c>
      <c r="J429" s="13">
        <v>83514192.410000205</v>
      </c>
      <c r="K429" s="13">
        <v>74830042.019999862</v>
      </c>
      <c r="L429" s="13">
        <v>72636828.379999995</v>
      </c>
      <c r="M429" s="13">
        <v>82094769.329999924</v>
      </c>
      <c r="N429" s="13">
        <v>80841354.069999814</v>
      </c>
      <c r="O429" s="13">
        <f t="shared" si="29"/>
        <v>894139651.03999972</v>
      </c>
      <c r="P429" s="14"/>
      <c r="Q429" s="13">
        <v>77450102.110000014</v>
      </c>
      <c r="R429" s="13">
        <v>75304785.680000007</v>
      </c>
      <c r="S429" s="13">
        <v>81380648.960000008</v>
      </c>
      <c r="T429" s="13">
        <v>81809936.770000011</v>
      </c>
      <c r="U429" s="13">
        <v>87509204.429999828</v>
      </c>
      <c r="V429" s="13">
        <v>78820985.00000006</v>
      </c>
      <c r="W429" s="13">
        <v>92778703.350000024</v>
      </c>
      <c r="X429" s="13">
        <v>95476879.620000005</v>
      </c>
      <c r="Y429" s="13">
        <f t="shared" si="30"/>
        <v>670531245.91999996</v>
      </c>
    </row>
    <row r="430" spans="1:25" ht="15" thickTop="1" x14ac:dyDescent="0.35">
      <c r="B430" s="10">
        <f t="shared" si="28"/>
        <v>0</v>
      </c>
      <c r="C430" s="10">
        <f t="shared" si="28"/>
        <v>0</v>
      </c>
      <c r="D430" s="10">
        <f t="shared" si="28"/>
        <v>0</v>
      </c>
      <c r="E430" s="10">
        <f t="shared" si="28"/>
        <v>0</v>
      </c>
      <c r="F430" s="10">
        <f t="shared" si="28"/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f t="shared" si="29"/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f t="shared" si="30"/>
        <v>0</v>
      </c>
    </row>
    <row r="431" spans="1:25" x14ac:dyDescent="0.35">
      <c r="A431" t="s">
        <v>18</v>
      </c>
      <c r="B431" s="10">
        <f t="shared" si="28"/>
        <v>32323236.642357431</v>
      </c>
      <c r="C431" s="10">
        <f t="shared" si="28"/>
        <v>30598628.188108992</v>
      </c>
      <c r="D431" s="10">
        <f t="shared" si="28"/>
        <v>40535376.202826709</v>
      </c>
      <c r="E431" s="10">
        <f t="shared" si="28"/>
        <v>40334635.156594187</v>
      </c>
      <c r="F431" s="10">
        <f t="shared" si="28"/>
        <v>42656011.170112669</v>
      </c>
      <c r="G431" s="10">
        <v>186447887.35999998</v>
      </c>
      <c r="H431" s="10">
        <v>44505948.660000026</v>
      </c>
      <c r="I431" s="10">
        <v>41412262.179999977</v>
      </c>
      <c r="J431" s="10">
        <v>46205861.310000062</v>
      </c>
      <c r="K431" s="10">
        <v>41611038.329999983</v>
      </c>
      <c r="L431" s="10">
        <v>40889646.809999943</v>
      </c>
      <c r="M431" s="10">
        <v>51527423.649999976</v>
      </c>
      <c r="N431" s="10">
        <v>41054221.5200001</v>
      </c>
      <c r="O431" s="10">
        <f t="shared" si="29"/>
        <v>493654289.82000005</v>
      </c>
      <c r="Q431" s="10">
        <v>36210148.189999998</v>
      </c>
      <c r="R431" s="10">
        <v>34278153.310000002</v>
      </c>
      <c r="S431" s="10">
        <v>45409808.290000007</v>
      </c>
      <c r="T431" s="10">
        <v>45184927.86999993</v>
      </c>
      <c r="U431" s="10">
        <v>47785452.390000015</v>
      </c>
      <c r="V431" s="10">
        <v>38969629.330000043</v>
      </c>
      <c r="W431" s="10">
        <v>51440817.970000029</v>
      </c>
      <c r="X431" s="10">
        <v>51532093.679999888</v>
      </c>
      <c r="Y431" s="10">
        <f t="shared" si="30"/>
        <v>350811031.02999991</v>
      </c>
    </row>
    <row r="432" spans="1:25" x14ac:dyDescent="0.35">
      <c r="A432" t="s">
        <v>19</v>
      </c>
      <c r="B432" s="10">
        <f t="shared" si="28"/>
        <v>7141258.273391814</v>
      </c>
      <c r="C432" s="10">
        <f t="shared" si="28"/>
        <v>4638355.4311173661</v>
      </c>
      <c r="D432" s="10">
        <f t="shared" si="28"/>
        <v>8586540.714739494</v>
      </c>
      <c r="E432" s="10">
        <f t="shared" si="28"/>
        <v>6635432.7750577936</v>
      </c>
      <c r="F432" s="10">
        <f t="shared" si="28"/>
        <v>7241874.6656935317</v>
      </c>
      <c r="G432" s="10">
        <v>34243461.859999999</v>
      </c>
      <c r="H432" s="10">
        <v>7448747.9699999988</v>
      </c>
      <c r="I432" s="10">
        <v>7736264.4200000018</v>
      </c>
      <c r="J432" s="10">
        <v>7741629.6499999985</v>
      </c>
      <c r="K432" s="10">
        <v>8071268.799999997</v>
      </c>
      <c r="L432" s="10">
        <v>8189294.5800000057</v>
      </c>
      <c r="M432" s="10">
        <v>8725082.4699999839</v>
      </c>
      <c r="N432" s="10">
        <v>9681111.1700000018</v>
      </c>
      <c r="O432" s="10">
        <f t="shared" si="29"/>
        <v>91836860.919999987</v>
      </c>
      <c r="Q432" s="10">
        <v>7091836.7300000004</v>
      </c>
      <c r="R432" s="10">
        <v>4606255.3899999987</v>
      </c>
      <c r="S432" s="10">
        <v>8527117.0000000019</v>
      </c>
      <c r="T432" s="10">
        <v>6589511.8299999945</v>
      </c>
      <c r="U432" s="10">
        <v>7191756.8000000045</v>
      </c>
      <c r="V432" s="10">
        <v>8744590.3199999928</v>
      </c>
      <c r="W432" s="10">
        <v>9145114.3800000101</v>
      </c>
      <c r="X432" s="10">
        <v>9348708.8299999982</v>
      </c>
      <c r="Y432" s="10">
        <f t="shared" si="30"/>
        <v>61244891.280000001</v>
      </c>
    </row>
    <row r="433" spans="1:25" x14ac:dyDescent="0.35">
      <c r="A433" t="s">
        <v>20</v>
      </c>
      <c r="B433" s="10">
        <f t="shared" si="28"/>
        <v>7112187.0403506393</v>
      </c>
      <c r="C433" s="10">
        <f t="shared" si="28"/>
        <v>8309162.467793081</v>
      </c>
      <c r="D433" s="10">
        <f t="shared" si="28"/>
        <v>8415352.1995296367</v>
      </c>
      <c r="E433" s="10">
        <f t="shared" si="28"/>
        <v>8287128.3090189938</v>
      </c>
      <c r="F433" s="10">
        <f t="shared" si="28"/>
        <v>8502648.8733076528</v>
      </c>
      <c r="G433" s="10">
        <v>40626478.890000001</v>
      </c>
      <c r="H433" s="10">
        <v>8219304.0600000024</v>
      </c>
      <c r="I433" s="10">
        <v>8382538</v>
      </c>
      <c r="J433" s="10">
        <v>8671188.4299999997</v>
      </c>
      <c r="K433" s="10">
        <v>8749364.859999992</v>
      </c>
      <c r="L433" s="10">
        <v>9036150.5100000054</v>
      </c>
      <c r="M433" s="10">
        <v>9354844.2099999934</v>
      </c>
      <c r="N433" s="10">
        <v>10394603.780000001</v>
      </c>
      <c r="O433" s="10">
        <f t="shared" si="29"/>
        <v>103434472.73999999</v>
      </c>
      <c r="Q433" s="10">
        <v>7848151.79</v>
      </c>
      <c r="R433" s="10">
        <v>9168989.5</v>
      </c>
      <c r="S433" s="10">
        <v>9286167.6799999997</v>
      </c>
      <c r="T433" s="10">
        <v>9144675.2599999979</v>
      </c>
      <c r="U433" s="10">
        <v>9382497.7600000054</v>
      </c>
      <c r="V433" s="10">
        <v>9239709.0199999958</v>
      </c>
      <c r="W433" s="10">
        <v>10017324.660000004</v>
      </c>
      <c r="X433" s="10">
        <v>10106571.810000002</v>
      </c>
      <c r="Y433" s="10">
        <f t="shared" si="30"/>
        <v>74194087.480000004</v>
      </c>
    </row>
    <row r="434" spans="1:25" x14ac:dyDescent="0.35">
      <c r="A434" t="s">
        <v>21</v>
      </c>
      <c r="B434" s="10">
        <f t="shared" si="28"/>
        <v>446006.0991278282</v>
      </c>
      <c r="C434" s="10">
        <f t="shared" si="28"/>
        <v>2690687.1876365682</v>
      </c>
      <c r="D434" s="10">
        <f t="shared" si="28"/>
        <v>447619.31995262031</v>
      </c>
      <c r="E434" s="10">
        <f t="shared" si="28"/>
        <v>1506803.8894377975</v>
      </c>
      <c r="F434" s="10">
        <f t="shared" si="28"/>
        <v>1291900.5338451858</v>
      </c>
      <c r="G434" s="10">
        <v>6383017.0300000003</v>
      </c>
      <c r="H434" s="10">
        <v>770556.08999999985</v>
      </c>
      <c r="I434" s="10">
        <v>646273.58000000007</v>
      </c>
      <c r="J434" s="10">
        <v>929558.78000000026</v>
      </c>
      <c r="K434" s="10">
        <v>678096.05999999866</v>
      </c>
      <c r="L434" s="10">
        <v>846855.93000000156</v>
      </c>
      <c r="M434" s="10">
        <v>629761.74000000022</v>
      </c>
      <c r="N434" s="10">
        <v>713492.6099999994</v>
      </c>
      <c r="O434" s="10">
        <f t="shared" si="29"/>
        <v>11597611.82</v>
      </c>
      <c r="Q434" s="10">
        <v>756315.06</v>
      </c>
      <c r="R434" s="10">
        <v>4562734.1099999994</v>
      </c>
      <c r="S434" s="10">
        <v>759050.6799999997</v>
      </c>
      <c r="T434" s="10">
        <v>2555163.4299999997</v>
      </c>
      <c r="U434" s="10">
        <v>2190740.9600000009</v>
      </c>
      <c r="V434" s="10">
        <v>495118.69999999925</v>
      </c>
      <c r="W434" s="10">
        <v>872210.28000000119</v>
      </c>
      <c r="X434" s="10">
        <v>757862.97999999858</v>
      </c>
      <c r="Y434" s="10">
        <f t="shared" si="30"/>
        <v>12949196.199999999</v>
      </c>
    </row>
    <row r="435" spans="1:25" ht="15" thickBot="1" x14ac:dyDescent="0.4">
      <c r="A435" s="12" t="s">
        <v>22</v>
      </c>
      <c r="B435" s="13">
        <f t="shared" si="28"/>
        <v>25345332.636889521</v>
      </c>
      <c r="C435" s="13">
        <f t="shared" si="28"/>
        <v>25827188.632943843</v>
      </c>
      <c r="D435" s="13">
        <f t="shared" si="28"/>
        <v>32103649.985779695</v>
      </c>
      <c r="E435" s="13">
        <f t="shared" si="28"/>
        <v>33594449.97821106</v>
      </c>
      <c r="F435" s="13">
        <f t="shared" si="28"/>
        <v>35333804.266175881</v>
      </c>
      <c r="G435" s="13">
        <v>152204425.5</v>
      </c>
      <c r="H435" s="13">
        <v>37057200.689999998</v>
      </c>
      <c r="I435" s="13">
        <v>33675997.75999999</v>
      </c>
      <c r="J435" s="13">
        <v>38464231.660000056</v>
      </c>
      <c r="K435" s="13">
        <v>33539769.530000001</v>
      </c>
      <c r="L435" s="13">
        <v>32700352.229999959</v>
      </c>
      <c r="M435" s="13">
        <v>42802341.179999948</v>
      </c>
      <c r="N435" s="13">
        <v>31373110.350000083</v>
      </c>
      <c r="O435" s="13">
        <f t="shared" si="29"/>
        <v>401817428.90000004</v>
      </c>
      <c r="P435" s="14"/>
      <c r="Q435" s="13">
        <v>29118311.460000001</v>
      </c>
      <c r="R435" s="13">
        <v>29671897.920000009</v>
      </c>
      <c r="S435" s="13">
        <v>36882691.289999992</v>
      </c>
      <c r="T435" s="13">
        <v>38595416.039999947</v>
      </c>
      <c r="U435" s="13">
        <v>40593695.590000033</v>
      </c>
      <c r="V435" s="13">
        <v>30225039.01000002</v>
      </c>
      <c r="W435" s="13">
        <v>42295703.590000004</v>
      </c>
      <c r="X435" s="13">
        <v>42183384.849999934</v>
      </c>
      <c r="Y435" s="13">
        <f t="shared" si="30"/>
        <v>289566139.74999994</v>
      </c>
    </row>
    <row r="436" spans="1:25" ht="15" thickTop="1" x14ac:dyDescent="0.35">
      <c r="A436" t="s">
        <v>23</v>
      </c>
      <c r="B436" s="10">
        <f t="shared" si="28"/>
        <v>28343078.995252173</v>
      </c>
      <c r="C436" s="10">
        <f t="shared" si="28"/>
        <v>35462929.334241316</v>
      </c>
      <c r="D436" s="10">
        <f t="shared" si="28"/>
        <v>34624070.731724277</v>
      </c>
      <c r="E436" s="10">
        <f t="shared" si="28"/>
        <v>37460954.439227842</v>
      </c>
      <c r="F436" s="10">
        <f t="shared" si="28"/>
        <v>36837575.279554389</v>
      </c>
      <c r="G436" s="10">
        <v>172728608.78</v>
      </c>
      <c r="H436" s="10">
        <v>40519794.319999993</v>
      </c>
      <c r="I436" s="10">
        <v>36919059.590000004</v>
      </c>
      <c r="J436" s="10">
        <v>46224040.480000019</v>
      </c>
      <c r="K436" s="10">
        <v>43721487.810000002</v>
      </c>
      <c r="L436" s="10">
        <v>44032483.25</v>
      </c>
      <c r="M436" s="10">
        <v>46188829.399999976</v>
      </c>
      <c r="N436" s="10">
        <v>31065408.590000033</v>
      </c>
      <c r="O436" s="10">
        <f t="shared" si="29"/>
        <v>461399712.22000003</v>
      </c>
      <c r="Q436" s="10">
        <v>33591385.18</v>
      </c>
      <c r="R436" s="10">
        <v>42029622.789999999</v>
      </c>
      <c r="S436" s="10">
        <v>41035432.200000003</v>
      </c>
      <c r="T436" s="10">
        <v>44397623.489999995</v>
      </c>
      <c r="U436" s="10">
        <v>43658812.810000002</v>
      </c>
      <c r="V436" s="10">
        <v>34014586.300000012</v>
      </c>
      <c r="W436" s="10">
        <v>48365455.059999973</v>
      </c>
      <c r="X436" s="10">
        <v>51989382.569999993</v>
      </c>
      <c r="Y436" s="10">
        <f t="shared" si="30"/>
        <v>339082300.39999998</v>
      </c>
    </row>
    <row r="437" spans="1:25" x14ac:dyDescent="0.35">
      <c r="A437" t="s">
        <v>24</v>
      </c>
      <c r="B437" s="10">
        <f t="shared" si="28"/>
        <v>37750</v>
      </c>
      <c r="C437" s="10">
        <f t="shared" si="28"/>
        <v>37750</v>
      </c>
      <c r="D437" s="10">
        <f t="shared" si="28"/>
        <v>37750</v>
      </c>
      <c r="E437" s="10">
        <f t="shared" si="28"/>
        <v>37750</v>
      </c>
      <c r="F437" s="10">
        <f t="shared" si="28"/>
        <v>37750</v>
      </c>
      <c r="G437" s="10">
        <v>188750</v>
      </c>
      <c r="H437" s="10">
        <v>-1250</v>
      </c>
      <c r="I437" s="10">
        <v>0</v>
      </c>
      <c r="J437" s="10">
        <v>0</v>
      </c>
      <c r="K437" s="10">
        <v>150000</v>
      </c>
      <c r="L437" s="10">
        <v>-30000</v>
      </c>
      <c r="M437" s="10">
        <v>0</v>
      </c>
      <c r="N437" s="10">
        <v>360000</v>
      </c>
      <c r="O437" s="10">
        <f t="shared" si="29"/>
        <v>667500</v>
      </c>
      <c r="Q437" s="10">
        <v>250000</v>
      </c>
      <c r="R437" s="10">
        <v>0</v>
      </c>
      <c r="S437" s="10">
        <v>-250000</v>
      </c>
      <c r="T437" s="10">
        <v>0</v>
      </c>
      <c r="U437" s="10">
        <v>0</v>
      </c>
      <c r="V437" s="10">
        <v>0</v>
      </c>
      <c r="W437" s="10">
        <v>187500</v>
      </c>
      <c r="X437" s="10">
        <v>0</v>
      </c>
      <c r="Y437" s="10">
        <f t="shared" si="30"/>
        <v>187500</v>
      </c>
    </row>
    <row r="438" spans="1:25" x14ac:dyDescent="0.35">
      <c r="A438" t="s">
        <v>25</v>
      </c>
      <c r="B438" s="10">
        <f t="shared" si="28"/>
        <v>0</v>
      </c>
      <c r="C438" s="10">
        <f t="shared" si="28"/>
        <v>0</v>
      </c>
      <c r="D438" s="10">
        <f t="shared" si="28"/>
        <v>0</v>
      </c>
      <c r="E438" s="10">
        <f t="shared" si="28"/>
        <v>0</v>
      </c>
      <c r="F438" s="10">
        <f t="shared" si="28"/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f t="shared" si="29"/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f t="shared" si="30"/>
        <v>0</v>
      </c>
    </row>
    <row r="439" spans="1:25" x14ac:dyDescent="0.35">
      <c r="A439" t="s">
        <v>26</v>
      </c>
      <c r="B439" s="10">
        <f t="shared" si="28"/>
        <v>2541214.5989613784</v>
      </c>
      <c r="C439" s="10">
        <f t="shared" si="28"/>
        <v>7870258.3630382866</v>
      </c>
      <c r="D439" s="10">
        <f t="shared" si="28"/>
        <v>2501160.7798398808</v>
      </c>
      <c r="E439" s="10">
        <f t="shared" si="28"/>
        <v>3516193.622273297</v>
      </c>
      <c r="F439" s="10">
        <f t="shared" si="28"/>
        <v>1821200.0958871578</v>
      </c>
      <c r="G439" s="10">
        <v>18250027.460000001</v>
      </c>
      <c r="H439" s="10">
        <v>2318771.4699999988</v>
      </c>
      <c r="I439" s="10">
        <v>2541775.0100000016</v>
      </c>
      <c r="J439" s="10">
        <v>7350736.8599999994</v>
      </c>
      <c r="K439" s="10">
        <v>9697558.0299999975</v>
      </c>
      <c r="L439" s="10">
        <v>10218887.980000004</v>
      </c>
      <c r="M439" s="10">
        <v>2984969.5599999949</v>
      </c>
      <c r="N439" s="10">
        <v>-1711200.3399999961</v>
      </c>
      <c r="O439" s="10">
        <f t="shared" si="29"/>
        <v>51651526.030000001</v>
      </c>
      <c r="Q439" s="10">
        <v>3874399.69</v>
      </c>
      <c r="R439" s="10">
        <v>11999193.84</v>
      </c>
      <c r="S439" s="10">
        <v>3813332.6300000008</v>
      </c>
      <c r="T439" s="10">
        <v>5360877.2300000004</v>
      </c>
      <c r="U439" s="10">
        <v>2776647.4699999988</v>
      </c>
      <c r="V439" s="10">
        <v>2587266.629999999</v>
      </c>
      <c r="W439" s="10">
        <v>5387399.4600000046</v>
      </c>
      <c r="X439" s="10">
        <v>8792357.2599999979</v>
      </c>
      <c r="Y439" s="10">
        <f t="shared" si="30"/>
        <v>44591474.210000001</v>
      </c>
    </row>
    <row r="440" spans="1:25" x14ac:dyDescent="0.35">
      <c r="A440" t="s">
        <v>27</v>
      </c>
      <c r="B440" s="10">
        <f t="shared" si="28"/>
        <v>1031479.7072517524</v>
      </c>
      <c r="C440" s="10">
        <f t="shared" si="28"/>
        <v>435759.15933832602</v>
      </c>
      <c r="D440" s="10">
        <f t="shared" si="28"/>
        <v>108666.95953955695</v>
      </c>
      <c r="E440" s="10">
        <f t="shared" si="28"/>
        <v>536393.42083668022</v>
      </c>
      <c r="F440" s="10">
        <f t="shared" si="28"/>
        <v>350606.57303368428</v>
      </c>
      <c r="G440" s="10">
        <v>2462905.8199999998</v>
      </c>
      <c r="H440" s="10">
        <v>1142572.1600000001</v>
      </c>
      <c r="I440" s="10">
        <v>701286.81999999983</v>
      </c>
      <c r="J440" s="10">
        <v>409071.95999999996</v>
      </c>
      <c r="K440" s="10">
        <v>634160.25</v>
      </c>
      <c r="L440" s="10">
        <v>1083243.04</v>
      </c>
      <c r="M440" s="10">
        <v>401518.66000000015</v>
      </c>
      <c r="N440" s="10">
        <v>1763498.5799999991</v>
      </c>
      <c r="O440" s="10">
        <f t="shared" si="29"/>
        <v>8598257.2899999991</v>
      </c>
      <c r="Q440" s="10">
        <v>848674.03</v>
      </c>
      <c r="R440" s="10">
        <v>358531.03</v>
      </c>
      <c r="S440" s="10">
        <v>89408.280000000028</v>
      </c>
      <c r="T440" s="10">
        <v>441330.22</v>
      </c>
      <c r="U440" s="10">
        <v>288469.75</v>
      </c>
      <c r="V440" s="10">
        <v>1202280.6600000001</v>
      </c>
      <c r="W440" s="10">
        <v>869852.00999999978</v>
      </c>
      <c r="X440" s="10">
        <v>1013640.4600000004</v>
      </c>
      <c r="Y440" s="10">
        <f t="shared" si="30"/>
        <v>5112186.4400000004</v>
      </c>
    </row>
    <row r="441" spans="1:25" x14ac:dyDescent="0.35">
      <c r="B441" s="10">
        <f t="shared" si="28"/>
        <v>0</v>
      </c>
      <c r="C441" s="10">
        <f t="shared" si="28"/>
        <v>0</v>
      </c>
      <c r="D441" s="10">
        <f t="shared" si="28"/>
        <v>0</v>
      </c>
      <c r="E441" s="10">
        <f t="shared" si="28"/>
        <v>0</v>
      </c>
      <c r="F441" s="10">
        <f t="shared" si="28"/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f t="shared" si="29"/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f t="shared" si="30"/>
        <v>0</v>
      </c>
    </row>
    <row r="442" spans="1:25" ht="15" thickBot="1" x14ac:dyDescent="0.4">
      <c r="A442" s="12" t="s">
        <v>28</v>
      </c>
      <c r="B442" s="13">
        <f t="shared" si="28"/>
        <v>34856139.050262392</v>
      </c>
      <c r="C442" s="13">
        <f t="shared" si="28"/>
        <v>34675839.003767632</v>
      </c>
      <c r="D442" s="13">
        <f t="shared" si="28"/>
        <v>30402667.922000289</v>
      </c>
      <c r="E442" s="13">
        <f t="shared" si="28"/>
        <v>30955572.972073294</v>
      </c>
      <c r="F442" s="13">
        <f t="shared" si="28"/>
        <v>33574640.441896439</v>
      </c>
      <c r="G442" s="13">
        <v>164464859.39000005</v>
      </c>
      <c r="H442" s="13">
        <v>30499734.120000005</v>
      </c>
      <c r="I442" s="13">
        <v>32891773.119999886</v>
      </c>
      <c r="J442" s="13">
        <v>37308331.100000083</v>
      </c>
      <c r="K442" s="13">
        <v>33219003.689999998</v>
      </c>
      <c r="L442" s="13">
        <v>31747181.569999993</v>
      </c>
      <c r="M442" s="13">
        <v>30567345.679999948</v>
      </c>
      <c r="N442" s="13">
        <v>39787132.549999654</v>
      </c>
      <c r="O442" s="13">
        <f t="shared" si="29"/>
        <v>400485361.21999961</v>
      </c>
      <c r="P442" s="14"/>
      <c r="Q442" s="13">
        <v>41239953.920000009</v>
      </c>
      <c r="R442" s="13">
        <v>41026632.369999997</v>
      </c>
      <c r="S442" s="13">
        <v>35970840.670000017</v>
      </c>
      <c r="T442" s="13">
        <v>36625008.90000008</v>
      </c>
      <c r="U442" s="13">
        <v>39723752.039999813</v>
      </c>
      <c r="V442" s="13">
        <v>39851355.670000017</v>
      </c>
      <c r="W442" s="13">
        <v>41337885.380000055</v>
      </c>
      <c r="X442" s="13">
        <v>43944785.939999998</v>
      </c>
      <c r="Y442" s="13">
        <f t="shared" si="30"/>
        <v>319720214.88999999</v>
      </c>
    </row>
    <row r="443" spans="1:25" ht="15" thickTop="1" x14ac:dyDescent="0.35">
      <c r="A443" t="s">
        <v>29</v>
      </c>
      <c r="B443" s="10">
        <f t="shared" ref="B443:F460" si="31">IF(OR(SUM($Q443:$U443)=0,COUNTIF($Q443:$U443,"&lt;0")*COUNTIF($Q443:$U443,"&gt;0")&gt;0),$G443/5,$G443*Q443/SUM($Q443:$U443))</f>
        <v>1765602.4726208826</v>
      </c>
      <c r="C443" s="10">
        <f t="shared" si="31"/>
        <v>2058461.4066361059</v>
      </c>
      <c r="D443" s="10">
        <f t="shared" si="31"/>
        <v>1893396.1791721345</v>
      </c>
      <c r="E443" s="10">
        <f t="shared" si="31"/>
        <v>1654296.3593142889</v>
      </c>
      <c r="F443" s="10">
        <f t="shared" si="31"/>
        <v>2266168.9222565936</v>
      </c>
      <c r="G443" s="10">
        <v>9637925.3400000054</v>
      </c>
      <c r="H443" s="10">
        <v>2427668.6799999848</v>
      </c>
      <c r="I443" s="10">
        <v>3264582.0100000054</v>
      </c>
      <c r="J443" s="10">
        <v>2403358.1300000232</v>
      </c>
      <c r="K443" s="10">
        <v>2152874.7699999772</v>
      </c>
      <c r="L443" s="10">
        <v>-566338.90999999642</v>
      </c>
      <c r="M443" s="10">
        <v>3046772.5599999763</v>
      </c>
      <c r="N443" s="10">
        <v>7630993.4500000142</v>
      </c>
      <c r="O443" s="10">
        <f t="shared" si="29"/>
        <v>29997836.02999999</v>
      </c>
      <c r="Q443" s="10">
        <v>2553242.1700000023</v>
      </c>
      <c r="R443" s="10">
        <v>2976746.209999993</v>
      </c>
      <c r="S443" s="10">
        <v>2738044.9700000025</v>
      </c>
      <c r="T443" s="10">
        <v>2392282.1199999955</v>
      </c>
      <c r="U443" s="10">
        <v>3277112.5700000096</v>
      </c>
      <c r="V443" s="10">
        <v>5147157.4299999885</v>
      </c>
      <c r="W443" s="10">
        <v>3257377.9400000274</v>
      </c>
      <c r="X443" s="10">
        <v>2226674.4099999703</v>
      </c>
      <c r="Y443" s="10">
        <f t="shared" si="30"/>
        <v>24568637.819999989</v>
      </c>
    </row>
    <row r="444" spans="1:25" x14ac:dyDescent="0.35">
      <c r="A444" t="s">
        <v>30</v>
      </c>
      <c r="B444" s="10">
        <f t="shared" si="31"/>
        <v>438052.60710908053</v>
      </c>
      <c r="C444" s="10">
        <f t="shared" si="31"/>
        <v>472897.94690071914</v>
      </c>
      <c r="D444" s="10">
        <f t="shared" si="31"/>
        <v>417144.67793115537</v>
      </c>
      <c r="E444" s="10">
        <f t="shared" si="31"/>
        <v>442185.27072529314</v>
      </c>
      <c r="F444" s="10">
        <f t="shared" si="31"/>
        <v>441652.13733375195</v>
      </c>
      <c r="G444" s="10">
        <v>2211932.64</v>
      </c>
      <c r="H444" s="10">
        <v>449842.66999999993</v>
      </c>
      <c r="I444" s="10">
        <v>553103.83000000007</v>
      </c>
      <c r="J444" s="10">
        <v>489942.12999999989</v>
      </c>
      <c r="K444" s="10">
        <v>428330.80000000028</v>
      </c>
      <c r="L444" s="10">
        <v>523555.4299999997</v>
      </c>
      <c r="M444" s="10">
        <v>511585.08000000007</v>
      </c>
      <c r="N444" s="10">
        <v>570825.83999999985</v>
      </c>
      <c r="O444" s="10">
        <f t="shared" si="29"/>
        <v>5739118.4199999999</v>
      </c>
      <c r="Q444" s="10">
        <v>490414</v>
      </c>
      <c r="R444" s="10">
        <v>529424.48</v>
      </c>
      <c r="S444" s="10">
        <v>467006.89999999991</v>
      </c>
      <c r="T444" s="10">
        <v>495040.65000000014</v>
      </c>
      <c r="U444" s="10">
        <v>494443.7899999998</v>
      </c>
      <c r="V444" s="10">
        <v>500373.05000000028</v>
      </c>
      <c r="W444" s="10">
        <v>503388.41999999993</v>
      </c>
      <c r="X444" s="10">
        <v>506703.62000000011</v>
      </c>
      <c r="Y444" s="10">
        <f t="shared" si="30"/>
        <v>3986794.91</v>
      </c>
    </row>
    <row r="445" spans="1:25" x14ac:dyDescent="0.35">
      <c r="A445" t="s">
        <v>31</v>
      </c>
      <c r="B445" s="10">
        <f t="shared" si="31"/>
        <v>8248499.8919028444</v>
      </c>
      <c r="C445" s="10">
        <f t="shared" si="31"/>
        <v>8346361.7188500538</v>
      </c>
      <c r="D445" s="10">
        <f t="shared" si="31"/>
        <v>8669349.1797151752</v>
      </c>
      <c r="E445" s="10">
        <f t="shared" si="31"/>
        <v>9005839.7702910639</v>
      </c>
      <c r="F445" s="10">
        <f t="shared" si="31"/>
        <v>9140129.2992408685</v>
      </c>
      <c r="G445" s="10">
        <v>43410179.860000007</v>
      </c>
      <c r="H445" s="10">
        <v>9328325.8999999836</v>
      </c>
      <c r="I445" s="10">
        <v>9256349.6300000101</v>
      </c>
      <c r="J445" s="10">
        <v>9517766.9100000113</v>
      </c>
      <c r="K445" s="10">
        <v>8844293.6599999815</v>
      </c>
      <c r="L445" s="10">
        <v>9758679.049999997</v>
      </c>
      <c r="M445" s="10">
        <v>10260060.459999993</v>
      </c>
      <c r="N445" s="10">
        <v>14822969.770000011</v>
      </c>
      <c r="O445" s="10">
        <f t="shared" si="29"/>
        <v>115198625.23999999</v>
      </c>
      <c r="Q445" s="10">
        <v>9878386.2800000031</v>
      </c>
      <c r="R445" s="10">
        <v>9995585.3999999966</v>
      </c>
      <c r="S445" s="10">
        <v>10382394.509999998</v>
      </c>
      <c r="T445" s="10">
        <v>10785374.939999998</v>
      </c>
      <c r="U445" s="10">
        <v>10946199.800000012</v>
      </c>
      <c r="V445" s="10">
        <v>11860142.839999989</v>
      </c>
      <c r="W445" s="10">
        <v>11456831.060000032</v>
      </c>
      <c r="X445" s="10">
        <v>10307558.769999966</v>
      </c>
      <c r="Y445" s="10">
        <f t="shared" si="30"/>
        <v>85612473.599999994</v>
      </c>
    </row>
    <row r="446" spans="1:25" x14ac:dyDescent="0.35">
      <c r="A446" t="s">
        <v>32</v>
      </c>
      <c r="B446" s="10">
        <f t="shared" si="31"/>
        <v>1532848.7330057209</v>
      </c>
      <c r="C446" s="10">
        <f t="shared" si="31"/>
        <v>1418833.7438205788</v>
      </c>
      <c r="D446" s="10">
        <f t="shared" si="31"/>
        <v>1500888.6731020787</v>
      </c>
      <c r="E446" s="10">
        <f t="shared" si="31"/>
        <v>2266139.0767361005</v>
      </c>
      <c r="F446" s="10">
        <f t="shared" si="31"/>
        <v>1428804.6233355207</v>
      </c>
      <c r="G446" s="10">
        <v>8147514.8499999996</v>
      </c>
      <c r="H446" s="10">
        <v>1462278.9100000001</v>
      </c>
      <c r="I446" s="10">
        <v>1602656.0700000003</v>
      </c>
      <c r="J446" s="10">
        <v>1504578.7599999998</v>
      </c>
      <c r="K446" s="10">
        <v>1521090.1400000006</v>
      </c>
      <c r="L446" s="10">
        <v>1725394.3299999963</v>
      </c>
      <c r="M446" s="10">
        <v>1679221.6000000034</v>
      </c>
      <c r="N446" s="10">
        <v>1553407.6699999981</v>
      </c>
      <c r="O446" s="10">
        <f t="shared" si="29"/>
        <v>19196142.330000002</v>
      </c>
      <c r="Q446" s="10">
        <v>1930086.03</v>
      </c>
      <c r="R446" s="10">
        <v>1786524.0899999996</v>
      </c>
      <c r="S446" s="10">
        <v>1889843.5299999998</v>
      </c>
      <c r="T446" s="10">
        <v>2853408.3500000006</v>
      </c>
      <c r="U446" s="10">
        <v>1799078.92</v>
      </c>
      <c r="V446" s="10">
        <v>1864677.58</v>
      </c>
      <c r="W446" s="10">
        <v>2001868.1799999978</v>
      </c>
      <c r="X446" s="10">
        <v>1953375.3400000036</v>
      </c>
      <c r="Y446" s="10">
        <f t="shared" si="30"/>
        <v>16078862.020000001</v>
      </c>
    </row>
    <row r="447" spans="1:25" x14ac:dyDescent="0.35">
      <c r="A447" t="s">
        <v>33</v>
      </c>
      <c r="B447" s="10">
        <f t="shared" si="31"/>
        <v>5412729.2607623497</v>
      </c>
      <c r="C447" s="10">
        <f t="shared" si="31"/>
        <v>5298935.4114068914</v>
      </c>
      <c r="D447" s="10">
        <f t="shared" si="31"/>
        <v>5721778.0521979332</v>
      </c>
      <c r="E447" s="10">
        <f t="shared" si="31"/>
        <v>5549993.7462419476</v>
      </c>
      <c r="F447" s="10">
        <f t="shared" si="31"/>
        <v>5853235.8393908776</v>
      </c>
      <c r="G447" s="10">
        <v>27836672.309999999</v>
      </c>
      <c r="H447" s="10">
        <v>5888220.9800000004</v>
      </c>
      <c r="I447" s="10">
        <v>4942215.3800000027</v>
      </c>
      <c r="J447" s="10">
        <v>6099772.1499999985</v>
      </c>
      <c r="K447" s="10">
        <v>5598659.549999997</v>
      </c>
      <c r="L447" s="10">
        <v>9123179.0600000024</v>
      </c>
      <c r="M447" s="10">
        <v>6045651.3800000027</v>
      </c>
      <c r="N447" s="10">
        <v>6209394.4899999946</v>
      </c>
      <c r="O447" s="10">
        <f t="shared" si="29"/>
        <v>71743765.299999997</v>
      </c>
      <c r="Q447" s="10">
        <v>5885472.0800000001</v>
      </c>
      <c r="R447" s="10">
        <v>5761739.5800000001</v>
      </c>
      <c r="S447" s="10">
        <v>6221512.9100000001</v>
      </c>
      <c r="T447" s="10">
        <v>6034725.120000001</v>
      </c>
      <c r="U447" s="10">
        <v>6364452.0999999978</v>
      </c>
      <c r="V447" s="10">
        <v>5348680.8800000027</v>
      </c>
      <c r="W447" s="10">
        <v>6700973.3599999994</v>
      </c>
      <c r="X447" s="10">
        <v>6634212.6400000006</v>
      </c>
      <c r="Y447" s="10">
        <f t="shared" si="30"/>
        <v>48951768.670000002</v>
      </c>
    </row>
    <row r="448" spans="1:25" x14ac:dyDescent="0.35">
      <c r="B448" s="10">
        <f t="shared" si="31"/>
        <v>0</v>
      </c>
      <c r="C448" s="10">
        <f t="shared" si="31"/>
        <v>0</v>
      </c>
      <c r="D448" s="10">
        <f t="shared" si="31"/>
        <v>0</v>
      </c>
      <c r="E448" s="10">
        <f t="shared" si="31"/>
        <v>0</v>
      </c>
      <c r="F448" s="10">
        <f t="shared" si="31"/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f t="shared" si="29"/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f t="shared" si="30"/>
        <v>0</v>
      </c>
    </row>
    <row r="449" spans="1:25" ht="15" thickBot="1" x14ac:dyDescent="0.4">
      <c r="A449" s="12" t="s">
        <v>34</v>
      </c>
      <c r="B449" s="13">
        <f t="shared" si="31"/>
        <v>33156856.284928694</v>
      </c>
      <c r="C449" s="13">
        <f t="shared" si="31"/>
        <v>32611058.164306704</v>
      </c>
      <c r="D449" s="13">
        <f t="shared" si="31"/>
        <v>28482519.73680076</v>
      </c>
      <c r="E449" s="13">
        <f t="shared" si="31"/>
        <v>29339521.265611112</v>
      </c>
      <c r="F449" s="13">
        <f t="shared" si="31"/>
        <v>31236978.598352771</v>
      </c>
      <c r="G449" s="13">
        <v>154826934.05000004</v>
      </c>
      <c r="H449" s="13">
        <v>28072065.440000027</v>
      </c>
      <c r="I449" s="13">
        <v>29627191.109999865</v>
      </c>
      <c r="J449" s="13">
        <v>34904972.970000058</v>
      </c>
      <c r="K449" s="13">
        <v>31066128.920000017</v>
      </c>
      <c r="L449" s="13">
        <v>32313520.480000019</v>
      </c>
      <c r="M449" s="13">
        <v>27520573.119999945</v>
      </c>
      <c r="N449" s="13">
        <v>32156139.099999607</v>
      </c>
      <c r="O449" s="13">
        <f t="shared" si="29"/>
        <v>370487525.18999958</v>
      </c>
      <c r="P449" s="14"/>
      <c r="Q449" s="13">
        <v>38686711.75</v>
      </c>
      <c r="R449" s="13">
        <v>38049886.160000011</v>
      </c>
      <c r="S449" s="13">
        <v>33232795.700000018</v>
      </c>
      <c r="T449" s="13">
        <v>34232726.780000076</v>
      </c>
      <c r="U449" s="13">
        <v>36446639.46999979</v>
      </c>
      <c r="V449" s="13">
        <v>34704198.240000039</v>
      </c>
      <c r="W449" s="13">
        <v>38080507.439999998</v>
      </c>
      <c r="X449" s="13">
        <v>41718111.530000061</v>
      </c>
      <c r="Y449" s="13">
        <f t="shared" si="30"/>
        <v>295151577.06999999</v>
      </c>
    </row>
    <row r="450" spans="1:25" ht="15" thickTop="1" x14ac:dyDescent="0.35">
      <c r="A450" t="s">
        <v>35</v>
      </c>
      <c r="B450" s="10">
        <f t="shared" si="31"/>
        <v>1556345.1304488583</v>
      </c>
      <c r="C450" s="10">
        <f t="shared" si="31"/>
        <v>1460933.3729750931</v>
      </c>
      <c r="D450" s="10">
        <f t="shared" si="31"/>
        <v>1504643.6039511401</v>
      </c>
      <c r="E450" s="10">
        <f t="shared" si="31"/>
        <v>1296648.7724619787</v>
      </c>
      <c r="F450" s="10">
        <f t="shared" si="31"/>
        <v>1517991.1601629283</v>
      </c>
      <c r="G450" s="10">
        <v>7336562.0399999982</v>
      </c>
      <c r="H450" s="10">
        <v>1317176.6500000013</v>
      </c>
      <c r="I450" s="10">
        <v>1428265.160000002</v>
      </c>
      <c r="J450" s="10">
        <v>238121.28000000119</v>
      </c>
      <c r="K450" s="10">
        <v>2500453.2299999986</v>
      </c>
      <c r="L450" s="10">
        <v>1356965.0500000007</v>
      </c>
      <c r="M450" s="10">
        <v>1534509.8199999966</v>
      </c>
      <c r="N450" s="10">
        <v>1447184.0900000017</v>
      </c>
      <c r="O450" s="10">
        <f t="shared" si="29"/>
        <v>17159237.32</v>
      </c>
      <c r="Q450" s="10">
        <v>1966579.98</v>
      </c>
      <c r="R450" s="10">
        <v>1846018.77</v>
      </c>
      <c r="S450" s="10">
        <v>1901250.5200000005</v>
      </c>
      <c r="T450" s="10">
        <v>1638430.6199999992</v>
      </c>
      <c r="U450" s="10">
        <v>1918116.3400000008</v>
      </c>
      <c r="V450" s="10">
        <v>1541489.9400000013</v>
      </c>
      <c r="W450" s="10">
        <v>2214342.379999999</v>
      </c>
      <c r="X450" s="10">
        <v>1970166.6400000006</v>
      </c>
      <c r="Y450" s="10">
        <f t="shared" si="30"/>
        <v>14996395.190000001</v>
      </c>
    </row>
    <row r="451" spans="1:25" x14ac:dyDescent="0.35">
      <c r="A451" t="s">
        <v>36</v>
      </c>
      <c r="B451" s="10">
        <f t="shared" si="31"/>
        <v>1785343.4133550294</v>
      </c>
      <c r="C451" s="10">
        <f t="shared" si="31"/>
        <v>1650135.1429898699</v>
      </c>
      <c r="D451" s="10">
        <f t="shared" si="31"/>
        <v>1734524.6539849138</v>
      </c>
      <c r="E451" s="10">
        <f t="shared" si="31"/>
        <v>1595743.2859575483</v>
      </c>
      <c r="F451" s="10">
        <f t="shared" si="31"/>
        <v>1757548.083712637</v>
      </c>
      <c r="G451" s="10">
        <v>8523294.5799999982</v>
      </c>
      <c r="H451" s="10">
        <v>1503439.7100000028</v>
      </c>
      <c r="I451" s="10">
        <v>1715321.9800000004</v>
      </c>
      <c r="J451" s="10">
        <v>1536261.3100000005</v>
      </c>
      <c r="K451" s="10">
        <v>1670486.2299999986</v>
      </c>
      <c r="L451" s="10">
        <v>1583766.9900000002</v>
      </c>
      <c r="M451" s="10">
        <v>1763965.9699999988</v>
      </c>
      <c r="N451" s="10">
        <v>1713176.2300000004</v>
      </c>
      <c r="O451" s="10">
        <f t="shared" si="29"/>
        <v>20009713</v>
      </c>
      <c r="Q451" s="10">
        <v>2248042.1799999997</v>
      </c>
      <c r="R451" s="10">
        <v>2077792.6400000006</v>
      </c>
      <c r="S451" s="10">
        <v>2184052.9700000007</v>
      </c>
      <c r="T451" s="10">
        <v>2009304.3099999987</v>
      </c>
      <c r="U451" s="10">
        <v>2213043.2700000014</v>
      </c>
      <c r="V451" s="10">
        <v>1972462.3100000005</v>
      </c>
      <c r="W451" s="10">
        <v>2432984.3499999978</v>
      </c>
      <c r="X451" s="10">
        <v>2335650.3100000005</v>
      </c>
      <c r="Y451" s="10">
        <f t="shared" si="30"/>
        <v>17473332.34</v>
      </c>
    </row>
    <row r="452" spans="1:25" x14ac:dyDescent="0.35">
      <c r="A452" t="s">
        <v>37</v>
      </c>
      <c r="B452" s="10">
        <f t="shared" si="31"/>
        <v>228493.23320210728</v>
      </c>
      <c r="C452" s="10">
        <f t="shared" si="31"/>
        <v>188155.85513104388</v>
      </c>
      <c r="D452" s="10">
        <f t="shared" si="31"/>
        <v>229581.25871956258</v>
      </c>
      <c r="E452" s="10">
        <f t="shared" si="31"/>
        <v>301078.18576596101</v>
      </c>
      <c r="F452" s="10">
        <f t="shared" si="31"/>
        <v>239424.00718132505</v>
      </c>
      <c r="G452" s="10">
        <v>1186732.5399999998</v>
      </c>
      <c r="H452" s="10">
        <v>186263.06000000006</v>
      </c>
      <c r="I452" s="10">
        <v>287056.8200000003</v>
      </c>
      <c r="J452" s="10">
        <v>1298140.03</v>
      </c>
      <c r="K452" s="10">
        <v>-829967.00000000047</v>
      </c>
      <c r="L452" s="10">
        <v>226801.94000000041</v>
      </c>
      <c r="M452" s="10">
        <v>229456.14999999991</v>
      </c>
      <c r="N452" s="10">
        <v>265992.14000000013</v>
      </c>
      <c r="O452" s="10">
        <f t="shared" si="29"/>
        <v>2850475.68</v>
      </c>
      <c r="Q452" s="10">
        <v>281462.2</v>
      </c>
      <c r="R452" s="10">
        <v>231773.87000000005</v>
      </c>
      <c r="S452" s="10">
        <v>282802.44999999995</v>
      </c>
      <c r="T452" s="10">
        <v>370873.69000000018</v>
      </c>
      <c r="U452" s="10">
        <v>294926.92999999993</v>
      </c>
      <c r="V452" s="10">
        <v>430972.36999999988</v>
      </c>
      <c r="W452" s="10">
        <v>218641.96999999951</v>
      </c>
      <c r="X452" s="10">
        <v>365483.67000000039</v>
      </c>
      <c r="Y452" s="10">
        <f t="shared" si="30"/>
        <v>2476937.15</v>
      </c>
    </row>
    <row r="453" spans="1:25" x14ac:dyDescent="0.35">
      <c r="B453" s="10">
        <f t="shared" si="31"/>
        <v>0</v>
      </c>
      <c r="C453" s="10">
        <f t="shared" si="31"/>
        <v>0</v>
      </c>
      <c r="D453" s="10">
        <f t="shared" si="31"/>
        <v>0</v>
      </c>
      <c r="E453" s="10">
        <f t="shared" si="31"/>
        <v>0</v>
      </c>
      <c r="F453" s="10">
        <f t="shared" si="31"/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f t="shared" si="29"/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f t="shared" si="30"/>
        <v>0</v>
      </c>
    </row>
    <row r="454" spans="1:25" ht="15" thickBot="1" x14ac:dyDescent="0.4">
      <c r="A454" s="12" t="s">
        <v>38</v>
      </c>
      <c r="B454" s="13">
        <f t="shared" si="31"/>
        <v>34712032.478595294</v>
      </c>
      <c r="C454" s="13">
        <f t="shared" si="31"/>
        <v>34065333.673119269</v>
      </c>
      <c r="D454" s="13">
        <f t="shared" si="31"/>
        <v>29999394.922136828</v>
      </c>
      <c r="E454" s="13">
        <f t="shared" si="31"/>
        <v>30628781.280083727</v>
      </c>
      <c r="F454" s="13">
        <f t="shared" si="31"/>
        <v>32757953.736064911</v>
      </c>
      <c r="G454" s="13">
        <v>162163496.09000003</v>
      </c>
      <c r="H454" s="13">
        <v>29389242.090000033</v>
      </c>
      <c r="I454" s="13">
        <v>31055456.269999892</v>
      </c>
      <c r="J454" s="13">
        <v>35143094.25000006</v>
      </c>
      <c r="K454" s="13">
        <v>33566582.150000006</v>
      </c>
      <c r="L454" s="13">
        <v>33670485.529999971</v>
      </c>
      <c r="M454" s="13">
        <v>29055082.939999998</v>
      </c>
      <c r="N454" s="13">
        <v>33603323.18999964</v>
      </c>
      <c r="O454" s="13">
        <f t="shared" si="29"/>
        <v>387646762.50999963</v>
      </c>
      <c r="P454" s="14"/>
      <c r="Q454" s="13">
        <v>40653291.730000004</v>
      </c>
      <c r="R454" s="13">
        <v>39895904.930000007</v>
      </c>
      <c r="S454" s="13">
        <v>35134046.220000029</v>
      </c>
      <c r="T454" s="13">
        <v>35871157.40000008</v>
      </c>
      <c r="U454" s="13">
        <v>38364755.809999794</v>
      </c>
      <c r="V454" s="13">
        <v>36245688.180000037</v>
      </c>
      <c r="W454" s="13">
        <v>40294849.819999993</v>
      </c>
      <c r="X454" s="13">
        <v>43688278.170000046</v>
      </c>
      <c r="Y454" s="13">
        <f t="shared" si="30"/>
        <v>310147972.25999999</v>
      </c>
    </row>
    <row r="455" spans="1:25" ht="15" thickTop="1" x14ac:dyDescent="0.35">
      <c r="A455" t="s">
        <v>39</v>
      </c>
      <c r="B455" s="10">
        <f t="shared" si="31"/>
        <v>202162.21585660876</v>
      </c>
      <c r="C455" s="10">
        <f t="shared" si="31"/>
        <v>0</v>
      </c>
      <c r="D455" s="10">
        <f t="shared" si="31"/>
        <v>3802798.9994721999</v>
      </c>
      <c r="E455" s="10">
        <f t="shared" si="31"/>
        <v>63626.814671191227</v>
      </c>
      <c r="F455" s="10">
        <f t="shared" si="31"/>
        <v>0</v>
      </c>
      <c r="G455" s="10">
        <v>4068588.03</v>
      </c>
      <c r="H455" s="10">
        <v>343977.06999999983</v>
      </c>
      <c r="I455" s="10">
        <v>98242.530000000261</v>
      </c>
      <c r="J455" s="10">
        <v>575</v>
      </c>
      <c r="K455" s="10">
        <v>0</v>
      </c>
      <c r="L455" s="10">
        <v>0</v>
      </c>
      <c r="M455" s="10">
        <v>680.75</v>
      </c>
      <c r="N455" s="10">
        <v>1000000</v>
      </c>
      <c r="O455" s="10">
        <f t="shared" si="29"/>
        <v>5512063.3799999999</v>
      </c>
      <c r="Q455" s="10">
        <v>78671.22</v>
      </c>
      <c r="R455" s="10">
        <v>0</v>
      </c>
      <c r="S455" s="10">
        <v>1479855.35</v>
      </c>
      <c r="T455" s="10">
        <v>24760.309999999823</v>
      </c>
      <c r="U455" s="10">
        <v>0</v>
      </c>
      <c r="V455" s="10">
        <v>0</v>
      </c>
      <c r="W455" s="10">
        <v>0</v>
      </c>
      <c r="X455" s="10">
        <v>0</v>
      </c>
      <c r="Y455" s="10">
        <f t="shared" si="30"/>
        <v>1583286.88</v>
      </c>
    </row>
    <row r="456" spans="1:25" x14ac:dyDescent="0.35">
      <c r="A456" t="s">
        <v>40</v>
      </c>
      <c r="B456" s="10">
        <f t="shared" si="31"/>
        <v>0</v>
      </c>
      <c r="C456" s="10">
        <f t="shared" si="31"/>
        <v>25503.015525263887</v>
      </c>
      <c r="D456" s="10">
        <f t="shared" si="31"/>
        <v>1030424.8697076318</v>
      </c>
      <c r="E456" s="10">
        <f t="shared" si="31"/>
        <v>11411.224767104386</v>
      </c>
      <c r="F456" s="10">
        <f t="shared" si="31"/>
        <v>0</v>
      </c>
      <c r="G456" s="10">
        <v>1067339.1100000001</v>
      </c>
      <c r="H456" s="10">
        <v>500</v>
      </c>
      <c r="I456" s="10">
        <v>957.20999999996275</v>
      </c>
      <c r="J456" s="10">
        <v>-1068796.32</v>
      </c>
      <c r="K456" s="10">
        <v>1156351.48</v>
      </c>
      <c r="L456" s="10">
        <v>0</v>
      </c>
      <c r="M456" s="10">
        <v>762.44999999995343</v>
      </c>
      <c r="N456" s="10">
        <v>5000</v>
      </c>
      <c r="O456" s="10">
        <f t="shared" si="29"/>
        <v>1162113.93</v>
      </c>
      <c r="Q456" s="10">
        <v>0</v>
      </c>
      <c r="R456" s="10">
        <v>13612.5</v>
      </c>
      <c r="S456" s="10">
        <v>550000</v>
      </c>
      <c r="T456" s="10">
        <v>6090.859999999986</v>
      </c>
      <c r="U456" s="10">
        <v>0</v>
      </c>
      <c r="V456" s="10">
        <v>0</v>
      </c>
      <c r="W456" s="10">
        <v>0</v>
      </c>
      <c r="X456" s="10">
        <v>1080</v>
      </c>
      <c r="Y456" s="10">
        <f t="shared" si="30"/>
        <v>570783.36</v>
      </c>
    </row>
    <row r="457" spans="1:25" x14ac:dyDescent="0.35">
      <c r="B457" s="10">
        <f t="shared" si="31"/>
        <v>0</v>
      </c>
      <c r="C457" s="10">
        <f t="shared" si="31"/>
        <v>0</v>
      </c>
      <c r="D457" s="10">
        <f t="shared" si="31"/>
        <v>0</v>
      </c>
      <c r="E457" s="10">
        <f t="shared" si="31"/>
        <v>0</v>
      </c>
      <c r="F457" s="10">
        <f t="shared" si="31"/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f t="shared" si="29"/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f t="shared" si="30"/>
        <v>0</v>
      </c>
    </row>
    <row r="458" spans="1:25" ht="15" thickBot="1" x14ac:dyDescent="0.4">
      <c r="A458" s="12" t="s">
        <v>41</v>
      </c>
      <c r="B458" s="13">
        <f t="shared" si="31"/>
        <v>35234838.656456254</v>
      </c>
      <c r="C458" s="13">
        <f t="shared" si="31"/>
        <v>34499838.388482489</v>
      </c>
      <c r="D458" s="13">
        <f t="shared" si="31"/>
        <v>31196771.800590817</v>
      </c>
      <c r="E458" s="13">
        <f t="shared" si="31"/>
        <v>31046189.942287177</v>
      </c>
      <c r="F458" s="13">
        <f t="shared" si="31"/>
        <v>33187106.222183313</v>
      </c>
      <c r="G458" s="13">
        <v>165164745.01000005</v>
      </c>
      <c r="H458" s="13">
        <v>29732719.160000026</v>
      </c>
      <c r="I458" s="13">
        <v>31152741.589999884</v>
      </c>
      <c r="J458" s="13">
        <v>36212465.570000023</v>
      </c>
      <c r="K458" s="13">
        <v>32410230.670000017</v>
      </c>
      <c r="L458" s="13">
        <v>33670485.530000031</v>
      </c>
      <c r="M458" s="13">
        <v>29055001.24000001</v>
      </c>
      <c r="N458" s="13">
        <v>34598323.18999958</v>
      </c>
      <c r="O458" s="13">
        <f t="shared" si="29"/>
        <v>391996711.95999962</v>
      </c>
      <c r="P458" s="14"/>
      <c r="Q458" s="13">
        <v>40731962.950000003</v>
      </c>
      <c r="R458" s="13">
        <v>39882292.430000007</v>
      </c>
      <c r="S458" s="13">
        <v>36063901.570000023</v>
      </c>
      <c r="T458" s="13">
        <v>35889826.850000069</v>
      </c>
      <c r="U458" s="13">
        <v>38364755.809999794</v>
      </c>
      <c r="V458" s="13">
        <v>36245688.180000037</v>
      </c>
      <c r="W458" s="13">
        <v>40294849.820000052</v>
      </c>
      <c r="X458" s="13">
        <v>43687198.170000046</v>
      </c>
      <c r="Y458" s="13">
        <f t="shared" si="30"/>
        <v>311160475.78000003</v>
      </c>
    </row>
    <row r="459" spans="1:25" ht="15" thickTop="1" x14ac:dyDescent="0.35">
      <c r="A459" t="s">
        <v>42</v>
      </c>
      <c r="B459" s="10">
        <f t="shared" si="31"/>
        <v>8252486.9487624634</v>
      </c>
      <c r="C459" s="10">
        <f t="shared" si="31"/>
        <v>7970336.9645258142</v>
      </c>
      <c r="D459" s="10">
        <f t="shared" si="31"/>
        <v>7219751.9889627015</v>
      </c>
      <c r="E459" s="10">
        <f t="shared" si="31"/>
        <v>7131137.2841681307</v>
      </c>
      <c r="F459" s="10">
        <f t="shared" si="31"/>
        <v>7680745.2635808941</v>
      </c>
      <c r="G459" s="10">
        <v>38254458.450000003</v>
      </c>
      <c r="H459" s="10">
        <v>7076391.1400000006</v>
      </c>
      <c r="I459" s="10">
        <v>7394337.1299999952</v>
      </c>
      <c r="J459" s="10">
        <v>8329202.700000003</v>
      </c>
      <c r="K459" s="10">
        <v>7450038.3199999928</v>
      </c>
      <c r="L459" s="10">
        <v>7013915.700000003</v>
      </c>
      <c r="M459" s="10">
        <v>6750269.6899999976</v>
      </c>
      <c r="N459" s="10">
        <v>8516199.1700000018</v>
      </c>
      <c r="O459" s="10">
        <f t="shared" si="29"/>
        <v>90784812.299999997</v>
      </c>
      <c r="Q459" s="10">
        <v>9656276.3200000003</v>
      </c>
      <c r="R459" s="10">
        <v>9326131.2100000009</v>
      </c>
      <c r="S459" s="10">
        <v>8447867.9699999988</v>
      </c>
      <c r="T459" s="10">
        <v>8344179.4600000009</v>
      </c>
      <c r="U459" s="10">
        <v>8987278.5099999979</v>
      </c>
      <c r="V459" s="10">
        <v>8521510.950000003</v>
      </c>
      <c r="W459" s="10">
        <v>9445614.7100000009</v>
      </c>
      <c r="X459" s="10">
        <v>10155109.199999996</v>
      </c>
      <c r="Y459" s="10">
        <f t="shared" si="30"/>
        <v>72883968.329999998</v>
      </c>
    </row>
    <row r="460" spans="1:25" ht="15" thickBot="1" x14ac:dyDescent="0.4">
      <c r="A460" s="12" t="s">
        <v>43</v>
      </c>
      <c r="B460" s="13">
        <f t="shared" si="31"/>
        <v>26980893.129275851</v>
      </c>
      <c r="C460" s="13">
        <f t="shared" si="31"/>
        <v>26529824.751220435</v>
      </c>
      <c r="D460" s="13">
        <f t="shared" si="31"/>
        <v>23977113.042991556</v>
      </c>
      <c r="E460" s="13">
        <f t="shared" si="31"/>
        <v>23916001.511253119</v>
      </c>
      <c r="F460" s="13">
        <f t="shared" si="31"/>
        <v>25506454.125259068</v>
      </c>
      <c r="G460" s="13">
        <v>126910286.56000003</v>
      </c>
      <c r="H460" s="13">
        <v>22656328.020000041</v>
      </c>
      <c r="I460" s="13">
        <v>23758404.459999889</v>
      </c>
      <c r="J460" s="13">
        <v>27883262.870000035</v>
      </c>
      <c r="K460" s="13">
        <v>24960192.349999994</v>
      </c>
      <c r="L460" s="13">
        <v>26656569.830000013</v>
      </c>
      <c r="M460" s="13">
        <v>22304731.549999982</v>
      </c>
      <c r="N460" s="13">
        <v>26082124.019999683</v>
      </c>
      <c r="O460" s="13">
        <f t="shared" si="29"/>
        <v>301211899.65999967</v>
      </c>
      <c r="P460" s="14"/>
      <c r="Q460" s="13">
        <v>31075686.629999999</v>
      </c>
      <c r="R460" s="13">
        <v>30556161.220000025</v>
      </c>
      <c r="S460" s="13">
        <v>27616033.600000009</v>
      </c>
      <c r="T460" s="13">
        <v>27545647.390000075</v>
      </c>
      <c r="U460" s="13">
        <v>29377477.299999788</v>
      </c>
      <c r="V460" s="13">
        <v>27724177.230000019</v>
      </c>
      <c r="W460" s="13">
        <v>30849235.110000074</v>
      </c>
      <c r="X460" s="13">
        <v>33532088.970000058</v>
      </c>
      <c r="Y460" s="13">
        <f t="shared" si="30"/>
        <v>238276507.45000005</v>
      </c>
    </row>
    <row r="461" spans="1:25" ht="15" thickTop="1" x14ac:dyDescent="0.35"/>
    <row r="462" spans="1:25" x14ac:dyDescent="0.35">
      <c r="A462" s="15"/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Q462" s="16"/>
      <c r="R462" s="15"/>
      <c r="S462" s="15"/>
      <c r="T462" s="15"/>
      <c r="U462" s="15"/>
      <c r="V462" s="15"/>
      <c r="W462" s="15"/>
      <c r="X462" s="15"/>
      <c r="Y462" s="15"/>
    </row>
    <row r="463" spans="1:25" x14ac:dyDescent="0.35">
      <c r="A463" s="15"/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Q463" s="16"/>
      <c r="R463" s="15"/>
      <c r="S463" s="15"/>
      <c r="T463" s="15"/>
      <c r="U463" s="15"/>
      <c r="V463" s="15"/>
      <c r="W463" s="15"/>
      <c r="X463" s="15"/>
      <c r="Y463" s="15"/>
    </row>
    <row r="465" spans="1:25" ht="23.5" x14ac:dyDescent="0.35">
      <c r="A465" s="17" t="s">
        <v>51</v>
      </c>
      <c r="B465" s="18"/>
      <c r="C465" s="18"/>
      <c r="D465" s="18"/>
      <c r="E465" s="18"/>
      <c r="F465" s="18"/>
      <c r="G465" s="19"/>
      <c r="H465" s="19"/>
      <c r="I465" s="19"/>
      <c r="J465" s="19"/>
      <c r="K465" s="19"/>
      <c r="L465" s="19"/>
      <c r="M465" s="19"/>
      <c r="N465" s="19"/>
      <c r="O465" s="19"/>
      <c r="P465" s="4"/>
      <c r="Q465" s="19"/>
      <c r="R465" s="20"/>
      <c r="S465" s="20"/>
      <c r="T465" s="20"/>
      <c r="U465" s="20"/>
      <c r="V465" s="20"/>
      <c r="W465" s="20"/>
      <c r="X465" s="20"/>
      <c r="Y465" s="20"/>
    </row>
    <row r="466" spans="1:25" ht="23.5" x14ac:dyDescent="0.35">
      <c r="A466" s="17"/>
      <c r="B466" s="18"/>
      <c r="C466" s="18"/>
      <c r="D466" s="18"/>
      <c r="E466" s="18"/>
      <c r="F466" s="18"/>
      <c r="G466" s="19"/>
      <c r="H466" s="19"/>
      <c r="I466" s="19"/>
      <c r="J466" s="19"/>
      <c r="K466" s="19"/>
      <c r="L466" s="19"/>
      <c r="M466" s="19"/>
      <c r="N466" s="19"/>
      <c r="O466" s="19"/>
      <c r="P466" s="4"/>
      <c r="Q466" s="19"/>
      <c r="R466" s="20"/>
      <c r="S466" s="20"/>
      <c r="T466" s="20"/>
      <c r="U466" s="20"/>
      <c r="V466" s="20"/>
      <c r="W466" s="20"/>
      <c r="X466" s="20"/>
      <c r="Y466" s="20"/>
    </row>
    <row r="468" spans="1:25" s="9" customFormat="1" x14ac:dyDescent="0.35">
      <c r="A468" s="6" t="s">
        <v>1</v>
      </c>
      <c r="B468" s="7">
        <v>45658</v>
      </c>
      <c r="C468" s="7">
        <v>45689</v>
      </c>
      <c r="D468" s="7">
        <v>45717</v>
      </c>
      <c r="E468" s="7">
        <v>45748</v>
      </c>
      <c r="F468" s="7">
        <v>45778</v>
      </c>
      <c r="G468" s="7" t="s">
        <v>2</v>
      </c>
      <c r="H468" s="7">
        <v>45809</v>
      </c>
      <c r="I468" s="7">
        <v>45839</v>
      </c>
      <c r="J468" s="7">
        <v>45870</v>
      </c>
      <c r="K468" s="7">
        <v>45901</v>
      </c>
      <c r="L468" s="7">
        <v>45931</v>
      </c>
      <c r="M468" s="7">
        <v>45962</v>
      </c>
      <c r="N468" s="7">
        <v>45992</v>
      </c>
      <c r="O468" s="7" t="s">
        <v>3</v>
      </c>
      <c r="P468" s="8"/>
      <c r="Q468" s="7">
        <v>46023</v>
      </c>
      <c r="R468" s="7">
        <v>46054</v>
      </c>
      <c r="S468" s="7">
        <v>46082</v>
      </c>
      <c r="T468" s="7">
        <v>46113</v>
      </c>
      <c r="U468" s="7">
        <v>46143</v>
      </c>
      <c r="V468" s="7">
        <v>46174</v>
      </c>
      <c r="W468" s="7">
        <v>46204</v>
      </c>
      <c r="X468" s="7">
        <v>46235</v>
      </c>
      <c r="Y468" s="7" t="s">
        <v>3</v>
      </c>
    </row>
    <row r="469" spans="1:25" x14ac:dyDescent="0.35">
      <c r="A469" t="s">
        <v>4</v>
      </c>
      <c r="B469" s="10">
        <f>B5+B63+B121+B179+B237+B295+B353+B411</f>
        <v>0</v>
      </c>
      <c r="C469" s="10">
        <f t="shared" ref="C469:N484" si="32">C5+C63+C121+C179+C237+C295+C353+C411</f>
        <v>0</v>
      </c>
      <c r="D469" s="10">
        <f t="shared" si="32"/>
        <v>0</v>
      </c>
      <c r="E469" s="10">
        <f t="shared" si="32"/>
        <v>0</v>
      </c>
      <c r="F469" s="10">
        <f t="shared" si="32"/>
        <v>0</v>
      </c>
      <c r="G469" s="10">
        <f t="shared" si="32"/>
        <v>0</v>
      </c>
      <c r="H469" s="10">
        <f t="shared" si="32"/>
        <v>0</v>
      </c>
      <c r="I469" s="10">
        <f t="shared" si="32"/>
        <v>0</v>
      </c>
      <c r="J469" s="10">
        <f t="shared" si="32"/>
        <v>0</v>
      </c>
      <c r="K469" s="10">
        <f t="shared" si="32"/>
        <v>0</v>
      </c>
      <c r="L469" s="10">
        <f t="shared" si="32"/>
        <v>0</v>
      </c>
      <c r="M469" s="10">
        <f t="shared" si="32"/>
        <v>0</v>
      </c>
      <c r="N469" s="10">
        <f t="shared" si="32"/>
        <v>0</v>
      </c>
      <c r="O469" s="10">
        <f>O5+O63+O121+O179+O237+O295+O353+O411</f>
        <v>0</v>
      </c>
      <c r="Q469" s="10">
        <f>Q5+Q63+Q121+Q179+Q237+Q295+Q353+Q411</f>
        <v>0</v>
      </c>
      <c r="R469" s="10">
        <f t="shared" ref="Q469:Y472" si="33">R5+R63+R121+R179+R237+R295+R353+R411</f>
        <v>0</v>
      </c>
      <c r="S469" s="10">
        <f t="shared" si="33"/>
        <v>0</v>
      </c>
      <c r="T469" s="10">
        <f t="shared" si="33"/>
        <v>0</v>
      </c>
      <c r="U469" s="10">
        <f t="shared" si="33"/>
        <v>0</v>
      </c>
      <c r="V469" s="10">
        <f t="shared" si="33"/>
        <v>0</v>
      </c>
      <c r="W469" s="10">
        <f t="shared" si="33"/>
        <v>0</v>
      </c>
      <c r="X469" s="10">
        <f t="shared" si="33"/>
        <v>0</v>
      </c>
      <c r="Y469" s="10">
        <f t="shared" ref="Y469:Y518" si="34">SUM(Q469:X469)</f>
        <v>0</v>
      </c>
    </row>
    <row r="470" spans="1:25" x14ac:dyDescent="0.35">
      <c r="A470" t="s">
        <v>5</v>
      </c>
      <c r="B470" s="10">
        <f>B6+B64+B122+B180+B238+B296+B354+B412</f>
        <v>985505212.85448825</v>
      </c>
      <c r="C470" s="10">
        <f t="shared" si="32"/>
        <v>771332777.50871444</v>
      </c>
      <c r="D470" s="10">
        <f t="shared" si="32"/>
        <v>718985295.00285673</v>
      </c>
      <c r="E470" s="10">
        <f t="shared" si="32"/>
        <v>694607819.96709561</v>
      </c>
      <c r="F470" s="10">
        <f t="shared" si="32"/>
        <v>710004559.01684463</v>
      </c>
      <c r="G470" s="10">
        <f t="shared" si="32"/>
        <v>3880435664.3499999</v>
      </c>
      <c r="H470" s="10">
        <f t="shared" si="32"/>
        <v>729049486.5200001</v>
      </c>
      <c r="I470" s="10">
        <f t="shared" si="32"/>
        <v>1011830934.3600003</v>
      </c>
      <c r="J470" s="10">
        <f t="shared" si="32"/>
        <v>714036110.96999979</v>
      </c>
      <c r="K470" s="10">
        <f t="shared" si="32"/>
        <v>670320538.09000003</v>
      </c>
      <c r="L470" s="10">
        <f t="shared" si="32"/>
        <v>662974962.67999971</v>
      </c>
      <c r="M470" s="10">
        <f t="shared" si="32"/>
        <v>725215159.80999994</v>
      </c>
      <c r="N470" s="10">
        <f t="shared" si="32"/>
        <v>1169882392.54</v>
      </c>
      <c r="O470" s="10">
        <f>O6+O64+O122+O180+O238+O296+O354+O412</f>
        <v>9563745249.3199997</v>
      </c>
      <c r="Q470" s="10">
        <f>Q6+Q64+Q122+Q180+Q238+Q296+Q354+Q412</f>
        <v>1082849351.95</v>
      </c>
      <c r="R470" s="10">
        <f t="shared" si="33"/>
        <v>830945305.94000006</v>
      </c>
      <c r="S470" s="10">
        <f t="shared" si="33"/>
        <v>777476653.80000007</v>
      </c>
      <c r="T470" s="10">
        <f t="shared" si="33"/>
        <v>744923705.82999992</v>
      </c>
      <c r="U470" s="10">
        <f t="shared" si="33"/>
        <v>760389344.14999986</v>
      </c>
      <c r="V470" s="10">
        <f t="shared" si="33"/>
        <v>793814280.6699996</v>
      </c>
      <c r="W470" s="10">
        <f t="shared" si="33"/>
        <v>1130715858.1200004</v>
      </c>
      <c r="X470" s="10">
        <f t="shared" si="33"/>
        <v>699255627.55000007</v>
      </c>
      <c r="Y470" s="10">
        <f t="shared" si="34"/>
        <v>6820370128.0100012</v>
      </c>
    </row>
    <row r="471" spans="1:25" x14ac:dyDescent="0.35">
      <c r="A471" t="s">
        <v>6</v>
      </c>
      <c r="B471" s="10">
        <f t="shared" ref="B471:N472" si="35">B7+B65+B123+B181+B239+B297+B355+B413</f>
        <v>111670097.78943124</v>
      </c>
      <c r="C471" s="10">
        <f t="shared" si="35"/>
        <v>91981560.107582316</v>
      </c>
      <c r="D471" s="10">
        <f t="shared" si="35"/>
        <v>89439672.552547887</v>
      </c>
      <c r="E471" s="10">
        <f t="shared" si="35"/>
        <v>80224263.493577033</v>
      </c>
      <c r="F471" s="10">
        <f t="shared" si="35"/>
        <v>102905994.19686148</v>
      </c>
      <c r="G471" s="10">
        <f t="shared" si="32"/>
        <v>476221588.13999999</v>
      </c>
      <c r="H471" s="10">
        <f t="shared" si="35"/>
        <v>73955649.650000051</v>
      </c>
      <c r="I471" s="10">
        <f t="shared" si="35"/>
        <v>119950510.99000001</v>
      </c>
      <c r="J471" s="10">
        <f t="shared" si="35"/>
        <v>154525149.5099999</v>
      </c>
      <c r="K471" s="10">
        <f t="shared" si="35"/>
        <v>88557013.450000077</v>
      </c>
      <c r="L471" s="10">
        <f t="shared" si="35"/>
        <v>85475333.749999881</v>
      </c>
      <c r="M471" s="10">
        <f t="shared" si="35"/>
        <v>74609749.790000096</v>
      </c>
      <c r="N471" s="10">
        <f t="shared" si="35"/>
        <v>82258840.239999965</v>
      </c>
      <c r="O471" s="10">
        <f>O7+O65+O123+O181+O239+O297+O355+O413</f>
        <v>1155553835.52</v>
      </c>
      <c r="Q471" s="10">
        <f t="shared" si="33"/>
        <v>141172600.06</v>
      </c>
      <c r="R471" s="10">
        <f t="shared" si="33"/>
        <v>108067250.92</v>
      </c>
      <c r="S471" s="10">
        <f t="shared" si="33"/>
        <v>102598293.42999996</v>
      </c>
      <c r="T471" s="10">
        <f t="shared" si="33"/>
        <v>90055512.060000077</v>
      </c>
      <c r="U471" s="10">
        <f t="shared" si="33"/>
        <v>124379386.16999999</v>
      </c>
      <c r="V471" s="10">
        <f t="shared" si="33"/>
        <v>89647867.840000018</v>
      </c>
      <c r="W471" s="10">
        <f t="shared" si="33"/>
        <v>130282445.34</v>
      </c>
      <c r="X471" s="10">
        <f t="shared" si="33"/>
        <v>108412250.4499999</v>
      </c>
      <c r="Y471" s="10">
        <f t="shared" si="34"/>
        <v>894615606.26999998</v>
      </c>
    </row>
    <row r="472" spans="1:25" ht="15" thickBot="1" x14ac:dyDescent="0.4">
      <c r="A472" s="12" t="s">
        <v>7</v>
      </c>
      <c r="B472" s="13">
        <f t="shared" si="35"/>
        <v>874608095.43617797</v>
      </c>
      <c r="C472" s="13">
        <f t="shared" si="35"/>
        <v>682216383.09870541</v>
      </c>
      <c r="D472" s="13">
        <f t="shared" si="35"/>
        <v>633257422.42418408</v>
      </c>
      <c r="E472" s="13">
        <f t="shared" si="35"/>
        <v>614368215.02139449</v>
      </c>
      <c r="F472" s="13">
        <f t="shared" si="35"/>
        <v>599763960.22953796</v>
      </c>
      <c r="G472" s="13">
        <f t="shared" si="32"/>
        <v>3404214076.2099996</v>
      </c>
      <c r="H472" s="13">
        <f t="shared" si="35"/>
        <v>655093836.8700006</v>
      </c>
      <c r="I472" s="13">
        <f t="shared" si="35"/>
        <v>891880423.37000012</v>
      </c>
      <c r="J472" s="13">
        <f t="shared" si="35"/>
        <v>559510961.4599998</v>
      </c>
      <c r="K472" s="13">
        <f t="shared" si="35"/>
        <v>581763524.6400001</v>
      </c>
      <c r="L472" s="13">
        <f t="shared" si="35"/>
        <v>577499628.92999983</v>
      </c>
      <c r="M472" s="13">
        <f t="shared" si="35"/>
        <v>650605410.0200001</v>
      </c>
      <c r="N472" s="13">
        <f t="shared" si="35"/>
        <v>1087623552.2999995</v>
      </c>
      <c r="O472" s="13">
        <f>O8+O66+O124+O182+O240+O298+O356+O414</f>
        <v>8408191413.7999992</v>
      </c>
      <c r="P472" s="14"/>
      <c r="Q472" s="13">
        <f t="shared" si="33"/>
        <v>941676751.88999999</v>
      </c>
      <c r="R472" s="13">
        <f t="shared" si="33"/>
        <v>722878055.0200001</v>
      </c>
      <c r="S472" s="13">
        <f t="shared" si="33"/>
        <v>674878360.37000012</v>
      </c>
      <c r="T472" s="13">
        <f t="shared" si="33"/>
        <v>654868193.76999998</v>
      </c>
      <c r="U472" s="13">
        <f t="shared" si="33"/>
        <v>636009957.97999942</v>
      </c>
      <c r="V472" s="13">
        <f t="shared" si="33"/>
        <v>704166412.83000028</v>
      </c>
      <c r="W472" s="13">
        <f t="shared" si="33"/>
        <v>1000433412.78</v>
      </c>
      <c r="X472" s="13">
        <f t="shared" si="33"/>
        <v>590843377.09999967</v>
      </c>
      <c r="Y472" s="13">
        <f t="shared" si="34"/>
        <v>5925754521.7399988</v>
      </c>
    </row>
    <row r="473" spans="1:25" ht="15" thickTop="1" x14ac:dyDescent="0.35">
      <c r="B473" s="10"/>
      <c r="C473" s="10"/>
      <c r="D473" s="10"/>
      <c r="E473" s="10"/>
      <c r="F473" s="10"/>
      <c r="G473" s="10">
        <f t="shared" si="32"/>
        <v>0</v>
      </c>
      <c r="R473" s="10"/>
      <c r="S473" s="10"/>
      <c r="T473" s="10"/>
      <c r="U473" s="10"/>
      <c r="V473" s="10"/>
      <c r="W473" s="10"/>
      <c r="X473" s="10"/>
      <c r="Y473" s="10">
        <f t="shared" si="34"/>
        <v>0</v>
      </c>
    </row>
    <row r="474" spans="1:25" x14ac:dyDescent="0.35">
      <c r="A474" t="s">
        <v>4</v>
      </c>
      <c r="B474" s="10">
        <f t="shared" ref="B474:N478" si="36">B10+B68+B126+B184+B242+B300+B358+B416</f>
        <v>32764436.261546262</v>
      </c>
      <c r="C474" s="10">
        <f t="shared" si="36"/>
        <v>4189394.5430369112</v>
      </c>
      <c r="D474" s="10">
        <f t="shared" si="36"/>
        <v>16420776.190584071</v>
      </c>
      <c r="E474" s="10">
        <f t="shared" si="36"/>
        <v>6761033.8903474836</v>
      </c>
      <c r="F474" s="10">
        <f t="shared" si="36"/>
        <v>38859790.254485279</v>
      </c>
      <c r="G474" s="10">
        <f t="shared" si="32"/>
        <v>98995431.140000001</v>
      </c>
      <c r="H474" s="10">
        <f t="shared" si="36"/>
        <v>11231457.929999996</v>
      </c>
      <c r="I474" s="10">
        <f t="shared" si="36"/>
        <v>6669513.939999992</v>
      </c>
      <c r="J474" s="10">
        <f t="shared" si="36"/>
        <v>13135937.070000008</v>
      </c>
      <c r="K474" s="10">
        <f t="shared" si="36"/>
        <v>3884802.8900000192</v>
      </c>
      <c r="L474" s="10">
        <f t="shared" si="36"/>
        <v>6988191.399999992</v>
      </c>
      <c r="M474" s="10">
        <f t="shared" si="36"/>
        <v>13931594.239999989</v>
      </c>
      <c r="N474" s="10">
        <f t="shared" si="36"/>
        <v>63441839.449999988</v>
      </c>
      <c r="O474" s="10">
        <f>O10+O68+O126+O184+O242+O300+O358+O416</f>
        <v>218278768.05999997</v>
      </c>
      <c r="Q474" s="10">
        <f t="shared" ref="Q474:X478" si="37">Q10+Q68+Q126+Q184+Q242+Q300+Q358+Q416</f>
        <v>28587269.609999999</v>
      </c>
      <c r="R474" s="10">
        <f t="shared" si="37"/>
        <v>3172495.9999999939</v>
      </c>
      <c r="S474" s="10">
        <f t="shared" si="37"/>
        <v>12290003.030000001</v>
      </c>
      <c r="T474" s="10">
        <f t="shared" si="37"/>
        <v>5407477.2600000091</v>
      </c>
      <c r="U474" s="10">
        <f t="shared" si="37"/>
        <v>31160963.679999996</v>
      </c>
      <c r="V474" s="10">
        <f t="shared" si="37"/>
        <v>13876504.370000001</v>
      </c>
      <c r="W474" s="10">
        <f t="shared" si="37"/>
        <v>8279217.6999999946</v>
      </c>
      <c r="X474" s="10">
        <f t="shared" si="37"/>
        <v>11671260.660000008</v>
      </c>
      <c r="Y474" s="10">
        <f t="shared" si="34"/>
        <v>114445192.31</v>
      </c>
    </row>
    <row r="475" spans="1:25" x14ac:dyDescent="0.35">
      <c r="A475" t="s">
        <v>8</v>
      </c>
      <c r="B475" s="10">
        <f t="shared" si="36"/>
        <v>1043037.3035435549</v>
      </c>
      <c r="C475" s="10">
        <f t="shared" si="36"/>
        <v>2651278.1222312464</v>
      </c>
      <c r="D475" s="10">
        <f t="shared" si="36"/>
        <v>8147259.1060446044</v>
      </c>
      <c r="E475" s="10">
        <f t="shared" si="36"/>
        <v>7554008.6290709227</v>
      </c>
      <c r="F475" s="10">
        <f t="shared" si="36"/>
        <v>16214258.869109664</v>
      </c>
      <c r="G475" s="10">
        <f t="shared" si="32"/>
        <v>35609842.029999994</v>
      </c>
      <c r="H475" s="10">
        <f t="shared" si="36"/>
        <v>6374846.0700000022</v>
      </c>
      <c r="I475" s="10">
        <f t="shared" si="36"/>
        <v>3567237.0799999987</v>
      </c>
      <c r="J475" s="10">
        <f t="shared" si="36"/>
        <v>7076668.0200000014</v>
      </c>
      <c r="K475" s="10">
        <f t="shared" si="36"/>
        <v>6465453.6499999994</v>
      </c>
      <c r="L475" s="10">
        <f t="shared" si="36"/>
        <v>538929.15999999968</v>
      </c>
      <c r="M475" s="10">
        <f t="shared" si="36"/>
        <v>3661218.7799999975</v>
      </c>
      <c r="N475" s="10">
        <f t="shared" si="36"/>
        <v>3617833.8500000141</v>
      </c>
      <c r="O475" s="10">
        <f>O11+O69+O127+O185+O243+O301+O359+O417</f>
        <v>66912028.640000001</v>
      </c>
      <c r="Q475" s="10">
        <f t="shared" si="37"/>
        <v>609618.99</v>
      </c>
      <c r="R475" s="10">
        <f t="shared" si="37"/>
        <v>914331.83999999985</v>
      </c>
      <c r="S475" s="10">
        <f t="shared" si="37"/>
        <v>4776138.5299999993</v>
      </c>
      <c r="T475" s="10">
        <f t="shared" si="37"/>
        <v>3258630.8400000008</v>
      </c>
      <c r="U475" s="10">
        <f t="shared" si="37"/>
        <v>7951296.7599999988</v>
      </c>
      <c r="V475" s="10">
        <f t="shared" si="37"/>
        <v>3576023.790000001</v>
      </c>
      <c r="W475" s="10">
        <f t="shared" si="37"/>
        <v>4533407.49</v>
      </c>
      <c r="X475" s="10">
        <f t="shared" si="37"/>
        <v>7077257.7400000012</v>
      </c>
      <c r="Y475" s="10">
        <f t="shared" si="34"/>
        <v>32696705.980000004</v>
      </c>
    </row>
    <row r="476" spans="1:25" x14ac:dyDescent="0.35">
      <c r="A476" t="s">
        <v>9</v>
      </c>
      <c r="B476" s="10">
        <f t="shared" si="36"/>
        <v>32360180.260985442</v>
      </c>
      <c r="C476" s="10">
        <f t="shared" si="36"/>
        <v>2457592.7621397092</v>
      </c>
      <c r="D476" s="10">
        <f t="shared" si="36"/>
        <v>5848185.3647778109</v>
      </c>
      <c r="E476" s="10">
        <f t="shared" si="36"/>
        <v>4016324.3118270664</v>
      </c>
      <c r="F476" s="10">
        <f t="shared" si="36"/>
        <v>28367373.700269975</v>
      </c>
      <c r="G476" s="10">
        <f t="shared" si="32"/>
        <v>73049656.400000006</v>
      </c>
      <c r="H476" s="10">
        <f t="shared" si="36"/>
        <v>4978215.2299999902</v>
      </c>
      <c r="I476" s="10">
        <f t="shared" si="36"/>
        <v>5994208.2100000046</v>
      </c>
      <c r="J476" s="10">
        <f t="shared" si="36"/>
        <v>6833878.4399999995</v>
      </c>
      <c r="K476" s="10">
        <f t="shared" si="36"/>
        <v>1502551.8400000094</v>
      </c>
      <c r="L476" s="10">
        <f t="shared" si="36"/>
        <v>7013159.9699999951</v>
      </c>
      <c r="M476" s="10">
        <f t="shared" si="36"/>
        <v>11220792.389999993</v>
      </c>
      <c r="N476" s="10">
        <f t="shared" si="36"/>
        <v>61479395.149999991</v>
      </c>
      <c r="O476" s="10">
        <f>O12+O70+O128+O186+O244+O302+O360+O418</f>
        <v>172071857.62999997</v>
      </c>
      <c r="Q476" s="10">
        <f t="shared" si="37"/>
        <v>28021928.210000001</v>
      </c>
      <c r="R476" s="10">
        <f t="shared" si="37"/>
        <v>2606333.5899999975</v>
      </c>
      <c r="S476" s="10">
        <f t="shared" si="37"/>
        <v>7599081.9299999997</v>
      </c>
      <c r="T476" s="10">
        <f t="shared" si="37"/>
        <v>4116288.9700000025</v>
      </c>
      <c r="U476" s="10">
        <f t="shared" si="37"/>
        <v>24455199.509999998</v>
      </c>
      <c r="V476" s="10">
        <f t="shared" si="37"/>
        <v>10786241.270000005</v>
      </c>
      <c r="W476" s="10">
        <f t="shared" si="37"/>
        <v>4247768.2599999933</v>
      </c>
      <c r="X476" s="10">
        <f t="shared" si="37"/>
        <v>5025660.950000003</v>
      </c>
      <c r="Y476" s="10">
        <f t="shared" si="34"/>
        <v>86858502.689999998</v>
      </c>
    </row>
    <row r="477" spans="1:25" x14ac:dyDescent="0.35">
      <c r="A477" t="s">
        <v>10</v>
      </c>
      <c r="B477" s="10">
        <f t="shared" si="36"/>
        <v>141321.33199748481</v>
      </c>
      <c r="C477" s="10">
        <f t="shared" si="36"/>
        <v>834809.16930855927</v>
      </c>
      <c r="D477" s="10">
        <f t="shared" si="36"/>
        <v>271989.52601084253</v>
      </c>
      <c r="E477" s="10">
        <f t="shared" si="36"/>
        <v>4528142.3713983409</v>
      </c>
      <c r="F477" s="10">
        <f t="shared" si="36"/>
        <v>3887804.8912847722</v>
      </c>
      <c r="G477" s="10">
        <f t="shared" si="32"/>
        <v>9664067.2899999991</v>
      </c>
      <c r="H477" s="10">
        <f t="shared" si="36"/>
        <v>121603.37000000048</v>
      </c>
      <c r="I477" s="10">
        <f t="shared" si="36"/>
        <v>2891931.3500000006</v>
      </c>
      <c r="J477" s="10">
        <f t="shared" si="36"/>
        <v>774609.39000000292</v>
      </c>
      <c r="K477" s="10">
        <f t="shared" si="36"/>
        <v>4083202.5999999968</v>
      </c>
      <c r="L477" s="10">
        <f t="shared" si="36"/>
        <v>563897.72999999858</v>
      </c>
      <c r="M477" s="10">
        <f t="shared" si="36"/>
        <v>950416.93000000156</v>
      </c>
      <c r="N477" s="10">
        <f t="shared" si="36"/>
        <v>1655389.5499999984</v>
      </c>
      <c r="O477" s="10">
        <f>O13+O71+O129+O187+O245+O303+O361+O419</f>
        <v>20705118.210000001</v>
      </c>
      <c r="Q477" s="10">
        <f t="shared" si="37"/>
        <v>44277.59</v>
      </c>
      <c r="R477" s="10">
        <f t="shared" si="37"/>
        <v>348169.43000000005</v>
      </c>
      <c r="S477" s="10">
        <f t="shared" si="37"/>
        <v>85217.43</v>
      </c>
      <c r="T477" s="10">
        <f t="shared" si="37"/>
        <v>1967442.5499999998</v>
      </c>
      <c r="U477" s="10">
        <f t="shared" si="37"/>
        <v>1245532.5899999996</v>
      </c>
      <c r="V477" s="10">
        <f t="shared" si="37"/>
        <v>485760.69000000006</v>
      </c>
      <c r="W477" s="10">
        <f t="shared" si="37"/>
        <v>501958.04999999987</v>
      </c>
      <c r="X477" s="10">
        <f t="shared" si="37"/>
        <v>431658.03000000055</v>
      </c>
      <c r="Y477" s="10">
        <f t="shared" si="34"/>
        <v>5110016.3600000003</v>
      </c>
    </row>
    <row r="478" spans="1:25" ht="15" thickBot="1" x14ac:dyDescent="0.4">
      <c r="A478" s="12" t="s">
        <v>11</v>
      </c>
      <c r="B478" s="13">
        <f t="shared" si="36"/>
        <v>908629988.17854035</v>
      </c>
      <c r="C478" s="13">
        <f t="shared" si="36"/>
        <v>689389765.05913854</v>
      </c>
      <c r="D478" s="13">
        <f t="shared" si="36"/>
        <v>649290010.93688595</v>
      </c>
      <c r="E478" s="13">
        <f t="shared" si="36"/>
        <v>622915268.9453243</v>
      </c>
      <c r="F478" s="13">
        <f t="shared" si="36"/>
        <v>632984474.23011076</v>
      </c>
      <c r="G478" s="13">
        <f t="shared" si="32"/>
        <v>3503209507.3499999</v>
      </c>
      <c r="H478" s="13">
        <f t="shared" si="36"/>
        <v>666325294.80000055</v>
      </c>
      <c r="I478" s="13">
        <f t="shared" si="36"/>
        <v>898549937.31000018</v>
      </c>
      <c r="J478" s="13">
        <f t="shared" si="36"/>
        <v>572646898.52999973</v>
      </c>
      <c r="K478" s="13">
        <f t="shared" si="36"/>
        <v>585648327.53000009</v>
      </c>
      <c r="L478" s="13">
        <f t="shared" si="36"/>
        <v>584487820.32999992</v>
      </c>
      <c r="M478" s="13">
        <f t="shared" si="36"/>
        <v>664537004.25999987</v>
      </c>
      <c r="N478" s="13">
        <f t="shared" si="36"/>
        <v>1151065391.7499993</v>
      </c>
      <c r="O478" s="13">
        <f>O14+O72+O130+O188+O246+O304+O362+O420</f>
        <v>8626470181.8599987</v>
      </c>
      <c r="P478" s="14"/>
      <c r="Q478" s="13">
        <f t="shared" si="37"/>
        <v>970264021.5</v>
      </c>
      <c r="R478" s="13">
        <f t="shared" si="37"/>
        <v>726050551.01999998</v>
      </c>
      <c r="S478" s="13">
        <f t="shared" si="37"/>
        <v>687168363.40000033</v>
      </c>
      <c r="T478" s="13">
        <f t="shared" si="37"/>
        <v>660275671.02999973</v>
      </c>
      <c r="U478" s="13">
        <f t="shared" si="37"/>
        <v>667170921.65999961</v>
      </c>
      <c r="V478" s="13">
        <f t="shared" si="37"/>
        <v>718042917.20000029</v>
      </c>
      <c r="W478" s="13">
        <f t="shared" si="37"/>
        <v>1008712630.4799998</v>
      </c>
      <c r="X478" s="13">
        <f t="shared" si="37"/>
        <v>602514637.75999987</v>
      </c>
      <c r="Y478" s="13">
        <f t="shared" si="34"/>
        <v>6040199714.0499992</v>
      </c>
    </row>
    <row r="479" spans="1:25" ht="15" thickTop="1" x14ac:dyDescent="0.35">
      <c r="B479" s="10"/>
      <c r="C479" s="10"/>
      <c r="D479" s="10"/>
      <c r="E479" s="10"/>
      <c r="F479" s="10"/>
      <c r="G479" s="10">
        <f t="shared" si="32"/>
        <v>0</v>
      </c>
      <c r="R479" s="10"/>
      <c r="S479" s="10"/>
      <c r="T479" s="10"/>
      <c r="U479" s="10"/>
      <c r="V479" s="10"/>
      <c r="W479" s="10"/>
      <c r="X479" s="10"/>
      <c r="Y479" s="10">
        <f t="shared" si="34"/>
        <v>0</v>
      </c>
    </row>
    <row r="480" spans="1:25" x14ac:dyDescent="0.35">
      <c r="A480" t="s">
        <v>12</v>
      </c>
      <c r="B480" s="10">
        <f t="shared" ref="B480:N480" si="38">B16+B74+B132+B190+B248+B306+B364+B422</f>
        <v>234192337.56406906</v>
      </c>
      <c r="C480" s="10">
        <f t="shared" si="38"/>
        <v>257894442.9158695</v>
      </c>
      <c r="D480" s="10">
        <f t="shared" si="38"/>
        <v>227636381.26264954</v>
      </c>
      <c r="E480" s="10">
        <f t="shared" si="38"/>
        <v>228975578.95557564</v>
      </c>
      <c r="F480" s="10">
        <f t="shared" si="38"/>
        <v>226371395.90183619</v>
      </c>
      <c r="G480" s="10">
        <f t="shared" si="32"/>
        <v>1175070136.6000001</v>
      </c>
      <c r="H480" s="10">
        <f t="shared" si="38"/>
        <v>220979068.08000001</v>
      </c>
      <c r="I480" s="10">
        <f t="shared" si="38"/>
        <v>459380625.97000003</v>
      </c>
      <c r="J480" s="10">
        <f t="shared" si="38"/>
        <v>152014304.41999996</v>
      </c>
      <c r="K480" s="10">
        <f t="shared" si="38"/>
        <v>193657294.70000005</v>
      </c>
      <c r="L480" s="10">
        <f t="shared" si="38"/>
        <v>217861299.80000004</v>
      </c>
      <c r="M480" s="10">
        <f t="shared" si="38"/>
        <v>279047293.97999996</v>
      </c>
      <c r="N480" s="10">
        <f t="shared" si="38"/>
        <v>356682215.18000001</v>
      </c>
      <c r="O480" s="10">
        <f>O16+O74+O132+O190+O248+O306+O364+O422</f>
        <v>3054692238.73</v>
      </c>
      <c r="Q480" s="10">
        <f t="shared" ref="Q480:X480" si="39">Q16+Q74+Q132+Q190+Q248+Q306+Q364+Q422</f>
        <v>265523430.69000003</v>
      </c>
      <c r="R480" s="10">
        <f t="shared" si="39"/>
        <v>285809068.78000003</v>
      </c>
      <c r="S480" s="10">
        <f t="shared" si="39"/>
        <v>243658977.53000003</v>
      </c>
      <c r="T480" s="10">
        <f t="shared" si="39"/>
        <v>250358434.86999997</v>
      </c>
      <c r="U480" s="10">
        <f t="shared" si="39"/>
        <v>249952419.25999993</v>
      </c>
      <c r="V480" s="10">
        <f t="shared" si="39"/>
        <v>259990915.75</v>
      </c>
      <c r="W480" s="10">
        <f t="shared" si="39"/>
        <v>536991969.56000006</v>
      </c>
      <c r="X480" s="10">
        <f t="shared" si="39"/>
        <v>178126532.50999999</v>
      </c>
      <c r="Y480" s="10">
        <f t="shared" si="34"/>
        <v>2270411748.9499998</v>
      </c>
    </row>
    <row r="481" spans="1:25" x14ac:dyDescent="0.35">
      <c r="B481" s="10"/>
      <c r="C481" s="10"/>
      <c r="D481" s="10"/>
      <c r="E481" s="10"/>
      <c r="F481" s="10"/>
      <c r="G481" s="10">
        <f t="shared" si="32"/>
        <v>0</v>
      </c>
      <c r="R481" s="10"/>
      <c r="S481" s="10"/>
      <c r="T481" s="10"/>
      <c r="U481" s="10"/>
      <c r="V481" s="10"/>
      <c r="W481" s="10"/>
      <c r="X481" s="10"/>
      <c r="Y481" s="10">
        <f t="shared" si="34"/>
        <v>0</v>
      </c>
    </row>
    <row r="482" spans="1:25" ht="15" thickBot="1" x14ac:dyDescent="0.4">
      <c r="A482" s="12" t="s">
        <v>13</v>
      </c>
      <c r="B482" s="13">
        <f t="shared" ref="B482:N482" si="40">B18+B76+B134+B192+B250+B308+B366+B424</f>
        <v>687642640.12045252</v>
      </c>
      <c r="C482" s="13">
        <f t="shared" si="40"/>
        <v>425261938.90917116</v>
      </c>
      <c r="D482" s="13">
        <f t="shared" si="40"/>
        <v>424147334.47016275</v>
      </c>
      <c r="E482" s="13">
        <f t="shared" si="40"/>
        <v>391591044.48439181</v>
      </c>
      <c r="F482" s="13">
        <f t="shared" si="40"/>
        <v>399496412.76582187</v>
      </c>
      <c r="G482" s="13">
        <f t="shared" si="32"/>
        <v>2328139370.75</v>
      </c>
      <c r="H482" s="13">
        <f t="shared" si="40"/>
        <v>445346226.72000027</v>
      </c>
      <c r="I482" s="13">
        <f t="shared" si="40"/>
        <v>439169311.34000033</v>
      </c>
      <c r="J482" s="13">
        <f t="shared" si="40"/>
        <v>420632594.11000001</v>
      </c>
      <c r="K482" s="13">
        <f t="shared" si="40"/>
        <v>391991032.82999963</v>
      </c>
      <c r="L482" s="13">
        <f t="shared" si="40"/>
        <v>366626520.52999997</v>
      </c>
      <c r="M482" s="13">
        <f t="shared" si="40"/>
        <v>385489710.27999991</v>
      </c>
      <c r="N482" s="13">
        <f t="shared" si="40"/>
        <v>794383176.56999946</v>
      </c>
      <c r="O482" s="13">
        <f>O18+O76+O134+O192+O250+O308+O366+O424</f>
        <v>5571777943.1300001</v>
      </c>
      <c r="P482" s="14"/>
      <c r="Q482" s="13">
        <f t="shared" ref="Q482:X482" si="41">Q18+Q76+Q134+Q192+Q250+Q308+Q366+Q424</f>
        <v>704740590.80999994</v>
      </c>
      <c r="R482" s="13">
        <f t="shared" si="41"/>
        <v>440241482.24000007</v>
      </c>
      <c r="S482" s="13">
        <f t="shared" si="41"/>
        <v>443509385.87000006</v>
      </c>
      <c r="T482" s="13">
        <f t="shared" si="41"/>
        <v>409917236.16000003</v>
      </c>
      <c r="U482" s="13">
        <f t="shared" si="41"/>
        <v>417218502.39999968</v>
      </c>
      <c r="V482" s="13">
        <f t="shared" si="41"/>
        <v>458052001.45000011</v>
      </c>
      <c r="W482" s="13">
        <f t="shared" si="41"/>
        <v>471720660.91999984</v>
      </c>
      <c r="X482" s="13">
        <f t="shared" si="41"/>
        <v>424388105.25</v>
      </c>
      <c r="Y482" s="13">
        <f t="shared" si="34"/>
        <v>3769787965.1000004</v>
      </c>
    </row>
    <row r="483" spans="1:25" ht="15" thickTop="1" x14ac:dyDescent="0.35">
      <c r="B483" s="10"/>
      <c r="C483" s="10"/>
      <c r="D483" s="10"/>
      <c r="E483" s="10"/>
      <c r="F483" s="10"/>
      <c r="G483" s="10">
        <f t="shared" si="32"/>
        <v>0</v>
      </c>
      <c r="R483" s="10"/>
      <c r="S483" s="10"/>
      <c r="T483" s="10"/>
      <c r="U483" s="10"/>
      <c r="V483" s="10"/>
      <c r="W483" s="10"/>
      <c r="X483" s="10"/>
      <c r="Y483" s="10">
        <f t="shared" si="34"/>
        <v>0</v>
      </c>
    </row>
    <row r="484" spans="1:25" x14ac:dyDescent="0.35">
      <c r="A484" t="s">
        <v>14</v>
      </c>
      <c r="B484" s="10">
        <f t="shared" ref="B484:N499" si="42">B20+B78+B136+B194+B252+B310+B368+B426</f>
        <v>28994314.396789774</v>
      </c>
      <c r="C484" s="10">
        <f t="shared" si="42"/>
        <v>32481077.690787092</v>
      </c>
      <c r="D484" s="10">
        <f t="shared" si="42"/>
        <v>29328430.22622421</v>
      </c>
      <c r="E484" s="10">
        <f t="shared" si="42"/>
        <v>35177331.817724265</v>
      </c>
      <c r="F484" s="10">
        <f t="shared" si="42"/>
        <v>25514957.68847464</v>
      </c>
      <c r="G484" s="10">
        <f t="shared" si="32"/>
        <v>151496111.81999999</v>
      </c>
      <c r="H484" s="10">
        <f t="shared" si="42"/>
        <v>1884383.5899999905</v>
      </c>
      <c r="I484" s="10">
        <f t="shared" si="42"/>
        <v>-9949369.8999999464</v>
      </c>
      <c r="J484" s="10">
        <f t="shared" si="42"/>
        <v>-31009135.520000014</v>
      </c>
      <c r="K484" s="10">
        <f t="shared" si="42"/>
        <v>-51655060.160000011</v>
      </c>
      <c r="L484" s="10">
        <f t="shared" si="42"/>
        <v>-80701513.200000048</v>
      </c>
      <c r="M484" s="10">
        <f t="shared" si="42"/>
        <v>-56570636.969999917</v>
      </c>
      <c r="N484" s="10">
        <f t="shared" si="42"/>
        <v>329783246.65999997</v>
      </c>
      <c r="O484" s="10">
        <f>O20+O78+O136+O194+O252+O310+O368+O426</f>
        <v>253278026.31999999</v>
      </c>
      <c r="Q484" s="10">
        <f t="shared" ref="Q484:X487" si="43">Q20+Q78+Q136+Q194+Q252+Q310+Q368+Q426</f>
        <v>258581003.10999998</v>
      </c>
      <c r="R484" s="10">
        <f t="shared" si="43"/>
        <v>12691798.239999967</v>
      </c>
      <c r="S484" s="10">
        <f t="shared" si="43"/>
        <v>-23243008.559999995</v>
      </c>
      <c r="T484" s="10">
        <f t="shared" si="43"/>
        <v>-41557006.019999988</v>
      </c>
      <c r="U484" s="10">
        <f t="shared" si="43"/>
        <v>-79445388.090000004</v>
      </c>
      <c r="V484" s="10">
        <f t="shared" si="43"/>
        <v>-2272054.0700000739</v>
      </c>
      <c r="W484" s="10">
        <f t="shared" si="43"/>
        <v>-7275890.0099998983</v>
      </c>
      <c r="X484" s="10">
        <f t="shared" si="43"/>
        <v>-60139821.440000005</v>
      </c>
      <c r="Y484" s="10">
        <f t="shared" si="34"/>
        <v>57339633.160000004</v>
      </c>
    </row>
    <row r="485" spans="1:25" x14ac:dyDescent="0.35">
      <c r="A485" t="s">
        <v>15</v>
      </c>
      <c r="B485" s="10">
        <f t="shared" si="42"/>
        <v>327253568.26266015</v>
      </c>
      <c r="C485" s="10">
        <f t="shared" si="42"/>
        <v>114573117.82142486</v>
      </c>
      <c r="D485" s="10">
        <f t="shared" si="42"/>
        <v>75390624.556005672</v>
      </c>
      <c r="E485" s="10">
        <f t="shared" si="42"/>
        <v>81614624.115562648</v>
      </c>
      <c r="F485" s="10">
        <f t="shared" si="42"/>
        <v>59046933.024346642</v>
      </c>
      <c r="G485" s="10">
        <f t="shared" si="42"/>
        <v>657878867.78000009</v>
      </c>
      <c r="H485" s="10">
        <f t="shared" si="42"/>
        <v>76028941.76000002</v>
      </c>
      <c r="I485" s="10">
        <f t="shared" si="42"/>
        <v>106575932.59999996</v>
      </c>
      <c r="J485" s="10">
        <f t="shared" si="42"/>
        <v>99596956.810000032</v>
      </c>
      <c r="K485" s="10">
        <f t="shared" si="42"/>
        <v>64142057.090000033</v>
      </c>
      <c r="L485" s="10">
        <f t="shared" si="42"/>
        <v>57780662.219999924</v>
      </c>
      <c r="M485" s="10">
        <f t="shared" si="42"/>
        <v>55891973.760000095</v>
      </c>
      <c r="N485" s="10">
        <f t="shared" si="42"/>
        <v>451294087.20999992</v>
      </c>
      <c r="O485" s="10">
        <f>O21+O79+O137+O195+O253+O311+O369+O427</f>
        <v>1569189479.2299998</v>
      </c>
      <c r="Q485" s="10">
        <f t="shared" si="43"/>
        <v>327763272.31</v>
      </c>
      <c r="R485" s="10">
        <f t="shared" si="43"/>
        <v>114324438.83999997</v>
      </c>
      <c r="S485" s="10">
        <f t="shared" si="43"/>
        <v>85868227.48999998</v>
      </c>
      <c r="T485" s="10">
        <f t="shared" si="43"/>
        <v>90125378.099999994</v>
      </c>
      <c r="U485" s="10">
        <f t="shared" si="43"/>
        <v>59566392.800000012</v>
      </c>
      <c r="V485" s="10">
        <f t="shared" si="43"/>
        <v>81465410.48999998</v>
      </c>
      <c r="W485" s="10">
        <f t="shared" si="43"/>
        <v>104405537.57000002</v>
      </c>
      <c r="X485" s="10">
        <f t="shared" si="43"/>
        <v>91253147.199999973</v>
      </c>
      <c r="Y485" s="10">
        <f t="shared" si="34"/>
        <v>954771804.79999995</v>
      </c>
    </row>
    <row r="486" spans="1:25" x14ac:dyDescent="0.35">
      <c r="A486" t="s">
        <v>16</v>
      </c>
      <c r="B486" s="10">
        <f t="shared" si="42"/>
        <v>63167043.51170247</v>
      </c>
      <c r="C486" s="10">
        <f t="shared" si="42"/>
        <v>97336865.347455949</v>
      </c>
      <c r="D486" s="10">
        <f t="shared" si="42"/>
        <v>102487264.58286665</v>
      </c>
      <c r="E486" s="10">
        <f t="shared" si="42"/>
        <v>119795684.06530116</v>
      </c>
      <c r="F486" s="10">
        <f t="shared" si="42"/>
        <v>123595898.45267379</v>
      </c>
      <c r="G486" s="10">
        <f t="shared" si="42"/>
        <v>506382755.95999998</v>
      </c>
      <c r="H486" s="10">
        <f t="shared" si="42"/>
        <v>74144558.169999987</v>
      </c>
      <c r="I486" s="10">
        <f t="shared" si="42"/>
        <v>116525302.49999999</v>
      </c>
      <c r="J486" s="10">
        <f t="shared" si="42"/>
        <v>130606092.3300001</v>
      </c>
      <c r="K486" s="10">
        <f t="shared" si="42"/>
        <v>115797117.24999999</v>
      </c>
      <c r="L486" s="10">
        <f t="shared" si="42"/>
        <v>138482175.41999996</v>
      </c>
      <c r="M486" s="10">
        <f t="shared" si="42"/>
        <v>112462610.73000002</v>
      </c>
      <c r="N486" s="10">
        <f t="shared" si="42"/>
        <v>121510840.54999998</v>
      </c>
      <c r="O486" s="10">
        <f>O22+O80+O138+O196+O254+O312+O370+O428</f>
        <v>1315911452.9100001</v>
      </c>
      <c r="Q486" s="10">
        <f t="shared" si="43"/>
        <v>69182269.200000003</v>
      </c>
      <c r="R486" s="10">
        <f t="shared" si="43"/>
        <v>101632640.60000002</v>
      </c>
      <c r="S486" s="10">
        <f t="shared" si="43"/>
        <v>109111236.05</v>
      </c>
      <c r="T486" s="10">
        <f t="shared" si="43"/>
        <v>131682384.12</v>
      </c>
      <c r="U486" s="10">
        <f t="shared" si="43"/>
        <v>139011780.89000002</v>
      </c>
      <c r="V486" s="10">
        <f t="shared" si="43"/>
        <v>83737464.559999987</v>
      </c>
      <c r="W486" s="10">
        <f t="shared" si="43"/>
        <v>111681427.57999997</v>
      </c>
      <c r="X486" s="10">
        <f t="shared" si="43"/>
        <v>151392968.64000005</v>
      </c>
      <c r="Y486" s="10">
        <f t="shared" si="34"/>
        <v>897432171.63999987</v>
      </c>
    </row>
    <row r="487" spans="1:25" ht="15" thickBot="1" x14ac:dyDescent="0.4">
      <c r="A487" s="12" t="s">
        <v>17</v>
      </c>
      <c r="B487" s="13">
        <f t="shared" si="42"/>
        <v>425247910.35489488</v>
      </c>
      <c r="C487" s="13">
        <f t="shared" si="42"/>
        <v>409096197.94288933</v>
      </c>
      <c r="D487" s="13">
        <f t="shared" si="42"/>
        <v>443056841.54686183</v>
      </c>
      <c r="E487" s="13">
        <f t="shared" si="42"/>
        <v>428923023.03739661</v>
      </c>
      <c r="F487" s="13">
        <f t="shared" si="42"/>
        <v>470319286.04795718</v>
      </c>
      <c r="G487" s="13">
        <f t="shared" si="42"/>
        <v>2176643258.9300003</v>
      </c>
      <c r="H487" s="13">
        <f t="shared" si="42"/>
        <v>443461843.13000041</v>
      </c>
      <c r="I487" s="13">
        <f t="shared" si="42"/>
        <v>449118681.24000019</v>
      </c>
      <c r="J487" s="13">
        <f t="shared" si="42"/>
        <v>451641729.63000011</v>
      </c>
      <c r="K487" s="13">
        <f t="shared" si="42"/>
        <v>443646092.98999953</v>
      </c>
      <c r="L487" s="13">
        <f t="shared" si="42"/>
        <v>447328033.73000026</v>
      </c>
      <c r="M487" s="13">
        <f t="shared" si="42"/>
        <v>442060347.24999958</v>
      </c>
      <c r="N487" s="13">
        <f t="shared" si="42"/>
        <v>464599929.90999943</v>
      </c>
      <c r="O487" s="13">
        <f>O23+O81+O139+O197+O255+O313+O371+O429</f>
        <v>5318499916.8099995</v>
      </c>
      <c r="P487" s="14"/>
      <c r="Q487" s="13">
        <f t="shared" si="43"/>
        <v>446159587.69999999</v>
      </c>
      <c r="R487" s="13">
        <f t="shared" si="43"/>
        <v>427549684.00000006</v>
      </c>
      <c r="S487" s="13">
        <f t="shared" si="43"/>
        <v>466752394.43000007</v>
      </c>
      <c r="T487" s="13">
        <f t="shared" si="43"/>
        <v>451474242.17999995</v>
      </c>
      <c r="U487" s="13">
        <f t="shared" si="43"/>
        <v>496663890.48999953</v>
      </c>
      <c r="V487" s="13">
        <f t="shared" si="43"/>
        <v>460324055.52000028</v>
      </c>
      <c r="W487" s="13">
        <f t="shared" si="43"/>
        <v>478996550.92999977</v>
      </c>
      <c r="X487" s="13">
        <f t="shared" si="43"/>
        <v>484527926.68999994</v>
      </c>
      <c r="Y487" s="13">
        <f t="shared" si="34"/>
        <v>3712448331.9399996</v>
      </c>
    </row>
    <row r="488" spans="1:25" ht="15" thickTop="1" x14ac:dyDescent="0.35">
      <c r="B488" s="10"/>
      <c r="C488" s="10"/>
      <c r="D488" s="10"/>
      <c r="E488" s="10"/>
      <c r="F488" s="10"/>
      <c r="G488" s="10">
        <f t="shared" si="42"/>
        <v>0</v>
      </c>
      <c r="R488" s="10"/>
      <c r="S488" s="10"/>
      <c r="T488" s="10"/>
      <c r="U488" s="10"/>
      <c r="V488" s="10"/>
      <c r="W488" s="10"/>
      <c r="X488" s="10"/>
      <c r="Y488" s="10">
        <f t="shared" si="34"/>
        <v>0</v>
      </c>
    </row>
    <row r="489" spans="1:25" x14ac:dyDescent="0.35">
      <c r="A489" t="s">
        <v>18</v>
      </c>
      <c r="B489" s="10">
        <f t="shared" ref="B489:O498" si="44">B25+B83+B141+B199+B257+B315+B373+B431</f>
        <v>334296745.06392127</v>
      </c>
      <c r="C489" s="10">
        <f t="shared" si="44"/>
        <v>290874120.8904072</v>
      </c>
      <c r="D489" s="10">
        <f t="shared" si="44"/>
        <v>315345023.4793303</v>
      </c>
      <c r="E489" s="10">
        <f t="shared" si="44"/>
        <v>301005448.65137446</v>
      </c>
      <c r="F489" s="10">
        <f t="shared" si="44"/>
        <v>320226294.52496672</v>
      </c>
      <c r="G489" s="10">
        <f t="shared" si="42"/>
        <v>1561747632.6099999</v>
      </c>
      <c r="H489" s="10">
        <f t="shared" si="44"/>
        <v>317013140.75</v>
      </c>
      <c r="I489" s="10">
        <f t="shared" si="44"/>
        <v>318538054.0999999</v>
      </c>
      <c r="J489" s="10">
        <f t="shared" si="44"/>
        <v>324509602.67000026</v>
      </c>
      <c r="K489" s="10">
        <f t="shared" si="44"/>
        <v>302204345.98000002</v>
      </c>
      <c r="L489" s="10">
        <f t="shared" si="44"/>
        <v>319322121.06999969</v>
      </c>
      <c r="M489" s="10">
        <f t="shared" si="44"/>
        <v>312775603.47000003</v>
      </c>
      <c r="N489" s="10">
        <f t="shared" si="44"/>
        <v>355053323.13000035</v>
      </c>
      <c r="O489" s="10">
        <f t="shared" si="44"/>
        <v>3811163823.7800002</v>
      </c>
      <c r="Q489" s="10">
        <f t="shared" ref="Q489:X498" si="45">Q25+Q83+Q141+Q199+Q257+Q315+Q373+Q431</f>
        <v>343637778.05000001</v>
      </c>
      <c r="R489" s="10">
        <f t="shared" si="45"/>
        <v>295920036.31999993</v>
      </c>
      <c r="S489" s="10">
        <f t="shared" si="45"/>
        <v>324325337.72000009</v>
      </c>
      <c r="T489" s="10">
        <f t="shared" si="45"/>
        <v>308545772.25999993</v>
      </c>
      <c r="U489" s="10">
        <f t="shared" si="45"/>
        <v>329665975.83999991</v>
      </c>
      <c r="V489" s="10">
        <f t="shared" si="45"/>
        <v>324515193.00000006</v>
      </c>
      <c r="W489" s="10">
        <f t="shared" si="45"/>
        <v>336951120.60000002</v>
      </c>
      <c r="X489" s="10">
        <f t="shared" si="45"/>
        <v>336587450.56999993</v>
      </c>
      <c r="Y489" s="10">
        <f t="shared" si="34"/>
        <v>2600148664.3599997</v>
      </c>
    </row>
    <row r="490" spans="1:25" x14ac:dyDescent="0.35">
      <c r="A490" t="s">
        <v>19</v>
      </c>
      <c r="B490" s="10">
        <f t="shared" si="44"/>
        <v>103287203.09068105</v>
      </c>
      <c r="C490" s="10">
        <f t="shared" si="44"/>
        <v>75939254.024409786</v>
      </c>
      <c r="D490" s="10">
        <f t="shared" si="44"/>
        <v>84747704.68046695</v>
      </c>
      <c r="E490" s="10">
        <f t="shared" si="44"/>
        <v>61580735.414790973</v>
      </c>
      <c r="F490" s="10">
        <f t="shared" si="44"/>
        <v>85407589.969651222</v>
      </c>
      <c r="G490" s="10">
        <f t="shared" si="42"/>
        <v>410962487.18000001</v>
      </c>
      <c r="H490" s="10">
        <f t="shared" si="44"/>
        <v>77695548.160000026</v>
      </c>
      <c r="I490" s="10">
        <f t="shared" si="44"/>
        <v>70939495.279999971</v>
      </c>
      <c r="J490" s="10">
        <f t="shared" si="44"/>
        <v>83657810.850000024</v>
      </c>
      <c r="K490" s="10">
        <f t="shared" si="44"/>
        <v>80256294.500000045</v>
      </c>
      <c r="L490" s="10">
        <f t="shared" si="44"/>
        <v>76259476.109999985</v>
      </c>
      <c r="M490" s="10">
        <f t="shared" si="44"/>
        <v>75322760.699999928</v>
      </c>
      <c r="N490" s="10">
        <f t="shared" si="44"/>
        <v>103084550.85999997</v>
      </c>
      <c r="O490" s="10">
        <f t="shared" si="44"/>
        <v>978178423.63999999</v>
      </c>
      <c r="Q490" s="10">
        <f t="shared" si="45"/>
        <v>105256018.28999999</v>
      </c>
      <c r="R490" s="10">
        <f t="shared" si="45"/>
        <v>74812357.340000004</v>
      </c>
      <c r="S490" s="10">
        <f t="shared" si="45"/>
        <v>82445853.710000023</v>
      </c>
      <c r="T490" s="10">
        <f t="shared" si="45"/>
        <v>63105172.999999985</v>
      </c>
      <c r="U490" s="10">
        <f t="shared" si="45"/>
        <v>84416380.140000015</v>
      </c>
      <c r="V490" s="10">
        <f t="shared" si="45"/>
        <v>83422909.009999976</v>
      </c>
      <c r="W490" s="10">
        <f t="shared" si="45"/>
        <v>82301348.909999996</v>
      </c>
      <c r="X490" s="10">
        <f t="shared" si="45"/>
        <v>79683689.500000045</v>
      </c>
      <c r="Y490" s="10">
        <f t="shared" si="34"/>
        <v>655443729.89999998</v>
      </c>
    </row>
    <row r="491" spans="1:25" x14ac:dyDescent="0.35">
      <c r="A491" t="s">
        <v>20</v>
      </c>
      <c r="B491" s="10">
        <f t="shared" si="44"/>
        <v>130354619.86745702</v>
      </c>
      <c r="C491" s="10">
        <f t="shared" si="44"/>
        <v>110980834.05502492</v>
      </c>
      <c r="D491" s="10">
        <f t="shared" si="44"/>
        <v>117095870.40903006</v>
      </c>
      <c r="E491" s="10">
        <f t="shared" si="44"/>
        <v>111362523.64271885</v>
      </c>
      <c r="F491" s="10">
        <f t="shared" si="44"/>
        <v>111929461.59576914</v>
      </c>
      <c r="G491" s="10">
        <f t="shared" si="42"/>
        <v>581723309.56999993</v>
      </c>
      <c r="H491" s="10">
        <f t="shared" si="44"/>
        <v>112578916.04999998</v>
      </c>
      <c r="I491" s="10">
        <f t="shared" si="44"/>
        <v>143242210.46000001</v>
      </c>
      <c r="J491" s="10">
        <f t="shared" si="44"/>
        <v>110390624.26999998</v>
      </c>
      <c r="K491" s="10">
        <f t="shared" si="44"/>
        <v>109933271.97</v>
      </c>
      <c r="L491" s="10">
        <f t="shared" si="44"/>
        <v>108343972.42999999</v>
      </c>
      <c r="M491" s="10">
        <f t="shared" si="44"/>
        <v>111008077.78999998</v>
      </c>
      <c r="N491" s="10">
        <f t="shared" si="44"/>
        <v>154518118.5</v>
      </c>
      <c r="O491" s="10">
        <f t="shared" si="44"/>
        <v>1431738501.04</v>
      </c>
      <c r="Q491" s="10">
        <f t="shared" si="45"/>
        <v>141172785.47999999</v>
      </c>
      <c r="R491" s="10">
        <f t="shared" si="45"/>
        <v>115686862.48999999</v>
      </c>
      <c r="S491" s="10">
        <f t="shared" si="45"/>
        <v>121571731.06999999</v>
      </c>
      <c r="T491" s="10">
        <f t="shared" si="45"/>
        <v>116275907.81999999</v>
      </c>
      <c r="U491" s="10">
        <f t="shared" si="45"/>
        <v>117222351.49999999</v>
      </c>
      <c r="V491" s="10">
        <f t="shared" si="45"/>
        <v>120677487.66999999</v>
      </c>
      <c r="W491" s="10">
        <f t="shared" si="45"/>
        <v>155363924.05000001</v>
      </c>
      <c r="X491" s="10">
        <f t="shared" si="45"/>
        <v>109016040.78000002</v>
      </c>
      <c r="Y491" s="10">
        <f t="shared" si="34"/>
        <v>996987090.8599999</v>
      </c>
    </row>
    <row r="492" spans="1:25" x14ac:dyDescent="0.35">
      <c r="A492" t="s">
        <v>21</v>
      </c>
      <c r="B492" s="10">
        <f t="shared" si="44"/>
        <v>30956089.96400442</v>
      </c>
      <c r="C492" s="10">
        <f t="shared" si="44"/>
        <v>35130069.321515068</v>
      </c>
      <c r="D492" s="10">
        <f t="shared" si="44"/>
        <v>33515341.271345705</v>
      </c>
      <c r="E492" s="10">
        <f t="shared" si="44"/>
        <v>42779845.957705028</v>
      </c>
      <c r="F492" s="10">
        <f t="shared" si="44"/>
        <v>28379475.875429783</v>
      </c>
      <c r="G492" s="10">
        <f t="shared" si="42"/>
        <v>170760822.39000002</v>
      </c>
      <c r="H492" s="10">
        <f t="shared" si="44"/>
        <v>34883367.890000001</v>
      </c>
      <c r="I492" s="10">
        <f t="shared" si="44"/>
        <v>72302715.179999992</v>
      </c>
      <c r="J492" s="10">
        <f t="shared" si="44"/>
        <v>26732813.419999987</v>
      </c>
      <c r="K492" s="10">
        <f t="shared" si="44"/>
        <v>29676977.469999999</v>
      </c>
      <c r="L492" s="10">
        <f t="shared" si="44"/>
        <v>32084496.32</v>
      </c>
      <c r="M492" s="10">
        <f t="shared" si="44"/>
        <v>35685317.089999996</v>
      </c>
      <c r="N492" s="10">
        <f t="shared" si="44"/>
        <v>51433567.639999993</v>
      </c>
      <c r="O492" s="10">
        <f t="shared" si="44"/>
        <v>453560077.39999992</v>
      </c>
      <c r="Q492" s="10">
        <f t="shared" si="45"/>
        <v>35916767.189999998</v>
      </c>
      <c r="R492" s="10">
        <f t="shared" si="45"/>
        <v>40874505.149999999</v>
      </c>
      <c r="S492" s="10">
        <f t="shared" si="45"/>
        <v>39125877.359999999</v>
      </c>
      <c r="T492" s="10">
        <f t="shared" si="45"/>
        <v>53170734.82</v>
      </c>
      <c r="U492" s="10">
        <f t="shared" si="45"/>
        <v>32805971.360000011</v>
      </c>
      <c r="V492" s="10">
        <f t="shared" si="45"/>
        <v>37254578.659999996</v>
      </c>
      <c r="W492" s="10">
        <f t="shared" si="45"/>
        <v>73062575.140000015</v>
      </c>
      <c r="X492" s="10">
        <f t="shared" si="45"/>
        <v>29332351.279999979</v>
      </c>
      <c r="Y492" s="10">
        <f t="shared" si="34"/>
        <v>341543360.96000004</v>
      </c>
    </row>
    <row r="493" spans="1:25" ht="15" thickBot="1" x14ac:dyDescent="0.4">
      <c r="A493" s="12" t="s">
        <v>22</v>
      </c>
      <c r="B493" s="13">
        <f t="shared" si="44"/>
        <v>230606414.82894915</v>
      </c>
      <c r="C493" s="13">
        <f t="shared" si="44"/>
        <v>214097176.71267</v>
      </c>
      <c r="D493" s="13">
        <f t="shared" si="44"/>
        <v>232751493.61115298</v>
      </c>
      <c r="E493" s="13">
        <f t="shared" si="44"/>
        <v>237490213.54006916</v>
      </c>
      <c r="F493" s="13">
        <f t="shared" si="44"/>
        <v>235839846.73715883</v>
      </c>
      <c r="G493" s="13">
        <f t="shared" si="42"/>
        <v>1150785145.4300003</v>
      </c>
      <c r="H493" s="13">
        <f t="shared" si="44"/>
        <v>239317592.58999988</v>
      </c>
      <c r="I493" s="13">
        <f t="shared" si="44"/>
        <v>247598558.81999993</v>
      </c>
      <c r="J493" s="13">
        <f t="shared" si="44"/>
        <v>240851791.82000029</v>
      </c>
      <c r="K493" s="13">
        <f t="shared" si="44"/>
        <v>221948051.48000011</v>
      </c>
      <c r="L493" s="13">
        <f t="shared" si="44"/>
        <v>243062644.95999956</v>
      </c>
      <c r="M493" s="13">
        <f t="shared" si="44"/>
        <v>237452842.76999998</v>
      </c>
      <c r="N493" s="13">
        <f t="shared" si="44"/>
        <v>251968772.27000022</v>
      </c>
      <c r="O493" s="13">
        <f t="shared" si="44"/>
        <v>2832985400.1400003</v>
      </c>
      <c r="P493" s="14"/>
      <c r="Q493" s="13">
        <f t="shared" si="45"/>
        <v>238381759.76000002</v>
      </c>
      <c r="R493" s="13">
        <f t="shared" si="45"/>
        <v>221107678.9799999</v>
      </c>
      <c r="S493" s="13">
        <f t="shared" si="45"/>
        <v>241879484.01000011</v>
      </c>
      <c r="T493" s="13">
        <f t="shared" si="45"/>
        <v>245440599.25999993</v>
      </c>
      <c r="U493" s="13">
        <f t="shared" si="45"/>
        <v>245249595.70000002</v>
      </c>
      <c r="V493" s="13">
        <f t="shared" si="45"/>
        <v>241092283.98999998</v>
      </c>
      <c r="W493" s="13">
        <f t="shared" si="45"/>
        <v>254649771.69</v>
      </c>
      <c r="X493" s="13">
        <f t="shared" si="45"/>
        <v>256903761.0699999</v>
      </c>
      <c r="Y493" s="13">
        <f t="shared" si="34"/>
        <v>1944704934.46</v>
      </c>
    </row>
    <row r="494" spans="1:25" ht="15" thickTop="1" x14ac:dyDescent="0.35">
      <c r="A494" t="s">
        <v>23</v>
      </c>
      <c r="B494" s="10">
        <f t="shared" si="44"/>
        <v>329127998.07623005</v>
      </c>
      <c r="C494" s="10">
        <f t="shared" si="44"/>
        <v>266971986.84027892</v>
      </c>
      <c r="D494" s="10">
        <f t="shared" si="44"/>
        <v>279077886.89530843</v>
      </c>
      <c r="E494" s="10">
        <f t="shared" si="44"/>
        <v>322105704.1324538</v>
      </c>
      <c r="F494" s="10">
        <f t="shared" si="44"/>
        <v>321472818.24572879</v>
      </c>
      <c r="G494" s="10">
        <f t="shared" si="42"/>
        <v>1518756394.1900001</v>
      </c>
      <c r="H494" s="10">
        <f t="shared" si="44"/>
        <v>304511664.53999996</v>
      </c>
      <c r="I494" s="10">
        <f t="shared" si="44"/>
        <v>442837014.95000005</v>
      </c>
      <c r="J494" s="10">
        <f t="shared" si="44"/>
        <v>319964951</v>
      </c>
      <c r="K494" s="10">
        <f t="shared" si="44"/>
        <v>287485360.59000003</v>
      </c>
      <c r="L494" s="10">
        <f t="shared" si="44"/>
        <v>310368297.80999982</v>
      </c>
      <c r="M494" s="10">
        <f t="shared" si="44"/>
        <v>301313026.22000009</v>
      </c>
      <c r="N494" s="10">
        <f t="shared" si="44"/>
        <v>289010054.07000005</v>
      </c>
      <c r="O494" s="10">
        <f t="shared" si="44"/>
        <v>3774246763.3699999</v>
      </c>
      <c r="Q494" s="10">
        <f t="shared" si="45"/>
        <v>345472716.50999999</v>
      </c>
      <c r="R494" s="10">
        <f t="shared" si="45"/>
        <v>287390651.63999999</v>
      </c>
      <c r="S494" s="10">
        <f t="shared" si="45"/>
        <v>300049610.15999997</v>
      </c>
      <c r="T494" s="10">
        <f t="shared" si="45"/>
        <v>341068303.16000003</v>
      </c>
      <c r="U494" s="10">
        <f t="shared" si="45"/>
        <v>341926407.51999998</v>
      </c>
      <c r="V494" s="10">
        <f t="shared" si="45"/>
        <v>360186796.59000003</v>
      </c>
      <c r="W494" s="10">
        <f t="shared" si="45"/>
        <v>356078417.25</v>
      </c>
      <c r="X494" s="10">
        <f t="shared" si="45"/>
        <v>346375003.28999996</v>
      </c>
      <c r="Y494" s="10">
        <f t="shared" si="34"/>
        <v>2678547906.1199999</v>
      </c>
    </row>
    <row r="495" spans="1:25" x14ac:dyDescent="0.35">
      <c r="A495" t="s">
        <v>24</v>
      </c>
      <c r="B495" s="10">
        <f t="shared" si="44"/>
        <v>546644.14870647597</v>
      </c>
      <c r="C495" s="10">
        <f t="shared" si="44"/>
        <v>445508.98464529018</v>
      </c>
      <c r="D495" s="10">
        <f t="shared" si="44"/>
        <v>741700.46051150095</v>
      </c>
      <c r="E495" s="10">
        <f t="shared" si="44"/>
        <v>1728952.2112230638</v>
      </c>
      <c r="F495" s="10">
        <f t="shared" si="44"/>
        <v>971371.39491366898</v>
      </c>
      <c r="G495" s="10">
        <f t="shared" si="42"/>
        <v>4434177.1999999993</v>
      </c>
      <c r="H495" s="10">
        <f t="shared" si="44"/>
        <v>534863.1100000001</v>
      </c>
      <c r="I495" s="10">
        <f t="shared" si="44"/>
        <v>313588.98</v>
      </c>
      <c r="J495" s="10">
        <f t="shared" si="44"/>
        <v>281608.13</v>
      </c>
      <c r="K495" s="10">
        <f t="shared" si="44"/>
        <v>1587604.6800000004</v>
      </c>
      <c r="L495" s="10">
        <f t="shared" si="44"/>
        <v>315185.94999999925</v>
      </c>
      <c r="M495" s="10">
        <f t="shared" si="44"/>
        <v>584521.08000000031</v>
      </c>
      <c r="N495" s="10">
        <f t="shared" si="44"/>
        <v>891268.26999999979</v>
      </c>
      <c r="O495" s="10">
        <f t="shared" si="44"/>
        <v>8942817.3999999985</v>
      </c>
      <c r="Q495" s="10">
        <f t="shared" si="45"/>
        <v>433870.05</v>
      </c>
      <c r="R495" s="10">
        <f t="shared" si="45"/>
        <v>150282.66</v>
      </c>
      <c r="S495" s="10">
        <f t="shared" si="45"/>
        <v>134528.30000000005</v>
      </c>
      <c r="T495" s="10">
        <f t="shared" si="45"/>
        <v>611221.71</v>
      </c>
      <c r="U495" s="10">
        <f t="shared" si="45"/>
        <v>392184.07</v>
      </c>
      <c r="V495" s="10">
        <f t="shared" si="45"/>
        <v>314371.15000000014</v>
      </c>
      <c r="W495" s="10">
        <f t="shared" si="45"/>
        <v>869231.72999999975</v>
      </c>
      <c r="X495" s="10">
        <f t="shared" si="45"/>
        <v>456551.88000000012</v>
      </c>
      <c r="Y495" s="10">
        <f t="shared" si="34"/>
        <v>3362241.55</v>
      </c>
    </row>
    <row r="496" spans="1:25" x14ac:dyDescent="0.35">
      <c r="A496" t="s">
        <v>25</v>
      </c>
      <c r="B496" s="10">
        <f t="shared" si="44"/>
        <v>0</v>
      </c>
      <c r="C496" s="10">
        <f t="shared" si="44"/>
        <v>0</v>
      </c>
      <c r="D496" s="10">
        <f t="shared" si="44"/>
        <v>0</v>
      </c>
      <c r="E496" s="10">
        <f t="shared" si="44"/>
        <v>0</v>
      </c>
      <c r="F496" s="10">
        <f t="shared" si="44"/>
        <v>0</v>
      </c>
      <c r="G496" s="10">
        <f t="shared" si="42"/>
        <v>0</v>
      </c>
      <c r="H496" s="10">
        <f t="shared" si="44"/>
        <v>0</v>
      </c>
      <c r="I496" s="10">
        <f t="shared" si="44"/>
        <v>0</v>
      </c>
      <c r="J496" s="10">
        <f t="shared" si="44"/>
        <v>-3266175.9600000004</v>
      </c>
      <c r="K496" s="10">
        <f t="shared" si="44"/>
        <v>-17555.999999999534</v>
      </c>
      <c r="L496" s="10">
        <f t="shared" si="44"/>
        <v>-47204.000000000931</v>
      </c>
      <c r="M496" s="10">
        <f t="shared" si="44"/>
        <v>-40545.999999999069</v>
      </c>
      <c r="N496" s="10">
        <f t="shared" si="44"/>
        <v>2555.8300000000745</v>
      </c>
      <c r="O496" s="10">
        <f t="shared" si="44"/>
        <v>-3368926.13</v>
      </c>
      <c r="Q496" s="10">
        <f t="shared" si="45"/>
        <v>-28892.999999999996</v>
      </c>
      <c r="R496" s="10">
        <f t="shared" si="45"/>
        <v>220108.46999999997</v>
      </c>
      <c r="S496" s="10">
        <f t="shared" si="45"/>
        <v>17272.890000000072</v>
      </c>
      <c r="T496" s="10">
        <f t="shared" si="45"/>
        <v>2236.0400000000081</v>
      </c>
      <c r="U496" s="10">
        <f t="shared" si="45"/>
        <v>0</v>
      </c>
      <c r="V496" s="10">
        <f t="shared" si="45"/>
        <v>0</v>
      </c>
      <c r="W496" s="10">
        <f t="shared" si="45"/>
        <v>0</v>
      </c>
      <c r="X496" s="10">
        <f t="shared" si="45"/>
        <v>0</v>
      </c>
      <c r="Y496" s="10">
        <f t="shared" si="34"/>
        <v>210724.40000000005</v>
      </c>
    </row>
    <row r="497" spans="1:25" x14ac:dyDescent="0.35">
      <c r="A497" t="s">
        <v>26</v>
      </c>
      <c r="B497" s="10">
        <f t="shared" si="44"/>
        <v>97750499.105504647</v>
      </c>
      <c r="C497" s="10">
        <f t="shared" si="44"/>
        <v>34967755.279989742</v>
      </c>
      <c r="D497" s="10">
        <f t="shared" si="44"/>
        <v>37381139.78404025</v>
      </c>
      <c r="E497" s="10">
        <f t="shared" si="44"/>
        <v>81216436.070533171</v>
      </c>
      <c r="F497" s="10">
        <f t="shared" si="44"/>
        <v>60210595.729932219</v>
      </c>
      <c r="G497" s="10">
        <f t="shared" si="42"/>
        <v>311526425.96999997</v>
      </c>
      <c r="H497" s="10">
        <f t="shared" si="44"/>
        <v>36653062.359999985</v>
      </c>
      <c r="I497" s="10">
        <f t="shared" si="44"/>
        <v>184729351.73999995</v>
      </c>
      <c r="J497" s="10">
        <f t="shared" si="44"/>
        <v>64439879.539999999</v>
      </c>
      <c r="K497" s="10">
        <f t="shared" si="44"/>
        <v>53346323.530000001</v>
      </c>
      <c r="L497" s="10">
        <f t="shared" si="44"/>
        <v>54183733.010000035</v>
      </c>
      <c r="M497" s="10">
        <f t="shared" si="44"/>
        <v>51041639.450000003</v>
      </c>
      <c r="N497" s="10">
        <f t="shared" si="44"/>
        <v>19374580.559999973</v>
      </c>
      <c r="O497" s="10">
        <f t="shared" si="44"/>
        <v>775294996.15999985</v>
      </c>
      <c r="Q497" s="10">
        <f t="shared" si="45"/>
        <v>95115874.769999996</v>
      </c>
      <c r="R497" s="10">
        <f t="shared" si="45"/>
        <v>53600525.860000014</v>
      </c>
      <c r="S497" s="10">
        <f t="shared" si="45"/>
        <v>45532232.520000003</v>
      </c>
      <c r="T497" s="10">
        <f t="shared" si="45"/>
        <v>83710862.090000018</v>
      </c>
      <c r="U497" s="10">
        <f t="shared" si="45"/>
        <v>86136513.319999993</v>
      </c>
      <c r="V497" s="10">
        <f t="shared" si="45"/>
        <v>106890597.84999999</v>
      </c>
      <c r="W497" s="10">
        <f t="shared" si="45"/>
        <v>88450319.930000022</v>
      </c>
      <c r="X497" s="10">
        <f t="shared" si="45"/>
        <v>78238528.219999969</v>
      </c>
      <c r="Y497" s="10">
        <f t="shared" si="34"/>
        <v>637675454.55999994</v>
      </c>
    </row>
    <row r="498" spans="1:25" x14ac:dyDescent="0.35">
      <c r="A498" t="s">
        <v>27</v>
      </c>
      <c r="B498" s="10">
        <f t="shared" si="44"/>
        <v>12522757.280742334</v>
      </c>
      <c r="C498" s="10">
        <f t="shared" si="44"/>
        <v>12766991.38011666</v>
      </c>
      <c r="D498" s="10">
        <f t="shared" si="44"/>
        <v>12527140.568217671</v>
      </c>
      <c r="E498" s="10">
        <f t="shared" si="44"/>
        <v>12572842.355630947</v>
      </c>
      <c r="F498" s="10">
        <f t="shared" si="44"/>
        <v>10489268.405292394</v>
      </c>
      <c r="G498" s="10">
        <f t="shared" si="42"/>
        <v>60878999.990000002</v>
      </c>
      <c r="H498" s="10">
        <f t="shared" si="44"/>
        <v>29075872.699999999</v>
      </c>
      <c r="I498" s="10">
        <f t="shared" si="44"/>
        <v>10822693.370000001</v>
      </c>
      <c r="J498" s="10">
        <f t="shared" si="44"/>
        <v>11688711.809999995</v>
      </c>
      <c r="K498" s="10">
        <f t="shared" si="44"/>
        <v>13761034.259999998</v>
      </c>
      <c r="L498" s="10">
        <f t="shared" si="44"/>
        <v>13389901.790000007</v>
      </c>
      <c r="M498" s="10">
        <f t="shared" si="44"/>
        <v>13362519.08</v>
      </c>
      <c r="N498" s="10">
        <f t="shared" si="44"/>
        <v>18560525.339999996</v>
      </c>
      <c r="O498" s="10">
        <f t="shared" si="44"/>
        <v>171540258.33999997</v>
      </c>
      <c r="Q498" s="10">
        <f t="shared" si="45"/>
        <v>12380059.029999999</v>
      </c>
      <c r="R498" s="10">
        <f t="shared" si="45"/>
        <v>13052837.929999998</v>
      </c>
      <c r="S498" s="10">
        <f t="shared" si="45"/>
        <v>12789694.820000004</v>
      </c>
      <c r="T498" s="10">
        <f t="shared" si="45"/>
        <v>12530299.559999995</v>
      </c>
      <c r="U498" s="10">
        <f t="shared" si="45"/>
        <v>10932482.57</v>
      </c>
      <c r="V498" s="10">
        <f t="shared" si="45"/>
        <v>12518285.899999999</v>
      </c>
      <c r="W498" s="10">
        <f t="shared" si="45"/>
        <v>13847557.359999994</v>
      </c>
      <c r="X498" s="10">
        <f t="shared" si="45"/>
        <v>11689265.880000006</v>
      </c>
      <c r="Y498" s="10">
        <f t="shared" si="34"/>
        <v>99740483.050000012</v>
      </c>
    </row>
    <row r="499" spans="1:25" x14ac:dyDescent="0.35">
      <c r="B499" s="10"/>
      <c r="C499" s="10"/>
      <c r="D499" s="10"/>
      <c r="E499" s="10"/>
      <c r="F499" s="10"/>
      <c r="G499" s="10">
        <f t="shared" si="42"/>
        <v>0</v>
      </c>
      <c r="R499" s="10"/>
      <c r="S499" s="10"/>
      <c r="T499" s="10"/>
      <c r="U499" s="10"/>
      <c r="V499" s="10"/>
      <c r="W499" s="10"/>
      <c r="X499" s="10"/>
      <c r="Y499" s="10">
        <f t="shared" si="34"/>
        <v>0</v>
      </c>
    </row>
    <row r="500" spans="1:25" ht="15" thickBot="1" x14ac:dyDescent="0.4">
      <c r="A500" s="12" t="s">
        <v>28</v>
      </c>
      <c r="B500" s="13">
        <f t="shared" ref="B500:O515" si="46">B36+B94+B152+B210+B268+B326+B384+B442</f>
        <v>117317838.39140382</v>
      </c>
      <c r="C500" s="13">
        <f t="shared" si="46"/>
        <v>120367582.05518132</v>
      </c>
      <c r="D500" s="13">
        <f t="shared" si="46"/>
        <v>127780805.96014014</v>
      </c>
      <c r="E500" s="13">
        <f t="shared" si="46"/>
        <v>119171743.23990834</v>
      </c>
      <c r="F500" s="13">
        <f t="shared" si="46"/>
        <v>130257656.67336632</v>
      </c>
      <c r="G500" s="13">
        <f t="shared" si="46"/>
        <v>614895626.31999993</v>
      </c>
      <c r="H500" s="13">
        <f t="shared" si="46"/>
        <v>126448702.38000034</v>
      </c>
      <c r="I500" s="13">
        <f t="shared" si="46"/>
        <v>130580627.14000028</v>
      </c>
      <c r="J500" s="13">
        <f t="shared" si="46"/>
        <v>127132126.95999967</v>
      </c>
      <c r="K500" s="13">
        <f t="shared" si="46"/>
        <v>141441747.0099999</v>
      </c>
      <c r="L500" s="13">
        <f t="shared" si="46"/>
        <v>128005912.66000049</v>
      </c>
      <c r="M500" s="13">
        <f t="shared" si="46"/>
        <v>129284743.77999955</v>
      </c>
      <c r="N500" s="13">
        <f t="shared" si="46"/>
        <v>109546606.7799992</v>
      </c>
      <c r="O500" s="13">
        <f t="shared" si="46"/>
        <v>1507336093.0299993</v>
      </c>
      <c r="P500" s="14"/>
      <c r="Q500" s="13">
        <f t="shared" ref="Q500:X505" si="47">Q36+Q94+Q152+Q210+Q268+Q326+Q384+Q442</f>
        <v>102521809.64999995</v>
      </c>
      <c r="R500" s="13">
        <f t="shared" si="47"/>
        <v>131629647.68000013</v>
      </c>
      <c r="S500" s="13">
        <f t="shared" si="47"/>
        <v>142427056.71000004</v>
      </c>
      <c r="T500" s="13">
        <f t="shared" si="47"/>
        <v>142928469.92000002</v>
      </c>
      <c r="U500" s="13">
        <f t="shared" si="47"/>
        <v>166997914.64999956</v>
      </c>
      <c r="V500" s="13">
        <f t="shared" si="47"/>
        <v>135808862.52000022</v>
      </c>
      <c r="W500" s="13">
        <f t="shared" si="47"/>
        <v>142045430.3299998</v>
      </c>
      <c r="X500" s="13">
        <f t="shared" si="47"/>
        <v>147940476.11999995</v>
      </c>
      <c r="Y500" s="13">
        <f t="shared" si="34"/>
        <v>1112299667.5799997</v>
      </c>
    </row>
    <row r="501" spans="1:25" ht="15" thickTop="1" x14ac:dyDescent="0.35">
      <c r="A501" t="s">
        <v>29</v>
      </c>
      <c r="B501" s="10">
        <f t="shared" si="46"/>
        <v>23813559.402488943</v>
      </c>
      <c r="C501" s="10">
        <f t="shared" si="46"/>
        <v>24060182.373265408</v>
      </c>
      <c r="D501" s="10">
        <f t="shared" si="46"/>
        <v>25452954.415690374</v>
      </c>
      <c r="E501" s="10">
        <f t="shared" si="46"/>
        <v>23282787.62445794</v>
      </c>
      <c r="F501" s="10">
        <f t="shared" si="46"/>
        <v>25523286.23409735</v>
      </c>
      <c r="G501" s="10">
        <f t="shared" si="46"/>
        <v>122132770.05000001</v>
      </c>
      <c r="H501" s="10">
        <f t="shared" si="46"/>
        <v>28087165.939999983</v>
      </c>
      <c r="I501" s="10">
        <f t="shared" si="46"/>
        <v>20721865.720000006</v>
      </c>
      <c r="J501" s="10">
        <f t="shared" si="46"/>
        <v>30358301.399999984</v>
      </c>
      <c r="K501" s="10">
        <f t="shared" si="46"/>
        <v>29169531.890000056</v>
      </c>
      <c r="L501" s="10">
        <f t="shared" si="46"/>
        <v>30247149.249999933</v>
      </c>
      <c r="M501" s="10">
        <f t="shared" si="46"/>
        <v>30495650.679999992</v>
      </c>
      <c r="N501" s="10">
        <f t="shared" si="46"/>
        <v>22294733.110000115</v>
      </c>
      <c r="O501" s="10">
        <f t="shared" si="46"/>
        <v>313507168.04000008</v>
      </c>
      <c r="Q501" s="10">
        <f t="shared" si="47"/>
        <v>14591815.990000011</v>
      </c>
      <c r="R501" s="10">
        <f t="shared" si="47"/>
        <v>29219222.089999977</v>
      </c>
      <c r="S501" s="10">
        <f t="shared" si="47"/>
        <v>21568378.279999994</v>
      </c>
      <c r="T501" s="10">
        <f t="shared" si="47"/>
        <v>29549161.320000008</v>
      </c>
      <c r="U501" s="10">
        <f t="shared" si="47"/>
        <v>30875259.450000025</v>
      </c>
      <c r="V501" s="10">
        <f t="shared" si="47"/>
        <v>26130097.829999987</v>
      </c>
      <c r="W501" s="10">
        <f t="shared" si="47"/>
        <v>20345479.770000044</v>
      </c>
      <c r="X501" s="10">
        <f t="shared" si="47"/>
        <v>47375116.559999913</v>
      </c>
      <c r="Y501" s="10">
        <f t="shared" si="34"/>
        <v>219654531.28999996</v>
      </c>
    </row>
    <row r="502" spans="1:25" x14ac:dyDescent="0.35">
      <c r="A502" t="s">
        <v>30</v>
      </c>
      <c r="B502" s="10">
        <f t="shared" si="46"/>
        <v>1925544.073230494</v>
      </c>
      <c r="C502" s="10">
        <f t="shared" si="46"/>
        <v>1913403.4210191399</v>
      </c>
      <c r="D502" s="10">
        <f t="shared" si="46"/>
        <v>2063565.5915479714</v>
      </c>
      <c r="E502" s="10">
        <f t="shared" si="46"/>
        <v>2156424.6781938304</v>
      </c>
      <c r="F502" s="10">
        <f t="shared" si="46"/>
        <v>2231986.8260085648</v>
      </c>
      <c r="G502" s="10">
        <f t="shared" si="46"/>
        <v>10290924.59</v>
      </c>
      <c r="H502" s="10">
        <f t="shared" si="46"/>
        <v>2040437.19</v>
      </c>
      <c r="I502" s="10">
        <f t="shared" si="46"/>
        <v>2198871.1199999996</v>
      </c>
      <c r="J502" s="10">
        <f t="shared" si="46"/>
        <v>2094393.0900000003</v>
      </c>
      <c r="K502" s="10">
        <f t="shared" si="46"/>
        <v>2415887.1700000004</v>
      </c>
      <c r="L502" s="10">
        <f t="shared" si="46"/>
        <v>2516832.9900000002</v>
      </c>
      <c r="M502" s="10">
        <f t="shared" si="46"/>
        <v>2495400.5699999989</v>
      </c>
      <c r="N502" s="10">
        <f t="shared" si="46"/>
        <v>3466026.8800000008</v>
      </c>
      <c r="O502" s="10">
        <f t="shared" si="46"/>
        <v>27518773.600000001</v>
      </c>
      <c r="Q502" s="10">
        <f t="shared" si="47"/>
        <v>2403001.3600000003</v>
      </c>
      <c r="R502" s="10">
        <f t="shared" si="47"/>
        <v>2397090.46</v>
      </c>
      <c r="S502" s="10">
        <f t="shared" si="47"/>
        <v>2594085.3099999996</v>
      </c>
      <c r="T502" s="10">
        <f t="shared" si="47"/>
        <v>2747522.0500000007</v>
      </c>
      <c r="U502" s="10">
        <f t="shared" si="47"/>
        <v>2902161.09</v>
      </c>
      <c r="V502" s="10">
        <f t="shared" si="47"/>
        <v>3035122.22</v>
      </c>
      <c r="W502" s="10">
        <f t="shared" si="47"/>
        <v>2951341.9900000007</v>
      </c>
      <c r="X502" s="10">
        <f t="shared" si="47"/>
        <v>3057441.5299999993</v>
      </c>
      <c r="Y502" s="10">
        <f t="shared" si="34"/>
        <v>22087766.009999998</v>
      </c>
    </row>
    <row r="503" spans="1:25" x14ac:dyDescent="0.35">
      <c r="A503" t="s">
        <v>31</v>
      </c>
      <c r="B503" s="10">
        <f t="shared" si="46"/>
        <v>76576437.357572332</v>
      </c>
      <c r="C503" s="10">
        <f t="shared" si="46"/>
        <v>79226696.712678611</v>
      </c>
      <c r="D503" s="10">
        <f t="shared" si="46"/>
        <v>81221667.124887362</v>
      </c>
      <c r="E503" s="10">
        <f t="shared" si="46"/>
        <v>80249402.695912451</v>
      </c>
      <c r="F503" s="10">
        <f t="shared" si="46"/>
        <v>81037515.738949284</v>
      </c>
      <c r="G503" s="10">
        <f t="shared" si="46"/>
        <v>398311719.63000005</v>
      </c>
      <c r="H503" s="10">
        <f t="shared" si="46"/>
        <v>81542014.089999944</v>
      </c>
      <c r="I503" s="10">
        <f t="shared" si="46"/>
        <v>82271101.13000001</v>
      </c>
      <c r="J503" s="10">
        <f t="shared" si="46"/>
        <v>81436794.62999998</v>
      </c>
      <c r="K503" s="10">
        <f t="shared" si="46"/>
        <v>80720745.450000003</v>
      </c>
      <c r="L503" s="10">
        <f t="shared" si="46"/>
        <v>83339399.230000019</v>
      </c>
      <c r="M503" s="10">
        <f t="shared" si="46"/>
        <v>83000818.199999958</v>
      </c>
      <c r="N503" s="10">
        <f t="shared" si="46"/>
        <v>91763747.770000085</v>
      </c>
      <c r="O503" s="10">
        <f t="shared" si="46"/>
        <v>982386340.13000011</v>
      </c>
      <c r="Q503" s="10">
        <f t="shared" si="47"/>
        <v>79130041.290000007</v>
      </c>
      <c r="R503" s="10">
        <f t="shared" si="47"/>
        <v>82067208.279999986</v>
      </c>
      <c r="S503" s="10">
        <f t="shared" si="47"/>
        <v>84218404.449999988</v>
      </c>
      <c r="T503" s="10">
        <f t="shared" si="47"/>
        <v>83315545.650000021</v>
      </c>
      <c r="U503" s="10">
        <f t="shared" si="47"/>
        <v>84130375.530000016</v>
      </c>
      <c r="V503" s="10">
        <f t="shared" si="47"/>
        <v>84829500.959999964</v>
      </c>
      <c r="W503" s="10">
        <f t="shared" si="47"/>
        <v>85932200.790000051</v>
      </c>
      <c r="X503" s="10">
        <f t="shared" si="47"/>
        <v>99274418.509999946</v>
      </c>
      <c r="Y503" s="10">
        <f t="shared" si="34"/>
        <v>682897695.46000004</v>
      </c>
    </row>
    <row r="504" spans="1:25" x14ac:dyDescent="0.35">
      <c r="A504" t="s">
        <v>32</v>
      </c>
      <c r="B504" s="10">
        <f t="shared" si="46"/>
        <v>31849735.414496519</v>
      </c>
      <c r="C504" s="10">
        <f t="shared" si="46"/>
        <v>22850152.367136132</v>
      </c>
      <c r="D504" s="10">
        <f t="shared" si="46"/>
        <v>20939171.976301372</v>
      </c>
      <c r="E504" s="10">
        <f t="shared" si="46"/>
        <v>21437880.622920647</v>
      </c>
      <c r="F504" s="10">
        <f t="shared" si="46"/>
        <v>18442878.749145333</v>
      </c>
      <c r="G504" s="10">
        <f t="shared" si="46"/>
        <v>115519819.12999998</v>
      </c>
      <c r="H504" s="10">
        <f t="shared" si="46"/>
        <v>23287969.34</v>
      </c>
      <c r="I504" s="10">
        <f t="shared" si="46"/>
        <v>30931086.039999992</v>
      </c>
      <c r="J504" s="10">
        <f t="shared" si="46"/>
        <v>18919315.250000007</v>
      </c>
      <c r="K504" s="10">
        <f t="shared" si="46"/>
        <v>19656334.479999997</v>
      </c>
      <c r="L504" s="10">
        <f t="shared" si="46"/>
        <v>19201664.539999992</v>
      </c>
      <c r="M504" s="10">
        <f t="shared" si="46"/>
        <v>22269201.309999995</v>
      </c>
      <c r="N504" s="10">
        <f t="shared" si="46"/>
        <v>38523057.869999975</v>
      </c>
      <c r="O504" s="10">
        <f t="shared" si="46"/>
        <v>288308447.95999998</v>
      </c>
      <c r="Q504" s="10">
        <f t="shared" si="47"/>
        <v>34441711.609999999</v>
      </c>
      <c r="R504" s="10">
        <f t="shared" si="47"/>
        <v>24136593.050000001</v>
      </c>
      <c r="S504" s="10">
        <f t="shared" si="47"/>
        <v>22364753.370000005</v>
      </c>
      <c r="T504" s="10">
        <f t="shared" si="47"/>
        <v>23080335.469999991</v>
      </c>
      <c r="U504" s="10">
        <f t="shared" si="47"/>
        <v>20008866.44000002</v>
      </c>
      <c r="V504" s="10">
        <f t="shared" si="47"/>
        <v>25722090.769999988</v>
      </c>
      <c r="W504" s="10">
        <f t="shared" si="47"/>
        <v>32644754.249999963</v>
      </c>
      <c r="X504" s="10">
        <f t="shared" si="47"/>
        <v>19870550.610000018</v>
      </c>
      <c r="Y504" s="10">
        <f t="shared" si="34"/>
        <v>202269655.56999999</v>
      </c>
    </row>
    <row r="505" spans="1:25" x14ac:dyDescent="0.35">
      <c r="A505" t="s">
        <v>33</v>
      </c>
      <c r="B505" s="10">
        <f t="shared" si="46"/>
        <v>31467988.654189639</v>
      </c>
      <c r="C505" s="10">
        <f t="shared" si="46"/>
        <v>30117062.073848829</v>
      </c>
      <c r="D505" s="10">
        <f t="shared" si="46"/>
        <v>41789684.561435632</v>
      </c>
      <c r="E505" s="10">
        <f t="shared" si="46"/>
        <v>32517304.224137753</v>
      </c>
      <c r="F505" s="10">
        <f t="shared" si="46"/>
        <v>35058015.526388139</v>
      </c>
      <c r="G505" s="10">
        <f t="shared" si="46"/>
        <v>170950055.03999999</v>
      </c>
      <c r="H505" s="10">
        <f t="shared" si="46"/>
        <v>32207316.000000011</v>
      </c>
      <c r="I505" s="10">
        <f t="shared" si="46"/>
        <v>32817020.489999995</v>
      </c>
      <c r="J505" s="10">
        <f t="shared" si="46"/>
        <v>34253571.070000008</v>
      </c>
      <c r="K505" s="10">
        <f t="shared" si="46"/>
        <v>34310766.249999985</v>
      </c>
      <c r="L505" s="10">
        <f t="shared" si="46"/>
        <v>36407418.43</v>
      </c>
      <c r="M505" s="10">
        <f t="shared" si="46"/>
        <v>32731366.780000016</v>
      </c>
      <c r="N505" s="10">
        <f t="shared" si="46"/>
        <v>34411983.669999979</v>
      </c>
      <c r="O505" s="10">
        <f t="shared" si="46"/>
        <v>408089497.73000002</v>
      </c>
      <c r="Q505" s="10">
        <f t="shared" si="47"/>
        <v>32499515.049999997</v>
      </c>
      <c r="R505" s="10">
        <f t="shared" si="47"/>
        <v>31108483.600000009</v>
      </c>
      <c r="S505" s="10">
        <f t="shared" si="47"/>
        <v>42879358.109999999</v>
      </c>
      <c r="T505" s="10">
        <f t="shared" si="47"/>
        <v>33433570.91</v>
      </c>
      <c r="U505" s="10">
        <f t="shared" si="47"/>
        <v>36148410.729999989</v>
      </c>
      <c r="V505" s="10">
        <f t="shared" si="47"/>
        <v>36012434.579999998</v>
      </c>
      <c r="W505" s="10">
        <f t="shared" si="47"/>
        <v>35893308.75999999</v>
      </c>
      <c r="X505" s="10">
        <f t="shared" si="47"/>
        <v>35086192.86999999</v>
      </c>
      <c r="Y505" s="10">
        <f t="shared" si="34"/>
        <v>283061274.61000001</v>
      </c>
    </row>
    <row r="506" spans="1:25" x14ac:dyDescent="0.35">
      <c r="B506" s="10"/>
      <c r="C506" s="10"/>
      <c r="D506" s="10"/>
      <c r="E506" s="10"/>
      <c r="F506" s="10"/>
      <c r="G506" s="10">
        <f t="shared" si="46"/>
        <v>0</v>
      </c>
      <c r="R506" s="10"/>
      <c r="S506" s="10"/>
      <c r="T506" s="10"/>
      <c r="U506" s="10"/>
      <c r="V506" s="10"/>
      <c r="W506" s="10"/>
      <c r="X506" s="10"/>
      <c r="Y506" s="10">
        <f t="shared" si="34"/>
        <v>0</v>
      </c>
    </row>
    <row r="507" spans="1:25" ht="15" thickBot="1" x14ac:dyDescent="0.4">
      <c r="A507" s="12" t="s">
        <v>34</v>
      </c>
      <c r="B507" s="13">
        <f t="shared" ref="B507:N510" si="48">B43+B101+B159+B217+B275+B333+B391+B449</f>
        <v>76881735.463243902</v>
      </c>
      <c r="C507" s="13">
        <f t="shared" si="48"/>
        <v>88628524.991541907</v>
      </c>
      <c r="D507" s="13">
        <f t="shared" si="48"/>
        <v>105219816.75565837</v>
      </c>
      <c r="E507" s="13">
        <f t="shared" si="48"/>
        <v>101580600.311616</v>
      </c>
      <c r="F507" s="13">
        <f t="shared" si="48"/>
        <v>120452178.74793977</v>
      </c>
      <c r="G507" s="13">
        <f t="shared" si="46"/>
        <v>492762856.26999998</v>
      </c>
      <c r="H507" s="13">
        <f t="shared" si="48"/>
        <v>98361536.440000355</v>
      </c>
      <c r="I507" s="13">
        <f t="shared" si="48"/>
        <v>109858761.42000023</v>
      </c>
      <c r="J507" s="13">
        <f t="shared" si="48"/>
        <v>96773825.559999734</v>
      </c>
      <c r="K507" s="13">
        <f t="shared" si="48"/>
        <v>112272215.11999974</v>
      </c>
      <c r="L507" s="13">
        <f t="shared" si="48"/>
        <v>97758763.410000592</v>
      </c>
      <c r="M507" s="13">
        <f t="shared" si="48"/>
        <v>98789093.099999607</v>
      </c>
      <c r="N507" s="13">
        <f t="shared" si="48"/>
        <v>87251873.669998944</v>
      </c>
      <c r="O507" s="13">
        <f>O43+O101+O159+O217+O275+O333+O391+O449</f>
        <v>1193828924.9899991</v>
      </c>
      <c r="P507" s="14"/>
      <c r="Q507" s="13">
        <f t="shared" ref="Q507:X510" si="49">Q43+Q101+Q159+Q217+Q275+Q333+Q391+Q449</f>
        <v>87929993.659999922</v>
      </c>
      <c r="R507" s="13">
        <f t="shared" si="49"/>
        <v>102410425.59000015</v>
      </c>
      <c r="S507" s="13">
        <f t="shared" si="49"/>
        <v>120858678.43000001</v>
      </c>
      <c r="T507" s="13">
        <f t="shared" si="49"/>
        <v>113379308.60000004</v>
      </c>
      <c r="U507" s="13">
        <f t="shared" si="49"/>
        <v>136122655.19999957</v>
      </c>
      <c r="V507" s="13">
        <f t="shared" si="49"/>
        <v>109678764.69000018</v>
      </c>
      <c r="W507" s="13">
        <f t="shared" si="49"/>
        <v>121699950.55999978</v>
      </c>
      <c r="X507" s="13">
        <f t="shared" si="49"/>
        <v>100565359.56000003</v>
      </c>
      <c r="Y507" s="13">
        <f t="shared" si="34"/>
        <v>892645136.28999972</v>
      </c>
    </row>
    <row r="508" spans="1:25" ht="15" thickTop="1" x14ac:dyDescent="0.35">
      <c r="A508" t="s">
        <v>35</v>
      </c>
      <c r="B508" s="10">
        <f t="shared" si="48"/>
        <v>18961832.71927578</v>
      </c>
      <c r="C508" s="10">
        <f t="shared" si="48"/>
        <v>14961085.326349694</v>
      </c>
      <c r="D508" s="10">
        <f t="shared" si="48"/>
        <v>16883481.387790874</v>
      </c>
      <c r="E508" s="10">
        <f t="shared" si="48"/>
        <v>13589795.212634347</v>
      </c>
      <c r="F508" s="10">
        <f t="shared" si="48"/>
        <v>14081252.463949295</v>
      </c>
      <c r="G508" s="10">
        <f t="shared" si="46"/>
        <v>78477447.109999985</v>
      </c>
      <c r="H508" s="10">
        <f t="shared" si="48"/>
        <v>13770433.72000001</v>
      </c>
      <c r="I508" s="10">
        <f t="shared" si="48"/>
        <v>15226148.199999996</v>
      </c>
      <c r="J508" s="10">
        <f t="shared" si="48"/>
        <v>11451405.879999997</v>
      </c>
      <c r="K508" s="10">
        <f t="shared" si="48"/>
        <v>19918580.700000025</v>
      </c>
      <c r="L508" s="10">
        <f t="shared" si="48"/>
        <v>12437165.789999967</v>
      </c>
      <c r="M508" s="10">
        <f t="shared" si="48"/>
        <v>16157881.250000007</v>
      </c>
      <c r="N508" s="10">
        <f t="shared" si="48"/>
        <v>13296008.720000004</v>
      </c>
      <c r="O508" s="10">
        <f>O44+O102+O160+O218+O276+O334+O392+O450</f>
        <v>180735071.36999997</v>
      </c>
      <c r="Q508" s="10">
        <f t="shared" si="49"/>
        <v>22948775.25</v>
      </c>
      <c r="R508" s="10">
        <f t="shared" si="49"/>
        <v>17797875.529999997</v>
      </c>
      <c r="S508" s="10">
        <f t="shared" si="49"/>
        <v>20360942.540000007</v>
      </c>
      <c r="T508" s="10">
        <f t="shared" si="49"/>
        <v>16481255.109999988</v>
      </c>
      <c r="U508" s="10">
        <f t="shared" si="49"/>
        <v>17186541.199999996</v>
      </c>
      <c r="V508" s="10">
        <f t="shared" si="49"/>
        <v>18384383.109999992</v>
      </c>
      <c r="W508" s="10">
        <f t="shared" si="49"/>
        <v>21736828.290000029</v>
      </c>
      <c r="X508" s="10">
        <f t="shared" si="49"/>
        <v>18960768.160000015</v>
      </c>
      <c r="Y508" s="10">
        <f t="shared" si="34"/>
        <v>153857369.19000003</v>
      </c>
    </row>
    <row r="509" spans="1:25" x14ac:dyDescent="0.35">
      <c r="A509" t="s">
        <v>36</v>
      </c>
      <c r="B509" s="10">
        <f t="shared" si="48"/>
        <v>25544956.194490701</v>
      </c>
      <c r="C509" s="10">
        <f t="shared" si="48"/>
        <v>24856876.592070721</v>
      </c>
      <c r="D509" s="10">
        <f t="shared" si="48"/>
        <v>28631306.591727763</v>
      </c>
      <c r="E509" s="10">
        <f t="shared" si="48"/>
        <v>25784672.716506533</v>
      </c>
      <c r="F509" s="10">
        <f t="shared" si="48"/>
        <v>26574453.595204279</v>
      </c>
      <c r="G509" s="10">
        <f t="shared" si="46"/>
        <v>131392265.69000001</v>
      </c>
      <c r="H509" s="10">
        <f t="shared" si="48"/>
        <v>25235610.340000011</v>
      </c>
      <c r="I509" s="10">
        <f t="shared" si="48"/>
        <v>26943067.479999993</v>
      </c>
      <c r="J509" s="10">
        <f t="shared" si="48"/>
        <v>27377841.689999998</v>
      </c>
      <c r="K509" s="10">
        <f t="shared" si="48"/>
        <v>25730889.720000006</v>
      </c>
      <c r="L509" s="10">
        <f t="shared" si="48"/>
        <v>24488544.869999997</v>
      </c>
      <c r="M509" s="10">
        <f t="shared" si="48"/>
        <v>26539823.330000006</v>
      </c>
      <c r="N509" s="10">
        <f t="shared" si="48"/>
        <v>30053125.669999983</v>
      </c>
      <c r="O509" s="10">
        <f>O45+O103+O161+O219+O277+O335+O393+O451</f>
        <v>317761168.79000002</v>
      </c>
      <c r="Q509" s="10">
        <f t="shared" si="49"/>
        <v>28780603.209999997</v>
      </c>
      <c r="R509" s="10">
        <f t="shared" si="49"/>
        <v>28143127.640000001</v>
      </c>
      <c r="S509" s="10">
        <f t="shared" si="49"/>
        <v>32848241.670000002</v>
      </c>
      <c r="T509" s="10">
        <f t="shared" si="49"/>
        <v>28924906.259999994</v>
      </c>
      <c r="U509" s="10">
        <f t="shared" si="49"/>
        <v>30896288.140000008</v>
      </c>
      <c r="V509" s="10">
        <f t="shared" si="49"/>
        <v>30368347.829999991</v>
      </c>
      <c r="W509" s="10">
        <f t="shared" si="49"/>
        <v>34099986.900000006</v>
      </c>
      <c r="X509" s="10">
        <f t="shared" si="49"/>
        <v>30482488.93</v>
      </c>
      <c r="Y509" s="10">
        <f t="shared" si="34"/>
        <v>244543990.57999998</v>
      </c>
    </row>
    <row r="510" spans="1:25" x14ac:dyDescent="0.35">
      <c r="A510" t="s">
        <v>37</v>
      </c>
      <c r="B510" s="10">
        <f t="shared" si="48"/>
        <v>5751169.5241792165</v>
      </c>
      <c r="C510" s="10">
        <f t="shared" si="48"/>
        <v>10018604.62433322</v>
      </c>
      <c r="D510" s="10">
        <f t="shared" si="48"/>
        <v>11781565.610817278</v>
      </c>
      <c r="E510" s="10">
        <f t="shared" si="48"/>
        <v>12513303.763598256</v>
      </c>
      <c r="F510" s="10">
        <f t="shared" si="48"/>
        <v>12850175.057072029</v>
      </c>
      <c r="G510" s="10">
        <f t="shared" si="46"/>
        <v>52914818.579999998</v>
      </c>
      <c r="H510" s="10">
        <f t="shared" si="48"/>
        <v>11465176.620000001</v>
      </c>
      <c r="I510" s="10">
        <f t="shared" si="48"/>
        <v>11716919.280000001</v>
      </c>
      <c r="J510" s="10">
        <f t="shared" si="48"/>
        <v>15926435.810000002</v>
      </c>
      <c r="K510" s="10">
        <f t="shared" si="48"/>
        <v>5812309.0199999958</v>
      </c>
      <c r="L510" s="10">
        <f t="shared" si="48"/>
        <v>12051379.080000009</v>
      </c>
      <c r="M510" s="10">
        <f t="shared" si="48"/>
        <v>10381942.079999993</v>
      </c>
      <c r="N510" s="10">
        <f t="shared" si="48"/>
        <v>16757116.950000005</v>
      </c>
      <c r="O510" s="10">
        <f>O46+O104+O162+O220+O278+O336+O394+O452</f>
        <v>137026097.42000002</v>
      </c>
      <c r="Q510" s="10">
        <f t="shared" si="49"/>
        <v>5831827.959999999</v>
      </c>
      <c r="R510" s="10">
        <f t="shared" si="49"/>
        <v>10345252.109999999</v>
      </c>
      <c r="S510" s="10">
        <f t="shared" si="49"/>
        <v>12487299.129999999</v>
      </c>
      <c r="T510" s="10">
        <f t="shared" si="49"/>
        <v>12443651.149999999</v>
      </c>
      <c r="U510" s="10">
        <f t="shared" si="49"/>
        <v>13709746.939999999</v>
      </c>
      <c r="V510" s="10">
        <f t="shared" si="49"/>
        <v>11983964.719999999</v>
      </c>
      <c r="W510" s="10">
        <f t="shared" si="49"/>
        <v>12363158.609999994</v>
      </c>
      <c r="X510" s="10">
        <f t="shared" si="49"/>
        <v>11521720.770000007</v>
      </c>
      <c r="Y510" s="10">
        <f t="shared" si="34"/>
        <v>90686621.390000001</v>
      </c>
    </row>
    <row r="511" spans="1:25" x14ac:dyDescent="0.35">
      <c r="B511" s="10"/>
      <c r="C511" s="10"/>
      <c r="D511" s="10"/>
      <c r="E511" s="10"/>
      <c r="F511" s="10"/>
      <c r="G511" s="10">
        <f t="shared" si="46"/>
        <v>0</v>
      </c>
      <c r="R511" s="10"/>
      <c r="S511" s="10"/>
      <c r="T511" s="10"/>
      <c r="U511" s="10"/>
      <c r="V511" s="10"/>
      <c r="W511" s="10"/>
      <c r="X511" s="10"/>
      <c r="Y511" s="10">
        <f t="shared" si="34"/>
        <v>0</v>
      </c>
    </row>
    <row r="512" spans="1:25" ht="15" thickBot="1" x14ac:dyDescent="0.4">
      <c r="A512" s="12" t="s">
        <v>38</v>
      </c>
      <c r="B512" s="13">
        <f t="shared" ref="B512:N514" si="50">B48+B106+B164+B222+B280+B338+B396+B454</f>
        <v>101347448.90181139</v>
      </c>
      <c r="C512" s="13">
        <f t="shared" si="50"/>
        <v>102657641.55556059</v>
      </c>
      <c r="D512" s="13">
        <f t="shared" si="50"/>
        <v>119737175.00203076</v>
      </c>
      <c r="E512" s="13">
        <f t="shared" si="50"/>
        <v>115315214.41357623</v>
      </c>
      <c r="F512" s="13">
        <f t="shared" si="50"/>
        <v>132182823.50702095</v>
      </c>
      <c r="G512" s="13">
        <f t="shared" si="46"/>
        <v>571240303.37999988</v>
      </c>
      <c r="H512" s="13">
        <f t="shared" si="50"/>
        <v>112131970.1600004</v>
      </c>
      <c r="I512" s="13">
        <f t="shared" si="50"/>
        <v>125084909.6200002</v>
      </c>
      <c r="J512" s="13">
        <f t="shared" si="50"/>
        <v>108225231.43999977</v>
      </c>
      <c r="K512" s="13">
        <f t="shared" si="50"/>
        <v>132190795.81999972</v>
      </c>
      <c r="L512" s="13">
        <f t="shared" si="50"/>
        <v>110195929.20000054</v>
      </c>
      <c r="M512" s="13">
        <f t="shared" si="50"/>
        <v>114946974.34999968</v>
      </c>
      <c r="N512" s="13">
        <f t="shared" si="50"/>
        <v>100547882.38999906</v>
      </c>
      <c r="O512" s="13">
        <f>O48+O106+O164+O222+O280+O338+O396+O454</f>
        <v>1374563996.3599992</v>
      </c>
      <c r="P512" s="14"/>
      <c r="Q512" s="13">
        <f t="shared" ref="Q512:X514" si="51">Q48+Q106+Q164+Q222+Q280+Q338+Q396+Q454</f>
        <v>110878768.90999994</v>
      </c>
      <c r="R512" s="13">
        <f t="shared" si="51"/>
        <v>120208301.12000017</v>
      </c>
      <c r="S512" s="13">
        <f t="shared" si="51"/>
        <v>141219620.97000003</v>
      </c>
      <c r="T512" s="13">
        <f t="shared" si="51"/>
        <v>129860563.71000002</v>
      </c>
      <c r="U512" s="13">
        <f t="shared" si="51"/>
        <v>153309196.39999956</v>
      </c>
      <c r="V512" s="13">
        <f t="shared" si="51"/>
        <v>128063147.80000024</v>
      </c>
      <c r="W512" s="13">
        <f t="shared" si="51"/>
        <v>143436778.84999982</v>
      </c>
      <c r="X512" s="13">
        <f t="shared" si="51"/>
        <v>119526127.72000006</v>
      </c>
      <c r="Y512" s="13">
        <f t="shared" si="34"/>
        <v>1046502505.4799997</v>
      </c>
    </row>
    <row r="513" spans="1:25" ht="15" thickTop="1" x14ac:dyDescent="0.35">
      <c r="A513" t="s">
        <v>39</v>
      </c>
      <c r="B513" s="10">
        <f t="shared" si="50"/>
        <v>476933.04916471412</v>
      </c>
      <c r="C513" s="10">
        <f t="shared" si="50"/>
        <v>581047.39914493868</v>
      </c>
      <c r="D513" s="10">
        <f t="shared" si="50"/>
        <v>4445314.7203848613</v>
      </c>
      <c r="E513" s="10">
        <f t="shared" si="50"/>
        <v>700401.85212875227</v>
      </c>
      <c r="F513" s="10">
        <f t="shared" si="50"/>
        <v>859342.13917673344</v>
      </c>
      <c r="G513" s="10">
        <f t="shared" si="46"/>
        <v>7063039.1600000001</v>
      </c>
      <c r="H513" s="10">
        <f t="shared" si="50"/>
        <v>1232487.92</v>
      </c>
      <c r="I513" s="10">
        <f t="shared" si="50"/>
        <v>1466998.4600000002</v>
      </c>
      <c r="J513" s="10">
        <f t="shared" si="50"/>
        <v>864802.69000000041</v>
      </c>
      <c r="K513" s="10">
        <f t="shared" si="50"/>
        <v>260446.08999999939</v>
      </c>
      <c r="L513" s="10">
        <f t="shared" si="50"/>
        <v>1714026.4900000007</v>
      </c>
      <c r="M513" s="10">
        <f t="shared" si="50"/>
        <v>-463.26000000000931</v>
      </c>
      <c r="N513" s="10">
        <f t="shared" si="50"/>
        <v>1788219.6799999988</v>
      </c>
      <c r="O513" s="10">
        <f>O49+O107+O165+O223+O281+O339+O397+O455</f>
        <v>14389557.23</v>
      </c>
      <c r="Q513" s="10">
        <f t="shared" si="51"/>
        <v>968280.26</v>
      </c>
      <c r="R513" s="10">
        <f t="shared" si="51"/>
        <v>2316445.4500000002</v>
      </c>
      <c r="S513" s="10">
        <f t="shared" si="51"/>
        <v>4872742.83</v>
      </c>
      <c r="T513" s="10">
        <f t="shared" si="51"/>
        <v>2210082.1100000003</v>
      </c>
      <c r="U513" s="10">
        <f t="shared" si="51"/>
        <v>1213079.7</v>
      </c>
      <c r="V513" s="10">
        <f t="shared" si="51"/>
        <v>1862343.09</v>
      </c>
      <c r="W513" s="10">
        <f t="shared" si="51"/>
        <v>1092545.0699999996</v>
      </c>
      <c r="X513" s="10">
        <f t="shared" si="51"/>
        <v>89181.920000000391</v>
      </c>
      <c r="Y513" s="10">
        <f t="shared" si="34"/>
        <v>14624700.43</v>
      </c>
    </row>
    <row r="514" spans="1:25" x14ac:dyDescent="0.35">
      <c r="A514" t="s">
        <v>40</v>
      </c>
      <c r="B514" s="10">
        <f t="shared" si="50"/>
        <v>899375.02419160632</v>
      </c>
      <c r="C514" s="10">
        <f t="shared" si="50"/>
        <v>454543.0069203084</v>
      </c>
      <c r="D514" s="10">
        <f t="shared" si="50"/>
        <v>1234996.7473621103</v>
      </c>
      <c r="E514" s="10">
        <f t="shared" si="50"/>
        <v>306207.71921443788</v>
      </c>
      <c r="F514" s="10">
        <f t="shared" si="50"/>
        <v>124266.61231153726</v>
      </c>
      <c r="G514" s="10">
        <f t="shared" si="46"/>
        <v>3019389.1100000003</v>
      </c>
      <c r="H514" s="10">
        <f t="shared" si="50"/>
        <v>469946.61999999994</v>
      </c>
      <c r="I514" s="10">
        <f t="shared" si="50"/>
        <v>635757.84</v>
      </c>
      <c r="J514" s="10">
        <f t="shared" si="50"/>
        <v>-4125093.5699999994</v>
      </c>
      <c r="K514" s="10">
        <f t="shared" si="50"/>
        <v>6886753.8300000001</v>
      </c>
      <c r="L514" s="10">
        <f t="shared" si="50"/>
        <v>396244.2699999999</v>
      </c>
      <c r="M514" s="10">
        <f t="shared" si="50"/>
        <v>464168.42000000027</v>
      </c>
      <c r="N514" s="10">
        <f t="shared" si="50"/>
        <v>1489086.6499999997</v>
      </c>
      <c r="O514" s="10">
        <f>O50+O108+O166+O224+O282+O340+O398+O456</f>
        <v>9236253.1699999999</v>
      </c>
      <c r="Q514" s="10">
        <f t="shared" si="51"/>
        <v>2662210.75</v>
      </c>
      <c r="R514" s="10">
        <f t="shared" si="51"/>
        <v>207676.78999999978</v>
      </c>
      <c r="S514" s="10">
        <f t="shared" si="51"/>
        <v>705836.61000000034</v>
      </c>
      <c r="T514" s="10">
        <f t="shared" si="51"/>
        <v>291842.46999999997</v>
      </c>
      <c r="U514" s="10">
        <f t="shared" si="51"/>
        <v>141672.37999999977</v>
      </c>
      <c r="V514" s="10">
        <f t="shared" si="51"/>
        <v>304203.32000000007</v>
      </c>
      <c r="W514" s="10">
        <f t="shared" si="51"/>
        <v>197935.09999999998</v>
      </c>
      <c r="X514" s="10">
        <f t="shared" si="51"/>
        <v>263568.77999999968</v>
      </c>
      <c r="Y514" s="10">
        <f t="shared" si="34"/>
        <v>4774946.1999999993</v>
      </c>
    </row>
    <row r="515" spans="1:25" x14ac:dyDescent="0.35">
      <c r="B515" s="10"/>
      <c r="C515" s="10"/>
      <c r="D515" s="10"/>
      <c r="E515" s="10"/>
      <c r="F515" s="10"/>
      <c r="G515" s="10">
        <f t="shared" si="46"/>
        <v>0</v>
      </c>
      <c r="R515" s="10"/>
      <c r="S515" s="10"/>
      <c r="T515" s="10"/>
      <c r="U515" s="10"/>
      <c r="V515" s="10"/>
      <c r="W515" s="10"/>
      <c r="X515" s="10"/>
      <c r="Y515" s="10">
        <f t="shared" si="34"/>
        <v>0</v>
      </c>
    </row>
    <row r="516" spans="1:25" ht="15" thickBot="1" x14ac:dyDescent="0.4">
      <c r="A516" s="12" t="s">
        <v>41</v>
      </c>
      <c r="B516" s="13">
        <f t="shared" ref="B516:N518" si="52">B52+B110+B168+B226+B284+B342+B400+B458</f>
        <v>99274289.53889361</v>
      </c>
      <c r="C516" s="13">
        <f t="shared" si="52"/>
        <v>103713666.33843681</v>
      </c>
      <c r="D516" s="13">
        <f t="shared" si="52"/>
        <v>123035701.70748802</v>
      </c>
      <c r="E516" s="13">
        <f t="shared" si="52"/>
        <v>115668855.45588562</v>
      </c>
      <c r="F516" s="13">
        <f t="shared" si="52"/>
        <v>133591440.38929588</v>
      </c>
      <c r="G516" s="13">
        <f t="shared" si="52"/>
        <v>575283953.42999995</v>
      </c>
      <c r="H516" s="13">
        <f t="shared" si="52"/>
        <v>112894511.46000038</v>
      </c>
      <c r="I516" s="13">
        <f t="shared" si="52"/>
        <v>125916150.24000019</v>
      </c>
      <c r="J516" s="13">
        <f t="shared" si="52"/>
        <v>113215127.69999975</v>
      </c>
      <c r="K516" s="13">
        <f t="shared" si="52"/>
        <v>125564488.0799997</v>
      </c>
      <c r="L516" s="13">
        <f t="shared" si="52"/>
        <v>111513711.42000058</v>
      </c>
      <c r="M516" s="13">
        <f t="shared" si="52"/>
        <v>114482342.66999973</v>
      </c>
      <c r="N516" s="13">
        <f t="shared" si="52"/>
        <v>100847015.419999</v>
      </c>
      <c r="O516" s="13">
        <f>O52+O110+O168+O226+O284+O342+O400+O458</f>
        <v>1379717300.4199991</v>
      </c>
      <c r="P516" s="14"/>
      <c r="Q516" s="13">
        <f t="shared" ref="Q516:X518" si="53">Q52+Q110+Q168+Q226+Q284+Q342+Q400+Q458</f>
        <v>109184838.41999994</v>
      </c>
      <c r="R516" s="13">
        <f t="shared" si="53"/>
        <v>122317069.78000015</v>
      </c>
      <c r="S516" s="13">
        <f t="shared" si="53"/>
        <v>145386527.19</v>
      </c>
      <c r="T516" s="13">
        <f t="shared" si="53"/>
        <v>131778803.35000001</v>
      </c>
      <c r="U516" s="13">
        <f t="shared" si="53"/>
        <v>154380603.71999955</v>
      </c>
      <c r="V516" s="13">
        <f t="shared" si="53"/>
        <v>129621287.57000022</v>
      </c>
      <c r="W516" s="13">
        <f t="shared" si="53"/>
        <v>144331388.81999987</v>
      </c>
      <c r="X516" s="13">
        <f t="shared" si="53"/>
        <v>119351740.86000003</v>
      </c>
      <c r="Y516" s="13">
        <f t="shared" si="34"/>
        <v>1056352259.7099997</v>
      </c>
    </row>
    <row r="517" spans="1:25" ht="15" thickTop="1" x14ac:dyDescent="0.35">
      <c r="A517" t="s">
        <v>42</v>
      </c>
      <c r="B517" s="10">
        <f t="shared" si="52"/>
        <v>18922553.800657302</v>
      </c>
      <c r="C517" s="10">
        <f t="shared" si="52"/>
        <v>21068924.182326578</v>
      </c>
      <c r="D517" s="10">
        <f t="shared" si="52"/>
        <v>24699743.411487512</v>
      </c>
      <c r="E517" s="10">
        <f t="shared" si="52"/>
        <v>23614631.981330123</v>
      </c>
      <c r="F517" s="10">
        <f t="shared" si="52"/>
        <v>27916620.734198488</v>
      </c>
      <c r="G517" s="10">
        <f t="shared" si="52"/>
        <v>116222474.11</v>
      </c>
      <c r="H517" s="10">
        <f t="shared" si="52"/>
        <v>22744716.579999998</v>
      </c>
      <c r="I517" s="10">
        <f t="shared" si="52"/>
        <v>26434244.439999994</v>
      </c>
      <c r="J517" s="10">
        <f t="shared" si="52"/>
        <v>22715361.43</v>
      </c>
      <c r="K517" s="10">
        <f t="shared" si="52"/>
        <v>26209344.919999998</v>
      </c>
      <c r="L517" s="10">
        <f t="shared" si="52"/>
        <v>21955066.100000013</v>
      </c>
      <c r="M517" s="10">
        <f t="shared" si="52"/>
        <v>22646597.449999988</v>
      </c>
      <c r="N517" s="10">
        <f t="shared" si="52"/>
        <v>21277845.369999997</v>
      </c>
      <c r="O517" s="10">
        <f>O53+O111+O169+O227+O285+O343+O401+O459</f>
        <v>280205650.40000004</v>
      </c>
      <c r="Q517" s="10">
        <f t="shared" si="53"/>
        <v>22750446.859999999</v>
      </c>
      <c r="R517" s="10">
        <f t="shared" si="53"/>
        <v>25917472.760000002</v>
      </c>
      <c r="S517" s="10">
        <f t="shared" si="53"/>
        <v>30056868.169999998</v>
      </c>
      <c r="T517" s="10">
        <f t="shared" si="53"/>
        <v>27916931.840000007</v>
      </c>
      <c r="U517" s="10">
        <f t="shared" si="53"/>
        <v>33271835.00999999</v>
      </c>
      <c r="V517" s="10">
        <f t="shared" si="53"/>
        <v>26753102.98</v>
      </c>
      <c r="W517" s="10">
        <f t="shared" si="53"/>
        <v>30658580.890000008</v>
      </c>
      <c r="X517" s="10">
        <f t="shared" si="53"/>
        <v>24436236.61999999</v>
      </c>
      <c r="Y517" s="10">
        <f t="shared" si="34"/>
        <v>221761475.13</v>
      </c>
    </row>
    <row r="518" spans="1:25" ht="15" thickBot="1" x14ac:dyDescent="0.4">
      <c r="A518" s="12" t="s">
        <v>43</v>
      </c>
      <c r="B518" s="13">
        <f t="shared" si="52"/>
        <v>75317066.624817371</v>
      </c>
      <c r="C518" s="13">
        <f t="shared" si="52"/>
        <v>83672437.508688793</v>
      </c>
      <c r="D518" s="13">
        <f t="shared" si="52"/>
        <v>100585998.22173741</v>
      </c>
      <c r="E518" s="13">
        <f t="shared" si="52"/>
        <v>92154839.334140986</v>
      </c>
      <c r="F518" s="13">
        <f t="shared" si="52"/>
        <v>107331137.63061535</v>
      </c>
      <c r="G518" s="13">
        <f t="shared" si="52"/>
        <v>459061479.31999993</v>
      </c>
      <c r="H518" s="13">
        <f t="shared" si="52"/>
        <v>90149794.880000353</v>
      </c>
      <c r="I518" s="13">
        <f t="shared" si="52"/>
        <v>99481905.80000025</v>
      </c>
      <c r="J518" s="13">
        <f t="shared" si="52"/>
        <v>90499766.269999743</v>
      </c>
      <c r="K518" s="13">
        <f t="shared" si="52"/>
        <v>99355143.159999743</v>
      </c>
      <c r="L518" s="13">
        <f t="shared" si="52"/>
        <v>89558645.320000559</v>
      </c>
      <c r="M518" s="13">
        <f t="shared" si="52"/>
        <v>91835745.219999671</v>
      </c>
      <c r="N518" s="13">
        <f t="shared" si="52"/>
        <v>79569170.049999103</v>
      </c>
      <c r="O518" s="13">
        <f>O54+O112+O170+O228+O286+O344+O402+O460</f>
        <v>1099511650.0199993</v>
      </c>
      <c r="P518" s="14"/>
      <c r="Q518" s="13">
        <f t="shared" si="53"/>
        <v>86434391.559999928</v>
      </c>
      <c r="R518" s="13">
        <f t="shared" si="53"/>
        <v>96399597.02000019</v>
      </c>
      <c r="S518" s="13">
        <f t="shared" si="53"/>
        <v>115329659.01999998</v>
      </c>
      <c r="T518" s="13">
        <f t="shared" si="53"/>
        <v>103861871.51000001</v>
      </c>
      <c r="U518" s="13">
        <f t="shared" si="53"/>
        <v>121108768.70999962</v>
      </c>
      <c r="V518" s="13">
        <f t="shared" si="53"/>
        <v>102868184.59000015</v>
      </c>
      <c r="W518" s="13">
        <f t="shared" si="53"/>
        <v>113672807.92999987</v>
      </c>
      <c r="X518" s="13">
        <f t="shared" si="53"/>
        <v>94915504.240000054</v>
      </c>
      <c r="Y518" s="13">
        <f t="shared" si="34"/>
        <v>834590784.57999969</v>
      </c>
    </row>
    <row r="519" spans="1:25" ht="15" thickTop="1" x14ac:dyDescent="0.35"/>
  </sheetData>
  <mergeCells count="9">
    <mergeCell ref="A349:A350"/>
    <mergeCell ref="A407:A408"/>
    <mergeCell ref="A465:A466"/>
    <mergeCell ref="A1:A2"/>
    <mergeCell ref="A59:A60"/>
    <mergeCell ref="A117:A118"/>
    <mergeCell ref="A175:A176"/>
    <mergeCell ref="A233:A234"/>
    <mergeCell ref="A291:A2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077C-33E4-4BA7-8E32-740F1227E6A6}">
  <dimension ref="A1:CC52"/>
  <sheetViews>
    <sheetView topLeftCell="AW1" zoomScale="60" zoomScaleNormal="60" workbookViewId="0">
      <selection activeCell="B1" sqref="B1:B1048576"/>
    </sheetView>
  </sheetViews>
  <sheetFormatPr defaultRowHeight="14.5" x14ac:dyDescent="0.35"/>
  <cols>
    <col min="1" max="1" width="55.6328125" customWidth="1"/>
    <col min="2" max="81" width="15.6328125" customWidth="1"/>
  </cols>
  <sheetData>
    <row r="1" spans="1:81" x14ac:dyDescent="0.35">
      <c r="A1" s="21" t="s">
        <v>52</v>
      </c>
      <c r="B1" s="22">
        <v>43831</v>
      </c>
      <c r="C1" s="22">
        <v>43862</v>
      </c>
      <c r="D1" s="22">
        <v>43891</v>
      </c>
      <c r="E1" s="22">
        <v>43922</v>
      </c>
      <c r="F1" s="22">
        <v>43952</v>
      </c>
      <c r="G1" s="22">
        <v>43983</v>
      </c>
      <c r="H1" s="22">
        <v>44013</v>
      </c>
      <c r="I1" s="22">
        <v>44044</v>
      </c>
      <c r="J1" s="22">
        <v>44075</v>
      </c>
      <c r="K1" s="22">
        <v>44105</v>
      </c>
      <c r="L1" s="22">
        <v>44136</v>
      </c>
      <c r="M1" s="22">
        <v>44166</v>
      </c>
      <c r="N1" s="22">
        <v>44197</v>
      </c>
      <c r="O1" s="22">
        <v>44228</v>
      </c>
      <c r="P1" s="22">
        <v>44256</v>
      </c>
      <c r="Q1" s="22">
        <v>44287</v>
      </c>
      <c r="R1" s="22">
        <v>44317</v>
      </c>
      <c r="S1" s="22">
        <v>44348</v>
      </c>
      <c r="T1" s="22">
        <v>44378</v>
      </c>
      <c r="U1" s="22">
        <v>44409</v>
      </c>
      <c r="V1" s="22">
        <v>44440</v>
      </c>
      <c r="W1" s="22">
        <v>44470</v>
      </c>
      <c r="X1" s="22">
        <v>44501</v>
      </c>
      <c r="Y1" s="22">
        <v>44531</v>
      </c>
      <c r="Z1" s="22">
        <v>44562</v>
      </c>
      <c r="AA1" s="22">
        <v>44593</v>
      </c>
      <c r="AB1" s="22">
        <v>44621</v>
      </c>
      <c r="AC1" s="22">
        <v>44652</v>
      </c>
      <c r="AD1" s="22">
        <v>44682</v>
      </c>
      <c r="AE1" s="22">
        <v>44713</v>
      </c>
      <c r="AF1" s="22">
        <v>44743</v>
      </c>
      <c r="AG1" s="22">
        <v>44774</v>
      </c>
      <c r="AH1" s="22">
        <v>44805</v>
      </c>
      <c r="AI1" s="22">
        <v>44835</v>
      </c>
      <c r="AJ1" s="22">
        <v>44866</v>
      </c>
      <c r="AK1" s="22">
        <v>44896</v>
      </c>
      <c r="AL1" s="22">
        <v>44927</v>
      </c>
      <c r="AM1" s="22">
        <v>44958</v>
      </c>
      <c r="AN1" s="22">
        <v>44986</v>
      </c>
      <c r="AO1" s="22">
        <v>45017</v>
      </c>
      <c r="AP1" s="22">
        <v>45047</v>
      </c>
      <c r="AQ1" s="22">
        <v>45078</v>
      </c>
      <c r="AR1" s="22">
        <v>45108</v>
      </c>
      <c r="AS1" s="22">
        <v>45139</v>
      </c>
      <c r="AT1" s="22">
        <v>45170</v>
      </c>
      <c r="AU1" s="22">
        <v>45200</v>
      </c>
      <c r="AV1" s="22">
        <v>45231</v>
      </c>
      <c r="AW1" s="22">
        <v>45261</v>
      </c>
      <c r="AX1" s="22">
        <v>45292</v>
      </c>
      <c r="AY1" s="22">
        <v>45323</v>
      </c>
      <c r="AZ1" s="22">
        <v>45352</v>
      </c>
      <c r="BA1" s="22">
        <v>45383</v>
      </c>
      <c r="BB1" s="22">
        <v>45413</v>
      </c>
      <c r="BC1" s="22">
        <v>45444</v>
      </c>
      <c r="BD1" s="22">
        <v>45474</v>
      </c>
      <c r="BE1" s="22">
        <v>45505</v>
      </c>
      <c r="BF1" s="22">
        <v>45536</v>
      </c>
      <c r="BG1" s="22">
        <v>45566</v>
      </c>
      <c r="BH1" s="22">
        <v>45597</v>
      </c>
      <c r="BI1" s="22">
        <v>45627</v>
      </c>
      <c r="BJ1" s="22">
        <v>45658</v>
      </c>
      <c r="BK1" s="22">
        <v>45689</v>
      </c>
      <c r="BL1" s="22">
        <v>45717</v>
      </c>
      <c r="BM1" s="22">
        <v>45748</v>
      </c>
      <c r="BN1" s="22">
        <v>45778</v>
      </c>
      <c r="BO1" s="22">
        <v>45809</v>
      </c>
      <c r="BP1" s="22">
        <v>45839</v>
      </c>
      <c r="BQ1" s="22">
        <v>45870</v>
      </c>
      <c r="BR1" s="22">
        <v>45901</v>
      </c>
      <c r="BS1" s="22">
        <v>45931</v>
      </c>
      <c r="BT1" s="22">
        <v>45962</v>
      </c>
      <c r="BU1" s="22">
        <v>45992</v>
      </c>
      <c r="BV1" s="22">
        <v>46023</v>
      </c>
      <c r="BW1" s="22">
        <v>46054</v>
      </c>
      <c r="BX1" s="22">
        <v>46082</v>
      </c>
      <c r="BY1" s="22">
        <v>46113</v>
      </c>
      <c r="BZ1" s="22">
        <v>46143</v>
      </c>
      <c r="CA1" s="22">
        <v>46174</v>
      </c>
      <c r="CB1" s="22">
        <v>46204</v>
      </c>
      <c r="CC1" s="22">
        <v>46235</v>
      </c>
    </row>
    <row r="2" spans="1:81" x14ac:dyDescent="0.35">
      <c r="A2" t="s">
        <v>53</v>
      </c>
      <c r="B2" s="23"/>
      <c r="C2" s="23"/>
      <c r="D2" s="23"/>
      <c r="E2" s="23"/>
      <c r="F2" s="23">
        <v>31102521.340000004</v>
      </c>
      <c r="G2" s="23">
        <v>35112660.050000012</v>
      </c>
      <c r="H2" s="23">
        <v>31479548.120000005</v>
      </c>
      <c r="I2" s="23">
        <v>66674856.839999974</v>
      </c>
      <c r="J2" s="23">
        <v>34490068.649999976</v>
      </c>
      <c r="K2" s="23">
        <v>33559997.370000005</v>
      </c>
      <c r="L2" s="23">
        <v>34613138.480000019</v>
      </c>
      <c r="M2" s="23">
        <v>39773342.680000059</v>
      </c>
      <c r="N2" s="23">
        <v>33573625.090000004</v>
      </c>
      <c r="O2" s="23">
        <v>38470534.980000004</v>
      </c>
      <c r="P2" s="23">
        <v>48669164.449999996</v>
      </c>
      <c r="Q2" s="23">
        <v>32979430.749999978</v>
      </c>
      <c r="R2" s="23">
        <v>30459725.110000014</v>
      </c>
      <c r="S2" s="23">
        <v>39378124.419999994</v>
      </c>
      <c r="T2" s="23">
        <v>32040782.340000022</v>
      </c>
      <c r="U2" s="23">
        <v>70471823.020000026</v>
      </c>
      <c r="V2" s="23">
        <v>35548482.73999995</v>
      </c>
      <c r="W2" s="23">
        <v>34734938.340000033</v>
      </c>
      <c r="X2" s="23">
        <v>35070486.909999982</v>
      </c>
      <c r="Y2" s="23">
        <v>35257319.079999961</v>
      </c>
      <c r="Z2" s="23">
        <v>38869209.710000001</v>
      </c>
      <c r="AA2" s="23">
        <v>66747424.68</v>
      </c>
      <c r="AB2" s="23">
        <v>43201476.68999999</v>
      </c>
      <c r="AC2" s="23">
        <v>44933268.929999985</v>
      </c>
      <c r="AD2" s="23">
        <v>50850684.760000013</v>
      </c>
      <c r="AE2" s="23">
        <v>60657568.270000041</v>
      </c>
      <c r="AF2" s="23">
        <v>84933443.509999961</v>
      </c>
      <c r="AG2" s="23">
        <v>51764632.100000054</v>
      </c>
      <c r="AH2" s="23">
        <v>55571671.589999937</v>
      </c>
      <c r="AI2" s="23">
        <v>50856756.620000042</v>
      </c>
      <c r="AJ2" s="23">
        <v>44718445.319999993</v>
      </c>
      <c r="AK2" s="23">
        <v>40379470.469999917</v>
      </c>
      <c r="AL2" s="23">
        <v>52439626.979999997</v>
      </c>
      <c r="AM2" s="23">
        <v>69263142.390000001</v>
      </c>
      <c r="AN2" s="23">
        <v>51811530.770000018</v>
      </c>
      <c r="AO2" s="23">
        <v>62661125.979999959</v>
      </c>
      <c r="AP2" s="23">
        <v>50407674.13000004</v>
      </c>
      <c r="AQ2" s="23">
        <v>49407530.049999937</v>
      </c>
      <c r="AR2" s="23">
        <v>45400083.610000029</v>
      </c>
      <c r="AS2" s="23">
        <v>91397457.709999964</v>
      </c>
      <c r="AT2" s="23">
        <v>47241820.180000007</v>
      </c>
      <c r="AU2" s="23">
        <v>46387361.530000031</v>
      </c>
      <c r="AV2" s="23">
        <v>59746927.649999969</v>
      </c>
      <c r="AW2" s="23">
        <v>50707766.599999979</v>
      </c>
      <c r="AX2" s="23">
        <v>56235002.040000007</v>
      </c>
      <c r="AY2" s="23">
        <v>80447759.559999987</v>
      </c>
      <c r="AZ2" s="23">
        <v>52367160.170000009</v>
      </c>
      <c r="BA2" s="23">
        <v>66079227.949999988</v>
      </c>
      <c r="BB2" s="23">
        <v>59278999.14000003</v>
      </c>
      <c r="BC2" s="23">
        <v>56553218.809999987</v>
      </c>
      <c r="BD2" s="23">
        <v>58223920.37999998</v>
      </c>
      <c r="BE2" s="23">
        <v>110640985.78999998</v>
      </c>
      <c r="BF2" s="23">
        <v>55409768.790000051</v>
      </c>
      <c r="BG2" s="23">
        <v>66117727.969999962</v>
      </c>
      <c r="BH2" s="23">
        <v>64628560.040000014</v>
      </c>
      <c r="BI2" s="23">
        <v>48945420.879999988</v>
      </c>
      <c r="BJ2" s="23">
        <v>76596366.160000011</v>
      </c>
      <c r="BK2" s="23">
        <v>85461451.159999996</v>
      </c>
      <c r="BL2" s="23">
        <v>71128531.199999988</v>
      </c>
      <c r="BM2" s="23">
        <v>69878132.780000016</v>
      </c>
      <c r="BN2" s="23">
        <v>55430645.670000002</v>
      </c>
      <c r="BO2" s="23">
        <v>58031051.909999996</v>
      </c>
      <c r="BP2" s="23">
        <v>65154983.869999975</v>
      </c>
      <c r="BQ2" s="23">
        <v>63173458.280000001</v>
      </c>
      <c r="BR2" s="23">
        <v>62428610.160000041</v>
      </c>
      <c r="BS2" s="23">
        <v>56527549.74999994</v>
      </c>
      <c r="BT2" s="23">
        <v>52458789.200000048</v>
      </c>
      <c r="BU2" s="23">
        <v>44957198.889999956</v>
      </c>
      <c r="BV2" s="23">
        <v>55492142.020000003</v>
      </c>
      <c r="BW2" s="23">
        <v>79909300.389999986</v>
      </c>
      <c r="BX2" s="23">
        <v>68348603.600000024</v>
      </c>
      <c r="BY2" s="23">
        <v>59814607.789999999</v>
      </c>
      <c r="BZ2" s="23">
        <v>55508521.899999976</v>
      </c>
      <c r="CA2" s="23">
        <v>48704702.460000016</v>
      </c>
      <c r="CB2" s="23">
        <v>50585028.220000029</v>
      </c>
      <c r="CC2" s="23">
        <v>51181162.25</v>
      </c>
    </row>
    <row r="3" spans="1:81" x14ac:dyDescent="0.35">
      <c r="A3" t="s">
        <v>54</v>
      </c>
      <c r="B3" s="23"/>
      <c r="C3" s="23"/>
      <c r="D3" s="23"/>
      <c r="E3" s="23"/>
      <c r="F3" s="23">
        <v>4659794.68</v>
      </c>
      <c r="G3" s="23">
        <v>5419389.8999999985</v>
      </c>
      <c r="H3" s="23">
        <v>2648916.9200000018</v>
      </c>
      <c r="I3" s="23">
        <v>4234333.6999999955</v>
      </c>
      <c r="J3" s="23">
        <v>4317614.5900000036</v>
      </c>
      <c r="K3" s="23">
        <v>3761815.5399999917</v>
      </c>
      <c r="L3" s="23">
        <v>5524123.6800000146</v>
      </c>
      <c r="M3" s="23">
        <v>3038103.4399999827</v>
      </c>
      <c r="N3" s="23">
        <v>9599889.2899999991</v>
      </c>
      <c r="O3" s="23">
        <v>1533431.08</v>
      </c>
      <c r="P3" s="23">
        <v>9082354.9500000011</v>
      </c>
      <c r="Q3" s="23">
        <v>1325005.7100000009</v>
      </c>
      <c r="R3" s="23">
        <v>3474913.0599999987</v>
      </c>
      <c r="S3" s="23">
        <v>4784770.9899999974</v>
      </c>
      <c r="T3" s="23">
        <v>1934480.5800000045</v>
      </c>
      <c r="U3" s="23">
        <v>4062122.0799999982</v>
      </c>
      <c r="V3" s="23">
        <v>3703477.2999999896</v>
      </c>
      <c r="W3" s="23">
        <v>4707037.1300000101</v>
      </c>
      <c r="X3" s="23">
        <v>3367873.9900000021</v>
      </c>
      <c r="Y3" s="23">
        <v>1732603.8399999961</v>
      </c>
      <c r="Z3" s="23">
        <v>3979552.8199999994</v>
      </c>
      <c r="AA3" s="23">
        <v>4167832.6199999992</v>
      </c>
      <c r="AB3" s="23">
        <v>4223660.7100000018</v>
      </c>
      <c r="AC3" s="23">
        <v>4713693.3699999992</v>
      </c>
      <c r="AD3" s="23">
        <v>10753126.02</v>
      </c>
      <c r="AE3" s="23">
        <v>12703756.290000003</v>
      </c>
      <c r="AF3" s="23">
        <v>4489698.6200000048</v>
      </c>
      <c r="AG3" s="23">
        <v>4106829.459999986</v>
      </c>
      <c r="AH3" s="23">
        <v>3335831.5100000054</v>
      </c>
      <c r="AI3" s="23">
        <v>5524300.4700000137</v>
      </c>
      <c r="AJ3" s="23">
        <v>2687448.7499999925</v>
      </c>
      <c r="AK3" s="23">
        <v>3188867.5</v>
      </c>
      <c r="AL3" s="23">
        <v>3521007.71</v>
      </c>
      <c r="AM3" s="23">
        <v>3738419.79</v>
      </c>
      <c r="AN3" s="23">
        <v>5926629.8200000003</v>
      </c>
      <c r="AO3" s="23">
        <v>4526166.9699999988</v>
      </c>
      <c r="AP3" s="23">
        <v>6231474.0099999979</v>
      </c>
      <c r="AQ3" s="23">
        <v>3210753.4600000009</v>
      </c>
      <c r="AR3" s="23">
        <v>4498219.3399999961</v>
      </c>
      <c r="AS3" s="23">
        <v>8734528.5500000045</v>
      </c>
      <c r="AT3" s="23">
        <v>4148948.9900000021</v>
      </c>
      <c r="AU3" s="23">
        <v>4428107.18</v>
      </c>
      <c r="AV3" s="23">
        <v>7104043.4799999893</v>
      </c>
      <c r="AW3" s="23">
        <v>1606880.8100000173</v>
      </c>
      <c r="AX3" s="23">
        <v>4862255.0500000007</v>
      </c>
      <c r="AY3" s="23">
        <v>3860281.459999999</v>
      </c>
      <c r="AZ3" s="23">
        <v>6032483.6800000016</v>
      </c>
      <c r="BA3" s="23">
        <v>6856463.3800000027</v>
      </c>
      <c r="BB3" s="23">
        <v>13910857.689999994</v>
      </c>
      <c r="BC3" s="23">
        <v>4182202.0800000057</v>
      </c>
      <c r="BD3" s="23">
        <v>7075816.349999994</v>
      </c>
      <c r="BE3" s="23">
        <v>5588606.8999999911</v>
      </c>
      <c r="BF3" s="23">
        <v>6656176.540000014</v>
      </c>
      <c r="BG3" s="23">
        <v>5820628.2499999963</v>
      </c>
      <c r="BH3" s="23">
        <v>2532174.4599999934</v>
      </c>
      <c r="BI3" s="23">
        <v>8667983.0600000024</v>
      </c>
      <c r="BJ3" s="23">
        <v>5104873.7699999996</v>
      </c>
      <c r="BK3" s="23">
        <v>8253616.25</v>
      </c>
      <c r="BL3" s="23">
        <v>15211031.720000003</v>
      </c>
      <c r="BM3" s="23">
        <v>16855329.530000001</v>
      </c>
      <c r="BN3" s="23">
        <v>6041157.9099999927</v>
      </c>
      <c r="BO3" s="23">
        <v>2776640.1800000044</v>
      </c>
      <c r="BP3" s="23">
        <v>7434936.8699999973</v>
      </c>
      <c r="BQ3" s="23">
        <v>5885393.2799999937</v>
      </c>
      <c r="BR3" s="23">
        <v>4937725.3899999978</v>
      </c>
      <c r="BS3" s="23">
        <v>8068454.6800000295</v>
      </c>
      <c r="BT3" s="23">
        <v>5595818.5199999809</v>
      </c>
      <c r="BU3" s="23">
        <v>6450448.6099999994</v>
      </c>
      <c r="BV3" s="23">
        <v>4299628.6400000006</v>
      </c>
      <c r="BW3" s="23">
        <v>5793714.379999999</v>
      </c>
      <c r="BX3" s="23">
        <v>5852794.0299999975</v>
      </c>
      <c r="BY3" s="23">
        <v>18388453.23</v>
      </c>
      <c r="BZ3" s="23">
        <v>15132048.219999999</v>
      </c>
      <c r="CA3" s="23">
        <v>5995997.3300000103</v>
      </c>
      <c r="CB3" s="23">
        <v>4451830.0299999937</v>
      </c>
      <c r="CC3" s="23">
        <v>5089122.2200000053</v>
      </c>
    </row>
    <row r="4" spans="1:81" x14ac:dyDescent="0.35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</row>
    <row r="5" spans="1:81" x14ac:dyDescent="0.35">
      <c r="A5" s="24" t="s">
        <v>55</v>
      </c>
      <c r="B5" s="23">
        <v>29627738</v>
      </c>
      <c r="C5" s="23">
        <v>44729547.370000005</v>
      </c>
      <c r="D5" s="23">
        <v>29073919.829999998</v>
      </c>
      <c r="E5" s="23">
        <v>26448702.529999994</v>
      </c>
      <c r="F5" s="23">
        <v>27557156.149999999</v>
      </c>
      <c r="G5" s="23">
        <v>29693270.150000006</v>
      </c>
      <c r="H5" s="23">
        <v>28830631.199999988</v>
      </c>
      <c r="I5" s="23">
        <v>62440523.140000015</v>
      </c>
      <c r="J5" s="23">
        <v>30172454.060000002</v>
      </c>
      <c r="K5" s="23">
        <v>29798181.829999983</v>
      </c>
      <c r="L5" s="23">
        <v>29089014.800000012</v>
      </c>
      <c r="M5" s="23">
        <v>36735239.240000002</v>
      </c>
      <c r="N5" s="23">
        <v>23973735.800000001</v>
      </c>
      <c r="O5" s="23">
        <v>36937103.900000006</v>
      </c>
      <c r="P5" s="23">
        <v>39586809.499999993</v>
      </c>
      <c r="Q5" s="23">
        <v>31654425.040000014</v>
      </c>
      <c r="R5" s="23">
        <v>26984812.049999982</v>
      </c>
      <c r="S5" s="23">
        <v>34593353.430000015</v>
      </c>
      <c r="T5" s="23">
        <v>30106301.759999979</v>
      </c>
      <c r="U5" s="23">
        <v>66409700.940000035</v>
      </c>
      <c r="V5" s="23">
        <v>31845005.439999998</v>
      </c>
      <c r="W5" s="23">
        <v>30027901.209999982</v>
      </c>
      <c r="X5" s="23">
        <v>31702612.920000028</v>
      </c>
      <c r="Y5" s="23">
        <v>33524715.239999987</v>
      </c>
      <c r="Z5" s="23">
        <v>34889656.890000001</v>
      </c>
      <c r="AA5" s="23">
        <v>62579592.060000002</v>
      </c>
      <c r="AB5" s="23">
        <v>38977815.979999997</v>
      </c>
      <c r="AC5" s="23">
        <v>40219575.559999995</v>
      </c>
      <c r="AD5" s="23">
        <v>40097558.740000002</v>
      </c>
      <c r="AE5" s="23">
        <v>47953811.979999989</v>
      </c>
      <c r="AF5" s="23">
        <v>80443744.889999986</v>
      </c>
      <c r="AG5" s="23">
        <v>47657802.640000015</v>
      </c>
      <c r="AH5" s="23">
        <v>52235840.080000006</v>
      </c>
      <c r="AI5" s="23">
        <v>45332456.150000013</v>
      </c>
      <c r="AJ5" s="23">
        <v>42030996.569999993</v>
      </c>
      <c r="AK5" s="23">
        <v>37190602.969999976</v>
      </c>
      <c r="AL5" s="23">
        <v>48918619.270000003</v>
      </c>
      <c r="AM5" s="23">
        <v>65524722.599999994</v>
      </c>
      <c r="AN5" s="23">
        <v>45884900.949999996</v>
      </c>
      <c r="AO5" s="23">
        <v>58134959.00999999</v>
      </c>
      <c r="AP5" s="23">
        <v>44176200.12000002</v>
      </c>
      <c r="AQ5" s="23">
        <v>46196776.589999959</v>
      </c>
      <c r="AR5" s="23">
        <v>40901864.270000055</v>
      </c>
      <c r="AS5" s="23">
        <v>82662929.159999952</v>
      </c>
      <c r="AT5" s="23">
        <v>43092871.189999998</v>
      </c>
      <c r="AU5" s="23">
        <v>41959254.350000024</v>
      </c>
      <c r="AV5" s="23">
        <v>52642884.170000009</v>
      </c>
      <c r="AW5" s="23">
        <v>49100885.790000036</v>
      </c>
      <c r="AX5" s="23">
        <v>51372746.990000002</v>
      </c>
      <c r="AY5" s="23">
        <v>76587478.100000009</v>
      </c>
      <c r="AZ5" s="23">
        <v>46334676.490000002</v>
      </c>
      <c r="BA5" s="23">
        <v>59222764.569999993</v>
      </c>
      <c r="BB5" s="23">
        <v>45368141.449999973</v>
      </c>
      <c r="BC5" s="23">
        <v>52371016.730000004</v>
      </c>
      <c r="BD5" s="23">
        <v>51148104.030000016</v>
      </c>
      <c r="BE5" s="23">
        <v>105052378.89</v>
      </c>
      <c r="BF5" s="23">
        <v>48753592.24999997</v>
      </c>
      <c r="BG5" s="23">
        <v>60297099.719999999</v>
      </c>
      <c r="BH5" s="23">
        <v>62096385.579999976</v>
      </c>
      <c r="BI5" s="23">
        <v>40277437.820000045</v>
      </c>
      <c r="BJ5" s="23">
        <v>71491492.390000001</v>
      </c>
      <c r="BK5" s="23">
        <v>77207834.909999996</v>
      </c>
      <c r="BL5" s="23">
        <v>55917499.480000019</v>
      </c>
      <c r="BM5" s="23">
        <v>53022803.249999985</v>
      </c>
      <c r="BN5" s="23">
        <v>49389487.759999976</v>
      </c>
      <c r="BO5" s="23">
        <v>55254411.730000041</v>
      </c>
      <c r="BP5" s="23">
        <v>57720046.99999997</v>
      </c>
      <c r="BQ5" s="23">
        <v>57288065.00000003</v>
      </c>
      <c r="BR5" s="23">
        <v>57490884.769999988</v>
      </c>
      <c r="BS5" s="23">
        <v>48459095.070000045</v>
      </c>
      <c r="BT5" s="23">
        <v>46862970.679999948</v>
      </c>
      <c r="BU5" s="23">
        <v>38506750.280000061</v>
      </c>
      <c r="BV5" s="23">
        <v>51192513.380000003</v>
      </c>
      <c r="BW5" s="23">
        <v>74115586.00999999</v>
      </c>
      <c r="BX5" s="23">
        <v>62495809.570000008</v>
      </c>
      <c r="BY5" s="23">
        <v>41426154.559999995</v>
      </c>
      <c r="BZ5" s="23">
        <v>40376473.680000007</v>
      </c>
      <c r="CA5" s="23">
        <v>42708705.130000025</v>
      </c>
      <c r="CB5" s="23">
        <v>46133198.189999983</v>
      </c>
      <c r="CC5" s="23">
        <v>46092040.030000016</v>
      </c>
    </row>
    <row r="6" spans="1:81" x14ac:dyDescent="0.35">
      <c r="A6" s="24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</row>
    <row r="7" spans="1:81" x14ac:dyDescent="0.35">
      <c r="A7" t="s">
        <v>56</v>
      </c>
      <c r="B7" s="23">
        <v>14280523.84</v>
      </c>
      <c r="C7" s="23">
        <v>20373375.66</v>
      </c>
      <c r="D7" s="23">
        <v>10166878.759999998</v>
      </c>
      <c r="E7" s="23">
        <v>13703220.539999999</v>
      </c>
      <c r="F7" s="23">
        <v>11344553.210000008</v>
      </c>
      <c r="G7" s="23">
        <v>15047317.640000001</v>
      </c>
      <c r="H7" s="23">
        <v>12554282.039999992</v>
      </c>
      <c r="I7" s="23">
        <v>40743734.439999998</v>
      </c>
      <c r="J7" s="23">
        <v>14983190.819999993</v>
      </c>
      <c r="K7" s="23">
        <v>13668091.890000015</v>
      </c>
      <c r="L7" s="23">
        <v>15383656.49000001</v>
      </c>
      <c r="M7" s="23">
        <v>22289748.399999976</v>
      </c>
      <c r="N7" s="23">
        <v>9378417.8699999992</v>
      </c>
      <c r="O7" s="23">
        <v>16670613.130000001</v>
      </c>
      <c r="P7" s="23">
        <v>12486903.060000002</v>
      </c>
      <c r="Q7" s="23">
        <v>16295073.519999996</v>
      </c>
      <c r="R7" s="23">
        <v>13304567.840000004</v>
      </c>
      <c r="S7" s="23">
        <v>19038864.670000002</v>
      </c>
      <c r="T7" s="23">
        <v>12751976.629999995</v>
      </c>
      <c r="U7" s="23">
        <v>44566200.379999995</v>
      </c>
      <c r="V7" s="23">
        <v>15772984.640000015</v>
      </c>
      <c r="W7" s="23">
        <v>13891807.810000002</v>
      </c>
      <c r="X7" s="23">
        <v>16310862.810000002</v>
      </c>
      <c r="Y7" s="23">
        <v>22118731.00999999</v>
      </c>
      <c r="Z7" s="23">
        <v>16161407.630000001</v>
      </c>
      <c r="AA7" s="23">
        <v>21265640.390000001</v>
      </c>
      <c r="AB7" s="23">
        <v>16196180.699999996</v>
      </c>
      <c r="AC7" s="23">
        <v>20673260.340000004</v>
      </c>
      <c r="AD7" s="23">
        <v>20973792.519999996</v>
      </c>
      <c r="AE7" s="23">
        <v>27064110.939999998</v>
      </c>
      <c r="AF7" s="23">
        <v>50344783.579999998</v>
      </c>
      <c r="AG7" s="23">
        <v>21490422.520000011</v>
      </c>
      <c r="AH7" s="23">
        <v>23590906.960000008</v>
      </c>
      <c r="AI7" s="23">
        <v>20203932.809999973</v>
      </c>
      <c r="AJ7" s="23">
        <v>17762188.25</v>
      </c>
      <c r="AK7" s="23">
        <v>20607698.610000014</v>
      </c>
      <c r="AL7" s="23">
        <v>20973062.32</v>
      </c>
      <c r="AM7" s="23">
        <v>20894148.32</v>
      </c>
      <c r="AN7" s="23">
        <v>21309639.490000002</v>
      </c>
      <c r="AO7" s="23">
        <v>27340888.889999993</v>
      </c>
      <c r="AP7" s="23">
        <v>21760372.730000004</v>
      </c>
      <c r="AQ7" s="23">
        <v>22836101.210000008</v>
      </c>
      <c r="AR7" s="23">
        <v>18103321.810000002</v>
      </c>
      <c r="AS7" s="23">
        <v>52523852.539999992</v>
      </c>
      <c r="AT7" s="23">
        <v>18250225.789999992</v>
      </c>
      <c r="AU7" s="23">
        <v>18027088.539999992</v>
      </c>
      <c r="AV7" s="23">
        <v>31768977.590000033</v>
      </c>
      <c r="AW7" s="23">
        <v>21573703.339999974</v>
      </c>
      <c r="AX7" s="23">
        <v>21351895.98</v>
      </c>
      <c r="AY7" s="23">
        <v>22787927.489999998</v>
      </c>
      <c r="AZ7" s="23">
        <v>22759220.660000004</v>
      </c>
      <c r="BA7" s="23">
        <v>27280443.279999994</v>
      </c>
      <c r="BB7" s="23">
        <v>21019483.020000011</v>
      </c>
      <c r="BC7" s="23">
        <v>26164304.560000002</v>
      </c>
      <c r="BD7" s="23">
        <v>18476477.129999995</v>
      </c>
      <c r="BE7" s="23">
        <v>67036234.449999988</v>
      </c>
      <c r="BF7" s="23">
        <v>19109452.710000008</v>
      </c>
      <c r="BG7" s="23">
        <v>28140488.23999998</v>
      </c>
      <c r="BH7" s="23">
        <v>33307340.350000024</v>
      </c>
      <c r="BI7" s="23">
        <v>20682510.029999971</v>
      </c>
      <c r="BJ7" s="23">
        <v>33364682.800000001</v>
      </c>
      <c r="BK7" s="23">
        <v>28047519.529999997</v>
      </c>
      <c r="BL7" s="23">
        <v>26293104.090000004</v>
      </c>
      <c r="BM7" s="23">
        <v>19630588.859999999</v>
      </c>
      <c r="BN7" s="23">
        <v>20732603.730000004</v>
      </c>
      <c r="BO7" s="23">
        <v>24480039.600000009</v>
      </c>
      <c r="BP7" s="23">
        <v>27234464.199999988</v>
      </c>
      <c r="BQ7" s="23">
        <v>20124405.030000001</v>
      </c>
      <c r="BR7" s="23">
        <v>21237598.979999989</v>
      </c>
      <c r="BS7" s="23">
        <v>23685551.930000007</v>
      </c>
      <c r="BT7" s="23">
        <v>23183097.069999993</v>
      </c>
      <c r="BU7" s="23">
        <v>23708609.540000021</v>
      </c>
      <c r="BV7" s="23">
        <v>18254565.34</v>
      </c>
      <c r="BW7" s="23">
        <v>26621037.000000004</v>
      </c>
      <c r="BX7" s="23">
        <v>33028070.090000004</v>
      </c>
      <c r="BY7" s="23">
        <v>15146107.969999999</v>
      </c>
      <c r="BZ7" s="23">
        <v>15850704.149999991</v>
      </c>
      <c r="CA7" s="23">
        <v>21920937.409999996</v>
      </c>
      <c r="CB7" s="23">
        <v>23762794.780000016</v>
      </c>
      <c r="CC7" s="23">
        <v>19178661.769999981</v>
      </c>
    </row>
    <row r="8" spans="1:81" x14ac:dyDescent="0.35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</row>
    <row r="9" spans="1:81" s="24" customFormat="1" x14ac:dyDescent="0.35">
      <c r="A9" s="25" t="s">
        <v>57</v>
      </c>
      <c r="B9" s="26">
        <v>15347214.16</v>
      </c>
      <c r="C9" s="26">
        <v>24356171.710000005</v>
      </c>
      <c r="D9" s="26">
        <v>18907041.07</v>
      </c>
      <c r="E9" s="26">
        <v>12745481.989999995</v>
      </c>
      <c r="F9" s="26">
        <v>16212602.93999999</v>
      </c>
      <c r="G9" s="26">
        <v>14645952.510000005</v>
      </c>
      <c r="H9" s="26">
        <v>16276349.159999996</v>
      </c>
      <c r="I9" s="26">
        <v>21696788.700000018</v>
      </c>
      <c r="J9" s="26">
        <v>15189263.24000001</v>
      </c>
      <c r="K9" s="26">
        <v>16130089.939999968</v>
      </c>
      <c r="L9" s="26">
        <v>13705358.310000002</v>
      </c>
      <c r="M9" s="26">
        <v>14445490.840000026</v>
      </c>
      <c r="N9" s="26">
        <v>14595317.930000002</v>
      </c>
      <c r="O9" s="26">
        <v>20266490.770000003</v>
      </c>
      <c r="P9" s="26">
        <v>27099906.43999999</v>
      </c>
      <c r="Q9" s="26">
        <v>15359351.520000018</v>
      </c>
      <c r="R9" s="26">
        <v>13680244.209999979</v>
      </c>
      <c r="S9" s="26">
        <v>15554488.760000013</v>
      </c>
      <c r="T9" s="26">
        <v>17354325.129999984</v>
      </c>
      <c r="U9" s="26">
        <v>21843500.56000004</v>
      </c>
      <c r="V9" s="26">
        <v>16072020.799999982</v>
      </c>
      <c r="W9" s="26">
        <v>16136093.39999998</v>
      </c>
      <c r="X9" s="26">
        <v>15391750.110000025</v>
      </c>
      <c r="Y9" s="26">
        <v>11405984.229999997</v>
      </c>
      <c r="Z9" s="26">
        <v>18728249.259999998</v>
      </c>
      <c r="AA9" s="26">
        <v>41313951.670000002</v>
      </c>
      <c r="AB9" s="26">
        <v>22781635.280000001</v>
      </c>
      <c r="AC9" s="26">
        <v>19546315.219999991</v>
      </c>
      <c r="AD9" s="26">
        <v>19123766.220000006</v>
      </c>
      <c r="AE9" s="26">
        <v>20889701.039999992</v>
      </c>
      <c r="AF9" s="26">
        <v>30098961.309999987</v>
      </c>
      <c r="AG9" s="26">
        <v>26167380.120000005</v>
      </c>
      <c r="AH9" s="26">
        <v>28644933.119999997</v>
      </c>
      <c r="AI9" s="26">
        <v>25128523.340000041</v>
      </c>
      <c r="AJ9" s="26">
        <v>24268808.319999993</v>
      </c>
      <c r="AK9" s="26">
        <v>16582904.359999962</v>
      </c>
      <c r="AL9" s="26">
        <v>27945556.950000003</v>
      </c>
      <c r="AM9" s="26">
        <v>44630574.279999994</v>
      </c>
      <c r="AN9" s="26">
        <v>24575261.459999993</v>
      </c>
      <c r="AO9" s="26">
        <v>30794070.119999997</v>
      </c>
      <c r="AP9" s="26">
        <v>22415827.390000015</v>
      </c>
      <c r="AQ9" s="26">
        <v>23360675.379999951</v>
      </c>
      <c r="AR9" s="26">
        <v>22798542.460000053</v>
      </c>
      <c r="AS9" s="26">
        <v>30139076.61999996</v>
      </c>
      <c r="AT9" s="26">
        <v>24842645.400000006</v>
      </c>
      <c r="AU9" s="26">
        <v>23932165.810000032</v>
      </c>
      <c r="AV9" s="26">
        <v>20873906.579999976</v>
      </c>
      <c r="AW9" s="26">
        <v>27527182.450000063</v>
      </c>
      <c r="AX9" s="26">
        <v>30020851.010000002</v>
      </c>
      <c r="AY9" s="26">
        <v>53799550.610000014</v>
      </c>
      <c r="AZ9" s="26">
        <v>23575455.829999998</v>
      </c>
      <c r="BA9" s="26">
        <v>31942321.289999999</v>
      </c>
      <c r="BB9" s="26">
        <v>24348658.429999962</v>
      </c>
      <c r="BC9" s="26">
        <v>26206712.170000002</v>
      </c>
      <c r="BD9" s="26">
        <v>32671626.900000021</v>
      </c>
      <c r="BE9" s="26">
        <v>38016144.440000013</v>
      </c>
      <c r="BF9" s="26">
        <v>29644139.539999962</v>
      </c>
      <c r="BG9" s="26">
        <v>32156611.480000019</v>
      </c>
      <c r="BH9" s="26">
        <v>28789045.229999952</v>
      </c>
      <c r="BI9" s="26">
        <v>19594927.790000074</v>
      </c>
      <c r="BJ9" s="26">
        <v>38126809.590000004</v>
      </c>
      <c r="BK9" s="26">
        <v>49160315.379999995</v>
      </c>
      <c r="BL9" s="26">
        <v>29624395.390000015</v>
      </c>
      <c r="BM9" s="26">
        <v>33392214.389999986</v>
      </c>
      <c r="BN9" s="26">
        <v>28656884.029999971</v>
      </c>
      <c r="BO9" s="26">
        <v>30774372.130000032</v>
      </c>
      <c r="BP9" s="26">
        <v>30485582.799999982</v>
      </c>
      <c r="BQ9" s="26">
        <v>37163659.970000029</v>
      </c>
      <c r="BR9" s="26">
        <v>36253285.789999999</v>
      </c>
      <c r="BS9" s="26">
        <v>24773543.140000038</v>
      </c>
      <c r="BT9" s="26">
        <v>23679873.609999955</v>
      </c>
      <c r="BU9" s="26">
        <v>14798140.740000039</v>
      </c>
      <c r="BV9" s="26">
        <v>32937948.040000003</v>
      </c>
      <c r="BW9" s="26">
        <v>47494549.00999999</v>
      </c>
      <c r="BX9" s="26">
        <v>29467739.480000004</v>
      </c>
      <c r="BY9" s="26">
        <v>26280046.589999996</v>
      </c>
      <c r="BZ9" s="26">
        <v>24525769.530000016</v>
      </c>
      <c r="CA9" s="26">
        <v>20787767.720000029</v>
      </c>
      <c r="CB9" s="26">
        <v>22370403.409999967</v>
      </c>
      <c r="CC9" s="26">
        <v>26913378.260000035</v>
      </c>
    </row>
    <row r="10" spans="1:81" x14ac:dyDescent="0.35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</row>
    <row r="11" spans="1:81" x14ac:dyDescent="0.35">
      <c r="A11" t="s">
        <v>58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</row>
    <row r="12" spans="1:81" x14ac:dyDescent="0.35">
      <c r="A12" t="s">
        <v>59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</row>
    <row r="13" spans="1:81" x14ac:dyDescent="0.35">
      <c r="A13" s="27" t="s">
        <v>60</v>
      </c>
      <c r="B13" s="28">
        <v>-412861.04999999993</v>
      </c>
      <c r="C13" s="28">
        <v>7122851.0999999987</v>
      </c>
      <c r="D13" s="28">
        <v>2169790.620000001</v>
      </c>
      <c r="E13" s="28">
        <v>-1076894.67</v>
      </c>
      <c r="F13" s="28">
        <v>97680.490000000224</v>
      </c>
      <c r="G13" s="28">
        <v>-1038554.4900000002</v>
      </c>
      <c r="H13" s="28">
        <v>-502418.94999999925</v>
      </c>
      <c r="I13" s="28">
        <v>1418651.0300000012</v>
      </c>
      <c r="J13" s="28">
        <v>-3130.25</v>
      </c>
      <c r="K13" s="28">
        <v>1324282.799999997</v>
      </c>
      <c r="L13" s="28">
        <v>-3818277.3599999994</v>
      </c>
      <c r="M13" s="28">
        <v>-748399.26999999955</v>
      </c>
      <c r="N13" s="28">
        <v>-994677.32000000007</v>
      </c>
      <c r="O13" s="28">
        <v>1567825.99</v>
      </c>
      <c r="P13" s="28">
        <v>12919414.630000001</v>
      </c>
      <c r="Q13" s="28">
        <v>-172532.48999999836</v>
      </c>
      <c r="R13" s="28">
        <v>-3228718.6700000037</v>
      </c>
      <c r="S13" s="28">
        <v>-822329.71999999881</v>
      </c>
      <c r="T13" s="28">
        <v>-311327.00999999978</v>
      </c>
      <c r="U13" s="28">
        <v>-1169971.9100000001</v>
      </c>
      <c r="V13" s="28">
        <v>-263423.92000000179</v>
      </c>
      <c r="W13" s="28">
        <v>-450442.25</v>
      </c>
      <c r="X13" s="28">
        <v>-1754874.0699999966</v>
      </c>
      <c r="Y13" s="28">
        <v>-3129441.1500000022</v>
      </c>
      <c r="Z13" s="28">
        <v>3561213.26</v>
      </c>
      <c r="AA13" s="28">
        <v>22231158.57</v>
      </c>
      <c r="AB13" s="28">
        <v>1259462.799999997</v>
      </c>
      <c r="AC13" s="28">
        <v>-3749.5500000007451</v>
      </c>
      <c r="AD13" s="28">
        <v>-1249167.4399999939</v>
      </c>
      <c r="AE13" s="28">
        <v>-2881266.09</v>
      </c>
      <c r="AF13" s="28">
        <v>3497611.2399999946</v>
      </c>
      <c r="AG13" s="28">
        <v>2295922.9600000046</v>
      </c>
      <c r="AH13" s="28">
        <v>6262139.2600000016</v>
      </c>
      <c r="AI13" s="28">
        <v>4947017.8999999911</v>
      </c>
      <c r="AJ13" s="28">
        <v>312162.42000000179</v>
      </c>
      <c r="AK13" s="28">
        <v>-3606698.099999994</v>
      </c>
      <c r="AL13" s="28">
        <v>7965130.8999999994</v>
      </c>
      <c r="AM13" s="28">
        <v>18470603.670000002</v>
      </c>
      <c r="AN13" s="28">
        <v>2519877.4699999988</v>
      </c>
      <c r="AO13" s="28">
        <v>5823588.8699999973</v>
      </c>
      <c r="AP13" s="28">
        <v>-2147734.7299999967</v>
      </c>
      <c r="AQ13" s="28">
        <v>-3142429.9800000004</v>
      </c>
      <c r="AR13" s="28">
        <v>1102759.8000000007</v>
      </c>
      <c r="AS13" s="28">
        <v>-230429.83000000194</v>
      </c>
      <c r="AT13" s="28">
        <v>87775.810000006109</v>
      </c>
      <c r="AU13" s="28">
        <v>-2038779.9600000046</v>
      </c>
      <c r="AV13" s="28">
        <v>-3084811.6399999969</v>
      </c>
      <c r="AW13" s="28">
        <v>-4593961.570000004</v>
      </c>
      <c r="AX13" s="28">
        <v>6142338.9799999995</v>
      </c>
      <c r="AY13" s="28">
        <v>25304716.489999998</v>
      </c>
      <c r="AZ13" s="28">
        <v>-1859668.25</v>
      </c>
      <c r="BA13" s="28">
        <v>4973325.6300000027</v>
      </c>
      <c r="BB13" s="28">
        <v>-4622358.7400000021</v>
      </c>
      <c r="BC13" s="28">
        <v>-1191280.9699999988</v>
      </c>
      <c r="BD13" s="28">
        <v>2119109.5799999982</v>
      </c>
      <c r="BE13" s="28">
        <v>1128183.6000000052</v>
      </c>
      <c r="BF13" s="28">
        <v>515791.01999999583</v>
      </c>
      <c r="BG13" s="28">
        <v>-2032376.7300000004</v>
      </c>
      <c r="BH13" s="28">
        <v>-3940349.7900000028</v>
      </c>
      <c r="BI13" s="28">
        <v>-6007286.3900000006</v>
      </c>
      <c r="BJ13" s="28">
        <v>5905450.1200000001</v>
      </c>
      <c r="BK13" s="28">
        <v>21969660.82</v>
      </c>
      <c r="BL13" s="28">
        <v>-885553.12000000104</v>
      </c>
      <c r="BM13" s="28">
        <v>3592943.4599999972</v>
      </c>
      <c r="BN13" s="28">
        <v>-3584336.09</v>
      </c>
      <c r="BO13" s="28">
        <v>-3202225.5699999966</v>
      </c>
      <c r="BP13" s="28">
        <v>2216721.1599999964</v>
      </c>
      <c r="BQ13" s="28">
        <v>7638925.6700000055</v>
      </c>
      <c r="BR13" s="28">
        <v>4443104.1499999911</v>
      </c>
      <c r="BS13" s="28">
        <v>-3199160.5199999958</v>
      </c>
      <c r="BT13" s="28">
        <v>-7245626.0999999978</v>
      </c>
      <c r="BU13" s="28">
        <v>-10796070.09</v>
      </c>
      <c r="BV13" s="28">
        <v>1184257.5699999998</v>
      </c>
      <c r="BW13" s="28">
        <v>16481579.5</v>
      </c>
      <c r="BX13" s="28">
        <v>-1458432.3099999987</v>
      </c>
      <c r="BY13" s="28">
        <v>-2173653.2800000031</v>
      </c>
      <c r="BZ13" s="28">
        <v>-4869557.6500000004</v>
      </c>
      <c r="CA13" s="28">
        <v>-8047144.2899999991</v>
      </c>
      <c r="CB13" s="28">
        <v>-2151335.5300000012</v>
      </c>
      <c r="CC13" s="28">
        <v>234537.21999999881</v>
      </c>
    </row>
    <row r="14" spans="1:81" x14ac:dyDescent="0.35">
      <c r="A14" s="25" t="s">
        <v>61</v>
      </c>
      <c r="B14" s="26">
        <v>15760075.210000001</v>
      </c>
      <c r="C14" s="26">
        <v>17233320.610000007</v>
      </c>
      <c r="D14" s="26">
        <v>16737250.449999999</v>
      </c>
      <c r="E14" s="26">
        <v>13822376.659999995</v>
      </c>
      <c r="F14" s="26">
        <v>16114922.44999999</v>
      </c>
      <c r="G14" s="26">
        <v>15684507.000000006</v>
      </c>
      <c r="H14" s="26">
        <v>16778768.109999996</v>
      </c>
      <c r="I14" s="26">
        <v>20278137.670000017</v>
      </c>
      <c r="J14" s="26">
        <v>15192393.49000001</v>
      </c>
      <c r="K14" s="26">
        <v>14805807.139999971</v>
      </c>
      <c r="L14" s="26">
        <v>17523635.670000002</v>
      </c>
      <c r="M14" s="26">
        <v>15193890.110000025</v>
      </c>
      <c r="N14" s="26">
        <v>15589995.250000002</v>
      </c>
      <c r="O14" s="26">
        <v>18698664.780000005</v>
      </c>
      <c r="P14" s="26">
        <v>14180491.809999989</v>
      </c>
      <c r="Q14" s="26">
        <v>15531884.010000017</v>
      </c>
      <c r="R14" s="26">
        <v>16908962.87999998</v>
      </c>
      <c r="S14" s="26">
        <v>16376818.480000012</v>
      </c>
      <c r="T14" s="26">
        <v>17665652.139999986</v>
      </c>
      <c r="U14" s="26">
        <v>23013472.47000004</v>
      </c>
      <c r="V14" s="26">
        <v>16335444.719999984</v>
      </c>
      <c r="W14" s="26">
        <v>16586535.64999998</v>
      </c>
      <c r="X14" s="26">
        <v>17146624.180000022</v>
      </c>
      <c r="Y14" s="26">
        <v>14535425.379999999</v>
      </c>
      <c r="Z14" s="26">
        <v>15167035.999999998</v>
      </c>
      <c r="AA14" s="26">
        <v>19082793.100000001</v>
      </c>
      <c r="AB14" s="26">
        <v>21522172.480000004</v>
      </c>
      <c r="AC14" s="26">
        <v>19550064.769999992</v>
      </c>
      <c r="AD14" s="26">
        <v>20372933.66</v>
      </c>
      <c r="AE14" s="26">
        <v>23770967.129999992</v>
      </c>
      <c r="AF14" s="26">
        <v>26601350.069999993</v>
      </c>
      <c r="AG14" s="26">
        <v>23871457.16</v>
      </c>
      <c r="AH14" s="26">
        <v>22382793.859999996</v>
      </c>
      <c r="AI14" s="26">
        <v>20181505.44000005</v>
      </c>
      <c r="AJ14" s="26">
        <v>23956645.899999991</v>
      </c>
      <c r="AK14" s="26">
        <v>20189602.459999956</v>
      </c>
      <c r="AL14" s="26">
        <v>19980426.050000004</v>
      </c>
      <c r="AM14" s="26">
        <v>26159970.609999992</v>
      </c>
      <c r="AN14" s="26">
        <v>22055383.989999995</v>
      </c>
      <c r="AO14" s="26">
        <v>24970481.25</v>
      </c>
      <c r="AP14" s="26">
        <v>24563562.120000012</v>
      </c>
      <c r="AQ14" s="26">
        <v>26503105.359999951</v>
      </c>
      <c r="AR14" s="26">
        <v>21695782.660000052</v>
      </c>
      <c r="AS14" s="26">
        <v>30369506.449999962</v>
      </c>
      <c r="AT14" s="26">
        <v>24754869.59</v>
      </c>
      <c r="AU14" s="26">
        <v>25970945.770000037</v>
      </c>
      <c r="AV14" s="26">
        <v>23958718.219999973</v>
      </c>
      <c r="AW14" s="26">
        <v>32121144.020000067</v>
      </c>
      <c r="AX14" s="26">
        <v>23878512.030000001</v>
      </c>
      <c r="AY14" s="26">
        <v>28494834.120000016</v>
      </c>
      <c r="AZ14" s="26">
        <v>25435124.079999998</v>
      </c>
      <c r="BA14" s="26">
        <v>26968995.659999996</v>
      </c>
      <c r="BB14" s="26">
        <v>28971017.169999965</v>
      </c>
      <c r="BC14" s="26">
        <v>27397993.140000001</v>
      </c>
      <c r="BD14" s="26">
        <v>30552517.320000023</v>
      </c>
      <c r="BE14" s="26">
        <v>36887960.840000004</v>
      </c>
      <c r="BF14" s="26">
        <v>29128348.519999966</v>
      </c>
      <c r="BG14" s="26">
        <v>34188988.210000023</v>
      </c>
      <c r="BH14" s="26">
        <v>32729395.019999955</v>
      </c>
      <c r="BI14" s="26">
        <v>25602214.180000074</v>
      </c>
      <c r="BJ14" s="26">
        <v>32221359.470000003</v>
      </c>
      <c r="BK14" s="26">
        <v>27190654.559999995</v>
      </c>
      <c r="BL14" s="26">
        <v>30509948.510000017</v>
      </c>
      <c r="BM14" s="26">
        <v>29799270.929999989</v>
      </c>
      <c r="BN14" s="26">
        <v>32241220.119999971</v>
      </c>
      <c r="BO14" s="26">
        <v>33976597.700000033</v>
      </c>
      <c r="BP14" s="26">
        <v>28268861.639999986</v>
      </c>
      <c r="BQ14" s="26">
        <v>29524734.300000023</v>
      </c>
      <c r="BR14" s="26">
        <v>31810181.640000008</v>
      </c>
      <c r="BS14" s="26">
        <v>27972703.660000034</v>
      </c>
      <c r="BT14" s="26">
        <v>30925499.709999952</v>
      </c>
      <c r="BU14" s="26">
        <v>25594210.830000039</v>
      </c>
      <c r="BV14" s="26">
        <v>31753690.470000003</v>
      </c>
      <c r="BW14" s="26">
        <v>31012969.50999999</v>
      </c>
      <c r="BX14" s="26">
        <v>30926171.790000003</v>
      </c>
      <c r="BY14" s="26">
        <v>28453699.869999997</v>
      </c>
      <c r="BZ14" s="26">
        <v>29395327.180000015</v>
      </c>
      <c r="CA14" s="26">
        <v>28834912.010000028</v>
      </c>
      <c r="CB14" s="26">
        <v>24521738.939999968</v>
      </c>
      <c r="CC14" s="26">
        <v>26678841.040000036</v>
      </c>
    </row>
    <row r="15" spans="1:81" x14ac:dyDescent="0.35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</row>
    <row r="16" spans="1:81" x14ac:dyDescent="0.35">
      <c r="A16" t="s">
        <v>62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</row>
    <row r="17" spans="1:81" x14ac:dyDescent="0.35">
      <c r="A17" t="s">
        <v>63</v>
      </c>
      <c r="B17" s="23">
        <v>7113966.5</v>
      </c>
      <c r="C17" s="23">
        <v>9884370.9900000002</v>
      </c>
      <c r="D17" s="23">
        <v>8697480.3000000007</v>
      </c>
      <c r="E17" s="23">
        <v>3809018.7899999968</v>
      </c>
      <c r="F17" s="23">
        <v>7727115.8400000017</v>
      </c>
      <c r="G17" s="23">
        <v>4590399.37</v>
      </c>
      <c r="H17" s="23">
        <v>6983276.6599999964</v>
      </c>
      <c r="I17" s="23">
        <v>10972814.080000006</v>
      </c>
      <c r="J17" s="23">
        <v>11352546.730000006</v>
      </c>
      <c r="K17" s="23">
        <v>7555087.6799999941</v>
      </c>
      <c r="L17" s="23">
        <v>10053199.049999993</v>
      </c>
      <c r="M17" s="23">
        <v>6308006.8100000117</v>
      </c>
      <c r="N17" s="23">
        <v>6824439.0299999993</v>
      </c>
      <c r="O17" s="23">
        <v>8900427.3999999985</v>
      </c>
      <c r="P17" s="23">
        <v>9951874.2699999996</v>
      </c>
      <c r="Q17" s="23">
        <v>7841328.9200000009</v>
      </c>
      <c r="R17" s="23">
        <v>10143573.879999997</v>
      </c>
      <c r="S17" s="23">
        <v>9170230.4300000053</v>
      </c>
      <c r="T17" s="23">
        <v>9322903.0599999987</v>
      </c>
      <c r="U17" s="23">
        <v>12742737.899999991</v>
      </c>
      <c r="V17" s="23">
        <v>10344680.31000001</v>
      </c>
      <c r="W17" s="23">
        <v>9185294.1300000008</v>
      </c>
      <c r="X17" s="23">
        <v>9735815.1299999878</v>
      </c>
      <c r="Y17" s="23">
        <v>6996589.9799999967</v>
      </c>
      <c r="Z17" s="23">
        <v>7710739.790000001</v>
      </c>
      <c r="AA17" s="23">
        <v>8832035.4199999999</v>
      </c>
      <c r="AB17" s="23">
        <v>9281109.9100000039</v>
      </c>
      <c r="AC17" s="23">
        <v>9373805.3799999934</v>
      </c>
      <c r="AD17" s="23">
        <v>11637365.660000008</v>
      </c>
      <c r="AE17" s="23">
        <v>9384408.709999999</v>
      </c>
      <c r="AF17" s="23">
        <v>13723421.579999996</v>
      </c>
      <c r="AG17" s="23">
        <v>11123792.119999997</v>
      </c>
      <c r="AH17" s="23">
        <v>9254343.4299999923</v>
      </c>
      <c r="AI17" s="23">
        <v>6756314.0399999972</v>
      </c>
      <c r="AJ17" s="23">
        <v>14090957.800000021</v>
      </c>
      <c r="AK17" s="23">
        <v>2297884.469999982</v>
      </c>
      <c r="AL17" s="23">
        <v>6765513.8399999999</v>
      </c>
      <c r="AM17" s="23">
        <v>11321924.489999998</v>
      </c>
      <c r="AN17" s="23">
        <v>10321989.560000004</v>
      </c>
      <c r="AO17" s="23">
        <v>8254533.1900000013</v>
      </c>
      <c r="AP17" s="23">
        <v>10854006.389999989</v>
      </c>
      <c r="AQ17" s="23">
        <v>12829760.420000006</v>
      </c>
      <c r="AR17" s="23">
        <v>11820768.959999997</v>
      </c>
      <c r="AS17" s="23">
        <v>18611648.470000006</v>
      </c>
      <c r="AT17" s="23">
        <v>12555129.970000003</v>
      </c>
      <c r="AU17" s="23">
        <v>15253615.689999994</v>
      </c>
      <c r="AV17" s="23">
        <v>14732271.990000004</v>
      </c>
      <c r="AW17" s="23">
        <v>9039569.9099999592</v>
      </c>
      <c r="AX17" s="23">
        <v>13932467.33</v>
      </c>
      <c r="AY17" s="23">
        <v>16630568.760000004</v>
      </c>
      <c r="AZ17" s="23">
        <v>14694316.609999998</v>
      </c>
      <c r="BA17" s="23">
        <v>10081775.409999998</v>
      </c>
      <c r="BB17" s="23">
        <v>17196724.23</v>
      </c>
      <c r="BC17" s="23">
        <v>12580387.769999994</v>
      </c>
      <c r="BD17" s="23">
        <v>16360572.299999995</v>
      </c>
      <c r="BE17" s="23">
        <v>18734342.390000015</v>
      </c>
      <c r="BF17" s="23">
        <v>17676141.999999978</v>
      </c>
      <c r="BG17" s="23">
        <v>13516190.73000003</v>
      </c>
      <c r="BH17" s="23">
        <v>25291570.989999939</v>
      </c>
      <c r="BI17" s="23">
        <v>-301999.36999996053</v>
      </c>
      <c r="BJ17" s="23">
        <v>18337739.619999997</v>
      </c>
      <c r="BK17" s="23">
        <v>13878685.200000003</v>
      </c>
      <c r="BL17" s="23">
        <v>18932472.740000002</v>
      </c>
      <c r="BM17" s="23">
        <v>16094575.399999993</v>
      </c>
      <c r="BN17" s="23">
        <v>16440400.010000002</v>
      </c>
      <c r="BO17" s="23">
        <v>17529443.11999999</v>
      </c>
      <c r="BP17" s="23">
        <v>19621431.069999989</v>
      </c>
      <c r="BQ17" s="23">
        <v>15231022.500000013</v>
      </c>
      <c r="BR17" s="23">
        <f>BR18+BR23</f>
        <v>14789919.210000014</v>
      </c>
      <c r="BS17" s="23">
        <f>BS18+BS23</f>
        <v>15192432.679999996</v>
      </c>
      <c r="BT17" s="23">
        <v>13634829.42999999</v>
      </c>
      <c r="BU17" s="23">
        <v>11775673.420000002</v>
      </c>
      <c r="BV17" s="23">
        <v>15752667.720000001</v>
      </c>
      <c r="BW17" s="23">
        <v>14115381.499999998</v>
      </c>
      <c r="BX17" s="23">
        <v>12785418.779999997</v>
      </c>
      <c r="BY17" s="23">
        <v>15516204.929999996</v>
      </c>
      <c r="BZ17" s="23">
        <v>13686700.810000006</v>
      </c>
      <c r="CA17" s="23">
        <v>13813409.599999998</v>
      </c>
      <c r="CB17" s="23">
        <v>9587218.3100000024</v>
      </c>
      <c r="CC17" s="23">
        <v>15275229.890000004</v>
      </c>
    </row>
    <row r="18" spans="1:81" x14ac:dyDescent="0.35">
      <c r="A18" t="s">
        <v>64</v>
      </c>
      <c r="B18" s="23">
        <v>120313.7200000002</v>
      </c>
      <c r="C18" s="23">
        <v>835532.51999999909</v>
      </c>
      <c r="D18" s="23">
        <v>791832.42000000086</v>
      </c>
      <c r="E18" s="23">
        <v>355082.01999999955</v>
      </c>
      <c r="F18" s="23">
        <v>573945.24000000022</v>
      </c>
      <c r="G18" s="23">
        <v>-1061358.5299999993</v>
      </c>
      <c r="H18" s="23">
        <v>-169681.6400000006</v>
      </c>
      <c r="I18" s="23">
        <v>3570095.9000000022</v>
      </c>
      <c r="J18" s="23">
        <v>313364.38999999687</v>
      </c>
      <c r="K18" s="23">
        <v>343585</v>
      </c>
      <c r="L18" s="23">
        <v>-321694.77000000328</v>
      </c>
      <c r="M18" s="23">
        <v>-2663435.8399999961</v>
      </c>
      <c r="N18" s="23">
        <v>53832.160000000149</v>
      </c>
      <c r="O18" s="23">
        <v>3772.6599999992177</v>
      </c>
      <c r="P18" s="23">
        <v>502572.29000000004</v>
      </c>
      <c r="Q18" s="23">
        <v>523176.08999999985</v>
      </c>
      <c r="R18" s="23">
        <v>230908.08000000007</v>
      </c>
      <c r="S18" s="23">
        <v>-284830.72999999858</v>
      </c>
      <c r="T18" s="23">
        <v>492714.77999999747</v>
      </c>
      <c r="U18" s="23">
        <v>4159186.3200000003</v>
      </c>
      <c r="V18" s="23">
        <v>-1974352.4100000001</v>
      </c>
      <c r="W18" s="23">
        <v>-58498.900000002235</v>
      </c>
      <c r="X18" s="23">
        <v>-468636.26999999583</v>
      </c>
      <c r="Y18" s="23">
        <v>-3595350.1900000051</v>
      </c>
      <c r="Z18" s="23">
        <v>-8793.3100000000559</v>
      </c>
      <c r="AA18" s="23">
        <v>-118575.8900000006</v>
      </c>
      <c r="AB18" s="23">
        <v>-92167.779999999329</v>
      </c>
      <c r="AC18" s="23">
        <v>-322021.8200000003</v>
      </c>
      <c r="AD18" s="23">
        <v>563112.17000000179</v>
      </c>
      <c r="AE18" s="23">
        <v>-215711.46999999881</v>
      </c>
      <c r="AF18" s="23">
        <v>4283849.4899999984</v>
      </c>
      <c r="AG18" s="23">
        <v>-321241.16000000387</v>
      </c>
      <c r="AH18" s="23">
        <v>-2727989.0399999991</v>
      </c>
      <c r="AI18" s="23">
        <v>-1446275.1000000015</v>
      </c>
      <c r="AJ18" s="23">
        <v>284526.18000000715</v>
      </c>
      <c r="AK18" s="23">
        <v>-10221038.75</v>
      </c>
      <c r="AL18" s="23">
        <v>-1008272.6699999999</v>
      </c>
      <c r="AM18" s="23">
        <v>-24332.860000001267</v>
      </c>
      <c r="AN18" s="23">
        <v>-690419.25999999791</v>
      </c>
      <c r="AO18" s="23">
        <v>-1568306.379999999</v>
      </c>
      <c r="AP18" s="23">
        <v>-470607.80000000447</v>
      </c>
      <c r="AQ18" s="23">
        <v>-436152.54999999702</v>
      </c>
      <c r="AR18" s="23">
        <v>2808892.8000000007</v>
      </c>
      <c r="AS18" s="23">
        <v>6237026.8599999994</v>
      </c>
      <c r="AT18" s="23">
        <v>1210060.1099999994</v>
      </c>
      <c r="AU18" s="23">
        <v>1824871.6400000006</v>
      </c>
      <c r="AV18" s="23">
        <v>2075392.6699999943</v>
      </c>
      <c r="AW18" s="23">
        <v>-7634488.9699999914</v>
      </c>
      <c r="AX18" s="23">
        <v>2721926.09</v>
      </c>
      <c r="AY18" s="23">
        <v>1085733.4000000004</v>
      </c>
      <c r="AZ18" s="23">
        <v>555719.42999999784</v>
      </c>
      <c r="BA18" s="23">
        <v>398073.6099999994</v>
      </c>
      <c r="BB18" s="23">
        <v>1431667.3800000027</v>
      </c>
      <c r="BC18" s="23">
        <v>-1328774.3600000031</v>
      </c>
      <c r="BD18" s="23">
        <v>-27025.94999999553</v>
      </c>
      <c r="BE18" s="23">
        <v>5727733.0599999949</v>
      </c>
      <c r="BF18" s="23">
        <v>577340.10000000149</v>
      </c>
      <c r="BG18" s="23">
        <v>104109.8900000006</v>
      </c>
      <c r="BH18" s="23">
        <v>1493657.6699999943</v>
      </c>
      <c r="BI18" s="23">
        <v>-3315632.2900000066</v>
      </c>
      <c r="BJ18" s="23">
        <v>1094836.9099999992</v>
      </c>
      <c r="BK18" s="23">
        <v>1315905.3899999997</v>
      </c>
      <c r="BL18" s="23">
        <v>2202353.5100000016</v>
      </c>
      <c r="BM18" s="23">
        <v>-1569898.1399999987</v>
      </c>
      <c r="BN18" s="23">
        <v>-696884.21000000462</v>
      </c>
      <c r="BO18" s="23">
        <v>111189.22000000253</v>
      </c>
      <c r="BP18" s="23">
        <v>620885.77999999374</v>
      </c>
      <c r="BQ18" s="23">
        <v>232381.13000000268</v>
      </c>
      <c r="BR18" s="23">
        <v>810350.90000000596</v>
      </c>
      <c r="BS18" s="23">
        <v>-439432.1400000006</v>
      </c>
      <c r="BT18" s="23">
        <v>-266080.74000000209</v>
      </c>
      <c r="BU18" s="23">
        <v>-3163330.2699999958</v>
      </c>
      <c r="BV18" s="23">
        <v>707888.91999999993</v>
      </c>
      <c r="BW18" s="23">
        <v>1088468.6999999993</v>
      </c>
      <c r="BX18" s="23">
        <v>93216.230000000447</v>
      </c>
      <c r="BY18" s="23">
        <v>1006076.9500000011</v>
      </c>
      <c r="BZ18" s="23">
        <v>679772.00999999791</v>
      </c>
      <c r="CA18" s="23">
        <v>-973590.80999999866</v>
      </c>
      <c r="CB18" s="23">
        <v>-1793446.4800000004</v>
      </c>
      <c r="CC18" s="23">
        <v>-589713.58000000194</v>
      </c>
    </row>
    <row r="19" spans="1:81" x14ac:dyDescent="0.35">
      <c r="A19" t="s">
        <v>65</v>
      </c>
      <c r="B19" s="23">
        <v>3024484.45</v>
      </c>
      <c r="C19" s="23">
        <v>3498757.3199999994</v>
      </c>
      <c r="D19" s="23">
        <v>3751273.3800000008</v>
      </c>
      <c r="E19" s="23">
        <v>3425475.1399999987</v>
      </c>
      <c r="F19" s="23">
        <v>3044231.6500000004</v>
      </c>
      <c r="G19" s="23">
        <v>2587761.2500000019</v>
      </c>
      <c r="H19" s="23">
        <v>3276083.5700000003</v>
      </c>
      <c r="I19" s="23">
        <v>6923983.2899999991</v>
      </c>
      <c r="J19" s="23">
        <v>3564924.0799999982</v>
      </c>
      <c r="K19" s="23">
        <v>3698943.129999999</v>
      </c>
      <c r="L19" s="23">
        <v>3926752.3200000003</v>
      </c>
      <c r="M19" s="23">
        <v>3300743.5</v>
      </c>
      <c r="N19" s="23">
        <v>3277858.04</v>
      </c>
      <c r="O19" s="23">
        <v>3554252.5199999996</v>
      </c>
      <c r="P19" s="23">
        <v>4027396.4300000006</v>
      </c>
      <c r="Q19" s="23">
        <v>3316764.4499999993</v>
      </c>
      <c r="R19" s="23">
        <v>3364876.6500000004</v>
      </c>
      <c r="S19" s="23">
        <v>3613173.3900000006</v>
      </c>
      <c r="T19" s="23">
        <v>3858499.7699999996</v>
      </c>
      <c r="U19" s="23">
        <v>7592182.8200000003</v>
      </c>
      <c r="V19" s="23">
        <v>2019611.8599999994</v>
      </c>
      <c r="W19" s="23">
        <v>3785578.6799999997</v>
      </c>
      <c r="X19" s="23">
        <v>3905050.5600000024</v>
      </c>
      <c r="Y19" s="23">
        <v>2221386.4799999967</v>
      </c>
      <c r="Z19" s="23">
        <v>3830851.75</v>
      </c>
      <c r="AA19" s="23">
        <v>4798084.5399999991</v>
      </c>
      <c r="AB19" s="23">
        <v>4301116.790000001</v>
      </c>
      <c r="AC19" s="23">
        <v>3992240.33</v>
      </c>
      <c r="AD19" s="23">
        <v>4204417.0199999996</v>
      </c>
      <c r="AE19" s="23">
        <v>4483427.5100000016</v>
      </c>
      <c r="AF19" s="23">
        <v>9109704.0599999987</v>
      </c>
      <c r="AG19" s="23">
        <v>5942813.3599999994</v>
      </c>
      <c r="AH19" s="23">
        <v>3999655.7599999979</v>
      </c>
      <c r="AI19" s="23">
        <v>4138935.9299999997</v>
      </c>
      <c r="AJ19" s="23">
        <v>5269448.2700000033</v>
      </c>
      <c r="AK19" s="23">
        <v>793401.27000000328</v>
      </c>
      <c r="AL19" s="23">
        <v>4240265.3499999996</v>
      </c>
      <c r="AM19" s="23">
        <v>4963076.1899999995</v>
      </c>
      <c r="AN19" s="23">
        <v>4741762.3600000013</v>
      </c>
      <c r="AO19" s="23">
        <v>3228950.0200000014</v>
      </c>
      <c r="AP19" s="23">
        <v>4863788.5299999975</v>
      </c>
      <c r="AQ19" s="23">
        <v>5259635.120000001</v>
      </c>
      <c r="AR19" s="23">
        <v>7478272.6700000018</v>
      </c>
      <c r="AS19" s="23">
        <v>11192491.079999998</v>
      </c>
      <c r="AT19" s="23">
        <v>6454812.8800000027</v>
      </c>
      <c r="AU19" s="23">
        <v>6090431.599999994</v>
      </c>
      <c r="AV19" s="23">
        <v>6737528.8599999994</v>
      </c>
      <c r="AW19" s="23">
        <v>5083506.0300000012</v>
      </c>
      <c r="AX19" s="23">
        <v>7924344.0099999998</v>
      </c>
      <c r="AY19" s="23">
        <v>6512949.6799999997</v>
      </c>
      <c r="AZ19" s="23">
        <v>5290897.3899999987</v>
      </c>
      <c r="BA19" s="23">
        <v>5516307.3900000006</v>
      </c>
      <c r="BB19" s="23">
        <v>6240834.6500000022</v>
      </c>
      <c r="BC19" s="23">
        <v>4524763.2799999975</v>
      </c>
      <c r="BD19" s="23">
        <v>4608769.3100000024</v>
      </c>
      <c r="BE19" s="23">
        <v>12529886.949999996</v>
      </c>
      <c r="BF19" s="23">
        <v>5625694.6400000006</v>
      </c>
      <c r="BG19" s="23">
        <v>5829959.0300000012</v>
      </c>
      <c r="BH19" s="23">
        <v>7402726.2399999946</v>
      </c>
      <c r="BI19" s="23">
        <v>4799851.8900000006</v>
      </c>
      <c r="BJ19" s="23">
        <v>6580103.0999999996</v>
      </c>
      <c r="BK19" s="23">
        <v>6094848.6799999997</v>
      </c>
      <c r="BL19" s="23">
        <v>7072791.5600000005</v>
      </c>
      <c r="BM19" s="23">
        <v>2982831.3200000003</v>
      </c>
      <c r="BN19" s="23">
        <v>4745091.9899999984</v>
      </c>
      <c r="BO19" s="23">
        <v>5170294.2100000009</v>
      </c>
      <c r="BP19" s="23">
        <v>5789330.299999997</v>
      </c>
      <c r="BQ19" s="23">
        <v>5605692.3500000015</v>
      </c>
      <c r="BR19" s="23">
        <v>5699791.0600000024</v>
      </c>
      <c r="BS19" s="23">
        <v>4546605.9200000018</v>
      </c>
      <c r="BT19" s="23">
        <v>4531253.8999999985</v>
      </c>
      <c r="BU19" s="23">
        <v>2897551.2800000012</v>
      </c>
      <c r="BV19" s="23">
        <v>4980433.01</v>
      </c>
      <c r="BW19" s="23">
        <v>5846744.9900000002</v>
      </c>
      <c r="BX19" s="23">
        <v>5075350.07</v>
      </c>
      <c r="BY19" s="23">
        <v>4581437.3500000015</v>
      </c>
      <c r="BZ19" s="23">
        <v>4315722.9099999964</v>
      </c>
      <c r="CA19" s="23">
        <v>4104502.0100000016</v>
      </c>
      <c r="CB19" s="23">
        <v>2903721.4899999984</v>
      </c>
      <c r="CC19" s="23">
        <v>4370450.3299999982</v>
      </c>
    </row>
    <row r="20" spans="1:81" x14ac:dyDescent="0.35">
      <c r="A20" t="s">
        <v>62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</row>
    <row r="21" spans="1:81" x14ac:dyDescent="0.35">
      <c r="A21" t="s">
        <v>66</v>
      </c>
      <c r="B21" s="23">
        <v>2904170.73</v>
      </c>
      <c r="C21" s="23">
        <v>2663224.8000000003</v>
      </c>
      <c r="D21" s="23">
        <v>2959440.96</v>
      </c>
      <c r="E21" s="23">
        <v>3070393.1199999992</v>
      </c>
      <c r="F21" s="23">
        <v>2470286.41</v>
      </c>
      <c r="G21" s="23">
        <v>3649119.7800000012</v>
      </c>
      <c r="H21" s="23">
        <v>3445765.2100000009</v>
      </c>
      <c r="I21" s="23">
        <v>3353887.3899999969</v>
      </c>
      <c r="J21" s="23">
        <v>3251559.6900000013</v>
      </c>
      <c r="K21" s="23">
        <v>3355358.129999999</v>
      </c>
      <c r="L21" s="23">
        <v>4248447.0900000036</v>
      </c>
      <c r="M21" s="23">
        <v>5964179.3399999961</v>
      </c>
      <c r="N21" s="23">
        <v>3224025.88</v>
      </c>
      <c r="O21" s="23">
        <v>3550479.8600000003</v>
      </c>
      <c r="P21" s="23">
        <v>3524824.1400000006</v>
      </c>
      <c r="Q21" s="23">
        <v>2793588.3599999994</v>
      </c>
      <c r="R21" s="23">
        <v>3133968.5700000003</v>
      </c>
      <c r="S21" s="23">
        <v>3898004.1199999992</v>
      </c>
      <c r="T21" s="23">
        <v>3365784.9900000021</v>
      </c>
      <c r="U21" s="23">
        <v>3432996.5</v>
      </c>
      <c r="V21" s="23">
        <v>3993964.2699999996</v>
      </c>
      <c r="W21" s="23">
        <v>3844077.5800000019</v>
      </c>
      <c r="X21" s="23">
        <v>4373686.8299999982</v>
      </c>
      <c r="Y21" s="23">
        <v>5816736.6700000018</v>
      </c>
      <c r="Z21" s="23">
        <v>3839645.06</v>
      </c>
      <c r="AA21" s="23">
        <v>4916660.43</v>
      </c>
      <c r="AB21" s="23">
        <v>4393284.57</v>
      </c>
      <c r="AC21" s="23">
        <v>4314262.1500000004</v>
      </c>
      <c r="AD21" s="23">
        <v>3641304.8499999978</v>
      </c>
      <c r="AE21" s="23">
        <v>4699138.9800000004</v>
      </c>
      <c r="AF21" s="23">
        <v>4825854.57</v>
      </c>
      <c r="AG21" s="23">
        <v>6264054.5200000033</v>
      </c>
      <c r="AH21" s="23">
        <v>6727644.799999997</v>
      </c>
      <c r="AI21" s="23">
        <v>5585211.0300000012</v>
      </c>
      <c r="AJ21" s="23">
        <v>4984922.0899999961</v>
      </c>
      <c r="AK21" s="23">
        <v>11014440.020000003</v>
      </c>
      <c r="AL21" s="23">
        <v>5248538.0199999996</v>
      </c>
      <c r="AM21" s="23">
        <v>4987409.0500000007</v>
      </c>
      <c r="AN21" s="23">
        <v>5432181.6199999992</v>
      </c>
      <c r="AO21" s="23">
        <v>4797256.4000000004</v>
      </c>
      <c r="AP21" s="23">
        <v>5334396.3300000019</v>
      </c>
      <c r="AQ21" s="23">
        <v>5695787.6699999981</v>
      </c>
      <c r="AR21" s="23">
        <v>4669379.870000001</v>
      </c>
      <c r="AS21" s="23">
        <v>4955464.2199999988</v>
      </c>
      <c r="AT21" s="23">
        <v>5244752.7700000033</v>
      </c>
      <c r="AU21" s="23">
        <v>4265559.9599999934</v>
      </c>
      <c r="AV21" s="23">
        <v>4662136.1900000051</v>
      </c>
      <c r="AW21" s="23">
        <v>12717994.999999993</v>
      </c>
      <c r="AX21" s="23">
        <v>5202417.92</v>
      </c>
      <c r="AY21" s="23">
        <v>5427216.2799999993</v>
      </c>
      <c r="AZ21" s="23">
        <v>4735177.9600000009</v>
      </c>
      <c r="BA21" s="23">
        <v>5118233.7800000012</v>
      </c>
      <c r="BB21" s="23">
        <v>4809167.2699999996</v>
      </c>
      <c r="BC21" s="23">
        <v>5853537.6400000006</v>
      </c>
      <c r="BD21" s="23">
        <v>4635795.2599999979</v>
      </c>
      <c r="BE21" s="23">
        <v>6802153.8900000006</v>
      </c>
      <c r="BF21" s="23">
        <v>5048354.5399999991</v>
      </c>
      <c r="BG21" s="23">
        <v>5725849.1400000006</v>
      </c>
      <c r="BH21" s="23">
        <v>5909068.5700000003</v>
      </c>
      <c r="BI21" s="23">
        <v>8115484.1800000072</v>
      </c>
      <c r="BJ21" s="23">
        <v>5485266.1900000004</v>
      </c>
      <c r="BK21" s="23">
        <v>4778943.29</v>
      </c>
      <c r="BL21" s="23">
        <v>4870438.0499999989</v>
      </c>
      <c r="BM21" s="23">
        <v>4552729.459999999</v>
      </c>
      <c r="BN21" s="23">
        <v>5441976.200000003</v>
      </c>
      <c r="BO21" s="23">
        <v>5059104.9899999984</v>
      </c>
      <c r="BP21" s="23">
        <v>5168444.5200000033</v>
      </c>
      <c r="BQ21" s="23">
        <v>5373311.2199999988</v>
      </c>
      <c r="BR21" s="23">
        <v>4889440.1599999964</v>
      </c>
      <c r="BS21" s="23">
        <v>4986038.0600000024</v>
      </c>
      <c r="BT21" s="23">
        <v>4797334.6400000006</v>
      </c>
      <c r="BU21" s="23">
        <v>6060881.549999997</v>
      </c>
      <c r="BV21" s="23">
        <v>4272544.09</v>
      </c>
      <c r="BW21" s="23">
        <v>4758276.290000001</v>
      </c>
      <c r="BX21" s="23">
        <v>4982133.84</v>
      </c>
      <c r="BY21" s="23">
        <v>3575360.4000000004</v>
      </c>
      <c r="BZ21" s="23">
        <v>3635950.8999999985</v>
      </c>
      <c r="CA21" s="23">
        <v>5078092.82</v>
      </c>
      <c r="CB21" s="23">
        <v>4697167.9699999988</v>
      </c>
      <c r="CC21" s="23">
        <v>4960163.91</v>
      </c>
    </row>
    <row r="22" spans="1:81" x14ac:dyDescent="0.35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</row>
    <row r="23" spans="1:81" x14ac:dyDescent="0.35">
      <c r="A23" t="s">
        <v>22</v>
      </c>
      <c r="B23" s="23">
        <v>6993652.7800000003</v>
      </c>
      <c r="C23" s="23">
        <v>9048838.4700000007</v>
      </c>
      <c r="D23" s="23">
        <v>7905647.879999999</v>
      </c>
      <c r="E23" s="23">
        <v>3453936.7699999972</v>
      </c>
      <c r="F23" s="23">
        <v>7153170.6000000015</v>
      </c>
      <c r="G23" s="23">
        <v>5651757.8999999994</v>
      </c>
      <c r="H23" s="23">
        <v>7152958.299999997</v>
      </c>
      <c r="I23" s="23">
        <v>7402718.1800000034</v>
      </c>
      <c r="J23" s="23">
        <v>11039182.340000009</v>
      </c>
      <c r="K23" s="23">
        <v>7211502.6799999941</v>
      </c>
      <c r="L23" s="23">
        <v>10374893.819999997</v>
      </c>
      <c r="M23" s="23">
        <v>8971442.6500000078</v>
      </c>
      <c r="N23" s="23">
        <v>6770606.8699999992</v>
      </c>
      <c r="O23" s="23">
        <v>8896654.7399999984</v>
      </c>
      <c r="P23" s="23">
        <v>9449301.9800000004</v>
      </c>
      <c r="Q23" s="23">
        <v>7318152.830000001</v>
      </c>
      <c r="R23" s="23">
        <v>9912665.799999997</v>
      </c>
      <c r="S23" s="23">
        <v>9455061.1600000039</v>
      </c>
      <c r="T23" s="23">
        <v>8830188.2800000012</v>
      </c>
      <c r="U23" s="23">
        <v>8583551.5799999908</v>
      </c>
      <c r="V23" s="23">
        <v>12319032.72000001</v>
      </c>
      <c r="W23" s="23">
        <v>9243793.0300000031</v>
      </c>
      <c r="X23" s="23">
        <v>10204451.399999984</v>
      </c>
      <c r="Y23" s="23">
        <v>10591940.170000002</v>
      </c>
      <c r="Z23" s="23">
        <v>7719533.1000000006</v>
      </c>
      <c r="AA23" s="23">
        <v>8950611.3100000005</v>
      </c>
      <c r="AB23" s="23">
        <v>9373277.6900000032</v>
      </c>
      <c r="AC23" s="23">
        <v>9695827.1999999937</v>
      </c>
      <c r="AD23" s="23">
        <v>11074253.490000006</v>
      </c>
      <c r="AE23" s="23">
        <v>9600120.1799999978</v>
      </c>
      <c r="AF23" s="23">
        <v>9439572.089999998</v>
      </c>
      <c r="AG23" s="23">
        <v>11445033.280000001</v>
      </c>
      <c r="AH23" s="23">
        <v>11982332.469999991</v>
      </c>
      <c r="AI23" s="23">
        <v>8202589.1399999987</v>
      </c>
      <c r="AJ23" s="23">
        <v>13806431.620000014</v>
      </c>
      <c r="AK23" s="23">
        <v>12518923.219999982</v>
      </c>
      <c r="AL23" s="23">
        <v>7773786.5099999998</v>
      </c>
      <c r="AM23" s="23">
        <v>11346257.35</v>
      </c>
      <c r="AN23" s="23">
        <v>11012408.820000002</v>
      </c>
      <c r="AO23" s="23">
        <v>9822839.5700000003</v>
      </c>
      <c r="AP23" s="23">
        <v>11324614.189999994</v>
      </c>
      <c r="AQ23" s="23">
        <v>13265912.970000003</v>
      </c>
      <c r="AR23" s="23">
        <v>9011876.1599999964</v>
      </c>
      <c r="AS23" s="23">
        <v>12374621.610000007</v>
      </c>
      <c r="AT23" s="23">
        <v>11345069.860000003</v>
      </c>
      <c r="AU23" s="23">
        <v>13428744.049999993</v>
      </c>
      <c r="AV23" s="23">
        <v>12656879.32000001</v>
      </c>
      <c r="AW23" s="23">
        <v>16674058.879999951</v>
      </c>
      <c r="AX23" s="23">
        <v>11210541.24</v>
      </c>
      <c r="AY23" s="23">
        <v>15544835.360000003</v>
      </c>
      <c r="AZ23" s="23">
        <v>14138597.18</v>
      </c>
      <c r="BA23" s="23">
        <v>9683701.7999999989</v>
      </c>
      <c r="BB23" s="23">
        <v>15765056.849999998</v>
      </c>
      <c r="BC23" s="23">
        <v>13909162.129999997</v>
      </c>
      <c r="BD23" s="23">
        <v>16387598.249999991</v>
      </c>
      <c r="BE23" s="23">
        <v>13006609.330000022</v>
      </c>
      <c r="BF23" s="23">
        <v>17098801.899999976</v>
      </c>
      <c r="BG23" s="23">
        <v>13412080.84000003</v>
      </c>
      <c r="BH23" s="23">
        <v>23797913.319999944</v>
      </c>
      <c r="BI23" s="23">
        <v>3013632.920000046</v>
      </c>
      <c r="BJ23" s="23">
        <v>17242902.709999997</v>
      </c>
      <c r="BK23" s="23">
        <v>12562779.810000002</v>
      </c>
      <c r="BL23" s="23">
        <v>16730119.229999999</v>
      </c>
      <c r="BM23" s="23">
        <v>17664473.539999992</v>
      </c>
      <c r="BN23" s="23">
        <v>17137284.220000006</v>
      </c>
      <c r="BO23" s="23">
        <v>17418253.899999987</v>
      </c>
      <c r="BP23" s="23">
        <v>19000545.289999995</v>
      </c>
      <c r="BQ23" s="23">
        <v>14998641.37000001</v>
      </c>
      <c r="BR23" s="23">
        <v>13979568.310000008</v>
      </c>
      <c r="BS23" s="23">
        <v>15631864.819999997</v>
      </c>
      <c r="BT23" s="23">
        <v>13900910.169999992</v>
      </c>
      <c r="BU23" s="23">
        <v>14939003.689999998</v>
      </c>
      <c r="BV23" s="23">
        <v>15044778.800000001</v>
      </c>
      <c r="BW23" s="23">
        <v>13026912.799999999</v>
      </c>
      <c r="BX23" s="23">
        <v>12692202.549999997</v>
      </c>
      <c r="BY23" s="23">
        <v>14510127.979999995</v>
      </c>
      <c r="BZ23" s="23">
        <v>13006928.800000008</v>
      </c>
      <c r="CA23" s="23">
        <v>14787000.409999996</v>
      </c>
      <c r="CB23" s="23">
        <v>11380664.790000003</v>
      </c>
      <c r="CC23" s="23">
        <v>15864943.470000006</v>
      </c>
    </row>
    <row r="24" spans="1:81" x14ac:dyDescent="0.35">
      <c r="A24" t="s">
        <v>67</v>
      </c>
      <c r="B24" s="23">
        <v>8807887.0099999998</v>
      </c>
      <c r="C24" s="23">
        <v>13308891.340000002</v>
      </c>
      <c r="D24" s="23">
        <v>11157094.349999998</v>
      </c>
      <c r="E24" s="23">
        <v>3336605.0299999975</v>
      </c>
      <c r="F24" s="23">
        <v>15816540.920000002</v>
      </c>
      <c r="G24" s="23">
        <v>10023694.93</v>
      </c>
      <c r="H24" s="23">
        <v>7229379.3799999952</v>
      </c>
      <c r="I24" s="23">
        <v>10283221.840000004</v>
      </c>
      <c r="J24" s="23">
        <v>18626218.74000001</v>
      </c>
      <c r="K24" s="23">
        <v>10458916.969999999</v>
      </c>
      <c r="L24" s="23">
        <v>7108287.5699999928</v>
      </c>
      <c r="M24" s="23">
        <v>11607339.790000007</v>
      </c>
      <c r="N24" s="23">
        <v>-2363060.34</v>
      </c>
      <c r="O24" s="23">
        <v>6859612.0599999996</v>
      </c>
      <c r="P24" s="23">
        <v>14626037.57</v>
      </c>
      <c r="Q24" s="23">
        <v>929620.8200000003</v>
      </c>
      <c r="R24" s="23">
        <v>18686186.869999997</v>
      </c>
      <c r="S24" s="23">
        <v>19329577.700000003</v>
      </c>
      <c r="T24" s="23">
        <v>13222828.740000002</v>
      </c>
      <c r="U24" s="23">
        <v>9309938.2899999917</v>
      </c>
      <c r="V24" s="23">
        <v>21724532.99000001</v>
      </c>
      <c r="W24" s="23">
        <v>25805005.359999999</v>
      </c>
      <c r="X24" s="23">
        <v>21819524.949999988</v>
      </c>
      <c r="Y24" s="23">
        <v>7345269.3700000048</v>
      </c>
      <c r="Z24" s="23">
        <v>13452822.220000001</v>
      </c>
      <c r="AA24" s="23">
        <v>14749289.33</v>
      </c>
      <c r="AB24" s="23">
        <v>12607380.400000002</v>
      </c>
      <c r="AC24" s="23">
        <v>16197630.849999994</v>
      </c>
      <c r="AD24" s="23">
        <v>19325733.730000004</v>
      </c>
      <c r="AE24" s="23">
        <v>14509473.030000001</v>
      </c>
      <c r="AF24" s="23">
        <v>14400913.439999998</v>
      </c>
      <c r="AG24" s="23">
        <v>17705656.890000001</v>
      </c>
      <c r="AH24" s="23">
        <v>14774008.089999989</v>
      </c>
      <c r="AI24" s="23">
        <v>8181337.5900000036</v>
      </c>
      <c r="AJ24" s="23">
        <v>16909082.800000012</v>
      </c>
      <c r="AK24" s="23">
        <v>30291024.549999982</v>
      </c>
      <c r="AL24" s="23">
        <v>11698822.32</v>
      </c>
      <c r="AM24" s="23">
        <v>15072244.59</v>
      </c>
      <c r="AN24" s="23">
        <v>6337585.4400000013</v>
      </c>
      <c r="AO24" s="23">
        <v>17730308.68</v>
      </c>
      <c r="AP24" s="23">
        <v>17229647.879999995</v>
      </c>
      <c r="AQ24" s="23">
        <v>19099974.310000002</v>
      </c>
      <c r="AR24" s="23">
        <v>9926828.6899999976</v>
      </c>
      <c r="AS24" s="23">
        <v>15796761.38000001</v>
      </c>
      <c r="AT24" s="23">
        <v>15226314</v>
      </c>
      <c r="AU24" s="23">
        <v>16875390.709999993</v>
      </c>
      <c r="AV24" s="23">
        <v>15460557.710000008</v>
      </c>
      <c r="AW24" s="23">
        <v>125498134.49999997</v>
      </c>
      <c r="AX24" s="23">
        <v>14362330.130000001</v>
      </c>
      <c r="AY24" s="23">
        <v>17790518.130000003</v>
      </c>
      <c r="AZ24" s="23">
        <v>17791578.16</v>
      </c>
      <c r="BA24" s="23">
        <v>16659308.079999998</v>
      </c>
      <c r="BB24" s="23">
        <v>-8407518.7199999988</v>
      </c>
      <c r="BC24" s="23">
        <v>25468165.769999996</v>
      </c>
      <c r="BD24" s="23">
        <v>145725914.56999999</v>
      </c>
      <c r="BE24" s="23">
        <v>22577831.680000007</v>
      </c>
      <c r="BF24" s="23">
        <v>20705038.649999976</v>
      </c>
      <c r="BG24" s="23">
        <v>35030633.900000036</v>
      </c>
      <c r="BH24" s="23">
        <v>32925521.609999955</v>
      </c>
      <c r="BI24" s="23">
        <v>25394509.01000005</v>
      </c>
      <c r="BJ24" s="23">
        <v>22034378.739999998</v>
      </c>
      <c r="BK24" s="23">
        <v>14666846.330000002</v>
      </c>
      <c r="BL24" s="23">
        <v>21620718.390000001</v>
      </c>
      <c r="BM24" s="23">
        <v>21406870.089999996</v>
      </c>
      <c r="BN24" s="23">
        <v>21652479.790000007</v>
      </c>
      <c r="BO24" s="23">
        <v>3943592.4799999893</v>
      </c>
      <c r="BP24" s="23">
        <v>34552417.599999994</v>
      </c>
      <c r="BQ24" s="23">
        <v>10177572.770000011</v>
      </c>
      <c r="BR24" s="23">
        <v>22863188.930000007</v>
      </c>
      <c r="BS24" s="23">
        <v>28994761.379999995</v>
      </c>
      <c r="BT24" s="23">
        <v>12159721.789999992</v>
      </c>
      <c r="BU24" s="23">
        <v>12590910</v>
      </c>
      <c r="BV24" s="23">
        <v>13837550.310000001</v>
      </c>
      <c r="BW24" s="23">
        <v>21843013.509999998</v>
      </c>
      <c r="BX24" s="23">
        <v>18092760.509999998</v>
      </c>
      <c r="BY24" s="23">
        <v>19922549.239999995</v>
      </c>
      <c r="BZ24" s="23">
        <v>38130339.080000013</v>
      </c>
      <c r="CA24" s="23">
        <v>22021218.069999993</v>
      </c>
      <c r="CB24" s="23">
        <v>14759001.340000004</v>
      </c>
      <c r="CC24" s="23">
        <v>17157227.49000001</v>
      </c>
    </row>
    <row r="25" spans="1:81" x14ac:dyDescent="0.35">
      <c r="A25" t="s">
        <v>68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1101607.6499999999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312577.81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18722.36</v>
      </c>
      <c r="BM25" s="23">
        <v>63801.240000000005</v>
      </c>
      <c r="BN25" s="23">
        <v>0</v>
      </c>
      <c r="BO25" s="23">
        <v>0</v>
      </c>
      <c r="BP25" s="23">
        <v>0</v>
      </c>
      <c r="BQ25" s="23">
        <v>0</v>
      </c>
      <c r="BR25" s="23">
        <v>0</v>
      </c>
      <c r="BS25" s="23">
        <v>0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23">
        <v>0</v>
      </c>
      <c r="BZ25" s="23">
        <v>0</v>
      </c>
      <c r="CA25" s="23">
        <v>0</v>
      </c>
      <c r="CB25" s="23">
        <v>0</v>
      </c>
      <c r="CC25" s="23">
        <v>0</v>
      </c>
    </row>
    <row r="26" spans="1:81" x14ac:dyDescent="0.35">
      <c r="A26" t="s">
        <v>62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</row>
    <row r="27" spans="1:81" x14ac:dyDescent="0.35">
      <c r="A27" t="s">
        <v>69</v>
      </c>
      <c r="B27" s="23">
        <v>1543260.84</v>
      </c>
      <c r="C27" s="23">
        <v>3900397.9800000004</v>
      </c>
      <c r="D27" s="23">
        <v>2998170.7899999991</v>
      </c>
      <c r="E27" s="23">
        <v>-315893.75999999978</v>
      </c>
      <c r="F27" s="23">
        <v>8636491.75</v>
      </c>
      <c r="G27" s="23">
        <v>4299856.6500000004</v>
      </c>
      <c r="H27" s="23">
        <v>-44154.690000001341</v>
      </c>
      <c r="I27" s="23">
        <v>2625547.41</v>
      </c>
      <c r="J27" s="23">
        <v>7293362.8399999999</v>
      </c>
      <c r="K27" s="23">
        <v>2794268.3900000043</v>
      </c>
      <c r="L27" s="23">
        <v>-3598072.4300000034</v>
      </c>
      <c r="M27" s="23">
        <v>2359784.129999999</v>
      </c>
      <c r="N27" s="23">
        <v>-9582587.1999999993</v>
      </c>
      <c r="O27" s="23">
        <v>-2172865.5700000003</v>
      </c>
      <c r="P27" s="23">
        <v>5046003.13</v>
      </c>
      <c r="Q27" s="23">
        <v>-6510894.9400000004</v>
      </c>
      <c r="R27" s="23">
        <v>8267090.4800000004</v>
      </c>
      <c r="S27" s="23">
        <v>9492920.3499999996</v>
      </c>
      <c r="T27" s="23">
        <v>4293702.57</v>
      </c>
      <c r="U27" s="23">
        <v>-61035.429999999702</v>
      </c>
      <c r="V27" s="23">
        <v>9197678.2699999996</v>
      </c>
      <c r="W27" s="23">
        <v>16365239.499999996</v>
      </c>
      <c r="X27" s="23">
        <v>11341754.480000004</v>
      </c>
      <c r="Y27" s="23">
        <v>-3388893.549999997</v>
      </c>
      <c r="Z27" s="23">
        <v>5491848.4800000004</v>
      </c>
      <c r="AA27" s="23">
        <v>5556463.2599999998</v>
      </c>
      <c r="AB27" s="23">
        <v>2777084.51</v>
      </c>
      <c r="AC27" s="23">
        <v>6358082.0700000003</v>
      </c>
      <c r="AD27" s="23">
        <v>8190817.0099999979</v>
      </c>
      <c r="AE27" s="23">
        <v>3952137.6800000034</v>
      </c>
      <c r="AF27" s="23">
        <v>4414286.2699999996</v>
      </c>
      <c r="AG27" s="23">
        <v>5376414.6099999994</v>
      </c>
      <c r="AH27" s="23">
        <v>2173934.6199999973</v>
      </c>
      <c r="AI27" s="23">
        <v>-349851.98999999464</v>
      </c>
      <c r="AJ27" s="23">
        <v>2834716.4399999976</v>
      </c>
      <c r="AK27" s="23">
        <v>16748057.890000001</v>
      </c>
      <c r="AL27" s="23">
        <v>2440858.65</v>
      </c>
      <c r="AM27" s="23">
        <v>2891476.4499999997</v>
      </c>
      <c r="AN27" s="23">
        <v>-5175973.46</v>
      </c>
      <c r="AO27" s="23">
        <v>7198825.0800000001</v>
      </c>
      <c r="AP27" s="23">
        <v>5475219.3899999997</v>
      </c>
      <c r="AQ27" s="23">
        <v>5399546.2300000004</v>
      </c>
      <c r="AR27" s="23">
        <v>245090.5</v>
      </c>
      <c r="AS27" s="23">
        <v>3005050.3300000019</v>
      </c>
      <c r="AT27" s="23">
        <v>2834203.4199999981</v>
      </c>
      <c r="AU27" s="23">
        <v>3378460.4299999997</v>
      </c>
      <c r="AV27" s="23">
        <v>2201242.4699999988</v>
      </c>
      <c r="AW27" s="23">
        <v>108247275.62000002</v>
      </c>
      <c r="AX27" s="23">
        <v>2960618.66</v>
      </c>
      <c r="AY27" s="23">
        <v>1755583.2599999998</v>
      </c>
      <c r="AZ27" s="23">
        <v>3346091.2700000005</v>
      </c>
      <c r="BA27" s="23">
        <v>6820825.3399999989</v>
      </c>
      <c r="BB27" s="23">
        <v>-25087598.939999998</v>
      </c>
      <c r="BC27" s="23">
        <v>11321450.189999999</v>
      </c>
      <c r="BD27" s="23">
        <v>129062560.42</v>
      </c>
      <c r="BE27" s="23">
        <v>9111567.2499999851</v>
      </c>
      <c r="BF27" s="23">
        <v>3225936.75</v>
      </c>
      <c r="BG27" s="23">
        <v>21110185.430000007</v>
      </c>
      <c r="BH27" s="23">
        <v>9064848.2700000107</v>
      </c>
      <c r="BI27" s="23">
        <v>20250168.340000004</v>
      </c>
      <c r="BJ27" s="23">
        <v>4237501.43</v>
      </c>
      <c r="BK27" s="23">
        <v>1639162.0700000003</v>
      </c>
      <c r="BL27" s="23">
        <v>4757020.2799999993</v>
      </c>
      <c r="BM27" s="23">
        <v>3600261.3100000005</v>
      </c>
      <c r="BN27" s="23">
        <v>4444208.9899999984</v>
      </c>
      <c r="BO27" s="23">
        <v>-15037499.099999998</v>
      </c>
      <c r="BP27" s="23">
        <v>15535458.359999999</v>
      </c>
      <c r="BQ27" s="23">
        <v>-5859761.8599999994</v>
      </c>
      <c r="BR27" s="23">
        <v>7988485.1099999994</v>
      </c>
      <c r="BS27" s="23">
        <v>12478294.77</v>
      </c>
      <c r="BT27" s="23">
        <v>-2150391.9600000009</v>
      </c>
      <c r="BU27" s="23">
        <v>-3613806.5099999979</v>
      </c>
      <c r="BV27" s="23">
        <v>-1531941.98</v>
      </c>
      <c r="BW27" s="23">
        <v>8184883.8399999999</v>
      </c>
      <c r="BX27" s="23">
        <v>4600770.2499999991</v>
      </c>
      <c r="BY27" s="23">
        <v>5332596.76</v>
      </c>
      <c r="BZ27" s="23">
        <v>23935765.620000005</v>
      </c>
      <c r="CA27" s="23">
        <v>6748592.8699999973</v>
      </c>
      <c r="CB27" s="23">
        <v>3165074.5</v>
      </c>
      <c r="CC27" s="23">
        <v>1273334.0200000033</v>
      </c>
    </row>
    <row r="28" spans="1:81" x14ac:dyDescent="0.35">
      <c r="A28" t="s">
        <v>70</v>
      </c>
      <c r="B28" s="23">
        <v>270973.39</v>
      </c>
      <c r="C28" s="23">
        <v>359654.89</v>
      </c>
      <c r="D28" s="23">
        <v>253275.67999999993</v>
      </c>
      <c r="E28" s="23">
        <v>198562.02000000002</v>
      </c>
      <c r="F28" s="23">
        <v>26878.570000000065</v>
      </c>
      <c r="G28" s="23">
        <v>72080.379999999888</v>
      </c>
      <c r="H28" s="23">
        <v>120575.77000000002</v>
      </c>
      <c r="I28" s="23">
        <v>254956.25</v>
      </c>
      <c r="J28" s="23">
        <v>293673.56000000006</v>
      </c>
      <c r="K28" s="23">
        <v>453145.90000000014</v>
      </c>
      <c r="L28" s="23">
        <v>331466.1799999997</v>
      </c>
      <c r="M28" s="23">
        <v>276113.01000000024</v>
      </c>
      <c r="N28" s="23">
        <v>448919.99</v>
      </c>
      <c r="O28" s="23">
        <v>135822.89000000001</v>
      </c>
      <c r="P28" s="23">
        <v>130732.45999999996</v>
      </c>
      <c r="Q28" s="23">
        <v>122362.93000000005</v>
      </c>
      <c r="R28" s="23">
        <v>506430.59000000008</v>
      </c>
      <c r="S28" s="23">
        <v>381596.18999999994</v>
      </c>
      <c r="T28" s="23">
        <v>98937.889999999898</v>
      </c>
      <c r="U28" s="23">
        <v>787422.14000000013</v>
      </c>
      <c r="V28" s="23">
        <v>207822</v>
      </c>
      <c r="W28" s="23">
        <v>195972.83000000007</v>
      </c>
      <c r="X28" s="23">
        <v>273319.06999999983</v>
      </c>
      <c r="Y28" s="23">
        <v>1243830.3999999999</v>
      </c>
      <c r="Z28" s="23">
        <v>241440.64000000001</v>
      </c>
      <c r="AA28" s="23">
        <v>242214.76</v>
      </c>
      <c r="AB28" s="23">
        <v>457018.19999999995</v>
      </c>
      <c r="AC28" s="23">
        <v>143721.57999999996</v>
      </c>
      <c r="AD28" s="23">
        <v>60663.229999999981</v>
      </c>
      <c r="AE28" s="23">
        <v>957215.17000000016</v>
      </c>
      <c r="AF28" s="23">
        <v>547055.08000000007</v>
      </c>
      <c r="AG28" s="23">
        <v>884209</v>
      </c>
      <c r="AH28" s="23">
        <v>617741</v>
      </c>
      <c r="AI28" s="23">
        <v>328600.43999999948</v>
      </c>
      <c r="AJ28" s="23">
        <v>267934.74000000022</v>
      </c>
      <c r="AK28" s="23">
        <v>1336621.25</v>
      </c>
      <c r="AL28" s="23">
        <v>1484177.16</v>
      </c>
      <c r="AM28" s="23">
        <v>834510.79000000027</v>
      </c>
      <c r="AN28" s="23">
        <v>501150.07999999961</v>
      </c>
      <c r="AO28" s="23">
        <v>708644.03000000026</v>
      </c>
      <c r="AP28" s="23">
        <v>429814.29999999981</v>
      </c>
      <c r="AQ28" s="23">
        <v>434515.10999999987</v>
      </c>
      <c r="AR28" s="23">
        <v>669862.03000000026</v>
      </c>
      <c r="AS28" s="23">
        <v>417089.44000000041</v>
      </c>
      <c r="AT28" s="23">
        <v>1047040.7199999997</v>
      </c>
      <c r="AU28" s="23">
        <v>68186.229999999516</v>
      </c>
      <c r="AV28" s="23">
        <v>602435.91999999993</v>
      </c>
      <c r="AW28" s="23">
        <v>576800</v>
      </c>
      <c r="AX28" s="23">
        <v>191170.23</v>
      </c>
      <c r="AY28" s="23">
        <v>490099.51</v>
      </c>
      <c r="AZ28" s="23">
        <v>306889.70999999996</v>
      </c>
      <c r="BA28" s="23">
        <v>154780.93999999994</v>
      </c>
      <c r="BB28" s="23">
        <v>915023.37000000011</v>
      </c>
      <c r="BC28" s="23">
        <v>237553.44999999995</v>
      </c>
      <c r="BD28" s="23">
        <v>275755.89999999991</v>
      </c>
      <c r="BE28" s="23">
        <v>459655.10000000009</v>
      </c>
      <c r="BF28" s="23">
        <v>380300</v>
      </c>
      <c r="BG28" s="23">
        <v>508367.62999999989</v>
      </c>
      <c r="BH28" s="23">
        <v>62760.020000000019</v>
      </c>
      <c r="BI28" s="23">
        <v>2130707.7500000005</v>
      </c>
      <c r="BJ28" s="23">
        <v>553974.6</v>
      </c>
      <c r="BK28" s="23">
        <v>464904.45000000007</v>
      </c>
      <c r="BL28" s="23">
        <v>152301.24</v>
      </c>
      <c r="BM28" s="23">
        <v>205936.47999999998</v>
      </c>
      <c r="BN28" s="23">
        <v>70986.580000000075</v>
      </c>
      <c r="BO28" s="23">
        <v>1562837.6799999997</v>
      </c>
      <c r="BP28" s="23">
        <v>16413.950000000186</v>
      </c>
      <c r="BQ28" s="23">
        <v>1038693.2600000002</v>
      </c>
      <c r="BR28" s="23">
        <v>895135.50999999978</v>
      </c>
      <c r="BS28" s="23">
        <v>884601.79</v>
      </c>
      <c r="BT28" s="23">
        <v>409203.58000000007</v>
      </c>
      <c r="BU28" s="23">
        <v>1265712.8200000003</v>
      </c>
      <c r="BV28" s="23">
        <v>324713.49</v>
      </c>
      <c r="BW28" s="23">
        <v>631216.87</v>
      </c>
      <c r="BX28" s="23">
        <v>799787.71000000008</v>
      </c>
      <c r="BY28" s="23">
        <v>79824.5</v>
      </c>
      <c r="BZ28" s="23">
        <v>1187644.6599999999</v>
      </c>
      <c r="CA28" s="23">
        <v>485624.79000000004</v>
      </c>
      <c r="CB28" s="23">
        <v>213262.04999999981</v>
      </c>
      <c r="CC28" s="23">
        <v>18950</v>
      </c>
    </row>
    <row r="29" spans="1:81" x14ac:dyDescent="0.35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</row>
    <row r="30" spans="1:81" s="24" customFormat="1" x14ac:dyDescent="0.35">
      <c r="A30" s="25" t="s">
        <v>28</v>
      </c>
      <c r="B30" s="26">
        <v>8646108.7100000009</v>
      </c>
      <c r="C30" s="26">
        <v>7348949.6200000066</v>
      </c>
      <c r="D30" s="26">
        <v>8039770.1499999985</v>
      </c>
      <c r="E30" s="26">
        <v>10013357.869999997</v>
      </c>
      <c r="F30" s="26">
        <v>8387806.6099999882</v>
      </c>
      <c r="G30" s="26">
        <v>11094107.630000006</v>
      </c>
      <c r="H30" s="26">
        <v>9795491.4499999993</v>
      </c>
      <c r="I30" s="26">
        <v>9305323.590000011</v>
      </c>
      <c r="J30" s="26">
        <v>3839846.7600000035</v>
      </c>
      <c r="K30" s="26">
        <v>7250719.4599999767</v>
      </c>
      <c r="L30" s="26">
        <v>7470436.6200000085</v>
      </c>
      <c r="M30" s="26">
        <v>8885883.3000000138</v>
      </c>
      <c r="N30" s="26">
        <v>8765556.2200000025</v>
      </c>
      <c r="O30" s="26">
        <v>9798237.3800000064</v>
      </c>
      <c r="P30" s="26">
        <v>4228617.5399999898</v>
      </c>
      <c r="Q30" s="26">
        <v>7690555.0900000157</v>
      </c>
      <c r="R30" s="26">
        <v>6765388.9999999832</v>
      </c>
      <c r="S30" s="26">
        <v>7206588.0500000063</v>
      </c>
      <c r="T30" s="26">
        <v>8342749.079999987</v>
      </c>
      <c r="U30" s="26">
        <v>10270734.570000049</v>
      </c>
      <c r="V30" s="26">
        <v>5990764.4099999741</v>
      </c>
      <c r="W30" s="26">
        <v>7401241.5199999791</v>
      </c>
      <c r="X30" s="26">
        <v>7410809.0500000343</v>
      </c>
      <c r="Y30" s="26">
        <v>7538835.4000000022</v>
      </c>
      <c r="Z30" s="26">
        <v>7456296.2099999972</v>
      </c>
      <c r="AA30" s="26">
        <v>10250757.680000002</v>
      </c>
      <c r="AB30" s="26">
        <v>12241062.57</v>
      </c>
      <c r="AC30" s="26">
        <v>10176259.389999999</v>
      </c>
      <c r="AD30" s="26">
        <v>8735567.9999999925</v>
      </c>
      <c r="AE30" s="26">
        <v>14386558.419999992</v>
      </c>
      <c r="AF30" s="26">
        <v>12877928.489999996</v>
      </c>
      <c r="AG30" s="26">
        <v>12747665.040000003</v>
      </c>
      <c r="AH30" s="26">
        <v>13128450.430000003</v>
      </c>
      <c r="AI30" s="26">
        <v>13425191.400000053</v>
      </c>
      <c r="AJ30" s="26">
        <v>9865688.0999999698</v>
      </c>
      <c r="AK30" s="26">
        <v>17891717.989999972</v>
      </c>
      <c r="AL30" s="26">
        <v>13214912.210000005</v>
      </c>
      <c r="AM30" s="26">
        <v>14838046.119999994</v>
      </c>
      <c r="AN30" s="26">
        <v>11733394.42999999</v>
      </c>
      <c r="AO30" s="26">
        <v>16715948.059999999</v>
      </c>
      <c r="AP30" s="26">
        <v>13709555.730000023</v>
      </c>
      <c r="AQ30" s="26">
        <v>13673344.939999945</v>
      </c>
      <c r="AR30" s="26">
        <v>9875013.7000000551</v>
      </c>
      <c r="AS30" s="26">
        <v>11757857.979999956</v>
      </c>
      <c r="AT30" s="26">
        <v>12199739.619999997</v>
      </c>
      <c r="AU30" s="26">
        <v>10717330.080000043</v>
      </c>
      <c r="AV30" s="26">
        <v>9226446.2299999688</v>
      </c>
      <c r="AW30" s="26">
        <v>23081574.110000107</v>
      </c>
      <c r="AX30" s="26">
        <v>9946044.7000000011</v>
      </c>
      <c r="AY30" s="26">
        <v>11864265.360000012</v>
      </c>
      <c r="AZ30" s="26">
        <v>10740807.470000001</v>
      </c>
      <c r="BA30" s="26">
        <v>16887220.25</v>
      </c>
      <c r="BB30" s="26">
        <v>11774292.939999964</v>
      </c>
      <c r="BC30" s="26">
        <v>14817605.370000007</v>
      </c>
      <c r="BD30" s="26">
        <v>14191945.020000027</v>
      </c>
      <c r="BE30" s="26">
        <v>18153618.449999988</v>
      </c>
      <c r="BF30" s="26">
        <v>11452206.519999988</v>
      </c>
      <c r="BG30" s="26">
        <v>20672797.479999993</v>
      </c>
      <c r="BH30" s="26">
        <v>7437824.0300000161</v>
      </c>
      <c r="BI30" s="26">
        <v>25904213.550000034</v>
      </c>
      <c r="BJ30" s="26">
        <v>13883619.850000005</v>
      </c>
      <c r="BK30" s="26">
        <v>13311969.359999992</v>
      </c>
      <c r="BL30" s="26">
        <v>11577475.770000014</v>
      </c>
      <c r="BM30" s="26">
        <v>13704695.529999996</v>
      </c>
      <c r="BN30" s="26">
        <v>15800820.10999997</v>
      </c>
      <c r="BO30" s="26">
        <v>16447154.580000043</v>
      </c>
      <c r="BP30" s="26">
        <v>8647430.5699999966</v>
      </c>
      <c r="BQ30" s="26">
        <v>14293711.80000001</v>
      </c>
      <c r="BR30" s="26">
        <f>BR14-BR17</f>
        <v>17020262.429999992</v>
      </c>
      <c r="BS30" s="26">
        <f>BS14-BS17</f>
        <v>12780270.980000038</v>
      </c>
      <c r="BT30" s="26">
        <v>17290670.279999964</v>
      </c>
      <c r="BU30" s="26">
        <v>13818537.410000037</v>
      </c>
      <c r="BV30" s="26">
        <v>16001022.750000002</v>
      </c>
      <c r="BW30" s="26">
        <v>16897588.00999999</v>
      </c>
      <c r="BX30" s="26">
        <v>18140753.010000005</v>
      </c>
      <c r="BY30" s="26">
        <v>12937494.940000001</v>
      </c>
      <c r="BZ30" s="26">
        <v>15708626.370000008</v>
      </c>
      <c r="CA30" s="26">
        <v>15021502.41000003</v>
      </c>
      <c r="CB30" s="26">
        <v>14934520.629999965</v>
      </c>
      <c r="CC30" s="26">
        <v>11403611.150000032</v>
      </c>
    </row>
    <row r="31" spans="1:81" s="24" customFormat="1" x14ac:dyDescent="0.35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</row>
    <row r="32" spans="1:81" s="24" customFormat="1" x14ac:dyDescent="0.35">
      <c r="A32" t="s">
        <v>62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</row>
    <row r="33" spans="1:81" x14ac:dyDescent="0.35">
      <c r="A33" t="s">
        <v>71</v>
      </c>
      <c r="B33" s="23">
        <v>4151877.5000000009</v>
      </c>
      <c r="C33" s="23">
        <v>4331507.1400000006</v>
      </c>
      <c r="D33" s="23">
        <v>4790436.33</v>
      </c>
      <c r="E33" s="23">
        <v>5182628.99</v>
      </c>
      <c r="F33" s="23">
        <v>5024827</v>
      </c>
      <c r="G33" s="23">
        <v>4603350.04</v>
      </c>
      <c r="H33" s="23">
        <v>4730665.0199999986</v>
      </c>
      <c r="I33" s="23">
        <v>4074020.7100000018</v>
      </c>
      <c r="J33" s="23">
        <v>4708382.54</v>
      </c>
      <c r="K33" s="23">
        <v>4433544.9399999976</v>
      </c>
      <c r="L33" s="23">
        <v>5991779.8600000003</v>
      </c>
      <c r="M33" s="23">
        <v>4817219.7299999995</v>
      </c>
      <c r="N33" s="23">
        <v>4629111.18</v>
      </c>
      <c r="O33" s="23">
        <v>3947231.45</v>
      </c>
      <c r="P33" s="23">
        <v>4855657.080000001</v>
      </c>
      <c r="Q33" s="23">
        <v>6308787.1699999999</v>
      </c>
      <c r="R33" s="23">
        <v>6407786</v>
      </c>
      <c r="S33" s="23">
        <v>6205304.3500000006</v>
      </c>
      <c r="T33" s="23">
        <v>5967088.5699999994</v>
      </c>
      <c r="U33" s="23">
        <v>5882060.3000000007</v>
      </c>
      <c r="V33" s="23">
        <v>6072528.8499999978</v>
      </c>
      <c r="W33" s="23">
        <v>6448739.4199999999</v>
      </c>
      <c r="X33" s="23">
        <v>6791953.2800000012</v>
      </c>
      <c r="Y33" s="23">
        <v>7205578.9999999991</v>
      </c>
      <c r="Z33" s="23">
        <v>6148689.8799999999</v>
      </c>
      <c r="AA33" s="23">
        <v>7128561.4899999984</v>
      </c>
      <c r="AB33" s="23">
        <v>7300036.8399999999</v>
      </c>
      <c r="AC33" s="23">
        <v>6845923.1799999997</v>
      </c>
      <c r="AD33" s="23">
        <v>6958194.6399999997</v>
      </c>
      <c r="AE33" s="23">
        <v>9090164.9699999988</v>
      </c>
      <c r="AF33" s="23">
        <v>9567318.5899999999</v>
      </c>
      <c r="AG33" s="23">
        <v>10549372.679999998</v>
      </c>
      <c r="AH33" s="23">
        <v>13147497.110000001</v>
      </c>
      <c r="AI33" s="23">
        <v>10799157.9</v>
      </c>
      <c r="AJ33" s="23">
        <v>10448041.279999996</v>
      </c>
      <c r="AK33" s="23">
        <v>11051335.780000003</v>
      </c>
      <c r="AL33" s="23">
        <v>7197652.9800000004</v>
      </c>
      <c r="AM33" s="23">
        <v>10730828.719999999</v>
      </c>
      <c r="AN33" s="23">
        <v>9971404.1100000013</v>
      </c>
      <c r="AO33" s="23">
        <v>9784328.9299999978</v>
      </c>
      <c r="AP33" s="23">
        <v>9822268.7400000002</v>
      </c>
      <c r="AQ33" s="23">
        <v>10700911.800000003</v>
      </c>
      <c r="AR33" s="23">
        <v>6625690.7600000007</v>
      </c>
      <c r="AS33" s="23">
        <v>7910867.5699999975</v>
      </c>
      <c r="AT33" s="23">
        <v>9848949.5400000028</v>
      </c>
      <c r="AU33" s="23">
        <v>8964511.629999999</v>
      </c>
      <c r="AV33" s="23">
        <v>8802214.9199999981</v>
      </c>
      <c r="AW33" s="23">
        <v>15050366.200000003</v>
      </c>
      <c r="AX33" s="23">
        <v>7041704.2500000009</v>
      </c>
      <c r="AY33" s="23">
        <v>10704118.5</v>
      </c>
      <c r="AZ33" s="23">
        <v>11860471.510000002</v>
      </c>
      <c r="BA33" s="23">
        <v>9879669.9900000002</v>
      </c>
      <c r="BB33" s="23">
        <v>10952233.900000002</v>
      </c>
      <c r="BC33" s="23">
        <v>10263622.829999998</v>
      </c>
      <c r="BD33" s="23">
        <v>12469038.250000002</v>
      </c>
      <c r="BE33" s="23">
        <v>13299367.149999999</v>
      </c>
      <c r="BF33" s="23">
        <v>11261178.430000002</v>
      </c>
      <c r="BG33" s="23">
        <v>12016924.76</v>
      </c>
      <c r="BH33" s="23">
        <v>10446795.699999999</v>
      </c>
      <c r="BI33" s="23">
        <v>34103060.580000006</v>
      </c>
      <c r="BJ33" s="23">
        <v>10245096.270000001</v>
      </c>
      <c r="BK33" s="23">
        <v>11737218.799999999</v>
      </c>
      <c r="BL33" s="23">
        <v>12534292.85</v>
      </c>
      <c r="BM33" s="23">
        <v>12843258.26</v>
      </c>
      <c r="BN33" s="23">
        <v>13800760.569999998</v>
      </c>
      <c r="BO33" s="23">
        <v>14473850.020000003</v>
      </c>
      <c r="BP33" s="23">
        <v>12856753.379999999</v>
      </c>
      <c r="BQ33" s="23">
        <v>12666601.220000001</v>
      </c>
      <c r="BR33" s="23">
        <v>10877157.730000004</v>
      </c>
      <c r="BS33" s="23">
        <v>12615499.960000001</v>
      </c>
      <c r="BT33" s="23">
        <v>12539846.969999995</v>
      </c>
      <c r="BU33" s="23">
        <v>12367863.07</v>
      </c>
      <c r="BV33" s="23">
        <v>11955998.630000001</v>
      </c>
      <c r="BW33" s="23">
        <v>9640929.9900000002</v>
      </c>
      <c r="BX33" s="23">
        <v>11775213.26</v>
      </c>
      <c r="BY33" s="23">
        <v>11386495.99</v>
      </c>
      <c r="BZ33" s="23">
        <v>11955222.309999999</v>
      </c>
      <c r="CA33" s="23">
        <v>11747574.120000001</v>
      </c>
      <c r="CB33" s="23">
        <v>11759741.51</v>
      </c>
      <c r="CC33" s="23">
        <v>11392520.510000002</v>
      </c>
    </row>
    <row r="34" spans="1:81" x14ac:dyDescent="0.35">
      <c r="A34" t="s">
        <v>72</v>
      </c>
      <c r="B34" s="23">
        <v>29916.38</v>
      </c>
      <c r="C34" s="23">
        <v>28502.420000000002</v>
      </c>
      <c r="D34" s="23">
        <v>29916.37999999999</v>
      </c>
      <c r="E34" s="23">
        <v>29209.400000000009</v>
      </c>
      <c r="F34" s="23">
        <v>32640.409999999989</v>
      </c>
      <c r="G34" s="23">
        <v>39877.97</v>
      </c>
      <c r="H34" s="23">
        <v>48450.050000000017</v>
      </c>
      <c r="I34" s="23">
        <v>48451.589999999967</v>
      </c>
      <c r="J34" s="23">
        <v>47146.700000000012</v>
      </c>
      <c r="K34" s="23">
        <v>48451.590000000026</v>
      </c>
      <c r="L34" s="23">
        <v>47146.700000000012</v>
      </c>
      <c r="M34" s="23">
        <v>48451.56</v>
      </c>
      <c r="N34" s="23">
        <v>48450.75</v>
      </c>
      <c r="O34" s="23">
        <v>47145.8</v>
      </c>
      <c r="P34" s="23">
        <v>48450.659999999989</v>
      </c>
      <c r="Q34" s="23">
        <v>47145.800000000017</v>
      </c>
      <c r="R34" s="23">
        <v>48450.66</v>
      </c>
      <c r="S34" s="23">
        <v>47145.799999999959</v>
      </c>
      <c r="T34" s="23">
        <v>48316.460000000021</v>
      </c>
      <c r="U34" s="23">
        <v>47618.619999999995</v>
      </c>
      <c r="V34" s="23">
        <v>46340.600000000035</v>
      </c>
      <c r="W34" s="23">
        <v>47618.619999999995</v>
      </c>
      <c r="X34" s="23">
        <v>46340.599999999977</v>
      </c>
      <c r="Y34" s="23">
        <v>47618.619999999995</v>
      </c>
      <c r="Z34" s="23">
        <v>47618.62</v>
      </c>
      <c r="AA34" s="23">
        <v>46340.6</v>
      </c>
      <c r="AB34" s="23">
        <v>47618.619999999995</v>
      </c>
      <c r="AC34" s="23">
        <v>46340.600000000006</v>
      </c>
      <c r="AD34" s="23">
        <v>47618.619999999995</v>
      </c>
      <c r="AE34" s="23">
        <v>46340.599999999977</v>
      </c>
      <c r="AF34" s="23">
        <v>47617.600000000035</v>
      </c>
      <c r="AG34" s="23">
        <v>47608.080000000016</v>
      </c>
      <c r="AH34" s="23">
        <v>46330.399999999965</v>
      </c>
      <c r="AI34" s="23">
        <v>47608.080000000016</v>
      </c>
      <c r="AJ34" s="23">
        <v>46330.399999999965</v>
      </c>
      <c r="AK34" s="23">
        <v>47608.080000000075</v>
      </c>
      <c r="AL34" s="23">
        <v>47608.08</v>
      </c>
      <c r="AM34" s="23">
        <v>46330.399999999994</v>
      </c>
      <c r="AN34" s="23">
        <v>47608.08</v>
      </c>
      <c r="AO34" s="23">
        <v>46330.399999999994</v>
      </c>
      <c r="AP34" s="23">
        <v>47608.080000000016</v>
      </c>
      <c r="AQ34" s="23">
        <v>46330.399999999994</v>
      </c>
      <c r="AR34" s="23">
        <v>47608.080000000016</v>
      </c>
      <c r="AS34" s="23">
        <v>47608.079999999958</v>
      </c>
      <c r="AT34" s="23">
        <v>46330.400000000023</v>
      </c>
      <c r="AU34" s="23">
        <v>47608.080000000016</v>
      </c>
      <c r="AV34" s="23">
        <v>46330.399999999965</v>
      </c>
      <c r="AW34" s="23">
        <v>47608.080000000075</v>
      </c>
      <c r="AX34" s="23">
        <v>47608.08</v>
      </c>
      <c r="AY34" s="23">
        <v>45052.72</v>
      </c>
      <c r="AZ34" s="23">
        <v>47608.08</v>
      </c>
      <c r="BA34" s="23">
        <v>46330.399999999994</v>
      </c>
      <c r="BB34" s="23">
        <v>47608.079999999987</v>
      </c>
      <c r="BC34" s="23">
        <v>46330.400000000023</v>
      </c>
      <c r="BD34" s="23">
        <v>47608.080000000016</v>
      </c>
      <c r="BE34" s="23">
        <v>47608.079999999958</v>
      </c>
      <c r="BF34" s="23">
        <v>46330.400000000023</v>
      </c>
      <c r="BG34" s="23">
        <v>47608.080000000016</v>
      </c>
      <c r="BH34" s="23">
        <v>46330.399999999965</v>
      </c>
      <c r="BI34" s="23">
        <v>47608.080000000016</v>
      </c>
      <c r="BJ34" s="23">
        <v>47608.08</v>
      </c>
      <c r="BK34" s="23">
        <v>43775.039999999994</v>
      </c>
      <c r="BL34" s="23">
        <v>47608.080000000016</v>
      </c>
      <c r="BM34" s="23">
        <v>46330.399999999994</v>
      </c>
      <c r="BN34" s="23">
        <v>47608.079999999987</v>
      </c>
      <c r="BO34" s="23">
        <v>46330.400000000023</v>
      </c>
      <c r="BP34" s="23">
        <v>47608.079999999958</v>
      </c>
      <c r="BQ34" s="23">
        <v>47608.080000000016</v>
      </c>
      <c r="BR34" s="23">
        <v>46330.400000000023</v>
      </c>
      <c r="BS34" s="23">
        <v>46820.130000000005</v>
      </c>
      <c r="BT34" s="23">
        <v>45680.599999999977</v>
      </c>
      <c r="BU34" s="23">
        <v>57937.170000000042</v>
      </c>
      <c r="BV34" s="23">
        <v>69671.09</v>
      </c>
      <c r="BW34" s="23">
        <v>63702.920000000013</v>
      </c>
      <c r="BX34" s="23">
        <v>69671.09</v>
      </c>
      <c r="BY34" s="23">
        <v>67681.699999999983</v>
      </c>
      <c r="BZ34" s="23">
        <v>69671.090000000026</v>
      </c>
      <c r="CA34" s="23">
        <v>83067.5</v>
      </c>
      <c r="CB34" s="23">
        <v>87923.599999999977</v>
      </c>
      <c r="CC34" s="23">
        <v>106296.96999999997</v>
      </c>
    </row>
    <row r="35" spans="1:81" x14ac:dyDescent="0.35">
      <c r="A35" t="s">
        <v>73</v>
      </c>
      <c r="B35" s="23">
        <v>5902881.7200000007</v>
      </c>
      <c r="C35" s="23">
        <v>6508623.4800000004</v>
      </c>
      <c r="D35" s="23">
        <v>6209637.6799999997</v>
      </c>
      <c r="E35" s="23">
        <v>6512152.4100000001</v>
      </c>
      <c r="F35" s="23">
        <v>6427136.5</v>
      </c>
      <c r="G35" s="23">
        <v>6198363.75</v>
      </c>
      <c r="H35" s="23">
        <v>6290797.1100000003</v>
      </c>
      <c r="I35" s="23">
        <v>6037182.8600000003</v>
      </c>
      <c r="J35" s="23">
        <v>6343906.5099999998</v>
      </c>
      <c r="K35" s="23">
        <v>6094544.1299999999</v>
      </c>
      <c r="L35" s="23">
        <v>7629314.9199999999</v>
      </c>
      <c r="M35" s="23">
        <v>7014196.4100000001</v>
      </c>
      <c r="N35" s="23">
        <v>6172708.4100000001</v>
      </c>
      <c r="O35" s="23">
        <v>5755153.9199999999</v>
      </c>
      <c r="P35" s="23">
        <v>7087800.4500000002</v>
      </c>
      <c r="Q35" s="23">
        <v>7811667.9299999997</v>
      </c>
      <c r="R35" s="23">
        <v>7804320.0099999998</v>
      </c>
      <c r="S35" s="23">
        <v>8014190.3799999999</v>
      </c>
      <c r="T35" s="23">
        <v>7492493.0599999996</v>
      </c>
      <c r="U35" s="23">
        <v>7901599.9699999997</v>
      </c>
      <c r="V35" s="23">
        <v>7628597.4699999997</v>
      </c>
      <c r="W35" s="23">
        <v>8009223.1900000004</v>
      </c>
      <c r="X35" s="23">
        <v>8335822.0199999996</v>
      </c>
      <c r="Y35" s="23">
        <v>8968199.6600000001</v>
      </c>
      <c r="Z35" s="23">
        <v>7836443.2199999997</v>
      </c>
      <c r="AA35" s="23">
        <v>9887018.7699999996</v>
      </c>
      <c r="AB35" s="23">
        <v>9052072.1899999995</v>
      </c>
      <c r="AC35" s="23">
        <v>8693863.4199999999</v>
      </c>
      <c r="AD35" s="23">
        <v>8663218.4299999997</v>
      </c>
      <c r="AE35" s="23">
        <v>11543606.859999999</v>
      </c>
      <c r="AF35" s="23">
        <v>11695760.859999999</v>
      </c>
      <c r="AG35" s="23">
        <v>12393524.43</v>
      </c>
      <c r="AH35" s="23">
        <v>15039419.289999999</v>
      </c>
      <c r="AI35" s="23">
        <v>12695512.92</v>
      </c>
      <c r="AJ35" s="23">
        <v>12157588.529999999</v>
      </c>
      <c r="AK35" s="23">
        <v>13209591.220000001</v>
      </c>
      <c r="AL35" s="23">
        <v>9420444.6600000001</v>
      </c>
      <c r="AM35" s="23">
        <v>13690062.539999999</v>
      </c>
      <c r="AN35" s="23">
        <v>12029962</v>
      </c>
      <c r="AO35" s="23">
        <v>12156008.029999999</v>
      </c>
      <c r="AP35" s="23">
        <v>12181761.550000001</v>
      </c>
      <c r="AQ35" s="23">
        <v>13213059.18</v>
      </c>
      <c r="AR35" s="23">
        <v>8908107.8800000008</v>
      </c>
      <c r="AS35" s="23">
        <v>10590289.119999999</v>
      </c>
      <c r="AT35" s="23">
        <v>12037596.32</v>
      </c>
      <c r="AU35" s="23">
        <v>11490612.33</v>
      </c>
      <c r="AV35" s="23">
        <v>11775315.24</v>
      </c>
      <c r="AW35" s="23">
        <v>17863364.420000002</v>
      </c>
      <c r="AX35" s="23">
        <v>9830180.1400000006</v>
      </c>
      <c r="AY35" s="23">
        <v>14377790.23</v>
      </c>
      <c r="AZ35" s="23">
        <v>14278942.880000001</v>
      </c>
      <c r="BA35" s="23">
        <v>12524374.51</v>
      </c>
      <c r="BB35" s="23">
        <v>13513565.439999999</v>
      </c>
      <c r="BC35" s="23">
        <v>13089265.210000001</v>
      </c>
      <c r="BD35" s="23">
        <v>15292251.66</v>
      </c>
      <c r="BE35" s="23">
        <v>16482910.529999999</v>
      </c>
      <c r="BF35" s="23">
        <v>13734694.98</v>
      </c>
      <c r="BG35" s="23">
        <v>15266213.75</v>
      </c>
      <c r="BH35" s="23">
        <v>13588906.109999999</v>
      </c>
      <c r="BI35" s="23">
        <v>36726827.950000003</v>
      </c>
      <c r="BJ35" s="23">
        <v>13807952.65</v>
      </c>
      <c r="BK35" s="23">
        <v>15311881.99</v>
      </c>
      <c r="BL35" s="23">
        <v>15063945.26</v>
      </c>
      <c r="BM35" s="23">
        <v>15304299.369999999</v>
      </c>
      <c r="BN35" s="23">
        <v>16299728.77</v>
      </c>
      <c r="BO35" s="23">
        <v>17101720.030000001</v>
      </c>
      <c r="BP35" s="23">
        <v>15621187.369999999</v>
      </c>
      <c r="BQ35" s="23">
        <v>15352010.880000001</v>
      </c>
      <c r="BR35" s="23">
        <v>14488659.76</v>
      </c>
      <c r="BS35" s="23">
        <v>15150968.550000001</v>
      </c>
      <c r="BT35" s="23">
        <v>15113841.43</v>
      </c>
      <c r="BU35" s="23">
        <v>14685121.050000001</v>
      </c>
      <c r="BV35" s="23">
        <v>14568305.42</v>
      </c>
      <c r="BW35" s="23">
        <v>13390696.25</v>
      </c>
      <c r="BX35" s="23">
        <v>14718065.560000001</v>
      </c>
      <c r="BY35" s="23">
        <v>13476610.630000001</v>
      </c>
      <c r="BZ35" s="23">
        <v>14032590.91</v>
      </c>
      <c r="CA35" s="23">
        <v>13925197.51</v>
      </c>
      <c r="CB35" s="23">
        <v>14104537.18</v>
      </c>
      <c r="CC35" s="23">
        <v>13591361.630000001</v>
      </c>
    </row>
    <row r="36" spans="1:81" x14ac:dyDescent="0.35">
      <c r="A36" t="s">
        <v>62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</row>
    <row r="37" spans="1:81" x14ac:dyDescent="0.35">
      <c r="A37" t="s">
        <v>74</v>
      </c>
      <c r="B37" s="23">
        <v>1200000.47</v>
      </c>
      <c r="C37" s="23">
        <v>1627584.3299999998</v>
      </c>
      <c r="D37" s="23">
        <v>894964.44</v>
      </c>
      <c r="E37" s="23">
        <v>827568.00000000047</v>
      </c>
      <c r="F37" s="23">
        <v>832851.62999999989</v>
      </c>
      <c r="G37" s="23">
        <v>962456.19999999925</v>
      </c>
      <c r="H37" s="23">
        <v>951479.56000000145</v>
      </c>
      <c r="I37" s="23">
        <v>1349393.589999998</v>
      </c>
      <c r="J37" s="23">
        <v>1030992.3100000005</v>
      </c>
      <c r="K37" s="23">
        <v>953565.74000000209</v>
      </c>
      <c r="L37" s="23">
        <v>1025057.6199999992</v>
      </c>
      <c r="M37" s="23">
        <v>1575322.9700000007</v>
      </c>
      <c r="N37" s="23">
        <v>927248.91</v>
      </c>
      <c r="O37" s="23">
        <v>1243041.44</v>
      </c>
      <c r="P37" s="23">
        <v>1606867.48</v>
      </c>
      <c r="Q37" s="23">
        <v>901338.50999999978</v>
      </c>
      <c r="R37" s="23">
        <v>802949.19000000041</v>
      </c>
      <c r="S37" s="23">
        <v>1174491.0599999996</v>
      </c>
      <c r="T37" s="23">
        <v>943930.71</v>
      </c>
      <c r="U37" s="23">
        <v>1451617.6399999997</v>
      </c>
      <c r="V37" s="23">
        <v>998882.93000000156</v>
      </c>
      <c r="W37" s="23">
        <v>929498.3900000006</v>
      </c>
      <c r="X37" s="23">
        <v>996977.33999999799</v>
      </c>
      <c r="Y37" s="23">
        <v>1122442.8000000007</v>
      </c>
      <c r="Z37" s="23">
        <v>1125308.5900000001</v>
      </c>
      <c r="AA37" s="23">
        <v>2166354.0600000005</v>
      </c>
      <c r="AB37" s="23">
        <v>1185900.2599999998</v>
      </c>
      <c r="AC37" s="23">
        <v>1243643.8200000003</v>
      </c>
      <c r="AD37" s="23">
        <v>1081387.3799999999</v>
      </c>
      <c r="AE37" s="23">
        <v>1807967.46</v>
      </c>
      <c r="AF37" s="23">
        <v>1530037.5699999984</v>
      </c>
      <c r="AG37" s="23">
        <v>1253467.0000000019</v>
      </c>
      <c r="AH37" s="23">
        <v>1266922.9699999988</v>
      </c>
      <c r="AI37" s="23">
        <v>1156436.4299999997</v>
      </c>
      <c r="AJ37" s="23">
        <v>1070552.5300000031</v>
      </c>
      <c r="AK37" s="23">
        <v>1148718.4899999984</v>
      </c>
      <c r="AL37" s="23">
        <v>1419581.26</v>
      </c>
      <c r="AM37" s="23">
        <v>2191044.2800000003</v>
      </c>
      <c r="AN37" s="23">
        <v>1276373.1199999992</v>
      </c>
      <c r="AO37" s="23">
        <v>1481203.6600000011</v>
      </c>
      <c r="AP37" s="23">
        <v>1380895.5700000003</v>
      </c>
      <c r="AQ37" s="23">
        <v>1490407.209999999</v>
      </c>
      <c r="AR37" s="23">
        <v>1287190</v>
      </c>
      <c r="AS37" s="23">
        <v>1683881.2000000011</v>
      </c>
      <c r="AT37" s="23">
        <v>1273709.6599999983</v>
      </c>
      <c r="AU37" s="23">
        <v>1407716.4700000007</v>
      </c>
      <c r="AV37" s="23">
        <v>1910493.6300000027</v>
      </c>
      <c r="AW37" s="23">
        <v>1675268.9499999993</v>
      </c>
      <c r="AX37" s="23">
        <v>1677218.59</v>
      </c>
      <c r="AY37" s="23">
        <v>2607731.7600000007</v>
      </c>
      <c r="AZ37" s="23">
        <v>1374760.2999999989</v>
      </c>
      <c r="BA37" s="23">
        <v>1501556.7200000007</v>
      </c>
      <c r="BB37" s="23">
        <v>1394899.7699999986</v>
      </c>
      <c r="BC37" s="23">
        <v>1569887.4700000025</v>
      </c>
      <c r="BD37" s="23">
        <v>1659507.1499999985</v>
      </c>
      <c r="BE37" s="23">
        <v>2015139.0300000012</v>
      </c>
      <c r="BF37" s="23">
        <v>1488892.2599999998</v>
      </c>
      <c r="BG37" s="23">
        <v>1795349.9699999988</v>
      </c>
      <c r="BH37" s="23">
        <v>2062317.2600000016</v>
      </c>
      <c r="BI37" s="23">
        <v>1334486.8699999973</v>
      </c>
      <c r="BJ37" s="23">
        <v>2409683.96</v>
      </c>
      <c r="BK37" s="23">
        <v>2591779.0099999998</v>
      </c>
      <c r="BL37" s="23">
        <v>1703738.6499999994</v>
      </c>
      <c r="BM37" s="23">
        <v>1406250.87</v>
      </c>
      <c r="BN37" s="23">
        <v>1321922.5300000021</v>
      </c>
      <c r="BO37" s="23">
        <v>1649469.6399999987</v>
      </c>
      <c r="BP37" s="23">
        <v>1586503.5099999998</v>
      </c>
      <c r="BQ37" s="23">
        <v>1568421.3200000022</v>
      </c>
      <c r="BR37" s="23">
        <v>1864506.2199999951</v>
      </c>
      <c r="BS37" s="23">
        <v>1359650.4400000013</v>
      </c>
      <c r="BT37" s="23">
        <v>1469935.700000003</v>
      </c>
      <c r="BU37" s="23">
        <v>1161308.8200000003</v>
      </c>
      <c r="BV37" s="23">
        <v>1446077.52</v>
      </c>
      <c r="BW37" s="23">
        <v>2646245.3299999996</v>
      </c>
      <c r="BX37" s="23">
        <v>1452361.5700000003</v>
      </c>
      <c r="BY37" s="23">
        <v>1006211.8200000003</v>
      </c>
      <c r="BZ37" s="23">
        <v>983873.35000000056</v>
      </c>
      <c r="CA37" s="23">
        <v>1162652.5499999998</v>
      </c>
      <c r="CB37" s="23">
        <v>1218717.7200000007</v>
      </c>
      <c r="CC37" s="23">
        <v>1099866.0099999998</v>
      </c>
    </row>
    <row r="38" spans="1:81" x14ac:dyDescent="0.35">
      <c r="A38" t="s">
        <v>75</v>
      </c>
      <c r="B38" s="23">
        <v>580920.13</v>
      </c>
      <c r="C38" s="23">
        <v>578034.43000000005</v>
      </c>
      <c r="D38" s="23">
        <v>554153.29</v>
      </c>
      <c r="E38" s="23">
        <v>531164.81999999983</v>
      </c>
      <c r="F38" s="23">
        <v>602098.28000000026</v>
      </c>
      <c r="G38" s="23">
        <v>672435.48</v>
      </c>
      <c r="H38" s="23">
        <v>657102.57999999961</v>
      </c>
      <c r="I38" s="23">
        <v>662220.15000000037</v>
      </c>
      <c r="J38" s="23">
        <v>651678.3599999994</v>
      </c>
      <c r="K38" s="23">
        <v>755885.04</v>
      </c>
      <c r="L38" s="23">
        <v>659624.1400000006</v>
      </c>
      <c r="M38" s="23">
        <v>670105.26999999955</v>
      </c>
      <c r="N38" s="23">
        <v>664799.06999999995</v>
      </c>
      <c r="O38" s="23">
        <v>612026.82999999996</v>
      </c>
      <c r="P38" s="23">
        <v>673726.55</v>
      </c>
      <c r="Q38" s="23">
        <v>648688.05000000005</v>
      </c>
      <c r="R38" s="23">
        <v>642035.48</v>
      </c>
      <c r="S38" s="23">
        <v>681540.77</v>
      </c>
      <c r="T38" s="23">
        <v>629790.24000000022</v>
      </c>
      <c r="U38" s="23">
        <v>615540.64999999944</v>
      </c>
      <c r="V38" s="23">
        <v>603526.29</v>
      </c>
      <c r="W38" s="23">
        <v>678604</v>
      </c>
      <c r="X38" s="23">
        <v>593232</v>
      </c>
      <c r="Y38" s="23">
        <v>687796.48000000045</v>
      </c>
      <c r="Z38" s="23">
        <v>610063.37</v>
      </c>
      <c r="AA38" s="23">
        <v>638443.81999999995</v>
      </c>
      <c r="AB38" s="23">
        <v>613753.71</v>
      </c>
      <c r="AC38" s="23">
        <v>650637.02</v>
      </c>
      <c r="AD38" s="23">
        <v>671255.03000000026</v>
      </c>
      <c r="AE38" s="23">
        <v>691815.0299999998</v>
      </c>
      <c r="AF38" s="23">
        <v>646022.30000000028</v>
      </c>
      <c r="AG38" s="23">
        <v>638292.83000000007</v>
      </c>
      <c r="AH38" s="23">
        <v>671329.6099999994</v>
      </c>
      <c r="AI38" s="23">
        <v>787526.66999999993</v>
      </c>
      <c r="AJ38" s="23">
        <v>685325.12000000011</v>
      </c>
      <c r="AK38" s="23">
        <v>1057145.0300000003</v>
      </c>
      <c r="AL38" s="23">
        <v>850818.5</v>
      </c>
      <c r="AM38" s="23">
        <v>814519.94</v>
      </c>
      <c r="AN38" s="23">
        <v>829792.85000000009</v>
      </c>
      <c r="AO38" s="23">
        <v>936805.83999999985</v>
      </c>
      <c r="AP38" s="23">
        <v>1026205.3200000003</v>
      </c>
      <c r="AQ38" s="23">
        <v>1068070.5699999994</v>
      </c>
      <c r="AR38" s="23">
        <v>1042835.2000000002</v>
      </c>
      <c r="AS38" s="23">
        <v>1043148.4300000006</v>
      </c>
      <c r="AT38" s="23">
        <v>961267.51999999955</v>
      </c>
      <c r="AU38" s="23">
        <v>1165992.3100000005</v>
      </c>
      <c r="AV38" s="23">
        <v>1108937.0899999999</v>
      </c>
      <c r="AW38" s="23">
        <v>1185337.3499999996</v>
      </c>
      <c r="AX38" s="23">
        <v>1158865.3799999999</v>
      </c>
      <c r="AY38" s="23">
        <v>1110992.69</v>
      </c>
      <c r="AZ38" s="23">
        <v>1091319.1500000004</v>
      </c>
      <c r="BA38" s="23">
        <v>1189478.1999999997</v>
      </c>
      <c r="BB38" s="23">
        <v>1214039.8499999996</v>
      </c>
      <c r="BC38" s="23">
        <v>1302085.3100000005</v>
      </c>
      <c r="BD38" s="23">
        <v>1211314.3399999999</v>
      </c>
      <c r="BE38" s="23">
        <v>1216012.4299999997</v>
      </c>
      <c r="BF38" s="23">
        <v>1030954.6899999995</v>
      </c>
      <c r="BG38" s="23">
        <v>1501547.1000000015</v>
      </c>
      <c r="BH38" s="23">
        <v>1126123.5499999989</v>
      </c>
      <c r="BI38" s="23">
        <v>1336888.58</v>
      </c>
      <c r="BJ38" s="23">
        <v>1200780.5</v>
      </c>
      <c r="BK38" s="23">
        <v>1026659.2200000002</v>
      </c>
      <c r="BL38" s="23">
        <v>873521.83999999985</v>
      </c>
      <c r="BM38" s="23">
        <v>1101120.6400000001</v>
      </c>
      <c r="BN38" s="23">
        <v>1224653.75</v>
      </c>
      <c r="BO38" s="23">
        <v>1024730.7699999996</v>
      </c>
      <c r="BP38" s="23">
        <v>1225538.5600000005</v>
      </c>
      <c r="BQ38" s="23">
        <v>1164596.419999999</v>
      </c>
      <c r="BR38" s="23">
        <v>1793326.2100000009</v>
      </c>
      <c r="BS38" s="23">
        <v>1222638.2799999993</v>
      </c>
      <c r="BT38" s="23">
        <v>1149739.3600000013</v>
      </c>
      <c r="BU38" s="23">
        <v>1213886.33</v>
      </c>
      <c r="BV38" s="23">
        <v>1235900.3600000001</v>
      </c>
      <c r="BW38" s="23">
        <v>1167223.8499999999</v>
      </c>
      <c r="BX38" s="23">
        <v>1560161.8199999998</v>
      </c>
      <c r="BY38" s="23">
        <v>1151584.52</v>
      </c>
      <c r="BZ38" s="23">
        <v>1163166.3399999999</v>
      </c>
      <c r="CA38" s="23">
        <v>1098038.3400000008</v>
      </c>
      <c r="CB38" s="23">
        <v>1214001.5499999989</v>
      </c>
      <c r="CC38" s="23">
        <v>1205272.08</v>
      </c>
    </row>
    <row r="39" spans="1:81" x14ac:dyDescent="0.35">
      <c r="A39" s="25" t="s">
        <v>76</v>
      </c>
      <c r="B39" s="26">
        <v>4494231.21</v>
      </c>
      <c r="C39" s="26">
        <v>3017442.480000006</v>
      </c>
      <c r="D39" s="26">
        <v>3249333.8199999984</v>
      </c>
      <c r="E39" s="26">
        <v>4830728.8799999971</v>
      </c>
      <c r="F39" s="26">
        <v>3362979.6099999882</v>
      </c>
      <c r="G39" s="26">
        <v>6490757.5900000064</v>
      </c>
      <c r="H39" s="26">
        <v>5064826.4300000006</v>
      </c>
      <c r="I39" s="26">
        <v>5231302.8800000092</v>
      </c>
      <c r="J39" s="26">
        <v>-868535.77999999654</v>
      </c>
      <c r="K39" s="26">
        <v>2817174.5199999791</v>
      </c>
      <c r="L39" s="26">
        <v>1478656.7600000082</v>
      </c>
      <c r="M39" s="26">
        <v>4068663.5700000143</v>
      </c>
      <c r="N39" s="26">
        <v>4136445.0400000028</v>
      </c>
      <c r="O39" s="26">
        <v>5851005.9300000062</v>
      </c>
      <c r="P39" s="26">
        <v>-627039.54000001121</v>
      </c>
      <c r="Q39" s="26">
        <v>1381767.9200000158</v>
      </c>
      <c r="R39" s="26">
        <v>357602.99999998324</v>
      </c>
      <c r="S39" s="26">
        <v>1001283.7000000058</v>
      </c>
      <c r="T39" s="26">
        <v>2375660.5099999877</v>
      </c>
      <c r="U39" s="26">
        <v>4388674.270000048</v>
      </c>
      <c r="V39" s="26">
        <v>-81764.440000023693</v>
      </c>
      <c r="W39" s="26">
        <v>952502.09999997914</v>
      </c>
      <c r="X39" s="26">
        <v>618855.77000003308</v>
      </c>
      <c r="Y39" s="26">
        <v>333256.40000000317</v>
      </c>
      <c r="Z39" s="26">
        <v>1307606.3299999973</v>
      </c>
      <c r="AA39" s="26">
        <v>3122196.1900000032</v>
      </c>
      <c r="AB39" s="26">
        <v>4941025.7300000004</v>
      </c>
      <c r="AC39" s="26">
        <v>3330336.209999999</v>
      </c>
      <c r="AD39" s="26">
        <v>1777373.3599999929</v>
      </c>
      <c r="AE39" s="26">
        <v>5296393.4499999937</v>
      </c>
      <c r="AF39" s="26">
        <v>3310609.8999999966</v>
      </c>
      <c r="AG39" s="26">
        <v>2198292.360000005</v>
      </c>
      <c r="AH39" s="26">
        <v>-19046.679999997839</v>
      </c>
      <c r="AI39" s="26">
        <v>2626033.5000000522</v>
      </c>
      <c r="AJ39" s="26">
        <v>-582353.18000002578</v>
      </c>
      <c r="AK39" s="26">
        <v>6840382.2099999692</v>
      </c>
      <c r="AL39" s="26">
        <v>6017259.2300000042</v>
      </c>
      <c r="AM39" s="26">
        <v>4107217.3999999948</v>
      </c>
      <c r="AN39" s="26">
        <v>1761990.3199999891</v>
      </c>
      <c r="AO39" s="26">
        <v>6931619.1300000008</v>
      </c>
      <c r="AP39" s="26">
        <v>3887286.9900000226</v>
      </c>
      <c r="AQ39" s="26">
        <v>2972433.1399999429</v>
      </c>
      <c r="AR39" s="26">
        <v>3249322.9400000544</v>
      </c>
      <c r="AS39" s="26">
        <v>3846990.4099999582</v>
      </c>
      <c r="AT39" s="26">
        <v>2350790.0799999945</v>
      </c>
      <c r="AU39" s="26">
        <v>1752818.450000044</v>
      </c>
      <c r="AV39" s="26">
        <v>424231.30999997072</v>
      </c>
      <c r="AW39" s="26">
        <v>8031207.9100001045</v>
      </c>
      <c r="AX39" s="26">
        <v>2904340.45</v>
      </c>
      <c r="AY39" s="26">
        <v>1160146.8600000124</v>
      </c>
      <c r="AZ39" s="26">
        <v>-1119664.040000001</v>
      </c>
      <c r="BA39" s="26">
        <v>7007550.2599999998</v>
      </c>
      <c r="BB39" s="26">
        <v>822059.03999996185</v>
      </c>
      <c r="BC39" s="26">
        <v>4553982.5400000084</v>
      </c>
      <c r="BD39" s="26">
        <v>1722906.7700000256</v>
      </c>
      <c r="BE39" s="26">
        <v>4854251.2999999896</v>
      </c>
      <c r="BF39" s="26">
        <v>191028.08999998681</v>
      </c>
      <c r="BG39" s="26">
        <v>8655872.7199999932</v>
      </c>
      <c r="BH39" s="26">
        <v>-3008971.6699999832</v>
      </c>
      <c r="BI39" s="26">
        <v>-8198847.0299999714</v>
      </c>
      <c r="BJ39" s="26">
        <v>3638523.5800000038</v>
      </c>
      <c r="BK39" s="26">
        <v>1574750.5599999931</v>
      </c>
      <c r="BL39" s="26">
        <v>-956817.07999998517</v>
      </c>
      <c r="BM39" s="26">
        <v>861437.26999999583</v>
      </c>
      <c r="BN39" s="26">
        <v>2000059.5399999712</v>
      </c>
      <c r="BO39" s="26">
        <v>1973304.5600000396</v>
      </c>
      <c r="BP39" s="26">
        <v>-4209322.8100000024</v>
      </c>
      <c r="BQ39" s="26">
        <v>1627110.5800000094</v>
      </c>
      <c r="BR39" s="26">
        <f>BR30-BR33</f>
        <v>6143104.6999999881</v>
      </c>
      <c r="BS39" s="26">
        <f>BS30-BS33</f>
        <v>164771.02000003681</v>
      </c>
      <c r="BT39" s="26">
        <v>4750823.3099999689</v>
      </c>
      <c r="BU39" s="26">
        <v>1450674.3400000371</v>
      </c>
      <c r="BV39" s="26">
        <v>4045024.120000001</v>
      </c>
      <c r="BW39" s="26">
        <v>7256658.0199999902</v>
      </c>
      <c r="BX39" s="26">
        <v>6365539.7500000056</v>
      </c>
      <c r="BY39" s="26">
        <v>1550998.9500000011</v>
      </c>
      <c r="BZ39" s="26">
        <v>3753404.0600000098</v>
      </c>
      <c r="CA39" s="26">
        <v>3273928.2900000289</v>
      </c>
      <c r="CB39" s="26">
        <v>3174779.1199999657</v>
      </c>
      <c r="CC39" s="26">
        <v>11090.640000030398</v>
      </c>
    </row>
    <row r="40" spans="1:81" x14ac:dyDescent="0.35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</row>
    <row r="41" spans="1:81" x14ac:dyDescent="0.35">
      <c r="A41" t="s">
        <v>35</v>
      </c>
      <c r="B41" s="23">
        <v>498163.81999999995</v>
      </c>
      <c r="C41" s="23">
        <v>335694.24000000005</v>
      </c>
      <c r="D41" s="23">
        <v>399417.54</v>
      </c>
      <c r="E41" s="23">
        <v>388356.7999999997</v>
      </c>
      <c r="F41" s="23">
        <v>289282.00000000041</v>
      </c>
      <c r="G41" s="23">
        <v>394289.54000000004</v>
      </c>
      <c r="H41" s="23">
        <v>329208.41000000003</v>
      </c>
      <c r="I41" s="23">
        <v>963261.33000000054</v>
      </c>
      <c r="J41" s="23">
        <v>614190.8899999999</v>
      </c>
      <c r="K41" s="23">
        <v>395623.84999999939</v>
      </c>
      <c r="L41" s="23">
        <v>548393.40000000037</v>
      </c>
      <c r="M41" s="23">
        <v>736196.04999999981</v>
      </c>
      <c r="N41" s="23">
        <v>346549.79000000004</v>
      </c>
      <c r="O41" s="23">
        <v>54334.109999999928</v>
      </c>
      <c r="P41" s="23">
        <v>411270.74000000011</v>
      </c>
      <c r="Q41" s="23">
        <v>271669.49999999988</v>
      </c>
      <c r="R41" s="23">
        <v>310258.43000000005</v>
      </c>
      <c r="S41" s="23">
        <v>498941.59000000008</v>
      </c>
      <c r="T41" s="23">
        <v>318798.92999999947</v>
      </c>
      <c r="U41" s="23">
        <v>527415.57000000041</v>
      </c>
      <c r="V41" s="23">
        <v>314476.46999999986</v>
      </c>
      <c r="W41" s="23">
        <v>249915.55999999959</v>
      </c>
      <c r="X41" s="23">
        <v>524899.46000000031</v>
      </c>
      <c r="Y41" s="23">
        <v>425850.77000000014</v>
      </c>
      <c r="Z41" s="23">
        <v>199326.65000000002</v>
      </c>
      <c r="AA41" s="23">
        <v>529815.76</v>
      </c>
      <c r="AB41" s="23">
        <v>-7333.0599999995902</v>
      </c>
      <c r="AC41" s="23">
        <v>141074.48999999953</v>
      </c>
      <c r="AD41" s="23">
        <v>342732.48</v>
      </c>
      <c r="AE41" s="23">
        <v>662251.03000000049</v>
      </c>
      <c r="AF41" s="23">
        <v>359693.75999999954</v>
      </c>
      <c r="AG41" s="23">
        <v>41436.030000000261</v>
      </c>
      <c r="AH41" s="23">
        <v>843234.46</v>
      </c>
      <c r="AI41" s="23">
        <v>36715.989999999991</v>
      </c>
      <c r="AJ41" s="23">
        <v>376935.20999999996</v>
      </c>
      <c r="AK41" s="23">
        <v>776671.67000000086</v>
      </c>
      <c r="AL41" s="23">
        <v>203007.74999999997</v>
      </c>
      <c r="AM41" s="23">
        <v>329722.98999999993</v>
      </c>
      <c r="AN41" s="23">
        <v>474465.90000000008</v>
      </c>
      <c r="AO41" s="23">
        <v>213358.15000000002</v>
      </c>
      <c r="AP41" s="23">
        <v>961361.16999999981</v>
      </c>
      <c r="AQ41" s="23">
        <v>42465.640000000043</v>
      </c>
      <c r="AR41" s="23">
        <v>460033.50000000006</v>
      </c>
      <c r="AS41" s="23">
        <v>579382.14</v>
      </c>
      <c r="AT41" s="23">
        <v>228199.76999999979</v>
      </c>
      <c r="AU41" s="23">
        <v>110408.12000000058</v>
      </c>
      <c r="AV41" s="23">
        <v>235211.4499999994</v>
      </c>
      <c r="AW41" s="23">
        <v>1020893.2700000004</v>
      </c>
      <c r="AX41" s="23">
        <v>294199.89</v>
      </c>
      <c r="AY41" s="23">
        <v>261668.05000000002</v>
      </c>
      <c r="AZ41" s="23">
        <v>80538.119999999879</v>
      </c>
      <c r="BA41" s="23">
        <v>-103651.16000000009</v>
      </c>
      <c r="BB41" s="23">
        <v>25387.960000000225</v>
      </c>
      <c r="BC41" s="23">
        <v>262696.95</v>
      </c>
      <c r="BD41" s="23">
        <v>228211.97999999998</v>
      </c>
      <c r="BE41" s="23">
        <v>383694.47999999981</v>
      </c>
      <c r="BF41" s="23">
        <v>339006.63999999984</v>
      </c>
      <c r="BG41" s="23">
        <v>250236.89000000036</v>
      </c>
      <c r="BH41" s="23">
        <v>700872.31000000017</v>
      </c>
      <c r="BI41" s="23">
        <v>281115.64999999973</v>
      </c>
      <c r="BJ41" s="23">
        <v>336190</v>
      </c>
      <c r="BK41" s="23">
        <v>50808.719999999943</v>
      </c>
      <c r="BL41" s="23">
        <v>644509.9600000002</v>
      </c>
      <c r="BM41" s="23">
        <v>407734.8899999999</v>
      </c>
      <c r="BN41" s="23">
        <v>167822.87000000017</v>
      </c>
      <c r="BO41" s="23">
        <v>164354.85000000003</v>
      </c>
      <c r="BP41" s="23">
        <v>167540.99999999953</v>
      </c>
      <c r="BQ41" s="23">
        <v>112902.04000000015</v>
      </c>
      <c r="BR41" s="23">
        <v>138680</v>
      </c>
      <c r="BS41" s="23">
        <v>235782.92999999982</v>
      </c>
      <c r="BT41" s="23">
        <v>170872.40000000008</v>
      </c>
      <c r="BU41" s="23">
        <v>-477604.94999999937</v>
      </c>
      <c r="BV41" s="23">
        <v>-1521705.8199999998</v>
      </c>
      <c r="BW41" s="23">
        <v>460386.48999999987</v>
      </c>
      <c r="BX41" s="23">
        <v>1021026.0300000003</v>
      </c>
      <c r="BY41" s="23">
        <v>216952.05999999959</v>
      </c>
      <c r="BZ41" s="23">
        <v>72726.350000000093</v>
      </c>
      <c r="CA41" s="23">
        <v>382322.29999999958</v>
      </c>
      <c r="CB41" s="23">
        <v>426705.80000000075</v>
      </c>
      <c r="CC41" s="23">
        <v>90361.519999999553</v>
      </c>
    </row>
    <row r="42" spans="1:81" x14ac:dyDescent="0.35">
      <c r="A42" t="s">
        <v>77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</row>
    <row r="43" spans="1:81" x14ac:dyDescent="0.35">
      <c r="A43" t="s">
        <v>78</v>
      </c>
      <c r="B43" s="23">
        <v>756598.98</v>
      </c>
      <c r="C43" s="23">
        <v>327136.63</v>
      </c>
      <c r="D43" s="23">
        <v>647825.23</v>
      </c>
      <c r="E43" s="23">
        <v>467217.97999999975</v>
      </c>
      <c r="F43" s="23">
        <v>374218.38000000041</v>
      </c>
      <c r="G43" s="23">
        <v>499327.68999999994</v>
      </c>
      <c r="H43" s="23">
        <v>497476.31000000006</v>
      </c>
      <c r="I43" s="23">
        <v>1032555.9100000006</v>
      </c>
      <c r="J43" s="23">
        <v>734816.33999999985</v>
      </c>
      <c r="K43" s="23">
        <v>451989.26999999955</v>
      </c>
      <c r="L43" s="23">
        <v>724575.03000000026</v>
      </c>
      <c r="M43" s="23">
        <v>827750.46</v>
      </c>
      <c r="N43" s="23">
        <v>450202.38</v>
      </c>
      <c r="O43" s="23">
        <v>392331.30999999988</v>
      </c>
      <c r="P43" s="23">
        <v>505502.85000000021</v>
      </c>
      <c r="Q43" s="23">
        <v>326695.15999999992</v>
      </c>
      <c r="R43" s="23">
        <v>345594.45999999996</v>
      </c>
      <c r="S43" s="23">
        <v>450723.33000000007</v>
      </c>
      <c r="T43" s="23">
        <v>390806.51999999955</v>
      </c>
      <c r="U43" s="23">
        <v>709851.90000000037</v>
      </c>
      <c r="V43" s="23">
        <v>345482.35999999987</v>
      </c>
      <c r="W43" s="23">
        <v>340685.07999999961</v>
      </c>
      <c r="X43" s="23">
        <v>564015.49000000022</v>
      </c>
      <c r="Y43" s="23">
        <v>539973.62000000011</v>
      </c>
      <c r="Z43" s="23">
        <v>406159.83</v>
      </c>
      <c r="AA43" s="23">
        <v>490251.92000000004</v>
      </c>
      <c r="AB43" s="23">
        <v>1065482.5700000003</v>
      </c>
      <c r="AC43" s="23">
        <v>260842.09999999963</v>
      </c>
      <c r="AD43" s="23">
        <v>336188.25</v>
      </c>
      <c r="AE43" s="23">
        <v>649026.0700000003</v>
      </c>
      <c r="AF43" s="23">
        <v>416385.19999999972</v>
      </c>
      <c r="AG43" s="23">
        <v>1713263.2600000002</v>
      </c>
      <c r="AH43" s="23">
        <v>923631.71999999974</v>
      </c>
      <c r="AI43" s="23">
        <v>262979.05000000005</v>
      </c>
      <c r="AJ43" s="23">
        <v>495044.29000000004</v>
      </c>
      <c r="AK43" s="23">
        <v>881338.60000000102</v>
      </c>
      <c r="AL43" s="23">
        <v>353481.41</v>
      </c>
      <c r="AM43" s="23">
        <v>526045.03999999992</v>
      </c>
      <c r="AN43" s="23">
        <v>575849.83000000007</v>
      </c>
      <c r="AO43" s="23">
        <v>257462.91999999998</v>
      </c>
      <c r="AP43" s="23">
        <v>979879.37999999989</v>
      </c>
      <c r="AQ43" s="23">
        <v>77019.729999999981</v>
      </c>
      <c r="AR43" s="23">
        <v>450003.5400000001</v>
      </c>
      <c r="AS43" s="23">
        <v>654197.04</v>
      </c>
      <c r="AT43" s="23">
        <v>304395.33999999973</v>
      </c>
      <c r="AU43" s="23">
        <v>432063.3900000006</v>
      </c>
      <c r="AV43" s="23">
        <v>330501.04999999946</v>
      </c>
      <c r="AW43" s="23">
        <v>1176100.3400000003</v>
      </c>
      <c r="AX43" s="23">
        <v>451554.09</v>
      </c>
      <c r="AY43" s="23">
        <v>266254.95</v>
      </c>
      <c r="AZ43" s="23">
        <v>394778.37999999989</v>
      </c>
      <c r="BA43" s="23">
        <v>235714.99999999994</v>
      </c>
      <c r="BB43" s="23">
        <v>261227.12000000014</v>
      </c>
      <c r="BC43" s="23">
        <v>309543.7900000001</v>
      </c>
      <c r="BD43" s="23">
        <v>390321.79000000004</v>
      </c>
      <c r="BE43" s="23">
        <v>521203.72999999981</v>
      </c>
      <c r="BF43" s="23">
        <v>261330.67999999988</v>
      </c>
      <c r="BG43" s="23">
        <v>363524.34000000032</v>
      </c>
      <c r="BH43" s="23">
        <v>860360.57000000018</v>
      </c>
      <c r="BI43" s="23">
        <v>362365.02999999968</v>
      </c>
      <c r="BJ43" s="23">
        <v>574209.01</v>
      </c>
      <c r="BK43" s="23">
        <v>215087.21999999994</v>
      </c>
      <c r="BL43" s="23">
        <v>738158.38000000012</v>
      </c>
      <c r="BM43" s="23">
        <v>729482.30999999982</v>
      </c>
      <c r="BN43" s="23">
        <v>220552.4700000002</v>
      </c>
      <c r="BO43" s="23">
        <v>250953.25</v>
      </c>
      <c r="BP43" s="23">
        <v>271688.65999999968</v>
      </c>
      <c r="BQ43" s="23">
        <v>199177.71999999997</v>
      </c>
      <c r="BR43" s="23">
        <v>198037.41000000015</v>
      </c>
      <c r="BS43" s="23">
        <v>327356.41999999993</v>
      </c>
      <c r="BT43" s="23">
        <v>303654.25</v>
      </c>
      <c r="BU43" s="23">
        <v>115001.2900000005</v>
      </c>
      <c r="BV43" s="23">
        <v>1029539.85</v>
      </c>
      <c r="BW43" s="23">
        <v>581480.86</v>
      </c>
      <c r="BX43" s="23">
        <v>1155984.56</v>
      </c>
      <c r="BY43" s="23">
        <v>339670.91999999993</v>
      </c>
      <c r="BZ43" s="23">
        <v>270037.77</v>
      </c>
      <c r="CA43" s="23">
        <v>505385.39999999967</v>
      </c>
      <c r="CB43" s="23">
        <v>474341.88000000035</v>
      </c>
      <c r="CC43" s="23">
        <v>181083.2799999998</v>
      </c>
    </row>
    <row r="44" spans="1:81" x14ac:dyDescent="0.35">
      <c r="A44" t="s">
        <v>79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</row>
    <row r="45" spans="1:81" x14ac:dyDescent="0.35">
      <c r="A45" t="s">
        <v>80</v>
      </c>
      <c r="B45" s="23">
        <v>258435.16000000003</v>
      </c>
      <c r="C45" s="23">
        <v>-8557.6100000000442</v>
      </c>
      <c r="D45" s="23">
        <v>248407.69</v>
      </c>
      <c r="E45" s="23">
        <v>78861.180000000051</v>
      </c>
      <c r="F45" s="23">
        <v>84936.38</v>
      </c>
      <c r="G45" s="23">
        <v>105038.14999999991</v>
      </c>
      <c r="H45" s="23">
        <v>168267.90000000002</v>
      </c>
      <c r="I45" s="23">
        <v>69294.580000000075</v>
      </c>
      <c r="J45" s="23">
        <v>120625.44999999995</v>
      </c>
      <c r="K45" s="23">
        <v>56365.420000000158</v>
      </c>
      <c r="L45" s="23">
        <v>176181.62999999989</v>
      </c>
      <c r="M45" s="23">
        <v>91554.410000000149</v>
      </c>
      <c r="N45" s="23">
        <v>103652.59</v>
      </c>
      <c r="O45" s="23">
        <v>337997.19999999995</v>
      </c>
      <c r="P45" s="23">
        <v>94232.110000000073</v>
      </c>
      <c r="Q45" s="23">
        <v>55025.660000000033</v>
      </c>
      <c r="R45" s="23">
        <v>35336.029999999912</v>
      </c>
      <c r="S45" s="23">
        <v>-48218.260000000009</v>
      </c>
      <c r="T45" s="23">
        <v>72007.590000000084</v>
      </c>
      <c r="U45" s="23">
        <v>182436.32999999996</v>
      </c>
      <c r="V45" s="23">
        <v>31005.890000000014</v>
      </c>
      <c r="W45" s="23">
        <v>90769.520000000019</v>
      </c>
      <c r="X45" s="23">
        <v>39116.029999999912</v>
      </c>
      <c r="Y45" s="23">
        <v>114122.84999999998</v>
      </c>
      <c r="Z45" s="23">
        <v>206833.18</v>
      </c>
      <c r="AA45" s="23">
        <v>-39563.839999999997</v>
      </c>
      <c r="AB45" s="23">
        <v>1072815.6299999999</v>
      </c>
      <c r="AC45" s="23">
        <v>119767.6100000001</v>
      </c>
      <c r="AD45" s="23">
        <v>-6544.2299999999814</v>
      </c>
      <c r="AE45" s="23">
        <v>-13224.960000000196</v>
      </c>
      <c r="AF45" s="23">
        <v>56691.440000000177</v>
      </c>
      <c r="AG45" s="23">
        <v>1671827.23</v>
      </c>
      <c r="AH45" s="23">
        <v>80397.259999999776</v>
      </c>
      <c r="AI45" s="23">
        <v>226263.06000000006</v>
      </c>
      <c r="AJ45" s="23">
        <v>118109.08000000007</v>
      </c>
      <c r="AK45" s="23">
        <v>104666.93000000017</v>
      </c>
      <c r="AL45" s="23">
        <v>150473.66</v>
      </c>
      <c r="AM45" s="23">
        <v>196322.05</v>
      </c>
      <c r="AN45" s="23">
        <v>101383.93</v>
      </c>
      <c r="AO45" s="23">
        <v>44104.76999999996</v>
      </c>
      <c r="AP45" s="23">
        <v>18518.210000000028</v>
      </c>
      <c r="AQ45" s="23">
        <v>34554.089999999938</v>
      </c>
      <c r="AR45" s="23">
        <v>-10029.959999999963</v>
      </c>
      <c r="AS45" s="23">
        <v>74814.900000000023</v>
      </c>
      <c r="AT45" s="23">
        <v>76195.569999999949</v>
      </c>
      <c r="AU45" s="23">
        <v>321655.27</v>
      </c>
      <c r="AV45" s="23">
        <v>95289.600000000064</v>
      </c>
      <c r="AW45" s="23">
        <v>155207.06999999992</v>
      </c>
      <c r="AX45" s="23">
        <v>157354.20000000001</v>
      </c>
      <c r="AY45" s="23">
        <v>4586.8999999999869</v>
      </c>
      <c r="AZ45" s="23">
        <v>314240.26</v>
      </c>
      <c r="BA45" s="23">
        <v>339366.16000000003</v>
      </c>
      <c r="BB45" s="23">
        <v>235839.15999999992</v>
      </c>
      <c r="BC45" s="23">
        <v>46846.840000000084</v>
      </c>
      <c r="BD45" s="23">
        <v>162109.81000000006</v>
      </c>
      <c r="BE45" s="23">
        <v>137509.25</v>
      </c>
      <c r="BF45" s="23">
        <v>-77675.959999999963</v>
      </c>
      <c r="BG45" s="23">
        <v>113287.44999999995</v>
      </c>
      <c r="BH45" s="23">
        <v>159488.25999999998</v>
      </c>
      <c r="BI45" s="23">
        <v>81249.379999999946</v>
      </c>
      <c r="BJ45" s="23">
        <v>238019.01</v>
      </c>
      <c r="BK45" s="23">
        <v>164278.5</v>
      </c>
      <c r="BL45" s="23">
        <v>93648.419999999984</v>
      </c>
      <c r="BM45" s="23">
        <v>321747.41999999993</v>
      </c>
      <c r="BN45" s="23">
        <v>52729.600000000035</v>
      </c>
      <c r="BO45" s="23">
        <v>86598.399999999965</v>
      </c>
      <c r="BP45" s="23">
        <v>104147.66000000015</v>
      </c>
      <c r="BQ45" s="23">
        <v>86275.679999999818</v>
      </c>
      <c r="BR45" s="23">
        <v>59357.410000000149</v>
      </c>
      <c r="BS45" s="23">
        <v>91573.490000000107</v>
      </c>
      <c r="BT45" s="23">
        <v>132781.84999999992</v>
      </c>
      <c r="BU45" s="23">
        <v>592606.23999999987</v>
      </c>
      <c r="BV45" s="23">
        <v>2551245.67</v>
      </c>
      <c r="BW45" s="23">
        <v>121094.37000000011</v>
      </c>
      <c r="BX45" s="23">
        <v>134958.5299999998</v>
      </c>
      <c r="BY45" s="23">
        <v>122718.86000000034</v>
      </c>
      <c r="BZ45" s="23">
        <v>197311.41999999993</v>
      </c>
      <c r="CA45" s="23">
        <v>123063.10000000009</v>
      </c>
      <c r="CB45" s="23">
        <v>47636.079999999609</v>
      </c>
      <c r="CC45" s="23">
        <v>90721.760000000242</v>
      </c>
    </row>
    <row r="46" spans="1:81" x14ac:dyDescent="0.35">
      <c r="A46" s="25" t="s">
        <v>81</v>
      </c>
      <c r="B46" s="26">
        <v>4992395.03</v>
      </c>
      <c r="C46" s="26">
        <v>3353136.7200000063</v>
      </c>
      <c r="D46" s="26">
        <v>3648751.3599999985</v>
      </c>
      <c r="E46" s="26">
        <v>5219085.6799999969</v>
      </c>
      <c r="F46" s="26">
        <v>3652261.6099999887</v>
      </c>
      <c r="G46" s="26">
        <v>6885047.1300000064</v>
      </c>
      <c r="H46" s="26">
        <v>5394034.8400000008</v>
      </c>
      <c r="I46" s="26">
        <v>6194564.2100000102</v>
      </c>
      <c r="J46" s="26">
        <v>-254344.88999999664</v>
      </c>
      <c r="K46" s="26">
        <v>3212798.3699999787</v>
      </c>
      <c r="L46" s="26">
        <v>2027050.1600000085</v>
      </c>
      <c r="M46" s="26">
        <v>4804859.6200000141</v>
      </c>
      <c r="N46" s="26">
        <v>4482994.8300000029</v>
      </c>
      <c r="O46" s="26">
        <v>5905340.0400000066</v>
      </c>
      <c r="P46" s="26">
        <v>-215768.80000001111</v>
      </c>
      <c r="Q46" s="26">
        <v>1653437.4200000158</v>
      </c>
      <c r="R46" s="26">
        <v>667861.42999998329</v>
      </c>
      <c r="S46" s="26">
        <v>1500225.2900000059</v>
      </c>
      <c r="T46" s="26">
        <v>2694459.4399999874</v>
      </c>
      <c r="U46" s="26">
        <v>4916089.8400000483</v>
      </c>
      <c r="V46" s="26">
        <v>232712.02999997616</v>
      </c>
      <c r="W46" s="26">
        <v>1202417.6599999787</v>
      </c>
      <c r="X46" s="26">
        <v>1143755.2300000335</v>
      </c>
      <c r="Y46" s="26">
        <v>759107.1700000033</v>
      </c>
      <c r="Z46" s="26">
        <v>1506932.9799999972</v>
      </c>
      <c r="AA46" s="26">
        <v>3652011.950000003</v>
      </c>
      <c r="AB46" s="26">
        <v>4933692.6700000009</v>
      </c>
      <c r="AC46" s="26">
        <v>3471410.6999999983</v>
      </c>
      <c r="AD46" s="26">
        <v>2120105.8399999929</v>
      </c>
      <c r="AE46" s="26">
        <v>5958644.4799999939</v>
      </c>
      <c r="AF46" s="26">
        <v>3670303.6599999964</v>
      </c>
      <c r="AG46" s="26">
        <v>2239728.3900000053</v>
      </c>
      <c r="AH46" s="26">
        <v>824187.78000000212</v>
      </c>
      <c r="AI46" s="26">
        <v>2662749.4900000524</v>
      </c>
      <c r="AJ46" s="26">
        <v>-205417.97000002582</v>
      </c>
      <c r="AK46" s="26">
        <v>7617053.8799999701</v>
      </c>
      <c r="AL46" s="26">
        <v>6220266.9800000042</v>
      </c>
      <c r="AM46" s="26">
        <v>4436940.389999995</v>
      </c>
      <c r="AN46" s="26">
        <v>2236456.219999989</v>
      </c>
      <c r="AO46" s="26">
        <v>7144977.2800000012</v>
      </c>
      <c r="AP46" s="26">
        <v>4848648.1600000225</v>
      </c>
      <c r="AQ46" s="26">
        <v>3014898.779999943</v>
      </c>
      <c r="AR46" s="26">
        <v>3709356.4400000544</v>
      </c>
      <c r="AS46" s="26">
        <v>4426372.5499999579</v>
      </c>
      <c r="AT46" s="26">
        <v>2578989.849999994</v>
      </c>
      <c r="AU46" s="26">
        <v>1863226.5700000445</v>
      </c>
      <c r="AV46" s="26">
        <v>659442.75999997009</v>
      </c>
      <c r="AW46" s="26">
        <v>9052101.180000104</v>
      </c>
      <c r="AX46" s="26">
        <v>3198540.3400000003</v>
      </c>
      <c r="AY46" s="26">
        <v>1421814.9100000125</v>
      </c>
      <c r="AZ46" s="26">
        <v>-1039125.9200000011</v>
      </c>
      <c r="BA46" s="26">
        <v>6903899.0999999996</v>
      </c>
      <c r="BB46" s="26">
        <v>847446.99999996205</v>
      </c>
      <c r="BC46" s="26">
        <v>4816679.4900000086</v>
      </c>
      <c r="BD46" s="26">
        <v>1951118.7500000256</v>
      </c>
      <c r="BE46" s="26">
        <v>5237945.7799999891</v>
      </c>
      <c r="BF46" s="26">
        <v>530034.72999998671</v>
      </c>
      <c r="BG46" s="26">
        <v>8906109.6099999938</v>
      </c>
      <c r="BH46" s="26">
        <v>-2308099.3599999831</v>
      </c>
      <c r="BI46" s="26">
        <v>-7917731.3799999719</v>
      </c>
      <c r="BJ46" s="26">
        <v>3974713.5800000038</v>
      </c>
      <c r="BK46" s="26">
        <v>1625559.279999993</v>
      </c>
      <c r="BL46" s="26">
        <v>-312307.11999998498</v>
      </c>
      <c r="BM46" s="26">
        <v>1269172.1599999957</v>
      </c>
      <c r="BN46" s="26">
        <v>2167882.4099999713</v>
      </c>
      <c r="BO46" s="26">
        <v>2137659.4100000397</v>
      </c>
      <c r="BP46" s="26">
        <v>-4041781.8100000028</v>
      </c>
      <c r="BQ46" s="26">
        <v>1740012.6200000094</v>
      </c>
      <c r="BR46" s="26">
        <f>BR39+BR41</f>
        <v>6281784.6999999881</v>
      </c>
      <c r="BS46" s="26">
        <f>BS39+BS41</f>
        <v>400553.95000003662</v>
      </c>
      <c r="BT46" s="26">
        <v>4921695.7099999692</v>
      </c>
      <c r="BU46" s="26">
        <v>973069.39000003773</v>
      </c>
      <c r="BV46" s="26">
        <v>2523318.3000000012</v>
      </c>
      <c r="BW46" s="26">
        <v>7717044.5099999905</v>
      </c>
      <c r="BX46" s="26">
        <v>7386565.7800000058</v>
      </c>
      <c r="BY46" s="26">
        <v>1767951.0100000007</v>
      </c>
      <c r="BZ46" s="26">
        <v>3826130.4100000099</v>
      </c>
      <c r="CA46" s="26">
        <v>3656250.5900000287</v>
      </c>
      <c r="CB46" s="26">
        <v>3601484.9199999664</v>
      </c>
      <c r="CC46" s="26">
        <v>101452.16000002995</v>
      </c>
    </row>
    <row r="47" spans="1:81" x14ac:dyDescent="0.35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</row>
    <row r="48" spans="1:81" x14ac:dyDescent="0.35">
      <c r="A48" t="s">
        <v>82</v>
      </c>
      <c r="B48" s="23">
        <v>1181956.02</v>
      </c>
      <c r="C48" s="23">
        <v>734999.54</v>
      </c>
      <c r="D48" s="23">
        <v>784678.91000000015</v>
      </c>
      <c r="E48" s="23">
        <v>1175543.0699999998</v>
      </c>
      <c r="F48" s="23">
        <v>789597.08000000007</v>
      </c>
      <c r="G48" s="23">
        <v>1597677.79</v>
      </c>
      <c r="H48" s="23">
        <v>1202674.5</v>
      </c>
      <c r="I48" s="23">
        <v>1405655.8100000005</v>
      </c>
      <c r="J48" s="23">
        <v>-172444.90000000037</v>
      </c>
      <c r="K48" s="23">
        <v>641657.77999999933</v>
      </c>
      <c r="L48" s="23">
        <v>361632.97000000067</v>
      </c>
      <c r="M48" s="23">
        <v>1128827.0899999999</v>
      </c>
      <c r="N48" s="23">
        <v>980189.68</v>
      </c>
      <c r="O48" s="23">
        <v>1411598.0499999998</v>
      </c>
      <c r="P48" s="23">
        <v>-193193.33000000007</v>
      </c>
      <c r="Q48" s="23">
        <v>270229.01000000024</v>
      </c>
      <c r="R48" s="23">
        <v>16142.409999999683</v>
      </c>
      <c r="S48" s="23">
        <v>239121.74000000022</v>
      </c>
      <c r="T48" s="23">
        <v>527562.56000000006</v>
      </c>
      <c r="U48" s="23">
        <v>1109048</v>
      </c>
      <c r="V48" s="23">
        <v>-59655.240000000224</v>
      </c>
      <c r="W48" s="23">
        <v>157108.29999999981</v>
      </c>
      <c r="X48" s="23">
        <v>162043.91999999993</v>
      </c>
      <c r="Y48" s="23">
        <v>123076.13000000082</v>
      </c>
      <c r="Z48" s="23">
        <v>284428.92</v>
      </c>
      <c r="AA48" s="23">
        <v>790717.73</v>
      </c>
      <c r="AB48" s="23">
        <v>1428346.5700000003</v>
      </c>
      <c r="AC48" s="23">
        <v>751886.46</v>
      </c>
      <c r="AD48" s="23">
        <v>381323.41999999993</v>
      </c>
      <c r="AE48" s="23">
        <v>1332422.4099999997</v>
      </c>
      <c r="AF48" s="23">
        <v>788799.49000000022</v>
      </c>
      <c r="AG48" s="23">
        <v>843181.19000000041</v>
      </c>
      <c r="AH48" s="23">
        <v>81694.689999999478</v>
      </c>
      <c r="AI48" s="23">
        <v>559567.88999999966</v>
      </c>
      <c r="AJ48" s="23">
        <v>-168422.30999999959</v>
      </c>
      <c r="AK48" s="23">
        <v>1729168.2399999993</v>
      </c>
      <c r="AL48" s="23">
        <v>1407275.15</v>
      </c>
      <c r="AM48" s="23">
        <v>999042.26000000024</v>
      </c>
      <c r="AN48" s="23">
        <v>432440.60999999987</v>
      </c>
      <c r="AO48" s="23">
        <v>1629564.0799999996</v>
      </c>
      <c r="AP48" s="23">
        <v>1037435.6600000001</v>
      </c>
      <c r="AQ48" s="23">
        <v>581279.10000000056</v>
      </c>
      <c r="AR48" s="23">
        <v>744445.71</v>
      </c>
      <c r="AS48" s="23">
        <v>937280.26999999955</v>
      </c>
      <c r="AT48" s="23">
        <v>497436.41999999993</v>
      </c>
      <c r="AU48" s="23">
        <v>321922.97000000067</v>
      </c>
      <c r="AV48" s="23">
        <v>59472.519999999553</v>
      </c>
      <c r="AW48" s="23">
        <v>2080329.3200000003</v>
      </c>
      <c r="AX48" s="23">
        <v>706272.21</v>
      </c>
      <c r="AY48" s="23">
        <v>140921.03000000003</v>
      </c>
      <c r="AZ48" s="23">
        <v>-379232.75</v>
      </c>
      <c r="BA48" s="23">
        <v>1591284.96</v>
      </c>
      <c r="BB48" s="23">
        <v>74655.800000000047</v>
      </c>
      <c r="BC48" s="23">
        <v>980770.56</v>
      </c>
      <c r="BD48" s="23">
        <v>386636.08000000007</v>
      </c>
      <c r="BE48" s="23">
        <v>1136526.5699999998</v>
      </c>
      <c r="BF48" s="23">
        <v>-82810.280000000261</v>
      </c>
      <c r="BG48" s="23">
        <v>1994468.1500000004</v>
      </c>
      <c r="BH48" s="23">
        <v>-729735.31000000052</v>
      </c>
      <c r="BI48" s="23">
        <v>-2198778.9499999997</v>
      </c>
      <c r="BJ48" s="23">
        <v>833439.02</v>
      </c>
      <c r="BK48" s="23">
        <v>255957.8899999999</v>
      </c>
      <c r="BL48" s="23">
        <v>-222292.5199999999</v>
      </c>
      <c r="BM48" s="23">
        <v>187248.16000000003</v>
      </c>
      <c r="BN48" s="23">
        <v>329821.94999999995</v>
      </c>
      <c r="BO48" s="23">
        <v>378271.62999999989</v>
      </c>
      <c r="BP48" s="23">
        <v>-1207920.6599999999</v>
      </c>
      <c r="BQ48" s="23">
        <v>243006.01</v>
      </c>
      <c r="BR48" s="23">
        <v>1282409.8800000001</v>
      </c>
      <c r="BS48" s="23">
        <v>-100279.44000000018</v>
      </c>
      <c r="BT48" s="23">
        <v>1047259.3500000001</v>
      </c>
      <c r="BU48" s="23">
        <v>174846.93000000017</v>
      </c>
      <c r="BV48" s="23">
        <v>1047984.69</v>
      </c>
      <c r="BW48" s="23">
        <v>1719645.8900000001</v>
      </c>
      <c r="BX48" s="23">
        <v>1599314.6600000001</v>
      </c>
      <c r="BY48" s="23">
        <v>246319.30999999959</v>
      </c>
      <c r="BZ48" s="23">
        <v>787674.12999999989</v>
      </c>
      <c r="CA48" s="23">
        <v>707736.12000000011</v>
      </c>
      <c r="CB48" s="23">
        <v>731996.74000000022</v>
      </c>
      <c r="CC48" s="23">
        <v>-211352.09999999963</v>
      </c>
    </row>
    <row r="49" spans="1:81" x14ac:dyDescent="0.35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</row>
    <row r="50" spans="1:81" ht="16" x14ac:dyDescent="0.4">
      <c r="A50" s="30" t="s">
        <v>83</v>
      </c>
      <c r="B50" s="31">
        <v>3810439.0100000002</v>
      </c>
      <c r="C50" s="31">
        <v>2618137.1799999988</v>
      </c>
      <c r="D50" s="31">
        <v>2864072.4500000011</v>
      </c>
      <c r="E50" s="31">
        <v>4043542.609999998</v>
      </c>
      <c r="F50" s="31">
        <v>2862664.5300000021</v>
      </c>
      <c r="G50" s="31">
        <v>5287369.3399999989</v>
      </c>
      <c r="H50" s="31">
        <v>4191360.34</v>
      </c>
      <c r="I50" s="31">
        <v>4788908.3999999966</v>
      </c>
      <c r="J50" s="31">
        <v>-81899.989999992773</v>
      </c>
      <c r="K50" s="31">
        <v>2571140.589999998</v>
      </c>
      <c r="L50" s="31">
        <v>1665417.1899999958</v>
      </c>
      <c r="M50" s="31">
        <v>3676032.5300000049</v>
      </c>
      <c r="N50" s="31">
        <v>3502805.15</v>
      </c>
      <c r="O50" s="31">
        <v>4493741.99</v>
      </c>
      <c r="P50" s="31">
        <v>-22575.47</v>
      </c>
      <c r="Q50" s="31">
        <v>1383208.4099999997</v>
      </c>
      <c r="R50" s="31">
        <v>651719.02</v>
      </c>
      <c r="S50" s="31">
        <v>1261103.5500000007</v>
      </c>
      <c r="T50" s="31">
        <v>2166896.8799999994</v>
      </c>
      <c r="U50" s="31">
        <v>3807041.84</v>
      </c>
      <c r="V50" s="31">
        <v>292367.27000000142</v>
      </c>
      <c r="W50" s="31">
        <v>1045309.3600000003</v>
      </c>
      <c r="X50" s="31">
        <v>981711.31000000052</v>
      </c>
      <c r="Y50" s="31">
        <v>636031.03999999724</v>
      </c>
      <c r="Z50" s="31">
        <v>1222504.06</v>
      </c>
      <c r="AA50" s="31">
        <v>2861294.2200000007</v>
      </c>
      <c r="AB50" s="31">
        <v>3505346.0999999996</v>
      </c>
      <c r="AC50" s="31">
        <v>2719524.2399999993</v>
      </c>
      <c r="AD50" s="31">
        <v>1738782.42</v>
      </c>
      <c r="AE50" s="31">
        <v>4626222.0700000022</v>
      </c>
      <c r="AF50" s="31">
        <v>2881504.17</v>
      </c>
      <c r="AG50" s="31">
        <v>1396547.1999999983</v>
      </c>
      <c r="AH50" s="31">
        <v>742493.08999999985</v>
      </c>
      <c r="AI50" s="31">
        <v>2103181.6000000006</v>
      </c>
      <c r="AJ50" s="31">
        <v>-36995.659999998286</v>
      </c>
      <c r="AK50" s="31">
        <v>5887885.6399999978</v>
      </c>
      <c r="AL50" s="31">
        <v>4812991.83</v>
      </c>
      <c r="AM50" s="31">
        <v>3437898.1299999994</v>
      </c>
      <c r="AN50" s="31">
        <v>1804015.6100000003</v>
      </c>
      <c r="AO50" s="31">
        <v>5515413.2000000011</v>
      </c>
      <c r="AP50" s="31">
        <v>3811212.5</v>
      </c>
      <c r="AQ50" s="31">
        <v>2433619.6800000006</v>
      </c>
      <c r="AR50" s="31">
        <v>2964910.7300000009</v>
      </c>
      <c r="AS50" s="31">
        <v>3489092.2799999956</v>
      </c>
      <c r="AT50" s="31">
        <v>2081553.4300000053</v>
      </c>
      <c r="AU50" s="31">
        <v>1541303.600000001</v>
      </c>
      <c r="AV50" s="31">
        <v>599970.23999999836</v>
      </c>
      <c r="AW50" s="31">
        <v>6971771.8599999938</v>
      </c>
      <c r="AX50" s="31">
        <v>2492268.1300000004</v>
      </c>
      <c r="AY50" s="31">
        <v>1280893.8800000004</v>
      </c>
      <c r="AZ50" s="31">
        <v>-659893.16999999993</v>
      </c>
      <c r="BA50" s="31">
        <v>5312614.1399999987</v>
      </c>
      <c r="BB50" s="31">
        <v>772791.20000000112</v>
      </c>
      <c r="BC50" s="31">
        <v>3835908.93</v>
      </c>
      <c r="BD50" s="31">
        <v>1564482.67</v>
      </c>
      <c r="BE50" s="31">
        <v>4101419.2099999976</v>
      </c>
      <c r="BF50" s="31">
        <v>612845.01000000141</v>
      </c>
      <c r="BG50" s="31">
        <v>6911641.459999999</v>
      </c>
      <c r="BH50" s="31">
        <v>-1578364.0499999998</v>
      </c>
      <c r="BI50" s="31">
        <v>-5718952.4299999978</v>
      </c>
      <c r="BJ50" s="31">
        <v>3141274.5599999996</v>
      </c>
      <c r="BK50" s="31">
        <v>1369601.3900000006</v>
      </c>
      <c r="BL50" s="31">
        <v>-90014.600000000442</v>
      </c>
      <c r="BM50" s="31">
        <v>1081923.9999999995</v>
      </c>
      <c r="BN50" s="31">
        <v>1838060.4600000002</v>
      </c>
      <c r="BO50" s="31">
        <v>1759387.7799999998</v>
      </c>
      <c r="BP50" s="31">
        <v>-2833861.1500000004</v>
      </c>
      <c r="BQ50" s="31">
        <v>1497006.6100000003</v>
      </c>
      <c r="BR50" s="31">
        <v>4999374.8199999994</v>
      </c>
      <c r="BS50" s="31">
        <v>500833.39000000164</v>
      </c>
      <c r="BT50" s="31">
        <v>3874436.3599999989</v>
      </c>
      <c r="BU50" s="31">
        <v>798222.45999999775</v>
      </c>
      <c r="BV50" s="31">
        <v>1475333.6099999999</v>
      </c>
      <c r="BW50" s="31">
        <v>5997398.620000001</v>
      </c>
      <c r="BX50" s="31">
        <v>5787251.1199999992</v>
      </c>
      <c r="BY50" s="31">
        <v>1521631.7</v>
      </c>
      <c r="BZ50" s="31">
        <v>3038456.2800000003</v>
      </c>
      <c r="CA50" s="31">
        <v>2948514.4700000016</v>
      </c>
      <c r="CB50" s="31">
        <v>2869488.1799999983</v>
      </c>
      <c r="CC50" s="31">
        <v>312804.26000000024</v>
      </c>
    </row>
    <row r="51" spans="1:81" x14ac:dyDescent="0.35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</row>
    <row r="52" spans="1:81" x14ac:dyDescent="0.35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6674-7640-4211-BBAD-A1707229E5A4}">
  <dimension ref="A1:N67"/>
  <sheetViews>
    <sheetView topLeftCell="A37" workbookViewId="0">
      <selection activeCell="B1" sqref="B1:B1048576"/>
    </sheetView>
  </sheetViews>
  <sheetFormatPr defaultRowHeight="14.5" x14ac:dyDescent="0.35"/>
  <cols>
    <col min="1" max="1" width="60" customWidth="1"/>
    <col min="2" max="8" width="21.81640625" customWidth="1"/>
    <col min="9" max="12" width="20" customWidth="1"/>
    <col min="13" max="14" width="10.90625" customWidth="1"/>
  </cols>
  <sheetData>
    <row r="1" spans="1:14" ht="18.5" x14ac:dyDescent="0.45">
      <c r="A1" s="32" t="s">
        <v>84</v>
      </c>
    </row>
    <row r="3" spans="1:14" ht="16" x14ac:dyDescent="0.4">
      <c r="A3" s="33" t="s">
        <v>85</v>
      </c>
    </row>
    <row r="4" spans="1:14" x14ac:dyDescent="0.35">
      <c r="A4" t="s">
        <v>86</v>
      </c>
      <c r="B4" s="34">
        <f>(C42/SUMIFS('Informacion de Sam'!$5:$5,'Informacion de Sam'!$1:$1,"&gt;="&amp;DATE($A$14,1,1),'Informacion de Sam'!$1:$1,"&lt;="&amp;DATE($A$14,12,31)))^(1/5)-1</f>
        <v>0.10590103465147283</v>
      </c>
    </row>
    <row r="5" spans="1:14" x14ac:dyDescent="0.35">
      <c r="A5" t="s">
        <v>87</v>
      </c>
      <c r="B5" s="34">
        <f>'Mercado 2025 y 2026'!Y478/(SUM('Mercado 2025 y 2026'!B478:F478)+SUM('Mercado 2025 y 2026'!H478:J478))-1</f>
        <v>7.0818486270398884E-2</v>
      </c>
    </row>
    <row r="6" spans="1:14" x14ac:dyDescent="0.35">
      <c r="A6" t="s">
        <v>88</v>
      </c>
      <c r="B6" s="35">
        <v>0.5</v>
      </c>
    </row>
    <row r="7" spans="1:14" x14ac:dyDescent="0.35">
      <c r="A7" t="s">
        <v>89</v>
      </c>
      <c r="B7" s="34">
        <f>B6*B4+(1-B6)*B5</f>
        <v>8.8359760460935854E-2</v>
      </c>
    </row>
    <row r="8" spans="1:14" x14ac:dyDescent="0.35">
      <c r="A8" t="s">
        <v>90</v>
      </c>
      <c r="B8" s="35">
        <v>0.25</v>
      </c>
    </row>
    <row r="9" spans="1:14" x14ac:dyDescent="0.35">
      <c r="A9" t="s">
        <v>91</v>
      </c>
      <c r="B9" s="36" cm="1">
        <f t="array" ref="B9">LOOKUP(2,1/('Informacion de Sam'!$B$5:$ZZ$5&lt;&gt;""),'Informacion de Sam'!$B$1:$ZZ$1)</f>
        <v>46235</v>
      </c>
    </row>
    <row r="10" spans="1:14" x14ac:dyDescent="0.35">
      <c r="A10" t="s">
        <v>92</v>
      </c>
      <c r="B10" s="36">
        <f>EDATE(B9,-23)</f>
        <v>45536</v>
      </c>
    </row>
    <row r="12" spans="1:14" ht="16" x14ac:dyDescent="0.4">
      <c r="A12" s="33" t="s">
        <v>93</v>
      </c>
    </row>
    <row r="13" spans="1:14" x14ac:dyDescent="0.35">
      <c r="A13" s="37" t="s">
        <v>94</v>
      </c>
      <c r="B13" s="37" t="s">
        <v>95</v>
      </c>
      <c r="C13" s="37" t="s">
        <v>96</v>
      </c>
      <c r="D13" s="37" t="s">
        <v>97</v>
      </c>
      <c r="E13" s="37" t="s">
        <v>98</v>
      </c>
      <c r="F13" s="37" t="s">
        <v>99</v>
      </c>
      <c r="G13" s="37" t="s">
        <v>100</v>
      </c>
      <c r="H13" s="37" t="s">
        <v>101</v>
      </c>
      <c r="I13" s="37" t="s">
        <v>102</v>
      </c>
      <c r="J13" s="37" t="s">
        <v>103</v>
      </c>
      <c r="K13" s="37" t="s">
        <v>104</v>
      </c>
      <c r="L13" s="37" t="s">
        <v>105</v>
      </c>
      <c r="M13" s="37" t="s">
        <v>106</v>
      </c>
      <c r="N13" s="37" t="s">
        <v>107</v>
      </c>
    </row>
    <row r="14" spans="1:14" x14ac:dyDescent="0.35">
      <c r="A14">
        <v>2020</v>
      </c>
      <c r="B14" s="34">
        <f>SUMIFS('Informacion de Sam'!$5:$5,'Informacion de Sam'!$1:$1,DATE($A14,1,1))/SUMIFS('Informacion de Sam'!$5:$5,'Informacion de Sam'!$1:$1,"&gt;="&amp;DATE($A14,1,1),'Informacion de Sam'!$1:$1,"&lt;="&amp;DATE($A14,12,31))</f>
        <v>7.3300354952735111E-2</v>
      </c>
      <c r="C14" s="34">
        <f>SUMIFS('Informacion de Sam'!$5:$5,'Informacion de Sam'!$1:$1,DATE($A14,2,1))/SUMIFS('Informacion de Sam'!$5:$5,'Informacion de Sam'!$1:$1,"&gt;="&amp;DATE($A14,1,1),'Informacion de Sam'!$1:$1,"&lt;="&amp;DATE($A14,12,31))</f>
        <v>0.1106629098413176</v>
      </c>
      <c r="D14" s="34">
        <f>SUMIFS('Informacion de Sam'!$5:$5,'Informacion de Sam'!$1:$1,DATE($A14,3,1))/SUMIFS('Informacion de Sam'!$5:$5,'Informacion de Sam'!$1:$1,"&gt;="&amp;DATE($A14,1,1),'Informacion de Sam'!$1:$1,"&lt;="&amp;DATE($A14,12,31))</f>
        <v>7.1930183917731552E-2</v>
      </c>
      <c r="E14" s="34">
        <f>SUMIFS('Informacion de Sam'!$5:$5,'Informacion de Sam'!$1:$1,DATE($A14,4,1))/SUMIFS('Informacion de Sam'!$5:$5,'Informacion de Sam'!$1:$1,"&gt;="&amp;DATE($A14,1,1),'Informacion de Sam'!$1:$1,"&lt;="&amp;DATE($A14,12,31))</f>
        <v>6.5435278369489522E-2</v>
      </c>
      <c r="F14" s="34">
        <f>SUMIFS('Informacion de Sam'!$5:$5,'Informacion de Sam'!$1:$1,DATE($A14,5,1))/SUMIFS('Informacion de Sam'!$5:$5,'Informacion de Sam'!$1:$1,"&gt;="&amp;DATE($A14,1,1),'Informacion de Sam'!$1:$1,"&lt;="&amp;DATE($A14,12,31))</f>
        <v>6.8177642426936108E-2</v>
      </c>
      <c r="G14" s="34">
        <f>SUMIFS('Informacion de Sam'!$5:$5,'Informacion de Sam'!$1:$1,DATE($A14,6,1))/SUMIFS('Informacion de Sam'!$5:$5,'Informacion de Sam'!$1:$1,"&gt;="&amp;DATE($A14,1,1),'Informacion de Sam'!$1:$1,"&lt;="&amp;DATE($A14,12,31))</f>
        <v>7.3462484436120454E-2</v>
      </c>
      <c r="H14" s="34">
        <f>SUMIFS('Informacion de Sam'!$5:$5,'Informacion de Sam'!$1:$1,DATE($A14,7,1))/SUMIFS('Informacion de Sam'!$5:$5,'Informacion de Sam'!$1:$1,"&gt;="&amp;DATE($A14,1,1),'Informacion de Sam'!$1:$1,"&lt;="&amp;DATE($A14,12,31))</f>
        <v>7.1328276916428734E-2</v>
      </c>
      <c r="I14" s="34">
        <f>SUMIFS('Informacion de Sam'!$5:$5,'Informacion de Sam'!$1:$1,DATE($A14,8,1))/SUMIFS('Informacion de Sam'!$5:$5,'Informacion de Sam'!$1:$1,"&gt;="&amp;DATE($A14,1,1),'Informacion de Sam'!$1:$1,"&lt;="&amp;DATE($A14,12,31))</f>
        <v>0.15448065963039337</v>
      </c>
      <c r="J14" s="34">
        <f>SUMIFS('Informacion de Sam'!$5:$5,'Informacion de Sam'!$1:$1,DATE($A14,9,1))/SUMIFS('Informacion de Sam'!$5:$5,'Informacion de Sam'!$1:$1,"&gt;="&amp;DATE($A14,1,1),'Informacion de Sam'!$1:$1,"&lt;="&amp;DATE($A14,12,31))</f>
        <v>7.4648006958651175E-2</v>
      </c>
      <c r="K14" s="34">
        <f>SUMIFS('Informacion de Sam'!$5:$5,'Informacion de Sam'!$1:$1,DATE($A14,10,1))/SUMIFS('Informacion de Sam'!$5:$5,'Informacion de Sam'!$1:$1,"&gt;="&amp;DATE($A14,1,1),'Informacion de Sam'!$1:$1,"&lt;="&amp;DATE($A14,12,31))</f>
        <v>7.3722040646003434E-2</v>
      </c>
      <c r="L14" s="34">
        <f>SUMIFS('Informacion de Sam'!$5:$5,'Informacion de Sam'!$1:$1,DATE($A14,11,1))/SUMIFS('Informacion de Sam'!$5:$5,'Informacion de Sam'!$1:$1,"&gt;="&amp;DATE($A14,1,1),'Informacion de Sam'!$1:$1,"&lt;="&amp;DATE($A14,12,31))</f>
        <v>7.1967529551711498E-2</v>
      </c>
      <c r="M14" s="34">
        <f>SUMIFS('Informacion de Sam'!$5:$5,'Informacion de Sam'!$1:$1,DATE($A14,12,1))/SUMIFS('Informacion de Sam'!$5:$5,'Informacion de Sam'!$1:$1,"&gt;="&amp;DATE($A14,1,1),'Informacion de Sam'!$1:$1,"&lt;="&amp;DATE($A14,12,31))</f>
        <v>9.0884632352481426E-2</v>
      </c>
      <c r="N14" s="34">
        <f t="shared" ref="N14:N20" si="0">SUM(B14:M14)</f>
        <v>1</v>
      </c>
    </row>
    <row r="15" spans="1:14" x14ac:dyDescent="0.35">
      <c r="A15">
        <v>2021</v>
      </c>
      <c r="B15" s="34">
        <f>SUMIFS('Informacion de Sam'!$5:$5,'Informacion de Sam'!$1:$1,DATE($A15,1,1))/SUMIFS('Informacion de Sam'!$5:$5,'Informacion de Sam'!$1:$1,"&gt;="&amp;DATE($A15,1,1),'Informacion de Sam'!$1:$1,"&lt;="&amp;DATE($A15,12,31))</f>
        <v>5.744324466116927E-2</v>
      </c>
      <c r="C15" s="34">
        <f>SUMIFS('Informacion de Sam'!$5:$5,'Informacion de Sam'!$1:$1,DATE($A15,2,1))/SUMIFS('Informacion de Sam'!$5:$5,'Informacion de Sam'!$1:$1,"&gt;="&amp;DATE($A15,1,1),'Informacion de Sam'!$1:$1,"&lt;="&amp;DATE($A15,12,31))</f>
        <v>8.8504650009646385E-2</v>
      </c>
      <c r="D15" s="34">
        <f>SUMIFS('Informacion de Sam'!$5:$5,'Informacion de Sam'!$1:$1,DATE($A15,3,1))/SUMIFS('Informacion de Sam'!$5:$5,'Informacion de Sam'!$1:$1,"&gt;="&amp;DATE($A15,1,1),'Informacion de Sam'!$1:$1,"&lt;="&amp;DATE($A15,12,31))</f>
        <v>9.4853584874477481E-2</v>
      </c>
      <c r="E15" s="34">
        <f>SUMIFS('Informacion de Sam'!$5:$5,'Informacion de Sam'!$1:$1,DATE($A15,4,1))/SUMIFS('Informacion de Sam'!$5:$5,'Informacion de Sam'!$1:$1,"&gt;="&amp;DATE($A15,1,1),'Informacion de Sam'!$1:$1,"&lt;="&amp;DATE($A15,12,31))</f>
        <v>7.584687248373545E-2</v>
      </c>
      <c r="F15" s="34">
        <f>SUMIFS('Informacion de Sam'!$5:$5,'Informacion de Sam'!$1:$1,DATE($A15,5,1))/SUMIFS('Informacion de Sam'!$5:$5,'Informacion de Sam'!$1:$1,"&gt;="&amp;DATE($A15,1,1),'Informacion de Sam'!$1:$1,"&lt;="&amp;DATE($A15,12,31))</f>
        <v>6.4658056368662314E-2</v>
      </c>
      <c r="G15" s="34">
        <f>SUMIFS('Informacion de Sam'!$5:$5,'Informacion de Sam'!$1:$1,DATE($A15,6,1))/SUMIFS('Informacion de Sam'!$5:$5,'Informacion de Sam'!$1:$1,"&gt;="&amp;DATE($A15,1,1),'Informacion de Sam'!$1:$1,"&lt;="&amp;DATE($A15,12,31))</f>
        <v>8.2888811377064969E-2</v>
      </c>
      <c r="H15" s="34">
        <f>SUMIFS('Informacion de Sam'!$5:$5,'Informacion de Sam'!$1:$1,DATE($A15,7,1))/SUMIFS('Informacion de Sam'!$5:$5,'Informacion de Sam'!$1:$1,"&gt;="&amp;DATE($A15,1,1),'Informacion de Sam'!$1:$1,"&lt;="&amp;DATE($A15,12,31))</f>
        <v>7.2137428737438142E-2</v>
      </c>
      <c r="I15" s="34">
        <f>SUMIFS('Informacion de Sam'!$5:$5,'Informacion de Sam'!$1:$1,DATE($A15,8,1))/SUMIFS('Informacion de Sam'!$5:$5,'Informacion de Sam'!$1:$1,"&gt;="&amp;DATE($A15,1,1),'Informacion de Sam'!$1:$1,"&lt;="&amp;DATE($A15,12,31))</f>
        <v>0.15912366478033452</v>
      </c>
      <c r="J15" s="34">
        <f>SUMIFS('Informacion de Sam'!$5:$5,'Informacion de Sam'!$1:$1,DATE($A15,9,1))/SUMIFS('Informacion de Sam'!$5:$5,'Informacion de Sam'!$1:$1,"&gt;="&amp;DATE($A15,1,1),'Informacion de Sam'!$1:$1,"&lt;="&amp;DATE($A15,12,31))</f>
        <v>7.6303520401946962E-2</v>
      </c>
      <c r="K15" s="34">
        <f>SUMIFS('Informacion de Sam'!$5:$5,'Informacion de Sam'!$1:$1,DATE($A15,10,1))/SUMIFS('Informacion de Sam'!$5:$5,'Informacion de Sam'!$1:$1,"&gt;="&amp;DATE($A15,1,1),'Informacion de Sam'!$1:$1,"&lt;="&amp;DATE($A15,12,31))</f>
        <v>7.1949573911106901E-2</v>
      </c>
      <c r="L15" s="34">
        <f>SUMIFS('Informacion de Sam'!$5:$5,'Informacion de Sam'!$1:$1,DATE($A15,11,1))/SUMIFS('Informacion de Sam'!$5:$5,'Informacion de Sam'!$1:$1,"&gt;="&amp;DATE($A15,1,1),'Informacion de Sam'!$1:$1,"&lt;="&amp;DATE($A15,12,31))</f>
        <v>7.5962335013381913E-2</v>
      </c>
      <c r="M15" s="34">
        <f>SUMIFS('Informacion de Sam'!$5:$5,'Informacion de Sam'!$1:$1,DATE($A15,12,1))/SUMIFS('Informacion de Sam'!$5:$5,'Informacion de Sam'!$1:$1,"&gt;="&amp;DATE($A15,1,1),'Informacion de Sam'!$1:$1,"&lt;="&amp;DATE($A15,12,31))</f>
        <v>8.0328257381035675E-2</v>
      </c>
      <c r="N15" s="34">
        <f t="shared" si="0"/>
        <v>0.99999999999999989</v>
      </c>
    </row>
    <row r="16" spans="1:14" x14ac:dyDescent="0.35">
      <c r="A16">
        <v>2022</v>
      </c>
      <c r="B16" s="34">
        <f>SUMIFS('Informacion de Sam'!$5:$5,'Informacion de Sam'!$1:$1,DATE($A16,1,1))/SUMIFS('Informacion de Sam'!$5:$5,'Informacion de Sam'!$1:$1,"&gt;="&amp;DATE($A16,1,1),'Informacion de Sam'!$1:$1,"&lt;="&amp;DATE($A16,12,31))</f>
        <v>6.1251892175865352E-2</v>
      </c>
      <c r="C16" s="34">
        <f>SUMIFS('Informacion de Sam'!$5:$5,'Informacion de Sam'!$1:$1,DATE($A16,2,1))/SUMIFS('Informacion de Sam'!$5:$5,'Informacion de Sam'!$1:$1,"&gt;="&amp;DATE($A16,1,1),'Informacion de Sam'!$1:$1,"&lt;="&amp;DATE($A16,12,31))</f>
        <v>0.10986403326790525</v>
      </c>
      <c r="D16" s="34">
        <f>SUMIFS('Informacion de Sam'!$5:$5,'Informacion de Sam'!$1:$1,DATE($A16,3,1))/SUMIFS('Informacion de Sam'!$5:$5,'Informacion de Sam'!$1:$1,"&gt;="&amp;DATE($A16,1,1),'Informacion de Sam'!$1:$1,"&lt;="&amp;DATE($A16,12,31))</f>
        <v>6.8429018639675168E-2</v>
      </c>
      <c r="E16" s="34">
        <f>SUMIFS('Informacion de Sam'!$5:$5,'Informacion de Sam'!$1:$1,DATE($A16,4,1))/SUMIFS('Informacion de Sam'!$5:$5,'Informacion de Sam'!$1:$1,"&gt;="&amp;DATE($A16,1,1),'Informacion de Sam'!$1:$1,"&lt;="&amp;DATE($A16,12,31))</f>
        <v>7.0609037897024413E-2</v>
      </c>
      <c r="F16" s="34">
        <f>SUMIFS('Informacion de Sam'!$5:$5,'Informacion de Sam'!$1:$1,DATE($A16,5,1))/SUMIFS('Informacion de Sam'!$5:$5,'Informacion de Sam'!$1:$1,"&gt;="&amp;DATE($A16,1,1),'Informacion de Sam'!$1:$1,"&lt;="&amp;DATE($A16,12,31))</f>
        <v>7.0394826529860649E-2</v>
      </c>
      <c r="G16" s="34">
        <f>SUMIFS('Informacion de Sam'!$5:$5,'Informacion de Sam'!$1:$1,DATE($A16,6,1))/SUMIFS('Informacion de Sam'!$5:$5,'Informacion de Sam'!$1:$1,"&gt;="&amp;DATE($A16,1,1),'Informacion de Sam'!$1:$1,"&lt;="&amp;DATE($A16,12,31))</f>
        <v>8.4187177021581752E-2</v>
      </c>
      <c r="H16" s="34">
        <f>SUMIFS('Informacion de Sam'!$5:$5,'Informacion de Sam'!$1:$1,DATE($A16,7,1))/SUMIFS('Informacion de Sam'!$5:$5,'Informacion de Sam'!$1:$1,"&gt;="&amp;DATE($A16,1,1),'Informacion de Sam'!$1:$1,"&lt;="&amp;DATE($A16,12,31))</f>
        <v>0.1412261405653823</v>
      </c>
      <c r="I16" s="34">
        <f>SUMIFS('Informacion de Sam'!$5:$5,'Informacion de Sam'!$1:$1,DATE($A16,8,1))/SUMIFS('Informacion de Sam'!$5:$5,'Informacion de Sam'!$1:$1,"&gt;="&amp;DATE($A16,1,1),'Informacion de Sam'!$1:$1,"&lt;="&amp;DATE($A16,12,31))</f>
        <v>8.3667506328519589E-2</v>
      </c>
      <c r="J16" s="34">
        <f>SUMIFS('Informacion de Sam'!$5:$5,'Informacion de Sam'!$1:$1,DATE($A16,9,1))/SUMIFS('Informacion de Sam'!$5:$5,'Informacion de Sam'!$1:$1,"&gt;="&amp;DATE($A16,1,1),'Informacion de Sam'!$1:$1,"&lt;="&amp;DATE($A16,12,31))</f>
        <v>9.170465775526021E-2</v>
      </c>
      <c r="K16" s="34">
        <f>SUMIFS('Informacion de Sam'!$5:$5,'Informacion de Sam'!$1:$1,DATE($A16,10,1))/SUMIFS('Informacion de Sam'!$5:$5,'Informacion de Sam'!$1:$1,"&gt;="&amp;DATE($A16,1,1),'Informacion de Sam'!$1:$1,"&lt;="&amp;DATE($A16,12,31))</f>
        <v>7.9585153987650606E-2</v>
      </c>
      <c r="L16" s="34">
        <f>SUMIFS('Informacion de Sam'!$5:$5,'Informacion de Sam'!$1:$1,DATE($A16,11,1))/SUMIFS('Informacion de Sam'!$5:$5,'Informacion de Sam'!$1:$1,"&gt;="&amp;DATE($A16,1,1),'Informacion de Sam'!$1:$1,"&lt;="&amp;DATE($A16,12,31))</f>
        <v>7.3789148401963725E-2</v>
      </c>
      <c r="M16" s="34">
        <f>SUMIFS('Informacion de Sam'!$5:$5,'Informacion de Sam'!$1:$1,DATE($A16,12,1))/SUMIFS('Informacion de Sam'!$5:$5,'Informacion de Sam'!$1:$1,"&gt;="&amp;DATE($A16,1,1),'Informacion de Sam'!$1:$1,"&lt;="&amp;DATE($A16,12,31))</f>
        <v>6.5291407429310958E-2</v>
      </c>
      <c r="N16" s="34">
        <f t="shared" si="0"/>
        <v>1</v>
      </c>
    </row>
    <row r="17" spans="1:14" x14ac:dyDescent="0.35">
      <c r="A17">
        <v>2023</v>
      </c>
      <c r="B17" s="34">
        <f>SUMIFS('Informacion de Sam'!$5:$5,'Informacion de Sam'!$1:$1,DATE($A17,1,1))/SUMIFS('Informacion de Sam'!$5:$5,'Informacion de Sam'!$1:$1,"&gt;="&amp;DATE($A17,1,1),'Informacion de Sam'!$1:$1,"&lt;="&amp;DATE($A17,12,31))</f>
        <v>7.9003337775073776E-2</v>
      </c>
      <c r="C17" s="34">
        <f>SUMIFS('Informacion de Sam'!$5:$5,'Informacion de Sam'!$1:$1,DATE($A17,2,1))/SUMIFS('Informacion de Sam'!$5:$5,'Informacion de Sam'!$1:$1,"&gt;="&amp;DATE($A17,1,1),'Informacion de Sam'!$1:$1,"&lt;="&amp;DATE($A17,12,31))</f>
        <v>0.10582211577996178</v>
      </c>
      <c r="D17" s="34">
        <f>SUMIFS('Informacion de Sam'!$5:$5,'Informacion de Sam'!$1:$1,DATE($A17,3,1))/SUMIFS('Informacion de Sam'!$5:$5,'Informacion de Sam'!$1:$1,"&gt;="&amp;DATE($A17,1,1),'Informacion de Sam'!$1:$1,"&lt;="&amp;DATE($A17,12,31))</f>
        <v>7.4103897097352656E-2</v>
      </c>
      <c r="E17" s="34">
        <f>SUMIFS('Informacion de Sam'!$5:$5,'Informacion de Sam'!$1:$1,DATE($A17,4,1))/SUMIFS('Informacion de Sam'!$5:$5,'Informacion de Sam'!$1:$1,"&gt;="&amp;DATE($A17,1,1),'Informacion de Sam'!$1:$1,"&lt;="&amp;DATE($A17,12,31))</f>
        <v>9.3887682680850473E-2</v>
      </c>
      <c r="F17" s="34">
        <f>SUMIFS('Informacion de Sam'!$5:$5,'Informacion de Sam'!$1:$1,DATE($A17,5,1))/SUMIFS('Informacion de Sam'!$5:$5,'Informacion de Sam'!$1:$1,"&gt;="&amp;DATE($A17,1,1),'Informacion de Sam'!$1:$1,"&lt;="&amp;DATE($A17,12,31))</f>
        <v>7.1344353372621586E-2</v>
      </c>
      <c r="G17" s="34">
        <f>SUMIFS('Informacion de Sam'!$5:$5,'Informacion de Sam'!$1:$1,DATE($A17,6,1))/SUMIFS('Informacion de Sam'!$5:$5,'Informacion de Sam'!$1:$1,"&gt;="&amp;DATE($A17,1,1),'Informacion de Sam'!$1:$1,"&lt;="&amp;DATE($A17,12,31))</f>
        <v>7.4607574774654656E-2</v>
      </c>
      <c r="H17" s="34">
        <f>SUMIFS('Informacion de Sam'!$5:$5,'Informacion de Sam'!$1:$1,DATE($A17,7,1))/SUMIFS('Informacion de Sam'!$5:$5,'Informacion de Sam'!$1:$1,"&gt;="&amp;DATE($A17,1,1),'Informacion de Sam'!$1:$1,"&lt;="&amp;DATE($A17,12,31))</f>
        <v>6.6056316526797901E-2</v>
      </c>
      <c r="I17" s="34">
        <f>SUMIFS('Informacion de Sam'!$5:$5,'Informacion de Sam'!$1:$1,DATE($A17,8,1))/SUMIFS('Informacion de Sam'!$5:$5,'Informacion de Sam'!$1:$1,"&gt;="&amp;DATE($A17,1,1),'Informacion de Sam'!$1:$1,"&lt;="&amp;DATE($A17,12,31))</f>
        <v>0.13350023797399937</v>
      </c>
      <c r="J17" s="34">
        <f>SUMIFS('Informacion de Sam'!$5:$5,'Informacion de Sam'!$1:$1,DATE($A17,9,1))/SUMIFS('Informacion de Sam'!$5:$5,'Informacion de Sam'!$1:$1,"&gt;="&amp;DATE($A17,1,1),'Informacion de Sam'!$1:$1,"&lt;="&amp;DATE($A17,12,31))</f>
        <v>6.9594782296097196E-2</v>
      </c>
      <c r="K17" s="34">
        <f>SUMIFS('Informacion de Sam'!$5:$5,'Informacion de Sam'!$1:$1,DATE($A17,10,1))/SUMIFS('Informacion de Sam'!$5:$5,'Informacion de Sam'!$1:$1,"&gt;="&amp;DATE($A17,1,1),'Informacion de Sam'!$1:$1,"&lt;="&amp;DATE($A17,12,31))</f>
        <v>6.7763996483772487E-2</v>
      </c>
      <c r="L17" s="34">
        <f>SUMIFS('Informacion de Sam'!$5:$5,'Informacion de Sam'!$1:$1,DATE($A17,11,1))/SUMIFS('Informacion de Sam'!$5:$5,'Informacion de Sam'!$1:$1,"&gt;="&amp;DATE($A17,1,1),'Informacion de Sam'!$1:$1,"&lt;="&amp;DATE($A17,12,31))</f>
        <v>8.501800789964517E-2</v>
      </c>
      <c r="M17" s="34">
        <f>SUMIFS('Informacion de Sam'!$5:$5,'Informacion de Sam'!$1:$1,DATE($A17,12,1))/SUMIFS('Informacion de Sam'!$5:$5,'Informacion de Sam'!$1:$1,"&gt;="&amp;DATE($A17,1,1),'Informacion de Sam'!$1:$1,"&lt;="&amp;DATE($A17,12,31))</f>
        <v>7.9297697339172926E-2</v>
      </c>
      <c r="N17" s="34">
        <f t="shared" si="0"/>
        <v>0.99999999999999989</v>
      </c>
    </row>
    <row r="18" spans="1:14" x14ac:dyDescent="0.35">
      <c r="A18">
        <v>2024</v>
      </c>
      <c r="B18" s="34">
        <f>SUMIFS('Informacion de Sam'!$5:$5,'Informacion de Sam'!$1:$1,DATE($A18,1,1))/SUMIFS('Informacion de Sam'!$5:$5,'Informacion de Sam'!$1:$1,"&gt;="&amp;DATE($A18,1,1),'Informacion de Sam'!$1:$1,"&lt;="&amp;DATE($A18,12,31))</f>
        <v>7.3507058457195962E-2</v>
      </c>
      <c r="C18" s="34">
        <f>SUMIFS('Informacion de Sam'!$5:$5,'Informacion de Sam'!$1:$1,DATE($A18,2,1))/SUMIFS('Informacion de Sam'!$5:$5,'Informacion de Sam'!$1:$1,"&gt;="&amp;DATE($A18,1,1),'Informacion de Sam'!$1:$1,"&lt;="&amp;DATE($A18,12,31))</f>
        <v>0.10958573484267395</v>
      </c>
      <c r="D18" s="34">
        <f>SUMIFS('Informacion de Sam'!$5:$5,'Informacion de Sam'!$1:$1,DATE($A18,3,1))/SUMIFS('Informacion de Sam'!$5:$5,'Informacion de Sam'!$1:$1,"&gt;="&amp;DATE($A18,1,1),'Informacion de Sam'!$1:$1,"&lt;="&amp;DATE($A18,12,31))</f>
        <v>6.6298299641416425E-2</v>
      </c>
      <c r="E18" s="34">
        <f>SUMIFS('Informacion de Sam'!$5:$5,'Informacion de Sam'!$1:$1,DATE($A18,4,1))/SUMIFS('Informacion de Sam'!$5:$5,'Informacion de Sam'!$1:$1,"&gt;="&amp;DATE($A18,1,1),'Informacion de Sam'!$1:$1,"&lt;="&amp;DATE($A18,12,31))</f>
        <v>8.4739311644968812E-2</v>
      </c>
      <c r="F18" s="34">
        <f>SUMIFS('Informacion de Sam'!$5:$5,'Informacion de Sam'!$1:$1,DATE($A18,5,1))/SUMIFS('Informacion de Sam'!$5:$5,'Informacion de Sam'!$1:$1,"&gt;="&amp;DATE($A18,1,1),'Informacion de Sam'!$1:$1,"&lt;="&amp;DATE($A18,12,31))</f>
        <v>6.4915326141867333E-2</v>
      </c>
      <c r="G18" s="34">
        <f>SUMIFS('Informacion de Sam'!$5:$5,'Informacion de Sam'!$1:$1,DATE($A18,6,1))/SUMIFS('Informacion de Sam'!$5:$5,'Informacion de Sam'!$1:$1,"&gt;="&amp;DATE($A18,1,1),'Informacion de Sam'!$1:$1,"&lt;="&amp;DATE($A18,12,31))</f>
        <v>7.4935439776741011E-2</v>
      </c>
      <c r="H18" s="34">
        <f>SUMIFS('Informacion de Sam'!$5:$5,'Informacion de Sam'!$1:$1,DATE($A18,7,1))/SUMIFS('Informacion de Sam'!$5:$5,'Informacion de Sam'!$1:$1,"&gt;="&amp;DATE($A18,1,1),'Informacion de Sam'!$1:$1,"&lt;="&amp;DATE($A18,12,31))</f>
        <v>7.3185626488686845E-2</v>
      </c>
      <c r="I18" s="34">
        <f>SUMIFS('Informacion de Sam'!$5:$5,'Informacion de Sam'!$1:$1,DATE($A18,8,1))/SUMIFS('Informacion de Sam'!$5:$5,'Informacion de Sam'!$1:$1,"&gt;="&amp;DATE($A18,1,1),'Informacion de Sam'!$1:$1,"&lt;="&amp;DATE($A18,12,31))</f>
        <v>0.15031493950747618</v>
      </c>
      <c r="J18" s="34">
        <f>SUMIFS('Informacion de Sam'!$5:$5,'Informacion de Sam'!$1:$1,DATE($A18,9,1))/SUMIFS('Informacion de Sam'!$5:$5,'Informacion de Sam'!$1:$1,"&gt;="&amp;DATE($A18,1,1),'Informacion de Sam'!$1:$1,"&lt;="&amp;DATE($A18,12,31))</f>
        <v>6.9759422368763702E-2</v>
      </c>
      <c r="K18" s="34">
        <f>SUMIFS('Informacion de Sam'!$5:$5,'Informacion de Sam'!$1:$1,DATE($A18,10,1))/SUMIFS('Informacion de Sam'!$5:$5,'Informacion de Sam'!$1:$1,"&gt;="&amp;DATE($A18,1,1),'Informacion de Sam'!$1:$1,"&lt;="&amp;DATE($A18,12,31))</f>
        <v>8.6276531694522374E-2</v>
      </c>
      <c r="L18" s="34">
        <f>SUMIFS('Informacion de Sam'!$5:$5,'Informacion de Sam'!$1:$1,DATE($A18,11,1))/SUMIFS('Informacion de Sam'!$5:$5,'Informacion de Sam'!$1:$1,"&gt;="&amp;DATE($A18,1,1),'Informacion de Sam'!$1:$1,"&lt;="&amp;DATE($A18,12,31))</f>
        <v>8.8851052596002886E-2</v>
      </c>
      <c r="M18" s="34">
        <f>SUMIFS('Informacion de Sam'!$5:$5,'Informacion de Sam'!$1:$1,DATE($A18,12,1))/SUMIFS('Informacion de Sam'!$5:$5,'Informacion de Sam'!$1:$1,"&gt;="&amp;DATE($A18,1,1),'Informacion de Sam'!$1:$1,"&lt;="&amp;DATE($A18,12,31))</f>
        <v>5.7631256839684501E-2</v>
      </c>
      <c r="N18" s="34">
        <f t="shared" si="0"/>
        <v>1</v>
      </c>
    </row>
    <row r="19" spans="1:14" x14ac:dyDescent="0.35">
      <c r="A19">
        <v>2025</v>
      </c>
      <c r="B19" s="34">
        <f>SUMIFS('Informacion de Sam'!$5:$5,'Informacion de Sam'!$1:$1,DATE($A19,1,1))/SUMIFS('Informacion de Sam'!$5:$5,'Informacion de Sam'!$1:$1,"&gt;="&amp;DATE($A19,1,1),'Informacion de Sam'!$1:$1,"&lt;="&amp;DATE($A19,12,31))</f>
        <v>0.10692533593871324</v>
      </c>
      <c r="C19" s="34">
        <f>SUMIFS('Informacion de Sam'!$5:$5,'Informacion de Sam'!$1:$1,DATE($A19,2,1))/SUMIFS('Informacion de Sam'!$5:$5,'Informacion de Sam'!$1:$1,"&gt;="&amp;DATE($A19,1,1),'Informacion de Sam'!$1:$1,"&lt;="&amp;DATE($A19,12,31))</f>
        <v>0.11547491049448577</v>
      </c>
      <c r="D19" s="34">
        <f>SUMIFS('Informacion de Sam'!$5:$5,'Informacion de Sam'!$1:$1,DATE($A19,3,1))/SUMIFS('Informacion de Sam'!$5:$5,'Informacion de Sam'!$1:$1,"&gt;="&amp;DATE($A19,1,1),'Informacion de Sam'!$1:$1,"&lt;="&amp;DATE($A19,12,31))</f>
        <v>8.3632292694845844E-2</v>
      </c>
      <c r="E19" s="34">
        <f>SUMIFS('Informacion de Sam'!$5:$5,'Informacion de Sam'!$1:$1,DATE($A19,4,1))/SUMIFS('Informacion de Sam'!$5:$5,'Informacion de Sam'!$1:$1,"&gt;="&amp;DATE($A19,1,1),'Informacion de Sam'!$1:$1,"&lt;="&amp;DATE($A19,12,31))</f>
        <v>7.9302877312875525E-2</v>
      </c>
      <c r="F19" s="34">
        <f>SUMIFS('Informacion de Sam'!$5:$5,'Informacion de Sam'!$1:$1,DATE($A19,5,1))/SUMIFS('Informacion de Sam'!$5:$5,'Informacion de Sam'!$1:$1,"&gt;="&amp;DATE($A19,1,1),'Informacion de Sam'!$1:$1,"&lt;="&amp;DATE($A19,12,31))</f>
        <v>7.386875548450085E-2</v>
      </c>
      <c r="G19" s="34">
        <f>SUMIFS('Informacion de Sam'!$5:$5,'Informacion de Sam'!$1:$1,DATE($A19,6,1))/SUMIFS('Informacion de Sam'!$5:$5,'Informacion de Sam'!$1:$1,"&gt;="&amp;DATE($A19,1,1),'Informacion de Sam'!$1:$1,"&lt;="&amp;DATE($A19,12,31))</f>
        <v>8.2640553985031048E-2</v>
      </c>
      <c r="H19" s="34">
        <f>SUMIFS('Informacion de Sam'!$5:$5,'Informacion de Sam'!$1:$1,DATE($A19,7,1))/SUMIFS('Informacion de Sam'!$5:$5,'Informacion de Sam'!$1:$1,"&gt;="&amp;DATE($A19,1,1),'Informacion de Sam'!$1:$1,"&lt;="&amp;DATE($A19,12,31))</f>
        <v>8.6328249831536544E-2</v>
      </c>
      <c r="I19" s="34">
        <f>SUMIFS('Informacion de Sam'!$5:$5,'Informacion de Sam'!$1:$1,DATE($A19,8,1))/SUMIFS('Informacion de Sam'!$5:$5,'Informacion de Sam'!$1:$1,"&gt;="&amp;DATE($A19,1,1),'Informacion de Sam'!$1:$1,"&lt;="&amp;DATE($A19,12,31))</f>
        <v>8.5682161479967434E-2</v>
      </c>
      <c r="J19" s="34">
        <f>SUMIFS('Informacion de Sam'!$5:$5,'Informacion de Sam'!$1:$1,DATE($A19,9,1))/SUMIFS('Informacion de Sam'!$5:$5,'Informacion de Sam'!$1:$1,"&gt;="&amp;DATE($A19,1,1),'Informacion de Sam'!$1:$1,"&lt;="&amp;DATE($A19,12,31))</f>
        <v>8.5985506274113763E-2</v>
      </c>
      <c r="K19" s="34">
        <f>SUMIFS('Informacion de Sam'!$5:$5,'Informacion de Sam'!$1:$1,DATE($A19,10,1))/SUMIFS('Informacion de Sam'!$5:$5,'Informacion de Sam'!$1:$1,"&gt;="&amp;DATE($A19,1,1),'Informacion de Sam'!$1:$1,"&lt;="&amp;DATE($A19,12,31))</f>
        <v>7.2477225561045494E-2</v>
      </c>
      <c r="L19" s="34">
        <f>SUMIFS('Informacion de Sam'!$5:$5,'Informacion de Sam'!$1:$1,DATE($A19,11,1))/SUMIFS('Informacion de Sam'!$5:$5,'Informacion de Sam'!$1:$1,"&gt;="&amp;DATE($A19,1,1),'Informacion de Sam'!$1:$1,"&lt;="&amp;DATE($A19,12,31))</f>
        <v>7.0090002537783969E-2</v>
      </c>
      <c r="M19" s="34">
        <f>SUMIFS('Informacion de Sam'!$5:$5,'Informacion de Sam'!$1:$1,DATE($A19,12,1))/SUMIFS('Informacion de Sam'!$5:$5,'Informacion de Sam'!$1:$1,"&gt;="&amp;DATE($A19,1,1),'Informacion de Sam'!$1:$1,"&lt;="&amp;DATE($A19,12,31))</f>
        <v>5.7592128405100515E-2</v>
      </c>
      <c r="N19" s="34">
        <f t="shared" si="0"/>
        <v>1</v>
      </c>
    </row>
    <row r="20" spans="1:14" x14ac:dyDescent="0.35">
      <c r="A20" s="24" t="s">
        <v>108</v>
      </c>
      <c r="B20" s="38">
        <f t="shared" ref="B20:M20" si="1">AVERAGE(B14:B19)</f>
        <v>7.5238537326792115E-2</v>
      </c>
      <c r="C20" s="38">
        <f t="shared" si="1"/>
        <v>0.10665239237266512</v>
      </c>
      <c r="D20" s="38">
        <f t="shared" si="1"/>
        <v>7.6541212810916512E-2</v>
      </c>
      <c r="E20" s="38">
        <f t="shared" si="1"/>
        <v>7.8303510064824042E-2</v>
      </c>
      <c r="F20" s="38">
        <f t="shared" si="1"/>
        <v>6.8893160054074809E-2</v>
      </c>
      <c r="G20" s="38">
        <f t="shared" si="1"/>
        <v>7.8787006895198977E-2</v>
      </c>
      <c r="H20" s="38">
        <f t="shared" si="1"/>
        <v>8.5043673177711734E-2</v>
      </c>
      <c r="I20" s="38">
        <f t="shared" si="1"/>
        <v>0.12779486161678175</v>
      </c>
      <c r="J20" s="38">
        <f t="shared" si="1"/>
        <v>7.7999316009138842E-2</v>
      </c>
      <c r="K20" s="38">
        <f t="shared" si="1"/>
        <v>7.529575371401688E-2</v>
      </c>
      <c r="L20" s="38">
        <f t="shared" si="1"/>
        <v>7.7613012666748193E-2</v>
      </c>
      <c r="M20" s="38">
        <f t="shared" si="1"/>
        <v>7.1837563291131001E-2</v>
      </c>
      <c r="N20" s="38">
        <f t="shared" si="0"/>
        <v>1</v>
      </c>
    </row>
    <row r="22" spans="1:14" ht="16" x14ac:dyDescent="0.4">
      <c r="A22" s="33" t="s">
        <v>109</v>
      </c>
    </row>
    <row r="23" spans="1:14" ht="30" customHeight="1" x14ac:dyDescent="0.35">
      <c r="A23" s="37" t="s">
        <v>110</v>
      </c>
      <c r="B23" s="37" t="s">
        <v>111</v>
      </c>
      <c r="C23" s="37" t="s">
        <v>112</v>
      </c>
      <c r="D23" s="37" t="s">
        <v>113</v>
      </c>
      <c r="E23" s="37" t="s">
        <v>114</v>
      </c>
      <c r="F23" s="37" t="s">
        <v>115</v>
      </c>
    </row>
    <row r="24" spans="1:14" x14ac:dyDescent="0.35">
      <c r="A24" t="s">
        <v>116</v>
      </c>
      <c r="B24" t="s">
        <v>117</v>
      </c>
      <c r="C24" s="34">
        <f>SUMIFS('Informacion de Sam'!$3:$3,'Informacion de Sam'!$1:$1,"&gt;="&amp;$B$10,'Informacion de Sam'!$1:$1,"&lt;="&amp;$B$9)/SUMIFS('Informacion de Sam'!$2:$2,'Informacion de Sam'!$1:$1,"&gt;="&amp;$B$10,'Informacion de Sam'!$1:$1,"&lt;="&amp;$B$9)</f>
        <v>0.12367787780885238</v>
      </c>
      <c r="D24" s="34">
        <f>('Mercado 2025 y 2026'!$O$471+'Mercado 2025 y 2026'!$Y$471+'Mercado 2025 y 2026'!$O$477+'Mercado 2025 y 2026'!$Y$477)/('Mercado 2025 y 2026'!$O$470+'Mercado 2025 y 2026'!$Y$470+'Mercado 2025 y 2026'!$O$475+'Mercado 2025 y 2026'!$Y$475+'Mercado 2025 y 2026'!$O$476+'Mercado 2025 y 2026'!$Y$476)</f>
        <v>0.12399375378607655</v>
      </c>
      <c r="E24" s="35">
        <f>$B$6</f>
        <v>0.5</v>
      </c>
      <c r="F24" s="38">
        <f t="shared" ref="F24:F33" si="2">E24*C24+(1-E24)*D24</f>
        <v>0.12383581579746447</v>
      </c>
    </row>
    <row r="25" spans="1:14" x14ac:dyDescent="0.35">
      <c r="A25" t="s">
        <v>56</v>
      </c>
      <c r="B25" t="s">
        <v>118</v>
      </c>
      <c r="C25" s="34">
        <f>SUMIFS('Informacion de Sam'!$7:$7,'Informacion de Sam'!$1:$1,"&gt;="&amp;DATE(YEAR($B$9),1,1),'Informacion de Sam'!$1:$1,"&lt;="&amp;$B$9)/SUMIFS('Informacion de Sam'!$5:$5,'Informacion de Sam'!$1:$1,"&gt;="&amp;DATE(YEAR($B$9),1,1),'Informacion de Sam'!$1:$1,"&lt;="&amp;$B$9)</f>
        <v>0.42953149774716648</v>
      </c>
      <c r="D25" s="34">
        <f>('Mercado 2025 y 2026'!$O$480+'Mercado 2025 y 2026'!$Y$480)/('Mercado 2025 y 2026'!$O$478+'Mercado 2025 y 2026'!$Y$478)</f>
        <v>0.36307519194694488</v>
      </c>
      <c r="E25" s="35">
        <v>1</v>
      </c>
      <c r="F25" s="38">
        <f t="shared" si="2"/>
        <v>0.42953149774716648</v>
      </c>
    </row>
    <row r="26" spans="1:14" ht="58" x14ac:dyDescent="0.35">
      <c r="A26" t="s">
        <v>119</v>
      </c>
      <c r="B26" s="39" t="s">
        <v>120</v>
      </c>
      <c r="C26" s="34">
        <f>SUMIFS('Informacion de Sam'!$13:$13,'Informacion de Sam'!$1:$1,"&gt;="&amp;DATE(2021,1,1),'Informacion de Sam'!$1:$1,"&lt;="&amp;DATE(2025,12,31))/(SUMIFS('Informacion de Sam'!$9:$9,'Informacion de Sam'!$1:$1,"&gt;="&amp;DATE(2025,1,1),'Informacion de Sam'!$1:$1,"&lt;="&amp;DATE(2025,12,31))-SUMIFS('Informacion de Sam'!$9:$9,'Informacion de Sam'!$1:$1,"&gt;="&amp;DATE(2020,1,1),'Informacion de Sam'!$1:$1,"&lt;="&amp;DATE(2020,12,31)))</f>
        <v>0.5469174551582644</v>
      </c>
      <c r="D26" s="34">
        <f>'Mercado 2025 y 2026'!Y484/('Mercado 2025 y 2026'!Y482-(SUM('Mercado 2025 y 2026'!B482:F482)+SUM('Mercado 2025 y 2026'!H482:J482)))</f>
        <v>0.42006915027428721</v>
      </c>
      <c r="E26" s="35">
        <f>$B$6</f>
        <v>0.5</v>
      </c>
      <c r="F26" s="38">
        <f t="shared" si="2"/>
        <v>0.48349330271627577</v>
      </c>
    </row>
    <row r="27" spans="1:14" x14ac:dyDescent="0.35">
      <c r="A27" t="s">
        <v>121</v>
      </c>
      <c r="B27" t="s">
        <v>122</v>
      </c>
      <c r="C27" s="34">
        <f>SUMIFS('Informacion de Sam'!$19:$19,'Informacion de Sam'!$1:$1,"&gt;="&amp;$B$10,'Informacion de Sam'!$1:$1,"&lt;="&amp;$B$9)/SUMIFS('Informacion de Sam'!$5:$5,'Informacion de Sam'!$1:$1,"&gt;="&amp;$B$10,'Informacion de Sam'!$1:$1,"&lt;="&amp;$B$9)</f>
        <v>9.4624800419833052E-2</v>
      </c>
      <c r="D27" s="34">
        <f>('Mercado 2025 y 2026'!$O$491+'Mercado 2025 y 2026'!$Y$491)/('Mercado 2025 y 2026'!$O$478+'Mercado 2025 y 2026'!$Y$478)</f>
        <v>0.16559489026048668</v>
      </c>
      <c r="E27" s="35">
        <v>1</v>
      </c>
      <c r="F27" s="38">
        <f t="shared" si="2"/>
        <v>9.4624800419833052E-2</v>
      </c>
    </row>
    <row r="28" spans="1:14" x14ac:dyDescent="0.35">
      <c r="A28" t="s">
        <v>66</v>
      </c>
      <c r="B28" t="s">
        <v>123</v>
      </c>
      <c r="C28" s="34">
        <f>SUMIFS('Informacion de Sam'!$21:$21,'Informacion de Sam'!$1:$1,"&gt;="&amp;$B$10,'Informacion de Sam'!$1:$1,"&lt;="&amp;$B$9)/SUMIFS('Informacion de Sam'!$7:$7,'Informacion de Sam'!$1:$1,"&gt;="&amp;$B$10,'Informacion de Sam'!$1:$1,"&lt;="&amp;$B$9)</f>
        <v>0.21566433270995417</v>
      </c>
      <c r="D28" s="34">
        <f>('Mercado 2025 y 2026'!$O$492+'Mercado 2025 y 2026'!$Y$492)/('Mercado 2025 y 2026'!$O$480+'Mercado 2025 y 2026'!$Y$480)</f>
        <v>0.14931228389145587</v>
      </c>
      <c r="E28" s="35">
        <f t="shared" ref="E28:E33" si="3">$B$6</f>
        <v>0.5</v>
      </c>
      <c r="F28" s="38">
        <f t="shared" si="2"/>
        <v>0.182488308300705</v>
      </c>
    </row>
    <row r="29" spans="1:14" x14ac:dyDescent="0.35">
      <c r="A29" t="s">
        <v>67</v>
      </c>
      <c r="B29" t="s">
        <v>122</v>
      </c>
      <c r="C29" s="34">
        <f>SUMIFS('Informacion de Sam'!$24:$24,'Informacion de Sam'!$1:$1,"&gt;="&amp;$B$10,'Informacion de Sam'!$1:$1,"&lt;="&amp;$B$9)/SUMIFS('Informacion de Sam'!$5:$5,'Informacion de Sam'!$1:$1,"&gt;="&amp;$B$10,'Informacion de Sam'!$1:$1,"&lt;="&amp;$B$9)</f>
        <v>0.39428004855198623</v>
      </c>
      <c r="D29" s="34">
        <f>('Mercado 2025 y 2026'!$O$494+'Mercado 2025 y 2026'!$Y$494)/('Mercado 2025 y 2026'!$O$478+'Mercado 2025 y 2026'!$Y$478)</f>
        <v>0.4399631760505805</v>
      </c>
      <c r="E29" s="35">
        <f t="shared" si="3"/>
        <v>0.5</v>
      </c>
      <c r="F29" s="38">
        <f t="shared" si="2"/>
        <v>0.41712161230128336</v>
      </c>
    </row>
    <row r="30" spans="1:14" x14ac:dyDescent="0.35">
      <c r="A30" t="s">
        <v>124</v>
      </c>
      <c r="B30" t="s">
        <v>122</v>
      </c>
      <c r="C30" s="34">
        <f>SUMIFS('Informacion de Sam'!$25:$25,'Informacion de Sam'!$1:$1,"&gt;="&amp;$B$10,'Informacion de Sam'!$1:$1,"&lt;="&amp;$B$9)/SUMIFS('Informacion de Sam'!$5:$5,'Informacion de Sam'!$1:$1,"&gt;="&amp;$B$10,'Informacion de Sam'!$1:$1,"&lt;="&amp;$B$9)</f>
        <v>6.4241880800222198E-5</v>
      </c>
      <c r="D30" s="34">
        <f>('Mercado 2025 y 2026'!$O$495+'Mercado 2025 y 2026'!$Y$495)/('Mercado 2025 y 2026'!$O$478+'Mercado 2025 y 2026'!$Y$478)</f>
        <v>8.3898110732221723E-4</v>
      </c>
      <c r="E30" s="35">
        <f t="shared" si="3"/>
        <v>0.5</v>
      </c>
      <c r="F30" s="38">
        <f t="shared" si="2"/>
        <v>4.5161149406121971E-4</v>
      </c>
    </row>
    <row r="31" spans="1:14" x14ac:dyDescent="0.35">
      <c r="A31" t="s">
        <v>69</v>
      </c>
      <c r="B31" t="s">
        <v>125</v>
      </c>
      <c r="C31" s="34">
        <f>SUMIFS('Informacion de Sam'!$27:$27,'Informacion de Sam'!$1:$1,"&gt;="&amp;$B$10,'Informacion de Sam'!$1:$1,"&lt;="&amp;$B$9)/SUMIFS('Informacion de Sam'!$24:$24,'Informacion de Sam'!$1:$1,"&gt;="&amp;$B$10,'Informacion de Sam'!$1:$1,"&lt;="&amp;$B$9)</f>
        <v>0.26334387273791982</v>
      </c>
      <c r="D31" s="34">
        <f>('Mercado 2025 y 2026'!$O$497+'Mercado 2025 y 2026'!$Y$497)/('Mercado 2025 y 2026'!$O$494+'Mercado 2025 y 2026'!$Y$494)</f>
        <v>0.21897031024414645</v>
      </c>
      <c r="E31" s="35">
        <f t="shared" si="3"/>
        <v>0.5</v>
      </c>
      <c r="F31" s="38">
        <f t="shared" si="2"/>
        <v>0.24115709149103315</v>
      </c>
    </row>
    <row r="32" spans="1:14" x14ac:dyDescent="0.35">
      <c r="A32" t="s">
        <v>70</v>
      </c>
      <c r="B32" t="s">
        <v>125</v>
      </c>
      <c r="C32" s="34">
        <f>SUMIFS('Informacion de Sam'!$28:$28,'Informacion de Sam'!$1:$1,"&gt;="&amp;$B$10,'Informacion de Sam'!$1:$1,"&lt;="&amp;$B$9)/SUMIFS('Informacion de Sam'!$24:$24,'Informacion de Sam'!$1:$1,"&gt;="&amp;$B$10,'Informacion de Sam'!$1:$1,"&lt;="&amp;$B$9)</f>
        <v>2.832052897943561E-2</v>
      </c>
      <c r="D32" s="34">
        <f>('Mercado 2025 y 2026'!$O$498+'Mercado 2025 y 2026'!$Y$498)/('Mercado 2025 y 2026'!$O$494+'Mercado 2025 y 2026'!$Y$494)</f>
        <v>4.2040814140989986E-2</v>
      </c>
      <c r="E32" s="35">
        <f t="shared" si="3"/>
        <v>0.5</v>
      </c>
      <c r="F32" s="38">
        <f t="shared" si="2"/>
        <v>3.5180671560212796E-2</v>
      </c>
    </row>
    <row r="33" spans="1:12" x14ac:dyDescent="0.35">
      <c r="A33" t="s">
        <v>72</v>
      </c>
      <c r="B33" t="s">
        <v>122</v>
      </c>
      <c r="C33" s="34">
        <f>SUMIFS('Informacion de Sam'!$34:$34,'Informacion de Sam'!$1:$1,"&gt;="&amp;$B$10,'Informacion de Sam'!$1:$1,"&lt;="&amp;$B$9)/SUMIFS('Informacion de Sam'!$5:$5,'Informacion de Sam'!$1:$1,"&gt;="&amp;$B$10,'Informacion de Sam'!$1:$1,"&lt;="&amp;$B$9)</f>
        <v>1.0717988639634803E-3</v>
      </c>
      <c r="D33" s="34">
        <f>('Mercado 2025 y 2026'!$O$502+'Mercado 2025 y 2026'!$Y$502)/('Mercado 2025 y 2026'!$O$478+'Mercado 2025 y 2026'!$Y$478)</f>
        <v>3.38226331962605E-3</v>
      </c>
      <c r="E33" s="35">
        <f t="shared" si="3"/>
        <v>0.5</v>
      </c>
      <c r="F33" s="38">
        <f t="shared" si="2"/>
        <v>2.2270310917947653E-3</v>
      </c>
    </row>
    <row r="34" spans="1:12" x14ac:dyDescent="0.35">
      <c r="A34" t="s">
        <v>73</v>
      </c>
      <c r="B34" t="s">
        <v>122</v>
      </c>
      <c r="C34" s="34">
        <f>SUMIFS('Informacion de Sam'!$35:$35,'Informacion de Sam'!$1:$1,"&gt;="&amp;$B$10,'Informacion de Sam'!$1:$1,"&lt;="&amp;$B$9)/SUMIFS('Informacion de Sam'!$5:$5,'Informacion de Sam'!$1:$1,"&gt;="&amp;$B$10,'Informacion de Sam'!$1:$1,"&lt;="&amp;$B$9)</f>
        <v>0.29147767543577885</v>
      </c>
      <c r="D34" s="34">
        <f>('Mercado 2025 y 2026'!$O$503+'Mercado 2025 y 2026'!$Y$503)/('Mercado 2025 y 2026'!$O$478+'Mercado 2025 y 2026'!$Y$478)</f>
        <v>0.11354206833647953</v>
      </c>
      <c r="E34" s="35">
        <v>0.7</v>
      </c>
      <c r="F34" s="40">
        <f>E34*C34+(1-E34)*D34</f>
        <v>0.23809699330598905</v>
      </c>
    </row>
    <row r="35" spans="1:12" x14ac:dyDescent="0.35">
      <c r="A35" t="s">
        <v>74</v>
      </c>
      <c r="B35" t="s">
        <v>122</v>
      </c>
      <c r="C35" s="34">
        <f>SUMIFS('Informacion de Sam'!$37:$37,'Informacion de Sam'!$1:$1,"&gt;="&amp;$B$10,'Informacion de Sam'!$1:$1,"&lt;="&amp;$B$9)/SUMIFS('Informacion de Sam'!$5:$5,'Informacion de Sam'!$1:$1,"&gt;="&amp;$B$10,'Informacion de Sam'!$1:$1,"&lt;="&amp;$B$9)</f>
        <v>2.941843296894011E-2</v>
      </c>
      <c r="D35" s="34">
        <f>('Mercado 2025 y 2026'!$O$504+'Mercado 2025 y 2026'!$Y$504)/('Mercado 2025 y 2026'!$O$478+'Mercado 2025 y 2026'!$Y$478)</f>
        <v>3.3448499694317416E-2</v>
      </c>
      <c r="E35" s="35">
        <v>0.5</v>
      </c>
      <c r="F35" s="38">
        <f>E35*C35+(1-E35)*D35</f>
        <v>3.1433466331628759E-2</v>
      </c>
    </row>
    <row r="36" spans="1:12" x14ac:dyDescent="0.35">
      <c r="A36" t="s">
        <v>75</v>
      </c>
      <c r="B36" t="s">
        <v>122</v>
      </c>
      <c r="C36" s="34">
        <f>SUMIFS('Informacion de Sam'!$38:$38,'Informacion de Sam'!$1:$1,"&gt;="&amp;$B$10,'Informacion de Sam'!$1:$1,"&lt;="&amp;$B$9)/SUMIFS('Informacion de Sam'!$5:$5,'Informacion de Sam'!$1:$1,"&gt;="&amp;$B$10,'Informacion de Sam'!$1:$1,"&lt;="&amp;$B$9)</f>
        <v>2.2584920643758277E-2</v>
      </c>
      <c r="D36" s="34">
        <f>('Mercado 2025 y 2026'!$O$505+'Mercado 2025 y 2026'!$Y$505)/('Mercado 2025 y 2026'!$O$478+'Mercado 2025 y 2026'!$Y$478)</f>
        <v>4.7123905920370981E-2</v>
      </c>
      <c r="E36" s="35">
        <f>$B$6</f>
        <v>0.5</v>
      </c>
      <c r="F36" s="38">
        <f>E36*C36+(1-E36)*D36</f>
        <v>3.4854413282064629E-2</v>
      </c>
    </row>
    <row r="37" spans="1:12" x14ac:dyDescent="0.35">
      <c r="A37" t="s">
        <v>78</v>
      </c>
      <c r="B37" t="s">
        <v>122</v>
      </c>
      <c r="C37" s="34">
        <f>SUMIFS('Informacion de Sam'!$43:$43,'Informacion de Sam'!$1:$1,"&gt;="&amp;$B$10,'Informacion de Sam'!$1:$1,"&lt;="&amp;$B$9)/SUMIFS('Informacion de Sam'!$5:$5,'Informacion de Sam'!$1:$1,"&gt;="&amp;$B$10,'Informacion de Sam'!$1:$1,"&lt;="&amp;$B$9)</f>
        <v>8.1960590558791246E-3</v>
      </c>
      <c r="D37" s="34">
        <f>('Mercado 2025 y 2026'!$O$509+'Mercado 2025 y 2026'!$Y$509)/('Mercado 2025 y 2026'!$O$478+'Mercado 2025 y 2026'!$Y$478)</f>
        <v>3.833897969755265E-2</v>
      </c>
      <c r="E37" s="35">
        <f>$B$6</f>
        <v>0.5</v>
      </c>
      <c r="F37" s="38">
        <f>E37*C37+(1-E37)*D37</f>
        <v>2.3267519376715888E-2</v>
      </c>
    </row>
    <row r="38" spans="1:12" x14ac:dyDescent="0.35">
      <c r="A38" t="s">
        <v>80</v>
      </c>
      <c r="B38" t="s">
        <v>122</v>
      </c>
      <c r="C38" s="34">
        <f>SUMIFS('Informacion de Sam'!$45:$45,'Informacion de Sam'!$1:$1,"&gt;="&amp;$B$10,'Informacion de Sam'!$1:$1,"&lt;="&amp;$B$9)/SUMIFS('Informacion de Sam'!$5:$5,'Informacion de Sam'!$1:$1,"&gt;="&amp;$B$10,'Informacion de Sam'!$1:$1,"&lt;="&amp;$B$9)</f>
        <v>4.4285905248685493E-3</v>
      </c>
      <c r="D38" s="34">
        <f>('Mercado 2025 y 2026'!$O$510+'Mercado 2025 y 2026'!$Y$510)/('Mercado 2025 y 2026'!$O$478+'Mercado 2025 y 2026'!$Y$478)</f>
        <v>1.5525863773173269E-2</v>
      </c>
      <c r="E38" s="35">
        <f>$B$6</f>
        <v>0.5</v>
      </c>
      <c r="F38" s="38">
        <f>E38*C38+(1-E38)*D38</f>
        <v>9.9772271490209084E-3</v>
      </c>
    </row>
    <row r="40" spans="1:12" ht="16" x14ac:dyDescent="0.4">
      <c r="A40" s="33" t="s">
        <v>126</v>
      </c>
    </row>
    <row r="41" spans="1:12" ht="45" customHeight="1" x14ac:dyDescent="0.35">
      <c r="A41" s="37" t="s">
        <v>94</v>
      </c>
      <c r="B41" s="37" t="s">
        <v>127</v>
      </c>
      <c r="C41" s="37" t="s">
        <v>128</v>
      </c>
      <c r="D41" s="37" t="s">
        <v>129</v>
      </c>
      <c r="E41" s="37" t="s">
        <v>130</v>
      </c>
      <c r="F41" s="37" t="s">
        <v>131</v>
      </c>
      <c r="G41" s="37" t="s">
        <v>132</v>
      </c>
      <c r="H41" s="37" t="s">
        <v>133</v>
      </c>
      <c r="I41" s="37" t="s">
        <v>134</v>
      </c>
      <c r="J41" s="37" t="s">
        <v>135</v>
      </c>
      <c r="K41" s="37" t="s">
        <v>136</v>
      </c>
      <c r="L41" s="37" t="s">
        <v>137</v>
      </c>
    </row>
    <row r="42" spans="1:12" x14ac:dyDescent="0.35">
      <c r="A42">
        <v>2025</v>
      </c>
      <c r="B42" s="34"/>
      <c r="C42" s="23">
        <f>SUMIFS('Informacion de Sam'!$5:$5,'Informacion de Sam'!$1:$1,"&gt;="&amp;DATE(A42,1,1),'Informacion de Sam'!$1:$1,"&lt;="&amp;DATE(A42,12,31))</f>
        <v>668611342.32000005</v>
      </c>
      <c r="D42" s="23"/>
      <c r="E42" s="23">
        <f>SUMIFS('Informacion de Sam'!$50:$50,'Informacion de Sam'!$1:$1,"&gt;="&amp;DATE(A42,1,1),'Informacion de Sam'!$1:$1,"&lt;="&amp;DATE(A42,12,31))</f>
        <v>17936246.079999998</v>
      </c>
      <c r="F42" s="23"/>
      <c r="G42" s="34">
        <f>SUMIFS('Informacion de Sam'!$35:$35,'Informacion de Sam'!$1:$1,"&gt;="&amp;DATE(A42,1,1),'Informacion de Sam'!$1:$1,"&lt;="&amp;DATE(A42,12,31))/C42</f>
        <v>0.27415226979842539</v>
      </c>
      <c r="H42" s="34"/>
      <c r="L42" s="34">
        <f t="shared" ref="L42:L52" si="4">IFERROR(E42/C42,"")</f>
        <v>2.6826116975167374E-2</v>
      </c>
    </row>
    <row r="43" spans="1:12" x14ac:dyDescent="0.35">
      <c r="A43">
        <v>2026</v>
      </c>
      <c r="B43" s="34">
        <f>C43/C42-1</f>
        <v>-0.13224522681023576</v>
      </c>
      <c r="C43" s="23">
        <f>SUMIFS('Informacion de Sam'!$5:$5,'Informacion de Sam'!$1:$1,"&gt;="&amp;DATE(YEAR($B$9),1,1),'Informacion de Sam'!$1:$1,"&lt;="&amp;$B$9)/SUM(INDEX($B$20:$M$20,1):INDEX($B$20:$M$20,MONTH($B$9)))</f>
        <v>580190683.70699549</v>
      </c>
      <c r="D43" s="41"/>
      <c r="E43" s="23">
        <f>SUMIFS('Proyeccion Agromercantil'!$B$55:$HA$55,'Proyeccion Agromercantil'!$B$4:$HA$4,A43,'Proyeccion Agromercantil'!$B$5:$HA$5,"Acumulado")</f>
        <v>35708999.499142215</v>
      </c>
      <c r="F43" s="23">
        <f>SUMIFS('Proyeccion Agromercantil'!$B$60:$HA$60,'Proyeccion Agromercantil'!$B$4:$HA$4,A43,'Proyeccion Agromercantil'!$B$5:$HA$5,"Acumulado")</f>
        <v>0</v>
      </c>
      <c r="G43" s="34">
        <f>SUMIFS('Proyeccion Agromercantil'!$B$40:$HA$40,'Proyeccion Agromercantil'!$B$4:$HA$4,A43,'Proyeccion Agromercantil'!$B$5:$HA$5,"Acumulado")/SUMIFS('Proyeccion Agromercantil'!$B$10:$HA$10,'Proyeccion Agromercantil'!$B$4:$HA$4,A43,'Proyeccion Agromercantil'!$B$5:$HA$5,"Acumulado")</f>
        <v>0.26479079145788503</v>
      </c>
      <c r="H43" s="34"/>
      <c r="I43" s="42">
        <f t="shared" ref="I43:I52" si="5">$F$34</f>
        <v>0.23809699330598905</v>
      </c>
      <c r="J43" s="42"/>
      <c r="K43" s="10" t="str">
        <f t="shared" ref="K43:K52" si="6">IF(D43&lt;&gt;"",D43,IF(J43&lt;&gt;"",J43*C43,""))</f>
        <v/>
      </c>
      <c r="L43" s="34">
        <f t="shared" si="4"/>
        <v>6.1547006013588049E-2</v>
      </c>
    </row>
    <row r="44" spans="1:12" x14ac:dyDescent="0.35">
      <c r="A44">
        <v>2027</v>
      </c>
      <c r="B44" s="43">
        <v>0.25</v>
      </c>
      <c r="C44" s="23">
        <f t="shared" ref="C44:C52" si="7">C43*(1+B44)</f>
        <v>725238354.63374436</v>
      </c>
      <c r="D44" s="41"/>
      <c r="E44" s="23">
        <f>SUMIFS('Proyeccion Agromercantil'!$B$55:$HA$55,'Proyeccion Agromercantil'!$B$4:$HA$4,A44,'Proyeccion Agromercantil'!$B$5:$HA$5,"Acumulado")</f>
        <v>19587970.923134089</v>
      </c>
      <c r="F44" s="23">
        <f>SUMIFS('Proyeccion Agromercantil'!$B$60:$HA$60,'Proyeccion Agromercantil'!$B$4:$HA$4,A44,'Proyeccion Agromercantil'!$B$5:$HA$5,"Acumulado")</f>
        <v>0</v>
      </c>
      <c r="G44" s="34">
        <f>SUMIFS('Proyeccion Agromercantil'!$B$40:$HA$40,'Proyeccion Agromercantil'!$B$4:$HA$4,A44,'Proyeccion Agromercantil'!$B$5:$HA$5,"Acumulado")/SUMIFS('Proyeccion Agromercantil'!$B$10:$HA$10,'Proyeccion Agromercantil'!$B$4:$HA$4,A44,'Proyeccion Agromercantil'!$B$5:$HA$5,"Acumulado")</f>
        <v>0.2380969933059891</v>
      </c>
      <c r="H44" s="44">
        <f t="shared" ref="H44:H52" si="8">$B$7+($B$5-$B$7)*(A44-2027)/(2035-2027)</f>
        <v>8.8359760460935854E-2</v>
      </c>
      <c r="I44" s="42">
        <f t="shared" si="5"/>
        <v>0.23809699330598905</v>
      </c>
      <c r="J44" s="42"/>
      <c r="K44" s="10" t="str">
        <f t="shared" si="6"/>
        <v/>
      </c>
      <c r="L44" s="34">
        <f t="shared" si="4"/>
        <v>2.7009011310531544E-2</v>
      </c>
    </row>
    <row r="45" spans="1:12" x14ac:dyDescent="0.35">
      <c r="A45">
        <v>2028</v>
      </c>
      <c r="B45" s="43">
        <v>0.25</v>
      </c>
      <c r="C45" s="23">
        <f t="shared" si="7"/>
        <v>906547943.29218042</v>
      </c>
      <c r="D45" s="41"/>
      <c r="E45" s="23">
        <f>SUMIFS('Proyeccion Agromercantil'!$B$55:$HA$55,'Proyeccion Agromercantil'!$B$4:$HA$4,A45,'Proyeccion Agromercantil'!$B$5:$HA$5,"Acumulado")</f>
        <v>24484963.653917596</v>
      </c>
      <c r="F45" s="23">
        <f>SUMIFS('Proyeccion Agromercantil'!$B$60:$HA$60,'Proyeccion Agromercantil'!$B$4:$HA$4,A45,'Proyeccion Agromercantil'!$B$5:$HA$5,"Acumulado")</f>
        <v>0</v>
      </c>
      <c r="G45" s="34">
        <f>SUMIFS('Proyeccion Agromercantil'!$B$40:$HA$40,'Proyeccion Agromercantil'!$B$4:$HA$4,A45,'Proyeccion Agromercantil'!$B$5:$HA$5,"Acumulado")/SUMIFS('Proyeccion Agromercantil'!$B$10:$HA$10,'Proyeccion Agromercantil'!$B$4:$HA$4,A45,'Proyeccion Agromercantil'!$B$5:$HA$5,"Acumulado")</f>
        <v>0.23809699330598907</v>
      </c>
      <c r="H45" s="44">
        <f t="shared" si="8"/>
        <v>8.6167101187118733E-2</v>
      </c>
      <c r="I45" s="42">
        <f t="shared" si="5"/>
        <v>0.23809699330598905</v>
      </c>
      <c r="J45" s="42"/>
      <c r="K45" s="10" t="str">
        <f t="shared" si="6"/>
        <v/>
      </c>
      <c r="L45" s="34">
        <f t="shared" si="4"/>
        <v>2.7009011310531527E-2</v>
      </c>
    </row>
    <row r="46" spans="1:12" x14ac:dyDescent="0.35">
      <c r="A46">
        <v>2029</v>
      </c>
      <c r="B46" s="43">
        <v>0.25</v>
      </c>
      <c r="C46" s="23">
        <f t="shared" si="7"/>
        <v>1133184929.1152256</v>
      </c>
      <c r="D46" s="41"/>
      <c r="E46" s="23">
        <f>SUMIFS('Proyeccion Agromercantil'!$B$55:$HA$55,'Proyeccion Agromercantil'!$B$4:$HA$4,A46,'Proyeccion Agromercantil'!$B$5:$HA$5,"Acumulado")</f>
        <v>30606204.567396998</v>
      </c>
      <c r="F46" s="23">
        <f>SUMIFS('Proyeccion Agromercantil'!$B$60:$HA$60,'Proyeccion Agromercantil'!$B$4:$HA$4,A46,'Proyeccion Agromercantil'!$B$5:$HA$5,"Acumulado")</f>
        <v>0</v>
      </c>
      <c r="G46" s="34">
        <f>SUMIFS('Proyeccion Agromercantil'!$B$40:$HA$40,'Proyeccion Agromercantil'!$B$4:$HA$4,A46,'Proyeccion Agromercantil'!$B$5:$HA$5,"Acumulado")/SUMIFS('Proyeccion Agromercantil'!$B$10:$HA$10,'Proyeccion Agromercantil'!$B$4:$HA$4,A46,'Proyeccion Agromercantil'!$B$5:$HA$5,"Acumulado")</f>
        <v>0.23809699330598905</v>
      </c>
      <c r="H46" s="44">
        <f t="shared" si="8"/>
        <v>8.3974441913301612E-2</v>
      </c>
      <c r="I46" s="42">
        <f t="shared" si="5"/>
        <v>0.23809699330598905</v>
      </c>
      <c r="J46" s="42"/>
      <c r="K46" s="10" t="str">
        <f t="shared" si="6"/>
        <v/>
      </c>
      <c r="L46" s="34">
        <f t="shared" si="4"/>
        <v>2.700901131053153E-2</v>
      </c>
    </row>
    <row r="47" spans="1:12" x14ac:dyDescent="0.35">
      <c r="A47">
        <v>2030</v>
      </c>
      <c r="B47" s="43">
        <v>0.25</v>
      </c>
      <c r="C47" s="23">
        <f t="shared" si="7"/>
        <v>1416481161.394032</v>
      </c>
      <c r="D47" s="41"/>
      <c r="E47" s="23">
        <f>SUMIFS('Proyeccion Agromercantil'!$B$55:$HA$55,'Proyeccion Agromercantil'!$B$4:$HA$4,A47,'Proyeccion Agromercantil'!$B$5:$HA$5,"Acumulado")</f>
        <v>38257755.709246226</v>
      </c>
      <c r="F47" s="23">
        <f>SUMIFS('Proyeccion Agromercantil'!$B$60:$HA$60,'Proyeccion Agromercantil'!$B$4:$HA$4,A47,'Proyeccion Agromercantil'!$B$5:$HA$5,"Acumulado")</f>
        <v>0</v>
      </c>
      <c r="G47" s="34">
        <f>SUMIFS('Proyeccion Agromercantil'!$B$40:$HA$40,'Proyeccion Agromercantil'!$B$4:$HA$4,A47,'Proyeccion Agromercantil'!$B$5:$HA$5,"Acumulado")/SUMIFS('Proyeccion Agromercantil'!$B$10:$HA$10,'Proyeccion Agromercantil'!$B$4:$HA$4,A47,'Proyeccion Agromercantil'!$B$5:$HA$5,"Acumulado")</f>
        <v>0.23809699330598905</v>
      </c>
      <c r="H47" s="44">
        <f t="shared" si="8"/>
        <v>8.178178263948449E-2</v>
      </c>
      <c r="I47" s="42">
        <f t="shared" si="5"/>
        <v>0.23809699330598905</v>
      </c>
      <c r="J47" s="42"/>
      <c r="K47" s="10" t="str">
        <f t="shared" si="6"/>
        <v/>
      </c>
      <c r="L47" s="34">
        <f t="shared" si="4"/>
        <v>2.7009011310531513E-2</v>
      </c>
    </row>
    <row r="48" spans="1:12" x14ac:dyDescent="0.35">
      <c r="A48">
        <v>2031</v>
      </c>
      <c r="B48" s="43">
        <v>0.25</v>
      </c>
      <c r="C48" s="23">
        <f t="shared" si="7"/>
        <v>1770601451.7425399</v>
      </c>
      <c r="D48" s="41"/>
      <c r="E48" s="23">
        <f>SUMIFS('Proyeccion Agromercantil'!$B$55:$HA$55,'Proyeccion Agromercantil'!$B$4:$HA$4,A48,'Proyeccion Agromercantil'!$B$5:$HA$5,"Acumulado")</f>
        <v>47822194.636557847</v>
      </c>
      <c r="F48" s="23">
        <f>SUMIFS('Proyeccion Agromercantil'!$B$60:$HA$60,'Proyeccion Agromercantil'!$B$4:$HA$4,A48,'Proyeccion Agromercantil'!$B$5:$HA$5,"Acumulado")</f>
        <v>0</v>
      </c>
      <c r="G48" s="34">
        <f>SUMIFS('Proyeccion Agromercantil'!$B$40:$HA$40,'Proyeccion Agromercantil'!$B$4:$HA$4,A48,'Proyeccion Agromercantil'!$B$5:$HA$5,"Acumulado")/SUMIFS('Proyeccion Agromercantil'!$B$10:$HA$10,'Proyeccion Agromercantil'!$B$4:$HA$4,A48,'Proyeccion Agromercantil'!$B$5:$HA$5,"Acumulado")</f>
        <v>0.2380969933059891</v>
      </c>
      <c r="H48" s="44">
        <f t="shared" si="8"/>
        <v>7.9589123365667369E-2</v>
      </c>
      <c r="I48" s="42">
        <f t="shared" si="5"/>
        <v>0.23809699330598905</v>
      </c>
      <c r="J48" s="42"/>
      <c r="K48" s="10" t="str">
        <f t="shared" si="6"/>
        <v/>
      </c>
      <c r="L48" s="34">
        <f t="shared" si="4"/>
        <v>2.7009011310531551E-2</v>
      </c>
    </row>
    <row r="49" spans="1:12" x14ac:dyDescent="0.35">
      <c r="A49">
        <v>2032</v>
      </c>
      <c r="B49" s="43">
        <v>0.25</v>
      </c>
      <c r="C49" s="23">
        <f t="shared" si="7"/>
        <v>2213251814.678175</v>
      </c>
      <c r="D49" s="41"/>
      <c r="E49" s="23">
        <f>SUMIFS('Proyeccion Agromercantil'!$B$55:$HA$55,'Proyeccion Agromercantil'!$B$4:$HA$4,A49,'Proyeccion Agromercantil'!$B$5:$HA$5,"Acumulado")</f>
        <v>59777743.295697264</v>
      </c>
      <c r="F49" s="23">
        <f>SUMIFS('Proyeccion Agromercantil'!$B$60:$HA$60,'Proyeccion Agromercantil'!$B$4:$HA$4,A49,'Proyeccion Agromercantil'!$B$5:$HA$5,"Acumulado")</f>
        <v>0</v>
      </c>
      <c r="G49" s="34">
        <f>SUMIFS('Proyeccion Agromercantil'!$B$40:$HA$40,'Proyeccion Agromercantil'!$B$4:$HA$4,A49,'Proyeccion Agromercantil'!$B$5:$HA$5,"Acumulado")/SUMIFS('Proyeccion Agromercantil'!$B$10:$HA$10,'Proyeccion Agromercantil'!$B$4:$HA$4,A49,'Proyeccion Agromercantil'!$B$5:$HA$5,"Acumulado")</f>
        <v>0.2380969933059891</v>
      </c>
      <c r="H49" s="44">
        <f t="shared" si="8"/>
        <v>7.7396464091850248E-2</v>
      </c>
      <c r="I49" s="42">
        <f t="shared" si="5"/>
        <v>0.23809699330598905</v>
      </c>
      <c r="J49" s="42"/>
      <c r="K49" s="10" t="str">
        <f t="shared" si="6"/>
        <v/>
      </c>
      <c r="L49" s="34">
        <f t="shared" si="4"/>
        <v>2.700901131053153E-2</v>
      </c>
    </row>
    <row r="50" spans="1:12" x14ac:dyDescent="0.35">
      <c r="A50">
        <v>2033</v>
      </c>
      <c r="B50" s="43">
        <v>0.25</v>
      </c>
      <c r="C50" s="23">
        <f t="shared" si="7"/>
        <v>2766564768.3477187</v>
      </c>
      <c r="D50" s="41"/>
      <c r="E50" s="23">
        <f>SUMIFS('Proyeccion Agromercantil'!$B$55:$HA$55,'Proyeccion Agromercantil'!$B$4:$HA$4,A50,'Proyeccion Agromercantil'!$B$5:$HA$5,"Acumulado")</f>
        <v>74722179.119621575</v>
      </c>
      <c r="F50" s="23">
        <f>SUMIFS('Proyeccion Agromercantil'!$B$60:$HA$60,'Proyeccion Agromercantil'!$B$4:$HA$4,A50,'Proyeccion Agromercantil'!$B$5:$HA$5,"Acumulado")</f>
        <v>0</v>
      </c>
      <c r="G50" s="34">
        <f>SUMIFS('Proyeccion Agromercantil'!$B$40:$HA$40,'Proyeccion Agromercantil'!$B$4:$HA$4,A50,'Proyeccion Agromercantil'!$B$5:$HA$5,"Acumulado")/SUMIFS('Proyeccion Agromercantil'!$B$10:$HA$10,'Proyeccion Agromercantil'!$B$4:$HA$4,A50,'Proyeccion Agromercantil'!$B$5:$HA$5,"Acumulado")</f>
        <v>0.23809699330598907</v>
      </c>
      <c r="H50" s="44">
        <f t="shared" si="8"/>
        <v>7.5203804818033126E-2</v>
      </c>
      <c r="I50" s="42">
        <f t="shared" si="5"/>
        <v>0.23809699330598905</v>
      </c>
      <c r="J50" s="42"/>
      <c r="K50" s="10" t="str">
        <f t="shared" si="6"/>
        <v/>
      </c>
      <c r="L50" s="34">
        <f t="shared" si="4"/>
        <v>2.700901131053153E-2</v>
      </c>
    </row>
    <row r="51" spans="1:12" x14ac:dyDescent="0.35">
      <c r="A51">
        <v>2034</v>
      </c>
      <c r="B51" s="43">
        <v>0.25</v>
      </c>
      <c r="C51" s="23">
        <f t="shared" si="7"/>
        <v>3458205960.4346485</v>
      </c>
      <c r="D51" s="41"/>
      <c r="E51" s="23">
        <f>SUMIFS('Proyeccion Agromercantil'!$B$55:$HA$55,'Proyeccion Agromercantil'!$B$4:$HA$4,A51,'Proyeccion Agromercantil'!$B$5:$HA$5,"Acumulado")</f>
        <v>93402723.899526924</v>
      </c>
      <c r="F51" s="23">
        <f>SUMIFS('Proyeccion Agromercantil'!$B$60:$HA$60,'Proyeccion Agromercantil'!$B$4:$HA$4,A51,'Proyeccion Agromercantil'!$B$5:$HA$5,"Acumulado")</f>
        <v>0</v>
      </c>
      <c r="G51" s="34">
        <f>SUMIFS('Proyeccion Agromercantil'!$B$40:$HA$40,'Proyeccion Agromercantil'!$B$4:$HA$4,A51,'Proyeccion Agromercantil'!$B$5:$HA$5,"Acumulado")/SUMIFS('Proyeccion Agromercantil'!$B$10:$HA$10,'Proyeccion Agromercantil'!$B$4:$HA$4,A51,'Proyeccion Agromercantil'!$B$5:$HA$5,"Acumulado")</f>
        <v>0.23809699330598907</v>
      </c>
      <c r="H51" s="44">
        <f t="shared" si="8"/>
        <v>7.3011145544216005E-2</v>
      </c>
      <c r="I51" s="42">
        <f t="shared" si="5"/>
        <v>0.23809699330598905</v>
      </c>
      <c r="J51" s="42"/>
      <c r="K51" s="10" t="str">
        <f t="shared" si="6"/>
        <v/>
      </c>
      <c r="L51" s="34">
        <f t="shared" si="4"/>
        <v>2.7009011310531517E-2</v>
      </c>
    </row>
    <row r="52" spans="1:12" x14ac:dyDescent="0.35">
      <c r="A52">
        <v>2035</v>
      </c>
      <c r="B52" s="43">
        <v>0.25</v>
      </c>
      <c r="C52" s="23">
        <f t="shared" si="7"/>
        <v>4322757450.5433102</v>
      </c>
      <c r="D52" s="41"/>
      <c r="E52" s="23">
        <f>SUMIFS('Proyeccion Agromercantil'!$B$55:$HA$55,'Proyeccion Agromercantil'!$B$4:$HA$4,A52,'Proyeccion Agromercantil'!$B$5:$HA$5,"Acumulado")</f>
        <v>116753404.87440881</v>
      </c>
      <c r="F52" s="23">
        <f>SUMIFS('Proyeccion Agromercantil'!$B$60:$HA$60,'Proyeccion Agromercantil'!$B$4:$HA$4,A52,'Proyeccion Agromercantil'!$B$5:$HA$5,"Acumulado")</f>
        <v>0</v>
      </c>
      <c r="G52" s="34">
        <f>SUMIFS('Proyeccion Agromercantil'!$B$40:$HA$40,'Proyeccion Agromercantil'!$B$4:$HA$4,A52,'Proyeccion Agromercantil'!$B$5:$HA$5,"Acumulado")/SUMIFS('Proyeccion Agromercantil'!$B$10:$HA$10,'Proyeccion Agromercantil'!$B$4:$HA$4,A52,'Proyeccion Agromercantil'!$B$5:$HA$5,"Acumulado")</f>
        <v>0.23809699330598902</v>
      </c>
      <c r="H52" s="44">
        <f t="shared" si="8"/>
        <v>7.0818486270398884E-2</v>
      </c>
      <c r="I52" s="42">
        <f t="shared" si="5"/>
        <v>0.23809699330598905</v>
      </c>
      <c r="J52" s="42"/>
      <c r="K52" s="10" t="str">
        <f t="shared" si="6"/>
        <v/>
      </c>
      <c r="L52" s="34">
        <f t="shared" si="4"/>
        <v>2.7009011310531555E-2</v>
      </c>
    </row>
    <row r="54" spans="1:12" x14ac:dyDescent="0.35">
      <c r="A54" s="45" t="s">
        <v>138</v>
      </c>
    </row>
    <row r="55" spans="1:12" x14ac:dyDescent="0.35">
      <c r="A55" t="s">
        <v>139</v>
      </c>
    </row>
    <row r="59" spans="1:12" x14ac:dyDescent="0.35">
      <c r="A59">
        <v>2027</v>
      </c>
      <c r="B59" s="46"/>
      <c r="I59" s="46"/>
    </row>
    <row r="60" spans="1:12" x14ac:dyDescent="0.35">
      <c r="A60">
        <v>2028</v>
      </c>
      <c r="B60" s="46"/>
      <c r="I60" s="46"/>
    </row>
    <row r="61" spans="1:12" x14ac:dyDescent="0.35">
      <c r="A61">
        <v>2029</v>
      </c>
      <c r="B61" s="46"/>
      <c r="I61" s="46"/>
    </row>
    <row r="62" spans="1:12" x14ac:dyDescent="0.35">
      <c r="A62">
        <v>2030</v>
      </c>
      <c r="B62" s="46"/>
      <c r="I62" s="46"/>
    </row>
    <row r="63" spans="1:12" x14ac:dyDescent="0.35">
      <c r="A63">
        <v>2031</v>
      </c>
      <c r="B63" s="46"/>
      <c r="I63" s="46"/>
    </row>
    <row r="64" spans="1:12" x14ac:dyDescent="0.35">
      <c r="A64">
        <v>2032</v>
      </c>
      <c r="B64" s="46"/>
      <c r="I64" s="46"/>
    </row>
    <row r="65" spans="1:9" x14ac:dyDescent="0.35">
      <c r="A65">
        <v>2033</v>
      </c>
      <c r="B65" s="46"/>
      <c r="I65" s="46"/>
    </row>
    <row r="66" spans="1:9" x14ac:dyDescent="0.35">
      <c r="A66">
        <v>2034</v>
      </c>
      <c r="B66" s="46"/>
      <c r="I66" s="46"/>
    </row>
    <row r="67" spans="1:9" x14ac:dyDescent="0.35">
      <c r="A67">
        <v>2035</v>
      </c>
      <c r="B67" s="46"/>
      <c r="I67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6005-D58E-4803-B922-C48FA9D9C0D7}">
  <dimension ref="A1:HR60"/>
  <sheetViews>
    <sheetView zoomScale="70" zoomScaleNormal="70" workbookViewId="0">
      <pane xSplit="1" ySplit="6" topLeftCell="HA28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B1" sqref="B1:B1048576"/>
    </sheetView>
  </sheetViews>
  <sheetFormatPr defaultRowHeight="14.5" x14ac:dyDescent="0.35"/>
  <cols>
    <col min="1" max="1" width="54.54296875" customWidth="1"/>
    <col min="2" max="209" width="16.36328125" customWidth="1"/>
    <col min="210" max="210" width="3.6328125" customWidth="1"/>
    <col min="211" max="226" width="16.36328125" customWidth="1"/>
  </cols>
  <sheetData>
    <row r="1" spans="1:226" ht="18.5" x14ac:dyDescent="0.45">
      <c r="A1" s="32" t="s">
        <v>140</v>
      </c>
    </row>
    <row r="2" spans="1:226" x14ac:dyDescent="0.35">
      <c r="A2" s="45" t="s">
        <v>141</v>
      </c>
    </row>
    <row r="4" spans="1:226" x14ac:dyDescent="0.35">
      <c r="A4" s="47" t="s">
        <v>94</v>
      </c>
      <c r="B4" s="47">
        <v>2020</v>
      </c>
      <c r="C4" s="47">
        <v>2020</v>
      </c>
      <c r="D4" s="47">
        <v>2020</v>
      </c>
      <c r="E4" s="47">
        <v>2020</v>
      </c>
      <c r="F4" s="47">
        <v>2020</v>
      </c>
      <c r="G4" s="47">
        <v>2020</v>
      </c>
      <c r="H4" s="47">
        <v>2020</v>
      </c>
      <c r="I4" s="47">
        <v>2020</v>
      </c>
      <c r="J4" s="47">
        <v>2020</v>
      </c>
      <c r="K4" s="47">
        <v>2020</v>
      </c>
      <c r="L4" s="47">
        <v>2020</v>
      </c>
      <c r="M4" s="47">
        <v>2020</v>
      </c>
      <c r="N4" s="47">
        <v>2020</v>
      </c>
      <c r="O4" s="47">
        <v>2021</v>
      </c>
      <c r="P4" s="47">
        <v>2021</v>
      </c>
      <c r="Q4" s="47">
        <v>2021</v>
      </c>
      <c r="R4" s="47">
        <v>2021</v>
      </c>
      <c r="S4" s="47">
        <v>2021</v>
      </c>
      <c r="T4" s="47">
        <v>2021</v>
      </c>
      <c r="U4" s="47">
        <v>2021</v>
      </c>
      <c r="V4" s="47">
        <v>2021</v>
      </c>
      <c r="W4" s="47">
        <v>2021</v>
      </c>
      <c r="X4" s="47">
        <v>2021</v>
      </c>
      <c r="Y4" s="47">
        <v>2021</v>
      </c>
      <c r="Z4" s="47">
        <v>2021</v>
      </c>
      <c r="AA4" s="47">
        <v>2021</v>
      </c>
      <c r="AB4" s="47">
        <v>2022</v>
      </c>
      <c r="AC4" s="47">
        <v>2022</v>
      </c>
      <c r="AD4" s="47">
        <v>2022</v>
      </c>
      <c r="AE4" s="47">
        <v>2022</v>
      </c>
      <c r="AF4" s="47">
        <v>2022</v>
      </c>
      <c r="AG4" s="47">
        <v>2022</v>
      </c>
      <c r="AH4" s="47">
        <v>2022</v>
      </c>
      <c r="AI4" s="47">
        <v>2022</v>
      </c>
      <c r="AJ4" s="47">
        <v>2022</v>
      </c>
      <c r="AK4" s="47">
        <v>2022</v>
      </c>
      <c r="AL4" s="47">
        <v>2022</v>
      </c>
      <c r="AM4" s="47">
        <v>2022</v>
      </c>
      <c r="AN4" s="47">
        <v>2022</v>
      </c>
      <c r="AO4" s="47">
        <v>2023</v>
      </c>
      <c r="AP4" s="47">
        <v>2023</v>
      </c>
      <c r="AQ4" s="47">
        <v>2023</v>
      </c>
      <c r="AR4" s="47">
        <v>2023</v>
      </c>
      <c r="AS4" s="47">
        <v>2023</v>
      </c>
      <c r="AT4" s="47">
        <v>2023</v>
      </c>
      <c r="AU4" s="47">
        <v>2023</v>
      </c>
      <c r="AV4" s="47">
        <v>2023</v>
      </c>
      <c r="AW4" s="47">
        <v>2023</v>
      </c>
      <c r="AX4" s="47">
        <v>2023</v>
      </c>
      <c r="AY4" s="47">
        <v>2023</v>
      </c>
      <c r="AZ4" s="47">
        <v>2023</v>
      </c>
      <c r="BA4" s="47">
        <v>2023</v>
      </c>
      <c r="BB4" s="47">
        <v>2024</v>
      </c>
      <c r="BC4" s="47">
        <v>2024</v>
      </c>
      <c r="BD4" s="47">
        <v>2024</v>
      </c>
      <c r="BE4" s="47">
        <v>2024</v>
      </c>
      <c r="BF4" s="47">
        <v>2024</v>
      </c>
      <c r="BG4" s="47">
        <v>2024</v>
      </c>
      <c r="BH4" s="47">
        <v>2024</v>
      </c>
      <c r="BI4" s="47">
        <v>2024</v>
      </c>
      <c r="BJ4" s="47">
        <v>2024</v>
      </c>
      <c r="BK4" s="47">
        <v>2024</v>
      </c>
      <c r="BL4" s="47">
        <v>2024</v>
      </c>
      <c r="BM4" s="47">
        <v>2024</v>
      </c>
      <c r="BN4" s="47">
        <v>2024</v>
      </c>
      <c r="BO4" s="47">
        <v>2025</v>
      </c>
      <c r="BP4" s="47">
        <v>2025</v>
      </c>
      <c r="BQ4" s="47">
        <v>2025</v>
      </c>
      <c r="BR4" s="47">
        <v>2025</v>
      </c>
      <c r="BS4" s="47">
        <v>2025</v>
      </c>
      <c r="BT4" s="47">
        <v>2025</v>
      </c>
      <c r="BU4" s="47">
        <v>2025</v>
      </c>
      <c r="BV4" s="47">
        <v>2025</v>
      </c>
      <c r="BW4" s="47">
        <v>2025</v>
      </c>
      <c r="BX4" s="47">
        <v>2025</v>
      </c>
      <c r="BY4" s="47">
        <v>2025</v>
      </c>
      <c r="BZ4" s="47">
        <v>2025</v>
      </c>
      <c r="CA4" s="47">
        <v>2025</v>
      </c>
      <c r="CB4" s="47">
        <v>2026</v>
      </c>
      <c r="CC4" s="47">
        <v>2026</v>
      </c>
      <c r="CD4" s="47">
        <v>2026</v>
      </c>
      <c r="CE4" s="47">
        <v>2026</v>
      </c>
      <c r="CF4" s="47">
        <v>2026</v>
      </c>
      <c r="CG4" s="47">
        <v>2026</v>
      </c>
      <c r="CH4" s="47">
        <v>2026</v>
      </c>
      <c r="CI4" s="47">
        <v>2026</v>
      </c>
      <c r="CJ4" s="47">
        <v>2026</v>
      </c>
      <c r="CK4" s="47">
        <v>2026</v>
      </c>
      <c r="CL4" s="47">
        <v>2026</v>
      </c>
      <c r="CM4" s="47">
        <v>2026</v>
      </c>
      <c r="CN4" s="47">
        <v>2026</v>
      </c>
      <c r="CO4" s="47">
        <v>2027</v>
      </c>
      <c r="CP4" s="47">
        <v>2027</v>
      </c>
      <c r="CQ4" s="47">
        <v>2027</v>
      </c>
      <c r="CR4" s="47">
        <v>2027</v>
      </c>
      <c r="CS4" s="47">
        <v>2027</v>
      </c>
      <c r="CT4" s="47">
        <v>2027</v>
      </c>
      <c r="CU4" s="47">
        <v>2027</v>
      </c>
      <c r="CV4" s="47">
        <v>2027</v>
      </c>
      <c r="CW4" s="47">
        <v>2027</v>
      </c>
      <c r="CX4" s="47">
        <v>2027</v>
      </c>
      <c r="CY4" s="47">
        <v>2027</v>
      </c>
      <c r="CZ4" s="47">
        <v>2027</v>
      </c>
      <c r="DA4" s="47">
        <v>2027</v>
      </c>
      <c r="DB4" s="47">
        <v>2028</v>
      </c>
      <c r="DC4" s="47">
        <v>2028</v>
      </c>
      <c r="DD4" s="47">
        <v>2028</v>
      </c>
      <c r="DE4" s="47">
        <v>2028</v>
      </c>
      <c r="DF4" s="47">
        <v>2028</v>
      </c>
      <c r="DG4" s="47">
        <v>2028</v>
      </c>
      <c r="DH4" s="47">
        <v>2028</v>
      </c>
      <c r="DI4" s="47">
        <v>2028</v>
      </c>
      <c r="DJ4" s="47">
        <v>2028</v>
      </c>
      <c r="DK4" s="47">
        <v>2028</v>
      </c>
      <c r="DL4" s="47">
        <v>2028</v>
      </c>
      <c r="DM4" s="47">
        <v>2028</v>
      </c>
      <c r="DN4" s="47">
        <v>2028</v>
      </c>
      <c r="DO4" s="47">
        <v>2029</v>
      </c>
      <c r="DP4" s="47">
        <v>2029</v>
      </c>
      <c r="DQ4" s="47">
        <v>2029</v>
      </c>
      <c r="DR4" s="47">
        <v>2029</v>
      </c>
      <c r="DS4" s="47">
        <v>2029</v>
      </c>
      <c r="DT4" s="47">
        <v>2029</v>
      </c>
      <c r="DU4" s="47">
        <v>2029</v>
      </c>
      <c r="DV4" s="47">
        <v>2029</v>
      </c>
      <c r="DW4" s="47">
        <v>2029</v>
      </c>
      <c r="DX4" s="47">
        <v>2029</v>
      </c>
      <c r="DY4" s="47">
        <v>2029</v>
      </c>
      <c r="DZ4" s="47">
        <v>2029</v>
      </c>
      <c r="EA4" s="47">
        <v>2029</v>
      </c>
      <c r="EB4" s="47">
        <v>2030</v>
      </c>
      <c r="EC4" s="47">
        <v>2030</v>
      </c>
      <c r="ED4" s="47">
        <v>2030</v>
      </c>
      <c r="EE4" s="47">
        <v>2030</v>
      </c>
      <c r="EF4" s="47">
        <v>2030</v>
      </c>
      <c r="EG4" s="47">
        <v>2030</v>
      </c>
      <c r="EH4" s="47">
        <v>2030</v>
      </c>
      <c r="EI4" s="47">
        <v>2030</v>
      </c>
      <c r="EJ4" s="47">
        <v>2030</v>
      </c>
      <c r="EK4" s="47">
        <v>2030</v>
      </c>
      <c r="EL4" s="47">
        <v>2030</v>
      </c>
      <c r="EM4" s="47">
        <v>2030</v>
      </c>
      <c r="EN4" s="47">
        <v>2030</v>
      </c>
      <c r="EO4" s="47">
        <v>2031</v>
      </c>
      <c r="EP4" s="47">
        <v>2031</v>
      </c>
      <c r="EQ4" s="47">
        <v>2031</v>
      </c>
      <c r="ER4" s="47">
        <v>2031</v>
      </c>
      <c r="ES4" s="47">
        <v>2031</v>
      </c>
      <c r="ET4" s="47">
        <v>2031</v>
      </c>
      <c r="EU4" s="47">
        <v>2031</v>
      </c>
      <c r="EV4" s="47">
        <v>2031</v>
      </c>
      <c r="EW4" s="47">
        <v>2031</v>
      </c>
      <c r="EX4" s="47">
        <v>2031</v>
      </c>
      <c r="EY4" s="47">
        <v>2031</v>
      </c>
      <c r="EZ4" s="47">
        <v>2031</v>
      </c>
      <c r="FA4" s="47">
        <v>2031</v>
      </c>
      <c r="FB4" s="47">
        <v>2032</v>
      </c>
      <c r="FC4" s="47">
        <v>2032</v>
      </c>
      <c r="FD4" s="47">
        <v>2032</v>
      </c>
      <c r="FE4" s="47">
        <v>2032</v>
      </c>
      <c r="FF4" s="47">
        <v>2032</v>
      </c>
      <c r="FG4" s="47">
        <v>2032</v>
      </c>
      <c r="FH4" s="47">
        <v>2032</v>
      </c>
      <c r="FI4" s="47">
        <v>2032</v>
      </c>
      <c r="FJ4" s="47">
        <v>2032</v>
      </c>
      <c r="FK4" s="47">
        <v>2032</v>
      </c>
      <c r="FL4" s="47">
        <v>2032</v>
      </c>
      <c r="FM4" s="47">
        <v>2032</v>
      </c>
      <c r="FN4" s="47">
        <v>2032</v>
      </c>
      <c r="FO4" s="47">
        <v>2033</v>
      </c>
      <c r="FP4" s="47">
        <v>2033</v>
      </c>
      <c r="FQ4" s="47">
        <v>2033</v>
      </c>
      <c r="FR4" s="47">
        <v>2033</v>
      </c>
      <c r="FS4" s="47">
        <v>2033</v>
      </c>
      <c r="FT4" s="47">
        <v>2033</v>
      </c>
      <c r="FU4" s="47">
        <v>2033</v>
      </c>
      <c r="FV4" s="47">
        <v>2033</v>
      </c>
      <c r="FW4" s="47">
        <v>2033</v>
      </c>
      <c r="FX4" s="47">
        <v>2033</v>
      </c>
      <c r="FY4" s="47">
        <v>2033</v>
      </c>
      <c r="FZ4" s="47">
        <v>2033</v>
      </c>
      <c r="GA4" s="47">
        <v>2033</v>
      </c>
      <c r="GB4" s="47">
        <v>2034</v>
      </c>
      <c r="GC4" s="47">
        <v>2034</v>
      </c>
      <c r="GD4" s="47">
        <v>2034</v>
      </c>
      <c r="GE4" s="47">
        <v>2034</v>
      </c>
      <c r="GF4" s="47">
        <v>2034</v>
      </c>
      <c r="GG4" s="47">
        <v>2034</v>
      </c>
      <c r="GH4" s="47">
        <v>2034</v>
      </c>
      <c r="GI4" s="47">
        <v>2034</v>
      </c>
      <c r="GJ4" s="47">
        <v>2034</v>
      </c>
      <c r="GK4" s="47">
        <v>2034</v>
      </c>
      <c r="GL4" s="47">
        <v>2034</v>
      </c>
      <c r="GM4" s="47">
        <v>2034</v>
      </c>
      <c r="GN4" s="47">
        <v>2034</v>
      </c>
      <c r="GO4" s="47">
        <v>2035</v>
      </c>
      <c r="GP4" s="47">
        <v>2035</v>
      </c>
      <c r="GQ4" s="47">
        <v>2035</v>
      </c>
      <c r="GR4" s="47">
        <v>2035</v>
      </c>
      <c r="GS4" s="47">
        <v>2035</v>
      </c>
      <c r="GT4" s="47">
        <v>2035</v>
      </c>
      <c r="GU4" s="47">
        <v>2035</v>
      </c>
      <c r="GV4" s="47">
        <v>2035</v>
      </c>
      <c r="GW4" s="47">
        <v>2035</v>
      </c>
      <c r="GX4" s="47">
        <v>2035</v>
      </c>
      <c r="GY4" s="47">
        <v>2035</v>
      </c>
      <c r="GZ4" s="47">
        <v>2035</v>
      </c>
      <c r="HA4" s="47">
        <v>2035</v>
      </c>
      <c r="HB4" s="47"/>
      <c r="HC4" s="48" t="str">
        <f>IF(2020&lt;YEAR('Supuestos Proyeccion'!$B$9),"Real",IF(2020=YEAR('Supuestos Proyeccion'!$B$9),"Real + Proy.","Proyección"))</f>
        <v>Real</v>
      </c>
      <c r="HD4" s="48" t="str">
        <f>IF(2021&lt;YEAR('Supuestos Proyeccion'!$B$9),"Real",IF(2021=YEAR('Supuestos Proyeccion'!$B$9),"Real + Proy.","Proyección"))</f>
        <v>Real</v>
      </c>
      <c r="HE4" s="48" t="str">
        <f>IF(2022&lt;YEAR('Supuestos Proyeccion'!$B$9),"Real",IF(2022=YEAR('Supuestos Proyeccion'!$B$9),"Real + Proy.","Proyección"))</f>
        <v>Real</v>
      </c>
      <c r="HF4" s="48" t="str">
        <f>IF(2023&lt;YEAR('Supuestos Proyeccion'!$B$9),"Real",IF(2023=YEAR('Supuestos Proyeccion'!$B$9),"Real + Proy.","Proyección"))</f>
        <v>Real</v>
      </c>
      <c r="HG4" s="48" t="str">
        <f>IF(2024&lt;YEAR('Supuestos Proyeccion'!$B$9),"Real",IF(2024=YEAR('Supuestos Proyeccion'!$B$9),"Real + Proy.","Proyección"))</f>
        <v>Real</v>
      </c>
      <c r="HH4" s="48" t="str">
        <f>IF(2025&lt;YEAR('Supuestos Proyeccion'!$B$9),"Real",IF(2025=YEAR('Supuestos Proyeccion'!$B$9),"Real + Proy.","Proyección"))</f>
        <v>Real</v>
      </c>
      <c r="HI4" s="48" t="str">
        <f>IF(2026&lt;YEAR('Supuestos Proyeccion'!$B$9),"Real",IF(2026=YEAR('Supuestos Proyeccion'!$B$9),"Real + Proy.","Proyección"))</f>
        <v>Real + Proy.</v>
      </c>
      <c r="HJ4" s="48" t="str">
        <f>IF(2027&lt;YEAR('Supuestos Proyeccion'!$B$9),"Real",IF(2027=YEAR('Supuestos Proyeccion'!$B$9),"Real + Proy.","Proyección"))</f>
        <v>Proyección</v>
      </c>
      <c r="HK4" s="48" t="str">
        <f>IF(2028&lt;YEAR('Supuestos Proyeccion'!$B$9),"Real",IF(2028=YEAR('Supuestos Proyeccion'!$B$9),"Real + Proy.","Proyección"))</f>
        <v>Proyección</v>
      </c>
      <c r="HL4" s="48" t="str">
        <f>IF(2029&lt;YEAR('Supuestos Proyeccion'!$B$9),"Real",IF(2029=YEAR('Supuestos Proyeccion'!$B$9),"Real + Proy.","Proyección"))</f>
        <v>Proyección</v>
      </c>
      <c r="HM4" s="48" t="str">
        <f>IF(2030&lt;YEAR('Supuestos Proyeccion'!$B$9),"Real",IF(2030=YEAR('Supuestos Proyeccion'!$B$9),"Real + Proy.","Proyección"))</f>
        <v>Proyección</v>
      </c>
      <c r="HN4" s="48" t="str">
        <f>IF(2031&lt;YEAR('Supuestos Proyeccion'!$B$9),"Real",IF(2031=YEAR('Supuestos Proyeccion'!$B$9),"Real + Proy.","Proyección"))</f>
        <v>Proyección</v>
      </c>
      <c r="HO4" s="48" t="str">
        <f>IF(2032&lt;YEAR('Supuestos Proyeccion'!$B$9),"Real",IF(2032=YEAR('Supuestos Proyeccion'!$B$9),"Real + Proy.","Proyección"))</f>
        <v>Proyección</v>
      </c>
      <c r="HP4" s="48" t="str">
        <f>IF(2033&lt;YEAR('Supuestos Proyeccion'!$B$9),"Real",IF(2033=YEAR('Supuestos Proyeccion'!$B$9),"Real + Proy.","Proyección"))</f>
        <v>Proyección</v>
      </c>
      <c r="HQ4" s="48" t="str">
        <f>IF(2034&lt;YEAR('Supuestos Proyeccion'!$B$9),"Real",IF(2034=YEAR('Supuestos Proyeccion'!$B$9),"Real + Proy.","Proyección"))</f>
        <v>Proyección</v>
      </c>
      <c r="HR4" s="48" t="str">
        <f>IF(2035&lt;YEAR('Supuestos Proyeccion'!$B$9),"Real",IF(2035=YEAR('Supuestos Proyeccion'!$B$9),"Real + Proy.","Proyección"))</f>
        <v>Proyección</v>
      </c>
    </row>
    <row r="5" spans="1:226" x14ac:dyDescent="0.35">
      <c r="A5" s="47" t="s">
        <v>142</v>
      </c>
      <c r="B5" s="47" t="str">
        <f>IF(B$6&lt;='Supuestos Proyeccion'!$B$9,"Real","Proyección")</f>
        <v>Real</v>
      </c>
      <c r="C5" s="47" t="str">
        <f>IF(C$6&lt;='Supuestos Proyeccion'!$B$9,"Real","Proyección")</f>
        <v>Real</v>
      </c>
      <c r="D5" s="47" t="str">
        <f>IF(D$6&lt;='Supuestos Proyeccion'!$B$9,"Real","Proyección")</f>
        <v>Real</v>
      </c>
      <c r="E5" s="47" t="str">
        <f>IF(E$6&lt;='Supuestos Proyeccion'!$B$9,"Real","Proyección")</f>
        <v>Real</v>
      </c>
      <c r="F5" s="47" t="str">
        <f>IF(F$6&lt;='Supuestos Proyeccion'!$B$9,"Real","Proyección")</f>
        <v>Real</v>
      </c>
      <c r="G5" s="47" t="str">
        <f>IF(G$6&lt;='Supuestos Proyeccion'!$B$9,"Real","Proyección")</f>
        <v>Real</v>
      </c>
      <c r="H5" s="47" t="str">
        <f>IF(H$6&lt;='Supuestos Proyeccion'!$B$9,"Real","Proyección")</f>
        <v>Real</v>
      </c>
      <c r="I5" s="47" t="str">
        <f>IF(I$6&lt;='Supuestos Proyeccion'!$B$9,"Real","Proyección")</f>
        <v>Real</v>
      </c>
      <c r="J5" s="47" t="str">
        <f>IF(J$6&lt;='Supuestos Proyeccion'!$B$9,"Real","Proyección")</f>
        <v>Real</v>
      </c>
      <c r="K5" s="47" t="str">
        <f>IF(K$6&lt;='Supuestos Proyeccion'!$B$9,"Real","Proyección")</f>
        <v>Real</v>
      </c>
      <c r="L5" s="47" t="str">
        <f>IF(L$6&lt;='Supuestos Proyeccion'!$B$9,"Real","Proyección")</f>
        <v>Real</v>
      </c>
      <c r="M5" s="47" t="str">
        <f>IF(M$6&lt;='Supuestos Proyeccion'!$B$9,"Real","Proyección")</f>
        <v>Real</v>
      </c>
      <c r="N5" s="47" t="s">
        <v>143</v>
      </c>
      <c r="O5" s="47" t="str">
        <f>IF(O$6&lt;='Supuestos Proyeccion'!$B$9,"Real","Proyección")</f>
        <v>Real</v>
      </c>
      <c r="P5" s="47" t="str">
        <f>IF(P$6&lt;='Supuestos Proyeccion'!$B$9,"Real","Proyección")</f>
        <v>Real</v>
      </c>
      <c r="Q5" s="47" t="str">
        <f>IF(Q$6&lt;='Supuestos Proyeccion'!$B$9,"Real","Proyección")</f>
        <v>Real</v>
      </c>
      <c r="R5" s="47" t="str">
        <f>IF(R$6&lt;='Supuestos Proyeccion'!$B$9,"Real","Proyección")</f>
        <v>Real</v>
      </c>
      <c r="S5" s="47" t="str">
        <f>IF(S$6&lt;='Supuestos Proyeccion'!$B$9,"Real","Proyección")</f>
        <v>Real</v>
      </c>
      <c r="T5" s="47" t="str">
        <f>IF(T$6&lt;='Supuestos Proyeccion'!$B$9,"Real","Proyección")</f>
        <v>Real</v>
      </c>
      <c r="U5" s="47" t="str">
        <f>IF(U$6&lt;='Supuestos Proyeccion'!$B$9,"Real","Proyección")</f>
        <v>Real</v>
      </c>
      <c r="V5" s="47" t="str">
        <f>IF(V$6&lt;='Supuestos Proyeccion'!$B$9,"Real","Proyección")</f>
        <v>Real</v>
      </c>
      <c r="W5" s="47" t="str">
        <f>IF(W$6&lt;='Supuestos Proyeccion'!$B$9,"Real","Proyección")</f>
        <v>Real</v>
      </c>
      <c r="X5" s="47" t="str">
        <f>IF(X$6&lt;='Supuestos Proyeccion'!$B$9,"Real","Proyección")</f>
        <v>Real</v>
      </c>
      <c r="Y5" s="47" t="str">
        <f>IF(Y$6&lt;='Supuestos Proyeccion'!$B$9,"Real","Proyección")</f>
        <v>Real</v>
      </c>
      <c r="Z5" s="47" t="str">
        <f>IF(Z$6&lt;='Supuestos Proyeccion'!$B$9,"Real","Proyección")</f>
        <v>Real</v>
      </c>
      <c r="AA5" s="47" t="s">
        <v>143</v>
      </c>
      <c r="AB5" s="47" t="str">
        <f>IF(AB$6&lt;='Supuestos Proyeccion'!$B$9,"Real","Proyección")</f>
        <v>Real</v>
      </c>
      <c r="AC5" s="47" t="str">
        <f>IF(AC$6&lt;='Supuestos Proyeccion'!$B$9,"Real","Proyección")</f>
        <v>Real</v>
      </c>
      <c r="AD5" s="47" t="str">
        <f>IF(AD$6&lt;='Supuestos Proyeccion'!$B$9,"Real","Proyección")</f>
        <v>Real</v>
      </c>
      <c r="AE5" s="47" t="str">
        <f>IF(AE$6&lt;='Supuestos Proyeccion'!$B$9,"Real","Proyección")</f>
        <v>Real</v>
      </c>
      <c r="AF5" s="47" t="str">
        <f>IF(AF$6&lt;='Supuestos Proyeccion'!$B$9,"Real","Proyección")</f>
        <v>Real</v>
      </c>
      <c r="AG5" s="47" t="str">
        <f>IF(AG$6&lt;='Supuestos Proyeccion'!$B$9,"Real","Proyección")</f>
        <v>Real</v>
      </c>
      <c r="AH5" s="47" t="str">
        <f>IF(AH$6&lt;='Supuestos Proyeccion'!$B$9,"Real","Proyección")</f>
        <v>Real</v>
      </c>
      <c r="AI5" s="47" t="str">
        <f>IF(AI$6&lt;='Supuestos Proyeccion'!$B$9,"Real","Proyección")</f>
        <v>Real</v>
      </c>
      <c r="AJ5" s="47" t="str">
        <f>IF(AJ$6&lt;='Supuestos Proyeccion'!$B$9,"Real","Proyección")</f>
        <v>Real</v>
      </c>
      <c r="AK5" s="47" t="str">
        <f>IF(AK$6&lt;='Supuestos Proyeccion'!$B$9,"Real","Proyección")</f>
        <v>Real</v>
      </c>
      <c r="AL5" s="47" t="str">
        <f>IF(AL$6&lt;='Supuestos Proyeccion'!$B$9,"Real","Proyección")</f>
        <v>Real</v>
      </c>
      <c r="AM5" s="47" t="str">
        <f>IF(AM$6&lt;='Supuestos Proyeccion'!$B$9,"Real","Proyección")</f>
        <v>Real</v>
      </c>
      <c r="AN5" s="47" t="s">
        <v>143</v>
      </c>
      <c r="AO5" s="47" t="str">
        <f>IF(AO$6&lt;='Supuestos Proyeccion'!$B$9,"Real","Proyección")</f>
        <v>Real</v>
      </c>
      <c r="AP5" s="47" t="str">
        <f>IF(AP$6&lt;='Supuestos Proyeccion'!$B$9,"Real","Proyección")</f>
        <v>Real</v>
      </c>
      <c r="AQ5" s="47" t="str">
        <f>IF(AQ$6&lt;='Supuestos Proyeccion'!$B$9,"Real","Proyección")</f>
        <v>Real</v>
      </c>
      <c r="AR5" s="47" t="str">
        <f>IF(AR$6&lt;='Supuestos Proyeccion'!$B$9,"Real","Proyección")</f>
        <v>Real</v>
      </c>
      <c r="AS5" s="47" t="str">
        <f>IF(AS$6&lt;='Supuestos Proyeccion'!$B$9,"Real","Proyección")</f>
        <v>Real</v>
      </c>
      <c r="AT5" s="47" t="str">
        <f>IF(AT$6&lt;='Supuestos Proyeccion'!$B$9,"Real","Proyección")</f>
        <v>Real</v>
      </c>
      <c r="AU5" s="47" t="str">
        <f>IF(AU$6&lt;='Supuestos Proyeccion'!$B$9,"Real","Proyección")</f>
        <v>Real</v>
      </c>
      <c r="AV5" s="47" t="str">
        <f>IF(AV$6&lt;='Supuestos Proyeccion'!$B$9,"Real","Proyección")</f>
        <v>Real</v>
      </c>
      <c r="AW5" s="47" t="str">
        <f>IF(AW$6&lt;='Supuestos Proyeccion'!$B$9,"Real","Proyección")</f>
        <v>Real</v>
      </c>
      <c r="AX5" s="47" t="str">
        <f>IF(AX$6&lt;='Supuestos Proyeccion'!$B$9,"Real","Proyección")</f>
        <v>Real</v>
      </c>
      <c r="AY5" s="47" t="str">
        <f>IF(AY$6&lt;='Supuestos Proyeccion'!$B$9,"Real","Proyección")</f>
        <v>Real</v>
      </c>
      <c r="AZ5" s="47" t="str">
        <f>IF(AZ$6&lt;='Supuestos Proyeccion'!$B$9,"Real","Proyección")</f>
        <v>Real</v>
      </c>
      <c r="BA5" s="47" t="s">
        <v>143</v>
      </c>
      <c r="BB5" s="47" t="str">
        <f>IF(BB$6&lt;='Supuestos Proyeccion'!$B$9,"Real","Proyección")</f>
        <v>Real</v>
      </c>
      <c r="BC5" s="47" t="str">
        <f>IF(BC$6&lt;='Supuestos Proyeccion'!$B$9,"Real","Proyección")</f>
        <v>Real</v>
      </c>
      <c r="BD5" s="47" t="str">
        <f>IF(BD$6&lt;='Supuestos Proyeccion'!$B$9,"Real","Proyección")</f>
        <v>Real</v>
      </c>
      <c r="BE5" s="47" t="str">
        <f>IF(BE$6&lt;='Supuestos Proyeccion'!$B$9,"Real","Proyección")</f>
        <v>Real</v>
      </c>
      <c r="BF5" s="47" t="str">
        <f>IF(BF$6&lt;='Supuestos Proyeccion'!$B$9,"Real","Proyección")</f>
        <v>Real</v>
      </c>
      <c r="BG5" s="47" t="str">
        <f>IF(BG$6&lt;='Supuestos Proyeccion'!$B$9,"Real","Proyección")</f>
        <v>Real</v>
      </c>
      <c r="BH5" s="47" t="str">
        <f>IF(BH$6&lt;='Supuestos Proyeccion'!$B$9,"Real","Proyección")</f>
        <v>Real</v>
      </c>
      <c r="BI5" s="47" t="str">
        <f>IF(BI$6&lt;='Supuestos Proyeccion'!$B$9,"Real","Proyección")</f>
        <v>Real</v>
      </c>
      <c r="BJ5" s="47" t="str">
        <f>IF(BJ$6&lt;='Supuestos Proyeccion'!$B$9,"Real","Proyección")</f>
        <v>Real</v>
      </c>
      <c r="BK5" s="47" t="str">
        <f>IF(BK$6&lt;='Supuestos Proyeccion'!$B$9,"Real","Proyección")</f>
        <v>Real</v>
      </c>
      <c r="BL5" s="47" t="str">
        <f>IF(BL$6&lt;='Supuestos Proyeccion'!$B$9,"Real","Proyección")</f>
        <v>Real</v>
      </c>
      <c r="BM5" s="47" t="str">
        <f>IF(BM$6&lt;='Supuestos Proyeccion'!$B$9,"Real","Proyección")</f>
        <v>Real</v>
      </c>
      <c r="BN5" s="47" t="s">
        <v>143</v>
      </c>
      <c r="BO5" s="47" t="str">
        <f>IF(BO$6&lt;='Supuestos Proyeccion'!$B$9,"Real","Proyección")</f>
        <v>Real</v>
      </c>
      <c r="BP5" s="47" t="str">
        <f>IF(BP$6&lt;='Supuestos Proyeccion'!$B$9,"Real","Proyección")</f>
        <v>Real</v>
      </c>
      <c r="BQ5" s="47" t="str">
        <f>IF(BQ$6&lt;='Supuestos Proyeccion'!$B$9,"Real","Proyección")</f>
        <v>Real</v>
      </c>
      <c r="BR5" s="47" t="str">
        <f>IF(BR$6&lt;='Supuestos Proyeccion'!$B$9,"Real","Proyección")</f>
        <v>Real</v>
      </c>
      <c r="BS5" s="47" t="str">
        <f>IF(BS$6&lt;='Supuestos Proyeccion'!$B$9,"Real","Proyección")</f>
        <v>Real</v>
      </c>
      <c r="BT5" s="47" t="str">
        <f>IF(BT$6&lt;='Supuestos Proyeccion'!$B$9,"Real","Proyección")</f>
        <v>Real</v>
      </c>
      <c r="BU5" s="47" t="str">
        <f>IF(BU$6&lt;='Supuestos Proyeccion'!$B$9,"Real","Proyección")</f>
        <v>Real</v>
      </c>
      <c r="BV5" s="47" t="str">
        <f>IF(BV$6&lt;='Supuestos Proyeccion'!$B$9,"Real","Proyección")</f>
        <v>Real</v>
      </c>
      <c r="BW5" s="47" t="str">
        <f>IF(BW$6&lt;='Supuestos Proyeccion'!$B$9,"Real","Proyección")</f>
        <v>Real</v>
      </c>
      <c r="BX5" s="47" t="str">
        <f>IF(BX$6&lt;='Supuestos Proyeccion'!$B$9,"Real","Proyección")</f>
        <v>Real</v>
      </c>
      <c r="BY5" s="47" t="str">
        <f>IF(BY$6&lt;='Supuestos Proyeccion'!$B$9,"Real","Proyección")</f>
        <v>Real</v>
      </c>
      <c r="BZ5" s="47" t="str">
        <f>IF(BZ$6&lt;='Supuestos Proyeccion'!$B$9,"Real","Proyección")</f>
        <v>Real</v>
      </c>
      <c r="CA5" s="47" t="s">
        <v>143</v>
      </c>
      <c r="CB5" s="47" t="str">
        <f>IF(CB$6&lt;='Supuestos Proyeccion'!$B$9,"Real","Proyección")</f>
        <v>Real</v>
      </c>
      <c r="CC5" s="47" t="str">
        <f>IF(CC$6&lt;='Supuestos Proyeccion'!$B$9,"Real","Proyección")</f>
        <v>Real</v>
      </c>
      <c r="CD5" s="47" t="str">
        <f>IF(CD$6&lt;='Supuestos Proyeccion'!$B$9,"Real","Proyección")</f>
        <v>Real</v>
      </c>
      <c r="CE5" s="47" t="str">
        <f>IF(CE$6&lt;='Supuestos Proyeccion'!$B$9,"Real","Proyección")</f>
        <v>Real</v>
      </c>
      <c r="CF5" s="47" t="str">
        <f>IF(CF$6&lt;='Supuestos Proyeccion'!$B$9,"Real","Proyección")</f>
        <v>Real</v>
      </c>
      <c r="CG5" s="47" t="str">
        <f>IF(CG$6&lt;='Supuestos Proyeccion'!$B$9,"Real","Proyección")</f>
        <v>Real</v>
      </c>
      <c r="CH5" s="47" t="str">
        <f>IF(CH$6&lt;='Supuestos Proyeccion'!$B$9,"Real","Proyección")</f>
        <v>Real</v>
      </c>
      <c r="CI5" s="47" t="str">
        <f>IF(CI$6&lt;='Supuestos Proyeccion'!$B$9,"Real","Proyección")</f>
        <v>Real</v>
      </c>
      <c r="CJ5" s="47" t="str">
        <f>IF(CJ$6&lt;='Supuestos Proyeccion'!$B$9,"Real","Proyección")</f>
        <v>Proyección</v>
      </c>
      <c r="CK5" s="47" t="str">
        <f>IF(CK$6&lt;='Supuestos Proyeccion'!$B$9,"Real","Proyección")</f>
        <v>Proyección</v>
      </c>
      <c r="CL5" s="47" t="str">
        <f>IF(CL$6&lt;='Supuestos Proyeccion'!$B$9,"Real","Proyección")</f>
        <v>Proyección</v>
      </c>
      <c r="CM5" s="47" t="str">
        <f>IF(CM$6&lt;='Supuestos Proyeccion'!$B$9,"Real","Proyección")</f>
        <v>Proyección</v>
      </c>
      <c r="CN5" s="47" t="s">
        <v>143</v>
      </c>
      <c r="CO5" s="47" t="str">
        <f>IF(CO$6&lt;='Supuestos Proyeccion'!$B$9,"Real","Proyección")</f>
        <v>Proyección</v>
      </c>
      <c r="CP5" s="47" t="str">
        <f>IF(CP$6&lt;='Supuestos Proyeccion'!$B$9,"Real","Proyección")</f>
        <v>Proyección</v>
      </c>
      <c r="CQ5" s="47" t="str">
        <f>IF(CQ$6&lt;='Supuestos Proyeccion'!$B$9,"Real","Proyección")</f>
        <v>Proyección</v>
      </c>
      <c r="CR5" s="47" t="str">
        <f>IF(CR$6&lt;='Supuestos Proyeccion'!$B$9,"Real","Proyección")</f>
        <v>Proyección</v>
      </c>
      <c r="CS5" s="47" t="str">
        <f>IF(CS$6&lt;='Supuestos Proyeccion'!$B$9,"Real","Proyección")</f>
        <v>Proyección</v>
      </c>
      <c r="CT5" s="47" t="str">
        <f>IF(CT$6&lt;='Supuestos Proyeccion'!$B$9,"Real","Proyección")</f>
        <v>Proyección</v>
      </c>
      <c r="CU5" s="47" t="str">
        <f>IF(CU$6&lt;='Supuestos Proyeccion'!$B$9,"Real","Proyección")</f>
        <v>Proyección</v>
      </c>
      <c r="CV5" s="47" t="str">
        <f>IF(CV$6&lt;='Supuestos Proyeccion'!$B$9,"Real","Proyección")</f>
        <v>Proyección</v>
      </c>
      <c r="CW5" s="47" t="str">
        <f>IF(CW$6&lt;='Supuestos Proyeccion'!$B$9,"Real","Proyección")</f>
        <v>Proyección</v>
      </c>
      <c r="CX5" s="47" t="str">
        <f>IF(CX$6&lt;='Supuestos Proyeccion'!$B$9,"Real","Proyección")</f>
        <v>Proyección</v>
      </c>
      <c r="CY5" s="47" t="str">
        <f>IF(CY$6&lt;='Supuestos Proyeccion'!$B$9,"Real","Proyección")</f>
        <v>Proyección</v>
      </c>
      <c r="CZ5" s="47" t="str">
        <f>IF(CZ$6&lt;='Supuestos Proyeccion'!$B$9,"Real","Proyección")</f>
        <v>Proyección</v>
      </c>
      <c r="DA5" s="47" t="s">
        <v>143</v>
      </c>
      <c r="DB5" s="47" t="str">
        <f>IF(DB$6&lt;='Supuestos Proyeccion'!$B$9,"Real","Proyección")</f>
        <v>Proyección</v>
      </c>
      <c r="DC5" s="47" t="str">
        <f>IF(DC$6&lt;='Supuestos Proyeccion'!$B$9,"Real","Proyección")</f>
        <v>Proyección</v>
      </c>
      <c r="DD5" s="47" t="str">
        <f>IF(DD$6&lt;='Supuestos Proyeccion'!$B$9,"Real","Proyección")</f>
        <v>Proyección</v>
      </c>
      <c r="DE5" s="47" t="str">
        <f>IF(DE$6&lt;='Supuestos Proyeccion'!$B$9,"Real","Proyección")</f>
        <v>Proyección</v>
      </c>
      <c r="DF5" s="47" t="str">
        <f>IF(DF$6&lt;='Supuestos Proyeccion'!$B$9,"Real","Proyección")</f>
        <v>Proyección</v>
      </c>
      <c r="DG5" s="47" t="str">
        <f>IF(DG$6&lt;='Supuestos Proyeccion'!$B$9,"Real","Proyección")</f>
        <v>Proyección</v>
      </c>
      <c r="DH5" s="47" t="str">
        <f>IF(DH$6&lt;='Supuestos Proyeccion'!$B$9,"Real","Proyección")</f>
        <v>Proyección</v>
      </c>
      <c r="DI5" s="47" t="str">
        <f>IF(DI$6&lt;='Supuestos Proyeccion'!$B$9,"Real","Proyección")</f>
        <v>Proyección</v>
      </c>
      <c r="DJ5" s="47" t="str">
        <f>IF(DJ$6&lt;='Supuestos Proyeccion'!$B$9,"Real","Proyección")</f>
        <v>Proyección</v>
      </c>
      <c r="DK5" s="47" t="str">
        <f>IF(DK$6&lt;='Supuestos Proyeccion'!$B$9,"Real","Proyección")</f>
        <v>Proyección</v>
      </c>
      <c r="DL5" s="47" t="str">
        <f>IF(DL$6&lt;='Supuestos Proyeccion'!$B$9,"Real","Proyección")</f>
        <v>Proyección</v>
      </c>
      <c r="DM5" s="47" t="str">
        <f>IF(DM$6&lt;='Supuestos Proyeccion'!$B$9,"Real","Proyección")</f>
        <v>Proyección</v>
      </c>
      <c r="DN5" s="47" t="s">
        <v>143</v>
      </c>
      <c r="DO5" s="47" t="str">
        <f>IF(DO$6&lt;='Supuestos Proyeccion'!$B$9,"Real","Proyección")</f>
        <v>Proyección</v>
      </c>
      <c r="DP5" s="47" t="str">
        <f>IF(DP$6&lt;='Supuestos Proyeccion'!$B$9,"Real","Proyección")</f>
        <v>Proyección</v>
      </c>
      <c r="DQ5" s="47" t="str">
        <f>IF(DQ$6&lt;='Supuestos Proyeccion'!$B$9,"Real","Proyección")</f>
        <v>Proyección</v>
      </c>
      <c r="DR5" s="47" t="str">
        <f>IF(DR$6&lt;='Supuestos Proyeccion'!$B$9,"Real","Proyección")</f>
        <v>Proyección</v>
      </c>
      <c r="DS5" s="47" t="str">
        <f>IF(DS$6&lt;='Supuestos Proyeccion'!$B$9,"Real","Proyección")</f>
        <v>Proyección</v>
      </c>
      <c r="DT5" s="47" t="str">
        <f>IF(DT$6&lt;='Supuestos Proyeccion'!$B$9,"Real","Proyección")</f>
        <v>Proyección</v>
      </c>
      <c r="DU5" s="47" t="str">
        <f>IF(DU$6&lt;='Supuestos Proyeccion'!$B$9,"Real","Proyección")</f>
        <v>Proyección</v>
      </c>
      <c r="DV5" s="47" t="str">
        <f>IF(DV$6&lt;='Supuestos Proyeccion'!$B$9,"Real","Proyección")</f>
        <v>Proyección</v>
      </c>
      <c r="DW5" s="47" t="str">
        <f>IF(DW$6&lt;='Supuestos Proyeccion'!$B$9,"Real","Proyección")</f>
        <v>Proyección</v>
      </c>
      <c r="DX5" s="47" t="str">
        <f>IF(DX$6&lt;='Supuestos Proyeccion'!$B$9,"Real","Proyección")</f>
        <v>Proyección</v>
      </c>
      <c r="DY5" s="47" t="str">
        <f>IF(DY$6&lt;='Supuestos Proyeccion'!$B$9,"Real","Proyección")</f>
        <v>Proyección</v>
      </c>
      <c r="DZ5" s="47" t="str">
        <f>IF(DZ$6&lt;='Supuestos Proyeccion'!$B$9,"Real","Proyección")</f>
        <v>Proyección</v>
      </c>
      <c r="EA5" s="47" t="s">
        <v>143</v>
      </c>
      <c r="EB5" s="47" t="str">
        <f>IF(EB$6&lt;='Supuestos Proyeccion'!$B$9,"Real","Proyección")</f>
        <v>Proyección</v>
      </c>
      <c r="EC5" s="47" t="str">
        <f>IF(EC$6&lt;='Supuestos Proyeccion'!$B$9,"Real","Proyección")</f>
        <v>Proyección</v>
      </c>
      <c r="ED5" s="47" t="str">
        <f>IF(ED$6&lt;='Supuestos Proyeccion'!$B$9,"Real","Proyección")</f>
        <v>Proyección</v>
      </c>
      <c r="EE5" s="47" t="str">
        <f>IF(EE$6&lt;='Supuestos Proyeccion'!$B$9,"Real","Proyección")</f>
        <v>Proyección</v>
      </c>
      <c r="EF5" s="47" t="str">
        <f>IF(EF$6&lt;='Supuestos Proyeccion'!$B$9,"Real","Proyección")</f>
        <v>Proyección</v>
      </c>
      <c r="EG5" s="47" t="str">
        <f>IF(EG$6&lt;='Supuestos Proyeccion'!$B$9,"Real","Proyección")</f>
        <v>Proyección</v>
      </c>
      <c r="EH5" s="47" t="str">
        <f>IF(EH$6&lt;='Supuestos Proyeccion'!$B$9,"Real","Proyección")</f>
        <v>Proyección</v>
      </c>
      <c r="EI5" s="47" t="str">
        <f>IF(EI$6&lt;='Supuestos Proyeccion'!$B$9,"Real","Proyección")</f>
        <v>Proyección</v>
      </c>
      <c r="EJ5" s="47" t="str">
        <f>IF(EJ$6&lt;='Supuestos Proyeccion'!$B$9,"Real","Proyección")</f>
        <v>Proyección</v>
      </c>
      <c r="EK5" s="47" t="str">
        <f>IF(EK$6&lt;='Supuestos Proyeccion'!$B$9,"Real","Proyección")</f>
        <v>Proyección</v>
      </c>
      <c r="EL5" s="47" t="str">
        <f>IF(EL$6&lt;='Supuestos Proyeccion'!$B$9,"Real","Proyección")</f>
        <v>Proyección</v>
      </c>
      <c r="EM5" s="47" t="str">
        <f>IF(EM$6&lt;='Supuestos Proyeccion'!$B$9,"Real","Proyección")</f>
        <v>Proyección</v>
      </c>
      <c r="EN5" s="47" t="s">
        <v>143</v>
      </c>
      <c r="EO5" s="47" t="str">
        <f>IF(EO$6&lt;='Supuestos Proyeccion'!$B$9,"Real","Proyección")</f>
        <v>Proyección</v>
      </c>
      <c r="EP5" s="47" t="str">
        <f>IF(EP$6&lt;='Supuestos Proyeccion'!$B$9,"Real","Proyección")</f>
        <v>Proyección</v>
      </c>
      <c r="EQ5" s="47" t="str">
        <f>IF(EQ$6&lt;='Supuestos Proyeccion'!$B$9,"Real","Proyección")</f>
        <v>Proyección</v>
      </c>
      <c r="ER5" s="47" t="str">
        <f>IF(ER$6&lt;='Supuestos Proyeccion'!$B$9,"Real","Proyección")</f>
        <v>Proyección</v>
      </c>
      <c r="ES5" s="47" t="str">
        <f>IF(ES$6&lt;='Supuestos Proyeccion'!$B$9,"Real","Proyección")</f>
        <v>Proyección</v>
      </c>
      <c r="ET5" s="47" t="str">
        <f>IF(ET$6&lt;='Supuestos Proyeccion'!$B$9,"Real","Proyección")</f>
        <v>Proyección</v>
      </c>
      <c r="EU5" s="47" t="str">
        <f>IF(EU$6&lt;='Supuestos Proyeccion'!$B$9,"Real","Proyección")</f>
        <v>Proyección</v>
      </c>
      <c r="EV5" s="47" t="str">
        <f>IF(EV$6&lt;='Supuestos Proyeccion'!$B$9,"Real","Proyección")</f>
        <v>Proyección</v>
      </c>
      <c r="EW5" s="47" t="str">
        <f>IF(EW$6&lt;='Supuestos Proyeccion'!$B$9,"Real","Proyección")</f>
        <v>Proyección</v>
      </c>
      <c r="EX5" s="47" t="str">
        <f>IF(EX$6&lt;='Supuestos Proyeccion'!$B$9,"Real","Proyección")</f>
        <v>Proyección</v>
      </c>
      <c r="EY5" s="47" t="str">
        <f>IF(EY$6&lt;='Supuestos Proyeccion'!$B$9,"Real","Proyección")</f>
        <v>Proyección</v>
      </c>
      <c r="EZ5" s="47" t="str">
        <f>IF(EZ$6&lt;='Supuestos Proyeccion'!$B$9,"Real","Proyección")</f>
        <v>Proyección</v>
      </c>
      <c r="FA5" s="47" t="s">
        <v>143</v>
      </c>
      <c r="FB5" s="47" t="str">
        <f>IF(FB$6&lt;='Supuestos Proyeccion'!$B$9,"Real","Proyección")</f>
        <v>Proyección</v>
      </c>
      <c r="FC5" s="47" t="str">
        <f>IF(FC$6&lt;='Supuestos Proyeccion'!$B$9,"Real","Proyección")</f>
        <v>Proyección</v>
      </c>
      <c r="FD5" s="47" t="str">
        <f>IF(FD$6&lt;='Supuestos Proyeccion'!$B$9,"Real","Proyección")</f>
        <v>Proyección</v>
      </c>
      <c r="FE5" s="47" t="str">
        <f>IF(FE$6&lt;='Supuestos Proyeccion'!$B$9,"Real","Proyección")</f>
        <v>Proyección</v>
      </c>
      <c r="FF5" s="47" t="str">
        <f>IF(FF$6&lt;='Supuestos Proyeccion'!$B$9,"Real","Proyección")</f>
        <v>Proyección</v>
      </c>
      <c r="FG5" s="47" t="str">
        <f>IF(FG$6&lt;='Supuestos Proyeccion'!$B$9,"Real","Proyección")</f>
        <v>Proyección</v>
      </c>
      <c r="FH5" s="47" t="str">
        <f>IF(FH$6&lt;='Supuestos Proyeccion'!$B$9,"Real","Proyección")</f>
        <v>Proyección</v>
      </c>
      <c r="FI5" s="47" t="str">
        <f>IF(FI$6&lt;='Supuestos Proyeccion'!$B$9,"Real","Proyección")</f>
        <v>Proyección</v>
      </c>
      <c r="FJ5" s="47" t="str">
        <f>IF(FJ$6&lt;='Supuestos Proyeccion'!$B$9,"Real","Proyección")</f>
        <v>Proyección</v>
      </c>
      <c r="FK5" s="47" t="str">
        <f>IF(FK$6&lt;='Supuestos Proyeccion'!$B$9,"Real","Proyección")</f>
        <v>Proyección</v>
      </c>
      <c r="FL5" s="47" t="str">
        <f>IF(FL$6&lt;='Supuestos Proyeccion'!$B$9,"Real","Proyección")</f>
        <v>Proyección</v>
      </c>
      <c r="FM5" s="47" t="str">
        <f>IF(FM$6&lt;='Supuestos Proyeccion'!$B$9,"Real","Proyección")</f>
        <v>Proyección</v>
      </c>
      <c r="FN5" s="47" t="s">
        <v>143</v>
      </c>
      <c r="FO5" s="47" t="str">
        <f>IF(FO$6&lt;='Supuestos Proyeccion'!$B$9,"Real","Proyección")</f>
        <v>Proyección</v>
      </c>
      <c r="FP5" s="47" t="str">
        <f>IF(FP$6&lt;='Supuestos Proyeccion'!$B$9,"Real","Proyección")</f>
        <v>Proyección</v>
      </c>
      <c r="FQ5" s="47" t="str">
        <f>IF(FQ$6&lt;='Supuestos Proyeccion'!$B$9,"Real","Proyección")</f>
        <v>Proyección</v>
      </c>
      <c r="FR5" s="47" t="str">
        <f>IF(FR$6&lt;='Supuestos Proyeccion'!$B$9,"Real","Proyección")</f>
        <v>Proyección</v>
      </c>
      <c r="FS5" s="47" t="str">
        <f>IF(FS$6&lt;='Supuestos Proyeccion'!$B$9,"Real","Proyección")</f>
        <v>Proyección</v>
      </c>
      <c r="FT5" s="47" t="str">
        <f>IF(FT$6&lt;='Supuestos Proyeccion'!$B$9,"Real","Proyección")</f>
        <v>Proyección</v>
      </c>
      <c r="FU5" s="47" t="str">
        <f>IF(FU$6&lt;='Supuestos Proyeccion'!$B$9,"Real","Proyección")</f>
        <v>Proyección</v>
      </c>
      <c r="FV5" s="47" t="str">
        <f>IF(FV$6&lt;='Supuestos Proyeccion'!$B$9,"Real","Proyección")</f>
        <v>Proyección</v>
      </c>
      <c r="FW5" s="47" t="str">
        <f>IF(FW$6&lt;='Supuestos Proyeccion'!$B$9,"Real","Proyección")</f>
        <v>Proyección</v>
      </c>
      <c r="FX5" s="47" t="str">
        <f>IF(FX$6&lt;='Supuestos Proyeccion'!$B$9,"Real","Proyección")</f>
        <v>Proyección</v>
      </c>
      <c r="FY5" s="47" t="str">
        <f>IF(FY$6&lt;='Supuestos Proyeccion'!$B$9,"Real","Proyección")</f>
        <v>Proyección</v>
      </c>
      <c r="FZ5" s="47" t="str">
        <f>IF(FZ$6&lt;='Supuestos Proyeccion'!$B$9,"Real","Proyección")</f>
        <v>Proyección</v>
      </c>
      <c r="GA5" s="47" t="s">
        <v>143</v>
      </c>
      <c r="GB5" s="47" t="str">
        <f>IF(GB$6&lt;='Supuestos Proyeccion'!$B$9,"Real","Proyección")</f>
        <v>Proyección</v>
      </c>
      <c r="GC5" s="47" t="str">
        <f>IF(GC$6&lt;='Supuestos Proyeccion'!$B$9,"Real","Proyección")</f>
        <v>Proyección</v>
      </c>
      <c r="GD5" s="47" t="str">
        <f>IF(GD$6&lt;='Supuestos Proyeccion'!$B$9,"Real","Proyección")</f>
        <v>Proyección</v>
      </c>
      <c r="GE5" s="47" t="str">
        <f>IF(GE$6&lt;='Supuestos Proyeccion'!$B$9,"Real","Proyección")</f>
        <v>Proyección</v>
      </c>
      <c r="GF5" s="47" t="str">
        <f>IF(GF$6&lt;='Supuestos Proyeccion'!$B$9,"Real","Proyección")</f>
        <v>Proyección</v>
      </c>
      <c r="GG5" s="47" t="str">
        <f>IF(GG$6&lt;='Supuestos Proyeccion'!$B$9,"Real","Proyección")</f>
        <v>Proyección</v>
      </c>
      <c r="GH5" s="47" t="str">
        <f>IF(GH$6&lt;='Supuestos Proyeccion'!$B$9,"Real","Proyección")</f>
        <v>Proyección</v>
      </c>
      <c r="GI5" s="47" t="str">
        <f>IF(GI$6&lt;='Supuestos Proyeccion'!$B$9,"Real","Proyección")</f>
        <v>Proyección</v>
      </c>
      <c r="GJ5" s="47" t="str">
        <f>IF(GJ$6&lt;='Supuestos Proyeccion'!$B$9,"Real","Proyección")</f>
        <v>Proyección</v>
      </c>
      <c r="GK5" s="47" t="str">
        <f>IF(GK$6&lt;='Supuestos Proyeccion'!$B$9,"Real","Proyección")</f>
        <v>Proyección</v>
      </c>
      <c r="GL5" s="47" t="str">
        <f>IF(GL$6&lt;='Supuestos Proyeccion'!$B$9,"Real","Proyección")</f>
        <v>Proyección</v>
      </c>
      <c r="GM5" s="47" t="str">
        <f>IF(GM$6&lt;='Supuestos Proyeccion'!$B$9,"Real","Proyección")</f>
        <v>Proyección</v>
      </c>
      <c r="GN5" s="47" t="s">
        <v>143</v>
      </c>
      <c r="GO5" s="47" t="str">
        <f>IF(GO$6&lt;='Supuestos Proyeccion'!$B$9,"Real","Proyección")</f>
        <v>Proyección</v>
      </c>
      <c r="GP5" s="47" t="str">
        <f>IF(GP$6&lt;='Supuestos Proyeccion'!$B$9,"Real","Proyección")</f>
        <v>Proyección</v>
      </c>
      <c r="GQ5" s="47" t="str">
        <f>IF(GQ$6&lt;='Supuestos Proyeccion'!$B$9,"Real","Proyección")</f>
        <v>Proyección</v>
      </c>
      <c r="GR5" s="47" t="str">
        <f>IF(GR$6&lt;='Supuestos Proyeccion'!$B$9,"Real","Proyección")</f>
        <v>Proyección</v>
      </c>
      <c r="GS5" s="47" t="str">
        <f>IF(GS$6&lt;='Supuestos Proyeccion'!$B$9,"Real","Proyección")</f>
        <v>Proyección</v>
      </c>
      <c r="GT5" s="47" t="str">
        <f>IF(GT$6&lt;='Supuestos Proyeccion'!$B$9,"Real","Proyección")</f>
        <v>Proyección</v>
      </c>
      <c r="GU5" s="47" t="str">
        <f>IF(GU$6&lt;='Supuestos Proyeccion'!$B$9,"Real","Proyección")</f>
        <v>Proyección</v>
      </c>
      <c r="GV5" s="47" t="str">
        <f>IF(GV$6&lt;='Supuestos Proyeccion'!$B$9,"Real","Proyección")</f>
        <v>Proyección</v>
      </c>
      <c r="GW5" s="47" t="str">
        <f>IF(GW$6&lt;='Supuestos Proyeccion'!$B$9,"Real","Proyección")</f>
        <v>Proyección</v>
      </c>
      <c r="GX5" s="47" t="str">
        <f>IF(GX$6&lt;='Supuestos Proyeccion'!$B$9,"Real","Proyección")</f>
        <v>Proyección</v>
      </c>
      <c r="GY5" s="47" t="str">
        <f>IF(GY$6&lt;='Supuestos Proyeccion'!$B$9,"Real","Proyección")</f>
        <v>Proyección</v>
      </c>
      <c r="GZ5" s="47" t="str">
        <f>IF(GZ$6&lt;='Supuestos Proyeccion'!$B$9,"Real","Proyección")</f>
        <v>Proyección</v>
      </c>
      <c r="HA5" s="47" t="s">
        <v>143</v>
      </c>
      <c r="HB5" s="47"/>
      <c r="HC5" s="48" t="s">
        <v>144</v>
      </c>
      <c r="HD5" s="48" t="s">
        <v>144</v>
      </c>
      <c r="HE5" s="48" t="s">
        <v>144</v>
      </c>
      <c r="HF5" s="48" t="s">
        <v>144</v>
      </c>
      <c r="HG5" s="48" t="s">
        <v>144</v>
      </c>
      <c r="HH5" s="48" t="s">
        <v>144</v>
      </c>
      <c r="HI5" s="48" t="s">
        <v>144</v>
      </c>
      <c r="HJ5" s="48" t="s">
        <v>144</v>
      </c>
      <c r="HK5" s="48" t="s">
        <v>144</v>
      </c>
      <c r="HL5" s="48" t="s">
        <v>144</v>
      </c>
      <c r="HM5" s="48" t="s">
        <v>144</v>
      </c>
      <c r="HN5" s="48" t="s">
        <v>144</v>
      </c>
      <c r="HO5" s="48" t="s">
        <v>144</v>
      </c>
      <c r="HP5" s="48" t="s">
        <v>144</v>
      </c>
      <c r="HQ5" s="48" t="s">
        <v>144</v>
      </c>
      <c r="HR5" s="48" t="s">
        <v>144</v>
      </c>
    </row>
    <row r="6" spans="1:226" x14ac:dyDescent="0.35">
      <c r="A6" s="48" t="s">
        <v>52</v>
      </c>
      <c r="B6" s="49">
        <v>43831</v>
      </c>
      <c r="C6" s="49">
        <v>43862</v>
      </c>
      <c r="D6" s="49">
        <v>43891</v>
      </c>
      <c r="E6" s="49">
        <v>43922</v>
      </c>
      <c r="F6" s="49">
        <v>43952</v>
      </c>
      <c r="G6" s="49">
        <v>43983</v>
      </c>
      <c r="H6" s="49">
        <v>44013</v>
      </c>
      <c r="I6" s="49">
        <v>44044</v>
      </c>
      <c r="J6" s="49">
        <v>44075</v>
      </c>
      <c r="K6" s="49">
        <v>44105</v>
      </c>
      <c r="L6" s="49">
        <v>44136</v>
      </c>
      <c r="M6" s="49">
        <v>44166</v>
      </c>
      <c r="N6" s="50" t="s">
        <v>145</v>
      </c>
      <c r="O6" s="49">
        <v>44197</v>
      </c>
      <c r="P6" s="49">
        <v>44228</v>
      </c>
      <c r="Q6" s="49">
        <v>44256</v>
      </c>
      <c r="R6" s="49">
        <v>44287</v>
      </c>
      <c r="S6" s="49">
        <v>44317</v>
      </c>
      <c r="T6" s="49">
        <v>44348</v>
      </c>
      <c r="U6" s="49">
        <v>44378</v>
      </c>
      <c r="V6" s="49">
        <v>44409</v>
      </c>
      <c r="W6" s="49">
        <v>44440</v>
      </c>
      <c r="X6" s="49">
        <v>44470</v>
      </c>
      <c r="Y6" s="49">
        <v>44501</v>
      </c>
      <c r="Z6" s="49">
        <v>44531</v>
      </c>
      <c r="AA6" s="50" t="s">
        <v>146</v>
      </c>
      <c r="AB6" s="49">
        <v>44562</v>
      </c>
      <c r="AC6" s="49">
        <v>44593</v>
      </c>
      <c r="AD6" s="49">
        <v>44621</v>
      </c>
      <c r="AE6" s="49">
        <v>44652</v>
      </c>
      <c r="AF6" s="49">
        <v>44682</v>
      </c>
      <c r="AG6" s="49">
        <v>44713</v>
      </c>
      <c r="AH6" s="49">
        <v>44743</v>
      </c>
      <c r="AI6" s="49">
        <v>44774</v>
      </c>
      <c r="AJ6" s="49">
        <v>44805</v>
      </c>
      <c r="AK6" s="49">
        <v>44835</v>
      </c>
      <c r="AL6" s="49">
        <v>44866</v>
      </c>
      <c r="AM6" s="49">
        <v>44896</v>
      </c>
      <c r="AN6" s="50" t="s">
        <v>147</v>
      </c>
      <c r="AO6" s="49">
        <v>44927</v>
      </c>
      <c r="AP6" s="49">
        <v>44958</v>
      </c>
      <c r="AQ6" s="49">
        <v>44986</v>
      </c>
      <c r="AR6" s="49">
        <v>45017</v>
      </c>
      <c r="AS6" s="49">
        <v>45047</v>
      </c>
      <c r="AT6" s="49">
        <v>45078</v>
      </c>
      <c r="AU6" s="49">
        <v>45108</v>
      </c>
      <c r="AV6" s="49">
        <v>45139</v>
      </c>
      <c r="AW6" s="49">
        <v>45170</v>
      </c>
      <c r="AX6" s="49">
        <v>45200</v>
      </c>
      <c r="AY6" s="49">
        <v>45231</v>
      </c>
      <c r="AZ6" s="49">
        <v>45261</v>
      </c>
      <c r="BA6" s="50" t="s">
        <v>148</v>
      </c>
      <c r="BB6" s="49">
        <v>45292</v>
      </c>
      <c r="BC6" s="49">
        <v>45323</v>
      </c>
      <c r="BD6" s="49">
        <v>45352</v>
      </c>
      <c r="BE6" s="49">
        <v>45383</v>
      </c>
      <c r="BF6" s="49">
        <v>45413</v>
      </c>
      <c r="BG6" s="49">
        <v>45444</v>
      </c>
      <c r="BH6" s="49">
        <v>45474</v>
      </c>
      <c r="BI6" s="49">
        <v>45505</v>
      </c>
      <c r="BJ6" s="49">
        <v>45536</v>
      </c>
      <c r="BK6" s="49">
        <v>45566</v>
      </c>
      <c r="BL6" s="49">
        <v>45597</v>
      </c>
      <c r="BM6" s="49">
        <v>45627</v>
      </c>
      <c r="BN6" s="50" t="s">
        <v>149</v>
      </c>
      <c r="BO6" s="49">
        <v>45658</v>
      </c>
      <c r="BP6" s="49">
        <v>45689</v>
      </c>
      <c r="BQ6" s="49">
        <v>45717</v>
      </c>
      <c r="BR6" s="49">
        <v>45748</v>
      </c>
      <c r="BS6" s="49">
        <v>45778</v>
      </c>
      <c r="BT6" s="49">
        <v>45809</v>
      </c>
      <c r="BU6" s="49">
        <v>45839</v>
      </c>
      <c r="BV6" s="49">
        <v>45870</v>
      </c>
      <c r="BW6" s="49">
        <v>45901</v>
      </c>
      <c r="BX6" s="49">
        <v>45931</v>
      </c>
      <c r="BY6" s="49">
        <v>45962</v>
      </c>
      <c r="BZ6" s="49">
        <v>45992</v>
      </c>
      <c r="CA6" s="50" t="s">
        <v>150</v>
      </c>
      <c r="CB6" s="49">
        <v>46023</v>
      </c>
      <c r="CC6" s="49">
        <v>46054</v>
      </c>
      <c r="CD6" s="49">
        <v>46082</v>
      </c>
      <c r="CE6" s="49">
        <v>46113</v>
      </c>
      <c r="CF6" s="49">
        <v>46143</v>
      </c>
      <c r="CG6" s="49">
        <v>46174</v>
      </c>
      <c r="CH6" s="49">
        <v>46204</v>
      </c>
      <c r="CI6" s="49">
        <v>46235</v>
      </c>
      <c r="CJ6" s="49">
        <v>46266</v>
      </c>
      <c r="CK6" s="49">
        <v>46296</v>
      </c>
      <c r="CL6" s="49">
        <v>46327</v>
      </c>
      <c r="CM6" s="49">
        <v>46357</v>
      </c>
      <c r="CN6" s="50" t="s">
        <v>151</v>
      </c>
      <c r="CO6" s="49">
        <v>46388</v>
      </c>
      <c r="CP6" s="49">
        <v>46419</v>
      </c>
      <c r="CQ6" s="49">
        <v>46447</v>
      </c>
      <c r="CR6" s="49">
        <v>46478</v>
      </c>
      <c r="CS6" s="49">
        <v>46508</v>
      </c>
      <c r="CT6" s="49">
        <v>46539</v>
      </c>
      <c r="CU6" s="49">
        <v>46569</v>
      </c>
      <c r="CV6" s="49">
        <v>46600</v>
      </c>
      <c r="CW6" s="49">
        <v>46631</v>
      </c>
      <c r="CX6" s="49">
        <v>46661</v>
      </c>
      <c r="CY6" s="49">
        <v>46692</v>
      </c>
      <c r="CZ6" s="49">
        <v>46722</v>
      </c>
      <c r="DA6" s="50" t="s">
        <v>152</v>
      </c>
      <c r="DB6" s="49">
        <v>46753</v>
      </c>
      <c r="DC6" s="49">
        <v>46784</v>
      </c>
      <c r="DD6" s="49">
        <v>46813</v>
      </c>
      <c r="DE6" s="49">
        <v>46844</v>
      </c>
      <c r="DF6" s="49">
        <v>46874</v>
      </c>
      <c r="DG6" s="49">
        <v>46905</v>
      </c>
      <c r="DH6" s="49">
        <v>46935</v>
      </c>
      <c r="DI6" s="49">
        <v>46966</v>
      </c>
      <c r="DJ6" s="49">
        <v>46997</v>
      </c>
      <c r="DK6" s="49">
        <v>47027</v>
      </c>
      <c r="DL6" s="49">
        <v>47058</v>
      </c>
      <c r="DM6" s="49">
        <v>47088</v>
      </c>
      <c r="DN6" s="50" t="s">
        <v>153</v>
      </c>
      <c r="DO6" s="49">
        <v>47119</v>
      </c>
      <c r="DP6" s="49">
        <v>47150</v>
      </c>
      <c r="DQ6" s="49">
        <v>47178</v>
      </c>
      <c r="DR6" s="49">
        <v>47209</v>
      </c>
      <c r="DS6" s="49">
        <v>47239</v>
      </c>
      <c r="DT6" s="49">
        <v>47270</v>
      </c>
      <c r="DU6" s="49">
        <v>47300</v>
      </c>
      <c r="DV6" s="49">
        <v>47331</v>
      </c>
      <c r="DW6" s="49">
        <v>47362</v>
      </c>
      <c r="DX6" s="49">
        <v>47392</v>
      </c>
      <c r="DY6" s="49">
        <v>47423</v>
      </c>
      <c r="DZ6" s="49">
        <v>47453</v>
      </c>
      <c r="EA6" s="50" t="s">
        <v>154</v>
      </c>
      <c r="EB6" s="49">
        <v>47484</v>
      </c>
      <c r="EC6" s="49">
        <v>47515</v>
      </c>
      <c r="ED6" s="49">
        <v>47543</v>
      </c>
      <c r="EE6" s="49">
        <v>47574</v>
      </c>
      <c r="EF6" s="49">
        <v>47604</v>
      </c>
      <c r="EG6" s="49">
        <v>47635</v>
      </c>
      <c r="EH6" s="49">
        <v>47665</v>
      </c>
      <c r="EI6" s="49">
        <v>47696</v>
      </c>
      <c r="EJ6" s="49">
        <v>47727</v>
      </c>
      <c r="EK6" s="49">
        <v>47757</v>
      </c>
      <c r="EL6" s="49">
        <v>47788</v>
      </c>
      <c r="EM6" s="49">
        <v>47818</v>
      </c>
      <c r="EN6" s="50" t="s">
        <v>155</v>
      </c>
      <c r="EO6" s="49">
        <v>47849</v>
      </c>
      <c r="EP6" s="49">
        <v>47880</v>
      </c>
      <c r="EQ6" s="49">
        <v>47908</v>
      </c>
      <c r="ER6" s="49">
        <v>47939</v>
      </c>
      <c r="ES6" s="49">
        <v>47969</v>
      </c>
      <c r="ET6" s="49">
        <v>48000</v>
      </c>
      <c r="EU6" s="49">
        <v>48030</v>
      </c>
      <c r="EV6" s="49">
        <v>48061</v>
      </c>
      <c r="EW6" s="49">
        <v>48092</v>
      </c>
      <c r="EX6" s="49">
        <v>48122</v>
      </c>
      <c r="EY6" s="49">
        <v>48153</v>
      </c>
      <c r="EZ6" s="49">
        <v>48183</v>
      </c>
      <c r="FA6" s="50" t="s">
        <v>156</v>
      </c>
      <c r="FB6" s="49">
        <v>48214</v>
      </c>
      <c r="FC6" s="49">
        <v>48245</v>
      </c>
      <c r="FD6" s="49">
        <v>48274</v>
      </c>
      <c r="FE6" s="49">
        <v>48305</v>
      </c>
      <c r="FF6" s="49">
        <v>48335</v>
      </c>
      <c r="FG6" s="49">
        <v>48366</v>
      </c>
      <c r="FH6" s="49">
        <v>48396</v>
      </c>
      <c r="FI6" s="49">
        <v>48427</v>
      </c>
      <c r="FJ6" s="49">
        <v>48458</v>
      </c>
      <c r="FK6" s="49">
        <v>48488</v>
      </c>
      <c r="FL6" s="49">
        <v>48519</v>
      </c>
      <c r="FM6" s="49">
        <v>48549</v>
      </c>
      <c r="FN6" s="50" t="s">
        <v>157</v>
      </c>
      <c r="FO6" s="49">
        <v>48580</v>
      </c>
      <c r="FP6" s="49">
        <v>48611</v>
      </c>
      <c r="FQ6" s="49">
        <v>48639</v>
      </c>
      <c r="FR6" s="49">
        <v>48670</v>
      </c>
      <c r="FS6" s="49">
        <v>48700</v>
      </c>
      <c r="FT6" s="49">
        <v>48731</v>
      </c>
      <c r="FU6" s="49">
        <v>48761</v>
      </c>
      <c r="FV6" s="49">
        <v>48792</v>
      </c>
      <c r="FW6" s="49">
        <v>48823</v>
      </c>
      <c r="FX6" s="49">
        <v>48853</v>
      </c>
      <c r="FY6" s="49">
        <v>48884</v>
      </c>
      <c r="FZ6" s="49">
        <v>48914</v>
      </c>
      <c r="GA6" s="50" t="s">
        <v>158</v>
      </c>
      <c r="GB6" s="49">
        <v>48945</v>
      </c>
      <c r="GC6" s="49">
        <v>48976</v>
      </c>
      <c r="GD6" s="49">
        <v>49004</v>
      </c>
      <c r="GE6" s="49">
        <v>49035</v>
      </c>
      <c r="GF6" s="49">
        <v>49065</v>
      </c>
      <c r="GG6" s="49">
        <v>49096</v>
      </c>
      <c r="GH6" s="49">
        <v>49126</v>
      </c>
      <c r="GI6" s="49">
        <v>49157</v>
      </c>
      <c r="GJ6" s="49">
        <v>49188</v>
      </c>
      <c r="GK6" s="49">
        <v>49218</v>
      </c>
      <c r="GL6" s="49">
        <v>49249</v>
      </c>
      <c r="GM6" s="49">
        <v>49279</v>
      </c>
      <c r="GN6" s="50" t="s">
        <v>159</v>
      </c>
      <c r="GO6" s="49">
        <v>49310</v>
      </c>
      <c r="GP6" s="49">
        <v>49341</v>
      </c>
      <c r="GQ6" s="49">
        <v>49369</v>
      </c>
      <c r="GR6" s="49">
        <v>49400</v>
      </c>
      <c r="GS6" s="49">
        <v>49430</v>
      </c>
      <c r="GT6" s="49">
        <v>49461</v>
      </c>
      <c r="GU6" s="49">
        <v>49491</v>
      </c>
      <c r="GV6" s="49">
        <v>49522</v>
      </c>
      <c r="GW6" s="49">
        <v>49553</v>
      </c>
      <c r="GX6" s="49">
        <v>49583</v>
      </c>
      <c r="GY6" s="49">
        <v>49614</v>
      </c>
      <c r="GZ6" s="49">
        <v>49644</v>
      </c>
      <c r="HA6" s="50" t="s">
        <v>160</v>
      </c>
      <c r="HB6" s="47"/>
      <c r="HC6" s="48">
        <v>2020</v>
      </c>
      <c r="HD6" s="48">
        <v>2021</v>
      </c>
      <c r="HE6" s="48">
        <v>2022</v>
      </c>
      <c r="HF6" s="48">
        <v>2023</v>
      </c>
      <c r="HG6" s="48">
        <v>2024</v>
      </c>
      <c r="HH6" s="48">
        <v>2025</v>
      </c>
      <c r="HI6" s="48">
        <v>2026</v>
      </c>
      <c r="HJ6" s="48">
        <v>2027</v>
      </c>
      <c r="HK6" s="48">
        <v>2028</v>
      </c>
      <c r="HL6" s="48">
        <v>2029</v>
      </c>
      <c r="HM6" s="48">
        <v>2030</v>
      </c>
      <c r="HN6" s="48">
        <v>2031</v>
      </c>
      <c r="HO6" s="48">
        <v>2032</v>
      </c>
      <c r="HP6" s="48">
        <v>2033</v>
      </c>
      <c r="HQ6" s="48">
        <v>2034</v>
      </c>
      <c r="HR6" s="48">
        <v>2035</v>
      </c>
    </row>
    <row r="7" spans="1:226" x14ac:dyDescent="0.35">
      <c r="A7" t="s">
        <v>53</v>
      </c>
      <c r="B7" s="23">
        <f>IF(B$5="Real",INDEX('Informacion de Sam'!$2:$2,MATCH(B$6,'Informacion de Sam'!$1:$1,0)),B$10/(1-'Supuestos Proyeccion'!$F$24))</f>
        <v>0</v>
      </c>
      <c r="C7" s="23">
        <f>IF(C$5="Real",INDEX('Informacion de Sam'!$2:$2,MATCH(C$6,'Informacion de Sam'!$1:$1,0)),C$10/(1-'Supuestos Proyeccion'!$F$24))</f>
        <v>0</v>
      </c>
      <c r="D7" s="23">
        <f>IF(D$5="Real",INDEX('Informacion de Sam'!$2:$2,MATCH(D$6,'Informacion de Sam'!$1:$1,0)),D$10/(1-'Supuestos Proyeccion'!$F$24))</f>
        <v>0</v>
      </c>
      <c r="E7" s="23">
        <f>IF(E$5="Real",INDEX('Informacion de Sam'!$2:$2,MATCH(E$6,'Informacion de Sam'!$1:$1,0)),E$10/(1-'Supuestos Proyeccion'!$F$24))</f>
        <v>0</v>
      </c>
      <c r="F7" s="23">
        <f>IF(F$5="Real",INDEX('Informacion de Sam'!$2:$2,MATCH(F$6,'Informacion de Sam'!$1:$1,0)),F$10/(1-'Supuestos Proyeccion'!$F$24))</f>
        <v>31102521.340000004</v>
      </c>
      <c r="G7" s="23">
        <f>IF(G$5="Real",INDEX('Informacion de Sam'!$2:$2,MATCH(G$6,'Informacion de Sam'!$1:$1,0)),G$10/(1-'Supuestos Proyeccion'!$F$24))</f>
        <v>35112660.050000012</v>
      </c>
      <c r="H7" s="23">
        <f>IF(H$5="Real",INDEX('Informacion de Sam'!$2:$2,MATCH(H$6,'Informacion de Sam'!$1:$1,0)),H$10/(1-'Supuestos Proyeccion'!$F$24))</f>
        <v>31479548.120000005</v>
      </c>
      <c r="I7" s="23">
        <f>IF(I$5="Real",INDEX('Informacion de Sam'!$2:$2,MATCH(I$6,'Informacion de Sam'!$1:$1,0)),I$10/(1-'Supuestos Proyeccion'!$F$24))</f>
        <v>66674856.839999974</v>
      </c>
      <c r="J7" s="23">
        <f>IF(J$5="Real",INDEX('Informacion de Sam'!$2:$2,MATCH(J$6,'Informacion de Sam'!$1:$1,0)),J$10/(1-'Supuestos Proyeccion'!$F$24))</f>
        <v>34490068.649999976</v>
      </c>
      <c r="K7" s="23">
        <f>IF(K$5="Real",INDEX('Informacion de Sam'!$2:$2,MATCH(K$6,'Informacion de Sam'!$1:$1,0)),K$10/(1-'Supuestos Proyeccion'!$F$24))</f>
        <v>33559997.370000005</v>
      </c>
      <c r="L7" s="23">
        <f>IF(L$5="Real",INDEX('Informacion de Sam'!$2:$2,MATCH(L$6,'Informacion de Sam'!$1:$1,0)),L$10/(1-'Supuestos Proyeccion'!$F$24))</f>
        <v>34613138.480000019</v>
      </c>
      <c r="M7" s="23">
        <f>IF(M$5="Real",INDEX('Informacion de Sam'!$2:$2,MATCH(M$6,'Informacion de Sam'!$1:$1,0)),M$10/(1-'Supuestos Proyeccion'!$F$24))</f>
        <v>39773342.680000059</v>
      </c>
      <c r="N7" s="23">
        <f>SUM(B7:M7)</f>
        <v>306806133.53000003</v>
      </c>
      <c r="O7" s="23">
        <f>IF(O$5="Real",INDEX('Informacion de Sam'!$2:$2,MATCH(O$6,'Informacion de Sam'!$1:$1,0)),O$10/(1-'Supuestos Proyeccion'!$F$24))</f>
        <v>33573625.090000004</v>
      </c>
      <c r="P7" s="23">
        <f>IF(P$5="Real",INDEX('Informacion de Sam'!$2:$2,MATCH(P$6,'Informacion de Sam'!$1:$1,0)),P$10/(1-'Supuestos Proyeccion'!$F$24))</f>
        <v>38470534.980000004</v>
      </c>
      <c r="Q7" s="23">
        <f>IF(Q$5="Real",INDEX('Informacion de Sam'!$2:$2,MATCH(Q$6,'Informacion de Sam'!$1:$1,0)),Q$10/(1-'Supuestos Proyeccion'!$F$24))</f>
        <v>48669164.449999996</v>
      </c>
      <c r="R7" s="23">
        <f>IF(R$5="Real",INDEX('Informacion de Sam'!$2:$2,MATCH(R$6,'Informacion de Sam'!$1:$1,0)),R$10/(1-'Supuestos Proyeccion'!$F$24))</f>
        <v>32979430.749999978</v>
      </c>
      <c r="S7" s="23">
        <f>IF(S$5="Real",INDEX('Informacion de Sam'!$2:$2,MATCH(S$6,'Informacion de Sam'!$1:$1,0)),S$10/(1-'Supuestos Proyeccion'!$F$24))</f>
        <v>30459725.110000014</v>
      </c>
      <c r="T7" s="23">
        <f>IF(T$5="Real",INDEX('Informacion de Sam'!$2:$2,MATCH(T$6,'Informacion de Sam'!$1:$1,0)),T$10/(1-'Supuestos Proyeccion'!$F$24))</f>
        <v>39378124.419999994</v>
      </c>
      <c r="U7" s="23">
        <f>IF(U$5="Real",INDEX('Informacion de Sam'!$2:$2,MATCH(U$6,'Informacion de Sam'!$1:$1,0)),U$10/(1-'Supuestos Proyeccion'!$F$24))</f>
        <v>32040782.340000022</v>
      </c>
      <c r="V7" s="23">
        <f>IF(V$5="Real",INDEX('Informacion de Sam'!$2:$2,MATCH(V$6,'Informacion de Sam'!$1:$1,0)),V$10/(1-'Supuestos Proyeccion'!$F$24))</f>
        <v>70471823.020000026</v>
      </c>
      <c r="W7" s="23">
        <f>IF(W$5="Real",INDEX('Informacion de Sam'!$2:$2,MATCH(W$6,'Informacion de Sam'!$1:$1,0)),W$10/(1-'Supuestos Proyeccion'!$F$24))</f>
        <v>35548482.73999995</v>
      </c>
      <c r="X7" s="23">
        <f>IF(X$5="Real",INDEX('Informacion de Sam'!$2:$2,MATCH(X$6,'Informacion de Sam'!$1:$1,0)),X$10/(1-'Supuestos Proyeccion'!$F$24))</f>
        <v>34734938.340000033</v>
      </c>
      <c r="Y7" s="23">
        <f>IF(Y$5="Real",INDEX('Informacion de Sam'!$2:$2,MATCH(Y$6,'Informacion de Sam'!$1:$1,0)),Y$10/(1-'Supuestos Proyeccion'!$F$24))</f>
        <v>35070486.909999982</v>
      </c>
      <c r="Z7" s="23">
        <f>IF(Z$5="Real",INDEX('Informacion de Sam'!$2:$2,MATCH(Z$6,'Informacion de Sam'!$1:$1,0)),Z$10/(1-'Supuestos Proyeccion'!$F$24))</f>
        <v>35257319.079999961</v>
      </c>
      <c r="AA7" s="23">
        <f>SUM(O7:Z7)</f>
        <v>466654437.22999996</v>
      </c>
      <c r="AB7" s="23">
        <f>IF(AB$5="Real",INDEX('Informacion de Sam'!$2:$2,MATCH(AB$6,'Informacion de Sam'!$1:$1,0)),AB$10/(1-'Supuestos Proyeccion'!$F$24))</f>
        <v>38869209.710000001</v>
      </c>
      <c r="AC7" s="23">
        <f>IF(AC$5="Real",INDEX('Informacion de Sam'!$2:$2,MATCH(AC$6,'Informacion de Sam'!$1:$1,0)),AC$10/(1-'Supuestos Proyeccion'!$F$24))</f>
        <v>66747424.68</v>
      </c>
      <c r="AD7" s="23">
        <f>IF(AD$5="Real",INDEX('Informacion de Sam'!$2:$2,MATCH(AD$6,'Informacion de Sam'!$1:$1,0)),AD$10/(1-'Supuestos Proyeccion'!$F$24))</f>
        <v>43201476.68999999</v>
      </c>
      <c r="AE7" s="23">
        <f>IF(AE$5="Real",INDEX('Informacion de Sam'!$2:$2,MATCH(AE$6,'Informacion de Sam'!$1:$1,0)),AE$10/(1-'Supuestos Proyeccion'!$F$24))</f>
        <v>44933268.929999985</v>
      </c>
      <c r="AF7" s="23">
        <f>IF(AF$5="Real",INDEX('Informacion de Sam'!$2:$2,MATCH(AF$6,'Informacion de Sam'!$1:$1,0)),AF$10/(1-'Supuestos Proyeccion'!$F$24))</f>
        <v>50850684.760000013</v>
      </c>
      <c r="AG7" s="23">
        <f>IF(AG$5="Real",INDEX('Informacion de Sam'!$2:$2,MATCH(AG$6,'Informacion de Sam'!$1:$1,0)),AG$10/(1-'Supuestos Proyeccion'!$F$24))</f>
        <v>60657568.270000041</v>
      </c>
      <c r="AH7" s="23">
        <f>IF(AH$5="Real",INDEX('Informacion de Sam'!$2:$2,MATCH(AH$6,'Informacion de Sam'!$1:$1,0)),AH$10/(1-'Supuestos Proyeccion'!$F$24))</f>
        <v>84933443.509999961</v>
      </c>
      <c r="AI7" s="23">
        <f>IF(AI$5="Real",INDEX('Informacion de Sam'!$2:$2,MATCH(AI$6,'Informacion de Sam'!$1:$1,0)),AI$10/(1-'Supuestos Proyeccion'!$F$24))</f>
        <v>51764632.100000054</v>
      </c>
      <c r="AJ7" s="23">
        <f>IF(AJ$5="Real",INDEX('Informacion de Sam'!$2:$2,MATCH(AJ$6,'Informacion de Sam'!$1:$1,0)),AJ$10/(1-'Supuestos Proyeccion'!$F$24))</f>
        <v>55571671.589999937</v>
      </c>
      <c r="AK7" s="23">
        <f>IF(AK$5="Real",INDEX('Informacion de Sam'!$2:$2,MATCH(AK$6,'Informacion de Sam'!$1:$1,0)),AK$10/(1-'Supuestos Proyeccion'!$F$24))</f>
        <v>50856756.620000042</v>
      </c>
      <c r="AL7" s="23">
        <f>IF(AL$5="Real",INDEX('Informacion de Sam'!$2:$2,MATCH(AL$6,'Informacion de Sam'!$1:$1,0)),AL$10/(1-'Supuestos Proyeccion'!$F$24))</f>
        <v>44718445.319999993</v>
      </c>
      <c r="AM7" s="23">
        <f>IF(AM$5="Real",INDEX('Informacion de Sam'!$2:$2,MATCH(AM$6,'Informacion de Sam'!$1:$1,0)),AM$10/(1-'Supuestos Proyeccion'!$F$24))</f>
        <v>40379470.469999917</v>
      </c>
      <c r="AN7" s="23">
        <f>SUM(AB7:AM7)</f>
        <v>633484052.64999974</v>
      </c>
      <c r="AO7" s="23">
        <f>IF(AO$5="Real",INDEX('Informacion de Sam'!$2:$2,MATCH(AO$6,'Informacion de Sam'!$1:$1,0)),AO$10/(1-'Supuestos Proyeccion'!$F$24))</f>
        <v>52439626.979999997</v>
      </c>
      <c r="AP7" s="23">
        <f>IF(AP$5="Real",INDEX('Informacion de Sam'!$2:$2,MATCH(AP$6,'Informacion de Sam'!$1:$1,0)),AP$10/(1-'Supuestos Proyeccion'!$F$24))</f>
        <v>69263142.390000001</v>
      </c>
      <c r="AQ7" s="23">
        <f>IF(AQ$5="Real",INDEX('Informacion de Sam'!$2:$2,MATCH(AQ$6,'Informacion de Sam'!$1:$1,0)),AQ$10/(1-'Supuestos Proyeccion'!$F$24))</f>
        <v>51811530.770000018</v>
      </c>
      <c r="AR7" s="23">
        <f>IF(AR$5="Real",INDEX('Informacion de Sam'!$2:$2,MATCH(AR$6,'Informacion de Sam'!$1:$1,0)),AR$10/(1-'Supuestos Proyeccion'!$F$24))</f>
        <v>62661125.979999959</v>
      </c>
      <c r="AS7" s="23">
        <f>IF(AS$5="Real",INDEX('Informacion de Sam'!$2:$2,MATCH(AS$6,'Informacion de Sam'!$1:$1,0)),AS$10/(1-'Supuestos Proyeccion'!$F$24))</f>
        <v>50407674.13000004</v>
      </c>
      <c r="AT7" s="23">
        <f>IF(AT$5="Real",INDEX('Informacion de Sam'!$2:$2,MATCH(AT$6,'Informacion de Sam'!$1:$1,0)),AT$10/(1-'Supuestos Proyeccion'!$F$24))</f>
        <v>49407530.049999937</v>
      </c>
      <c r="AU7" s="23">
        <f>IF(AU$5="Real",INDEX('Informacion de Sam'!$2:$2,MATCH(AU$6,'Informacion de Sam'!$1:$1,0)),AU$10/(1-'Supuestos Proyeccion'!$F$24))</f>
        <v>45400083.610000029</v>
      </c>
      <c r="AV7" s="23">
        <f>IF(AV$5="Real",INDEX('Informacion de Sam'!$2:$2,MATCH(AV$6,'Informacion de Sam'!$1:$1,0)),AV$10/(1-'Supuestos Proyeccion'!$F$24))</f>
        <v>91397457.709999964</v>
      </c>
      <c r="AW7" s="23">
        <f>IF(AW$5="Real",INDEX('Informacion de Sam'!$2:$2,MATCH(AW$6,'Informacion de Sam'!$1:$1,0)),AW$10/(1-'Supuestos Proyeccion'!$F$24))</f>
        <v>47241820.180000007</v>
      </c>
      <c r="AX7" s="23">
        <f>IF(AX$5="Real",INDEX('Informacion de Sam'!$2:$2,MATCH(AX$6,'Informacion de Sam'!$1:$1,0)),AX$10/(1-'Supuestos Proyeccion'!$F$24))</f>
        <v>46387361.530000031</v>
      </c>
      <c r="AY7" s="23">
        <f>IF(AY$5="Real",INDEX('Informacion de Sam'!$2:$2,MATCH(AY$6,'Informacion de Sam'!$1:$1,0)),AY$10/(1-'Supuestos Proyeccion'!$F$24))</f>
        <v>59746927.649999969</v>
      </c>
      <c r="AZ7" s="23">
        <f>IF(AZ$5="Real",INDEX('Informacion de Sam'!$2:$2,MATCH(AZ$6,'Informacion de Sam'!$1:$1,0)),AZ$10/(1-'Supuestos Proyeccion'!$F$24))</f>
        <v>50707766.599999979</v>
      </c>
      <c r="BA7" s="23">
        <f>SUM(AO7:AZ7)</f>
        <v>676872047.57999992</v>
      </c>
      <c r="BB7" s="23">
        <f>IF(BB$5="Real",INDEX('Informacion de Sam'!$2:$2,MATCH(BB$6,'Informacion de Sam'!$1:$1,0)),BB$10/(1-'Supuestos Proyeccion'!$F$24))</f>
        <v>56235002.040000007</v>
      </c>
      <c r="BC7" s="23">
        <f>IF(BC$5="Real",INDEX('Informacion de Sam'!$2:$2,MATCH(BC$6,'Informacion de Sam'!$1:$1,0)),BC$10/(1-'Supuestos Proyeccion'!$F$24))</f>
        <v>80447759.559999987</v>
      </c>
      <c r="BD7" s="23">
        <f>IF(BD$5="Real",INDEX('Informacion de Sam'!$2:$2,MATCH(BD$6,'Informacion de Sam'!$1:$1,0)),BD$10/(1-'Supuestos Proyeccion'!$F$24))</f>
        <v>52367160.170000009</v>
      </c>
      <c r="BE7" s="23">
        <f>IF(BE$5="Real",INDEX('Informacion de Sam'!$2:$2,MATCH(BE$6,'Informacion de Sam'!$1:$1,0)),BE$10/(1-'Supuestos Proyeccion'!$F$24))</f>
        <v>66079227.949999988</v>
      </c>
      <c r="BF7" s="23">
        <f>IF(BF$5="Real",INDEX('Informacion de Sam'!$2:$2,MATCH(BF$6,'Informacion de Sam'!$1:$1,0)),BF$10/(1-'Supuestos Proyeccion'!$F$24))</f>
        <v>59278999.14000003</v>
      </c>
      <c r="BG7" s="23">
        <f>IF(BG$5="Real",INDEX('Informacion de Sam'!$2:$2,MATCH(BG$6,'Informacion de Sam'!$1:$1,0)),BG$10/(1-'Supuestos Proyeccion'!$F$24))</f>
        <v>56553218.809999987</v>
      </c>
      <c r="BH7" s="23">
        <f>IF(BH$5="Real",INDEX('Informacion de Sam'!$2:$2,MATCH(BH$6,'Informacion de Sam'!$1:$1,0)),BH$10/(1-'Supuestos Proyeccion'!$F$24))</f>
        <v>58223920.37999998</v>
      </c>
      <c r="BI7" s="23">
        <f>IF(BI$5="Real",INDEX('Informacion de Sam'!$2:$2,MATCH(BI$6,'Informacion de Sam'!$1:$1,0)),BI$10/(1-'Supuestos Proyeccion'!$F$24))</f>
        <v>110640985.78999998</v>
      </c>
      <c r="BJ7" s="23">
        <f>IF(BJ$5="Real",INDEX('Informacion de Sam'!$2:$2,MATCH(BJ$6,'Informacion de Sam'!$1:$1,0)),BJ$10/(1-'Supuestos Proyeccion'!$F$24))</f>
        <v>55409768.790000051</v>
      </c>
      <c r="BK7" s="23">
        <f>IF(BK$5="Real",INDEX('Informacion de Sam'!$2:$2,MATCH(BK$6,'Informacion de Sam'!$1:$1,0)),BK$10/(1-'Supuestos Proyeccion'!$F$24))</f>
        <v>66117727.969999962</v>
      </c>
      <c r="BL7" s="23">
        <f>IF(BL$5="Real",INDEX('Informacion de Sam'!$2:$2,MATCH(BL$6,'Informacion de Sam'!$1:$1,0)),BL$10/(1-'Supuestos Proyeccion'!$F$24))</f>
        <v>64628560.040000014</v>
      </c>
      <c r="BM7" s="23">
        <f>IF(BM$5="Real",INDEX('Informacion de Sam'!$2:$2,MATCH(BM$6,'Informacion de Sam'!$1:$1,0)),BM$10/(1-'Supuestos Proyeccion'!$F$24))</f>
        <v>48945420.879999988</v>
      </c>
      <c r="BN7" s="23">
        <f>SUM(BB7:BM7)</f>
        <v>774927751.51999998</v>
      </c>
      <c r="BO7" s="23">
        <f>IF(BO$5="Real",INDEX('Informacion de Sam'!$2:$2,MATCH(BO$6,'Informacion de Sam'!$1:$1,0)),BO$10/(1-'Supuestos Proyeccion'!$F$24))</f>
        <v>76596366.160000011</v>
      </c>
      <c r="BP7" s="23">
        <f>IF(BP$5="Real",INDEX('Informacion de Sam'!$2:$2,MATCH(BP$6,'Informacion de Sam'!$1:$1,0)),BP$10/(1-'Supuestos Proyeccion'!$F$24))</f>
        <v>85461451.159999996</v>
      </c>
      <c r="BQ7" s="23">
        <f>IF(BQ$5="Real",INDEX('Informacion de Sam'!$2:$2,MATCH(BQ$6,'Informacion de Sam'!$1:$1,0)),BQ$10/(1-'Supuestos Proyeccion'!$F$24))</f>
        <v>71128531.199999988</v>
      </c>
      <c r="BR7" s="23">
        <f>IF(BR$5="Real",INDEX('Informacion de Sam'!$2:$2,MATCH(BR$6,'Informacion de Sam'!$1:$1,0)),BR$10/(1-'Supuestos Proyeccion'!$F$24))</f>
        <v>69878132.780000016</v>
      </c>
      <c r="BS7" s="23">
        <f>IF(BS$5="Real",INDEX('Informacion de Sam'!$2:$2,MATCH(BS$6,'Informacion de Sam'!$1:$1,0)),BS$10/(1-'Supuestos Proyeccion'!$F$24))</f>
        <v>55430645.670000002</v>
      </c>
      <c r="BT7" s="23">
        <f>IF(BT$5="Real",INDEX('Informacion de Sam'!$2:$2,MATCH(BT$6,'Informacion de Sam'!$1:$1,0)),BT$10/(1-'Supuestos Proyeccion'!$F$24))</f>
        <v>58031051.909999996</v>
      </c>
      <c r="BU7" s="23">
        <f>IF(BU$5="Real",INDEX('Informacion de Sam'!$2:$2,MATCH(BU$6,'Informacion de Sam'!$1:$1,0)),BU$10/(1-'Supuestos Proyeccion'!$F$24))</f>
        <v>65154983.869999975</v>
      </c>
      <c r="BV7" s="23">
        <f>IF(BV$5="Real",INDEX('Informacion de Sam'!$2:$2,MATCH(BV$6,'Informacion de Sam'!$1:$1,0)),BV$10/(1-'Supuestos Proyeccion'!$F$24))</f>
        <v>63173458.280000001</v>
      </c>
      <c r="BW7" s="23">
        <f>IF(BW$5="Real",INDEX('Informacion de Sam'!$2:$2,MATCH(BW$6,'Informacion de Sam'!$1:$1,0)),BW$10/(1-'Supuestos Proyeccion'!$F$24))</f>
        <v>62428610.160000041</v>
      </c>
      <c r="BX7" s="23">
        <f>IF(BX$5="Real",INDEX('Informacion de Sam'!$2:$2,MATCH(BX$6,'Informacion de Sam'!$1:$1,0)),BX$10/(1-'Supuestos Proyeccion'!$F$24))</f>
        <v>56527549.74999994</v>
      </c>
      <c r="BY7" s="23">
        <f>IF(BY$5="Real",INDEX('Informacion de Sam'!$2:$2,MATCH(BY$6,'Informacion de Sam'!$1:$1,0)),BY$10/(1-'Supuestos Proyeccion'!$F$24))</f>
        <v>52458789.200000048</v>
      </c>
      <c r="BZ7" s="23">
        <f>IF(BZ$5="Real",INDEX('Informacion de Sam'!$2:$2,MATCH(BZ$6,'Informacion de Sam'!$1:$1,0)),BZ$10/(1-'Supuestos Proyeccion'!$F$24))</f>
        <v>44957198.889999956</v>
      </c>
      <c r="CA7" s="23">
        <f>SUM(BO7:BZ7)</f>
        <v>761226769.03000009</v>
      </c>
      <c r="CB7" s="23">
        <f>IF(CB$5="Real",INDEX('Informacion de Sam'!$2:$2,MATCH(CB$6,'Informacion de Sam'!$1:$1,0)),CB$10/(1-'Supuestos Proyeccion'!$F$24))</f>
        <v>55492142.020000003</v>
      </c>
      <c r="CC7" s="23">
        <f>IF(CC$5="Real",INDEX('Informacion de Sam'!$2:$2,MATCH(CC$6,'Informacion de Sam'!$1:$1,0)),CC$10/(1-'Supuestos Proyeccion'!$F$24))</f>
        <v>79909300.389999986</v>
      </c>
      <c r="CD7" s="23">
        <f>IF(CD$5="Real",INDEX('Informacion de Sam'!$2:$2,MATCH(CD$6,'Informacion de Sam'!$1:$1,0)),CD$10/(1-'Supuestos Proyeccion'!$F$24))</f>
        <v>68348603.600000024</v>
      </c>
      <c r="CE7" s="23">
        <f>IF(CE$5="Real",INDEX('Informacion de Sam'!$2:$2,MATCH(CE$6,'Informacion de Sam'!$1:$1,0)),CE$10/(1-'Supuestos Proyeccion'!$F$24))</f>
        <v>59814607.789999999</v>
      </c>
      <c r="CF7" s="23">
        <f>IF(CF$5="Real",INDEX('Informacion de Sam'!$2:$2,MATCH(CF$6,'Informacion de Sam'!$1:$1,0)),CF$10/(1-'Supuestos Proyeccion'!$F$24))</f>
        <v>55508521.899999976</v>
      </c>
      <c r="CG7" s="23">
        <f>IF(CG$5="Real",INDEX('Informacion de Sam'!$2:$2,MATCH(CG$6,'Informacion de Sam'!$1:$1,0)),CG$10/(1-'Supuestos Proyeccion'!$F$24))</f>
        <v>48704702.460000016</v>
      </c>
      <c r="CH7" s="23">
        <f>IF(CH$5="Real",INDEX('Informacion de Sam'!$2:$2,MATCH(CH$6,'Informacion de Sam'!$1:$1,0)),CH$10/(1-'Supuestos Proyeccion'!$F$24))</f>
        <v>50585028.220000029</v>
      </c>
      <c r="CI7" s="23">
        <f>IF(CI$5="Real",INDEX('Informacion de Sam'!$2:$2,MATCH(CI$6,'Informacion de Sam'!$1:$1,0)),CI$10/(1-'Supuestos Proyeccion'!$F$24))</f>
        <v>51181162.25</v>
      </c>
      <c r="CJ7" s="23">
        <f>IF(CJ$5="Real",INDEX('Informacion de Sam'!$2:$2,MATCH(CJ$6,'Informacion de Sam'!$1:$1,0)),CJ$10/(1-'Supuestos Proyeccion'!$F$24))</f>
        <v>51650680.660052143</v>
      </c>
      <c r="CK7" s="23">
        <f>IF(CK$5="Real",INDEX('Informacion de Sam'!$2:$2,MATCH(CK$6,'Informacion de Sam'!$1:$1,0)),CK$10/(1-'Supuestos Proyeccion'!$F$24))</f>
        <v>49860397.874321803</v>
      </c>
      <c r="CL7" s="23">
        <f>IF(CL$5="Real",INDEX('Informacion de Sam'!$2:$2,MATCH(CL$6,'Informacion de Sam'!$1:$1,0)),CL$10/(1-'Supuestos Proyeccion'!$F$24))</f>
        <v>51394872.896643139</v>
      </c>
      <c r="CM7" s="23">
        <f>IF(CM$5="Real",INDEX('Informacion de Sam'!$2:$2,MATCH(CM$6,'Informacion de Sam'!$1:$1,0)),CM$10/(1-'Supuestos Proyeccion'!$F$24))</f>
        <v>47570404.854726583</v>
      </c>
      <c r="CN7" s="23">
        <f>SUM(CB7:CM7)</f>
        <v>670020424.91574371</v>
      </c>
      <c r="CO7" s="23">
        <f>IF(CO$5="Real",INDEX('Informacion de Sam'!$2:$2,MATCH(CO$6,'Informacion de Sam'!$1:$1,0)),CO$10/(1-'Supuestos Proyeccion'!$F$24))</f>
        <v>62278136.906037621</v>
      </c>
      <c r="CP7" s="23">
        <f>IF(CP$5="Real",INDEX('Informacion de Sam'!$2:$2,MATCH(CP$6,'Informacion de Sam'!$1:$1,0)),CP$10/(1-'Supuestos Proyeccion'!$F$24))</f>
        <v>88280720.619166702</v>
      </c>
      <c r="CQ7" s="23">
        <f>IF(CQ$5="Real",INDEX('Informacion de Sam'!$2:$2,MATCH(CQ$6,'Informacion de Sam'!$1:$1,0)),CQ$10/(1-'Supuestos Proyeccion'!$F$24))</f>
        <v>63356416.801246978</v>
      </c>
      <c r="CR7" s="23">
        <f>IF(CR$5="Real",INDEX('Informacion de Sam'!$2:$2,MATCH(CR$6,'Informacion de Sam'!$1:$1,0)),CR$10/(1-'Supuestos Proyeccion'!$F$24))</f>
        <v>64815145.18097724</v>
      </c>
      <c r="CS7" s="23">
        <f>IF(CS$5="Real",INDEX('Informacion de Sam'!$2:$2,MATCH(CS$6,'Informacion de Sam'!$1:$1,0)),CS$10/(1-'Supuestos Proyeccion'!$F$24))</f>
        <v>57025798.296711326</v>
      </c>
      <c r="CT7" s="23">
        <f>IF(CT$5="Real",INDEX('Informacion de Sam'!$2:$2,MATCH(CT$6,'Informacion de Sam'!$1:$1,0)),CT$10/(1-'Supuestos Proyeccion'!$F$24))</f>
        <v>65215356.068450242</v>
      </c>
      <c r="CU7" s="23">
        <f>IF(CU$5="Real",INDEX('Informacion de Sam'!$2:$2,MATCH(CU$6,'Informacion de Sam'!$1:$1,0)),CU$10/(1-'Supuestos Proyeccion'!$F$24))</f>
        <v>70394264.81870003</v>
      </c>
      <c r="CV7" s="23">
        <f>IF(CV$5="Real",INDEX('Informacion de Sam'!$2:$2,MATCH(CV$6,'Informacion de Sam'!$1:$1,0)),CV$10/(1-'Supuestos Proyeccion'!$F$24))</f>
        <v>105781241.5077873</v>
      </c>
      <c r="CW7" s="23">
        <f>IF(CW$5="Real",INDEX('Informacion de Sam'!$2:$2,MATCH(CW$6,'Informacion de Sam'!$1:$1,0)),CW$10/(1-'Supuestos Proyeccion'!$F$24))</f>
        <v>64563350.825065181</v>
      </c>
      <c r="CX7" s="23">
        <f>IF(CX$5="Real",INDEX('Informacion de Sam'!$2:$2,MATCH(CX$6,'Informacion de Sam'!$1:$1,0)),CX$10/(1-'Supuestos Proyeccion'!$F$24))</f>
        <v>62325497.342902251</v>
      </c>
      <c r="CY7" s="23">
        <f>IF(CY$5="Real",INDEX('Informacion de Sam'!$2:$2,MATCH(CY$6,'Informacion de Sam'!$1:$1,0)),CY$10/(1-'Supuestos Proyeccion'!$F$24))</f>
        <v>64243591.120803922</v>
      </c>
      <c r="CZ7" s="23">
        <f>IF(CZ$5="Real",INDEX('Informacion de Sam'!$2:$2,MATCH(CZ$6,'Informacion de Sam'!$1:$1,0)),CZ$10/(1-'Supuestos Proyeccion'!$F$24))</f>
        <v>59463006.068408236</v>
      </c>
      <c r="DA7" s="23">
        <f>SUM(CO7:CZ7)</f>
        <v>827742525.55625701</v>
      </c>
      <c r="DB7" s="23">
        <f>IF(DB$5="Real",INDEX('Informacion de Sam'!$2:$2,MATCH(DB$6,'Informacion de Sam'!$1:$1,0)),DB$10/(1-'Supuestos Proyeccion'!$F$24))</f>
        <v>77847671.132547036</v>
      </c>
      <c r="DC7" s="23">
        <f>IF(DC$5="Real",INDEX('Informacion de Sam'!$2:$2,MATCH(DC$6,'Informacion de Sam'!$1:$1,0)),DC$10/(1-'Supuestos Proyeccion'!$F$24))</f>
        <v>110350900.77395838</v>
      </c>
      <c r="DD7" s="23">
        <f>IF(DD$5="Real",INDEX('Informacion de Sam'!$2:$2,MATCH(DD$6,'Informacion de Sam'!$1:$1,0)),DD$10/(1-'Supuestos Proyeccion'!$F$24))</f>
        <v>79195521.001558721</v>
      </c>
      <c r="DE7" s="23">
        <f>IF(DE$5="Real",INDEX('Informacion de Sam'!$2:$2,MATCH(DE$6,'Informacion de Sam'!$1:$1,0)),DE$10/(1-'Supuestos Proyeccion'!$F$24))</f>
        <v>81018931.476221547</v>
      </c>
      <c r="DF7" s="23">
        <f>IF(DF$5="Real",INDEX('Informacion de Sam'!$2:$2,MATCH(DF$6,'Informacion de Sam'!$1:$1,0)),DF$10/(1-'Supuestos Proyeccion'!$F$24))</f>
        <v>71282247.870889157</v>
      </c>
      <c r="DG7" s="23">
        <f>IF(DG$5="Real",INDEX('Informacion de Sam'!$2:$2,MATCH(DG$6,'Informacion de Sam'!$1:$1,0)),DG$10/(1-'Supuestos Proyeccion'!$F$24))</f>
        <v>81519195.085562795</v>
      </c>
      <c r="DH7" s="23">
        <f>IF(DH$5="Real",INDEX('Informacion de Sam'!$2:$2,MATCH(DH$6,'Informacion de Sam'!$1:$1,0)),DH$10/(1-'Supuestos Proyeccion'!$F$24))</f>
        <v>87992831.023375034</v>
      </c>
      <c r="DI7" s="23">
        <f>IF(DI$5="Real",INDEX('Informacion de Sam'!$2:$2,MATCH(DI$6,'Informacion de Sam'!$1:$1,0)),DI$10/(1-'Supuestos Proyeccion'!$F$24))</f>
        <v>132226551.88473412</v>
      </c>
      <c r="DJ7" s="23">
        <f>IF(DJ$5="Real",INDEX('Informacion de Sam'!$2:$2,MATCH(DJ$6,'Informacion de Sam'!$1:$1,0)),DJ$10/(1-'Supuestos Proyeccion'!$F$24))</f>
        <v>80704188.531331465</v>
      </c>
      <c r="DK7" s="23">
        <f>IF(DK$5="Real",INDEX('Informacion de Sam'!$2:$2,MATCH(DK$6,'Informacion de Sam'!$1:$1,0)),DK$10/(1-'Supuestos Proyeccion'!$F$24))</f>
        <v>77906871.678627819</v>
      </c>
      <c r="DL7" s="23">
        <f>IF(DL$5="Real",INDEX('Informacion de Sam'!$2:$2,MATCH(DL$6,'Informacion de Sam'!$1:$1,0)),DL$10/(1-'Supuestos Proyeccion'!$F$24))</f>
        <v>80304488.901004896</v>
      </c>
      <c r="DM7" s="23">
        <f>IF(DM$5="Real",INDEX('Informacion de Sam'!$2:$2,MATCH(DM$6,'Informacion de Sam'!$1:$1,0)),DM$10/(1-'Supuestos Proyeccion'!$F$24))</f>
        <v>74328757.585510299</v>
      </c>
      <c r="DN7" s="23">
        <f>SUM(DB7:DM7)</f>
        <v>1034678156.9453213</v>
      </c>
      <c r="DO7" s="23">
        <f>IF(DO$5="Real",INDEX('Informacion de Sam'!$2:$2,MATCH(DO$6,'Informacion de Sam'!$1:$1,0)),DO$10/(1-'Supuestos Proyeccion'!$F$24))</f>
        <v>97309588.915683791</v>
      </c>
      <c r="DP7" s="23">
        <f>IF(DP$5="Real",INDEX('Informacion de Sam'!$2:$2,MATCH(DP$6,'Informacion de Sam'!$1:$1,0)),DP$10/(1-'Supuestos Proyeccion'!$F$24))</f>
        <v>137938625.967448</v>
      </c>
      <c r="DQ7" s="23">
        <f>IF(DQ$5="Real",INDEX('Informacion de Sam'!$2:$2,MATCH(DQ$6,'Informacion de Sam'!$1:$1,0)),DQ$10/(1-'Supuestos Proyeccion'!$F$24))</f>
        <v>98994401.251948386</v>
      </c>
      <c r="DR7" s="23">
        <f>IF(DR$5="Real",INDEX('Informacion de Sam'!$2:$2,MATCH(DR$6,'Informacion de Sam'!$1:$1,0)),DR$10/(1-'Supuestos Proyeccion'!$F$24))</f>
        <v>101273664.34527694</v>
      </c>
      <c r="DS7" s="23">
        <f>IF(DS$5="Real",INDEX('Informacion de Sam'!$2:$2,MATCH(DS$6,'Informacion de Sam'!$1:$1,0)),DS$10/(1-'Supuestos Proyeccion'!$F$24))</f>
        <v>89102809.838611439</v>
      </c>
      <c r="DT7" s="23">
        <f>IF(DT$5="Real",INDEX('Informacion de Sam'!$2:$2,MATCH(DT$6,'Informacion de Sam'!$1:$1,0)),DT$10/(1-'Supuestos Proyeccion'!$F$24))</f>
        <v>101898993.8569535</v>
      </c>
      <c r="DU7" s="23">
        <f>IF(DU$5="Real",INDEX('Informacion de Sam'!$2:$2,MATCH(DU$6,'Informacion de Sam'!$1:$1,0)),DU$10/(1-'Supuestos Proyeccion'!$F$24))</f>
        <v>109991038.77921879</v>
      </c>
      <c r="DV7" s="23">
        <f>IF(DV$5="Real",INDEX('Informacion de Sam'!$2:$2,MATCH(DV$6,'Informacion de Sam'!$1:$1,0)),DV$10/(1-'Supuestos Proyeccion'!$F$24))</f>
        <v>165283189.85591763</v>
      </c>
      <c r="DW7" s="23">
        <f>IF(DW$5="Real",INDEX('Informacion de Sam'!$2:$2,MATCH(DW$6,'Informacion de Sam'!$1:$1,0)),DW$10/(1-'Supuestos Proyeccion'!$F$24))</f>
        <v>100880235.66416433</v>
      </c>
      <c r="DX7" s="23">
        <f>IF(DX$5="Real",INDEX('Informacion de Sam'!$2:$2,MATCH(DX$6,'Informacion de Sam'!$1:$1,0)),DX$10/(1-'Supuestos Proyeccion'!$F$24))</f>
        <v>97383589.598284781</v>
      </c>
      <c r="DY7" s="23">
        <f>IF(DY$5="Real",INDEX('Informacion de Sam'!$2:$2,MATCH(DY$6,'Informacion de Sam'!$1:$1,0)),DY$10/(1-'Supuestos Proyeccion'!$F$24))</f>
        <v>100380611.12625612</v>
      </c>
      <c r="DZ7" s="23">
        <f>IF(DZ$5="Real",INDEX('Informacion de Sam'!$2:$2,MATCH(DZ$6,'Informacion de Sam'!$1:$1,0)),DZ$10/(1-'Supuestos Proyeccion'!$F$24))</f>
        <v>92910946.981887862</v>
      </c>
      <c r="EA7" s="23">
        <f>SUM(DO7:DZ7)</f>
        <v>1293347696.1816516</v>
      </c>
      <c r="EB7" s="23">
        <f>IF(EB$5="Real",INDEX('Informacion de Sam'!$2:$2,MATCH(EB$6,'Informacion de Sam'!$1:$1,0)),EB$10/(1-'Supuestos Proyeccion'!$F$24))</f>
        <v>121636986.14460474</v>
      </c>
      <c r="EC7" s="23">
        <f>IF(EC$5="Real",INDEX('Informacion de Sam'!$2:$2,MATCH(EC$6,'Informacion de Sam'!$1:$1,0)),EC$10/(1-'Supuestos Proyeccion'!$F$24))</f>
        <v>172423282.45931</v>
      </c>
      <c r="ED7" s="23">
        <f>IF(ED$5="Real",INDEX('Informacion de Sam'!$2:$2,MATCH(ED$6,'Informacion de Sam'!$1:$1,0)),ED$10/(1-'Supuestos Proyeccion'!$F$24))</f>
        <v>123743001.56493551</v>
      </c>
      <c r="EE7" s="23">
        <f>IF(EE$5="Real",INDEX('Informacion de Sam'!$2:$2,MATCH(EE$6,'Informacion de Sam'!$1:$1,0)),EE$10/(1-'Supuestos Proyeccion'!$F$24))</f>
        <v>126592080.43159619</v>
      </c>
      <c r="EF7" s="23">
        <f>IF(EF$5="Real",INDEX('Informacion de Sam'!$2:$2,MATCH(EF$6,'Informacion de Sam'!$1:$1,0)),EF$10/(1-'Supuestos Proyeccion'!$F$24))</f>
        <v>111378512.29826431</v>
      </c>
      <c r="EG7" s="23">
        <f>IF(EG$5="Real",INDEX('Informacion de Sam'!$2:$2,MATCH(EG$6,'Informacion de Sam'!$1:$1,0)),EG$10/(1-'Supuestos Proyeccion'!$F$24))</f>
        <v>127373742.32119188</v>
      </c>
      <c r="EH7" s="23">
        <f>IF(EH$5="Real",INDEX('Informacion de Sam'!$2:$2,MATCH(EH$6,'Informacion de Sam'!$1:$1,0)),EH$10/(1-'Supuestos Proyeccion'!$F$24))</f>
        <v>137488798.47402349</v>
      </c>
      <c r="EI7" s="23">
        <f>IF(EI$5="Real",INDEX('Informacion de Sam'!$2:$2,MATCH(EI$6,'Informacion de Sam'!$1:$1,0)),EI$10/(1-'Supuestos Proyeccion'!$F$24))</f>
        <v>206603987.31989709</v>
      </c>
      <c r="EJ7" s="23">
        <f>IF(EJ$5="Real",INDEX('Informacion de Sam'!$2:$2,MATCH(EJ$6,'Informacion de Sam'!$1:$1,0)),EJ$10/(1-'Supuestos Proyeccion'!$F$24))</f>
        <v>126100294.58020543</v>
      </c>
      <c r="EK7" s="23">
        <f>IF(EK$5="Real",INDEX('Informacion de Sam'!$2:$2,MATCH(EK$6,'Informacion de Sam'!$1:$1,0)),EK$10/(1-'Supuestos Proyeccion'!$F$24))</f>
        <v>121729486.99785598</v>
      </c>
      <c r="EL7" s="23">
        <f>IF(EL$5="Real",INDEX('Informacion de Sam'!$2:$2,MATCH(EL$6,'Informacion de Sam'!$1:$1,0)),EL$10/(1-'Supuestos Proyeccion'!$F$24))</f>
        <v>125475763.90782015</v>
      </c>
      <c r="EM7" s="23">
        <f>IF(EM$5="Real",INDEX('Informacion de Sam'!$2:$2,MATCH(EM$6,'Informacion de Sam'!$1:$1,0)),EM$10/(1-'Supuestos Proyeccion'!$F$24))</f>
        <v>116138683.72735985</v>
      </c>
      <c r="EN7" s="23">
        <f>SUM(EB7:EM7)</f>
        <v>1616684620.2270646</v>
      </c>
      <c r="EO7" s="23">
        <f>IF(EO$5="Real",INDEX('Informacion de Sam'!$2:$2,MATCH(EO$6,'Informacion de Sam'!$1:$1,0)),EO$10/(1-'Supuestos Proyeccion'!$F$24))</f>
        <v>152046232.68075591</v>
      </c>
      <c r="EP7" s="23">
        <f>IF(EP$5="Real",INDEX('Informacion de Sam'!$2:$2,MATCH(EP$6,'Informacion de Sam'!$1:$1,0)),EP$10/(1-'Supuestos Proyeccion'!$F$24))</f>
        <v>215529103.07413745</v>
      </c>
      <c r="EQ7" s="23">
        <f>IF(EQ$5="Real",INDEX('Informacion de Sam'!$2:$2,MATCH(EQ$6,'Informacion de Sam'!$1:$1,0)),EQ$10/(1-'Supuestos Proyeccion'!$F$24))</f>
        <v>154678751.95616937</v>
      </c>
      <c r="ER7" s="23">
        <f>IF(ER$5="Real",INDEX('Informacion de Sam'!$2:$2,MATCH(ER$6,'Informacion de Sam'!$1:$1,0)),ER$10/(1-'Supuestos Proyeccion'!$F$24))</f>
        <v>158240100.53949523</v>
      </c>
      <c r="ES7" s="23">
        <f>IF(ES$5="Real",INDEX('Informacion de Sam'!$2:$2,MATCH(ES$6,'Informacion de Sam'!$1:$1,0)),ES$10/(1-'Supuestos Proyeccion'!$F$24))</f>
        <v>139223140.37283036</v>
      </c>
      <c r="ET7" s="23">
        <f>IF(ET$5="Real",INDEX('Informacion de Sam'!$2:$2,MATCH(ET$6,'Informacion de Sam'!$1:$1,0)),ET$10/(1-'Supuestos Proyeccion'!$F$24))</f>
        <v>159217177.90148985</v>
      </c>
      <c r="EU7" s="23">
        <f>IF(EU$5="Real",INDEX('Informacion de Sam'!$2:$2,MATCH(EU$6,'Informacion de Sam'!$1:$1,0)),EU$10/(1-'Supuestos Proyeccion'!$F$24))</f>
        <v>171860998.09252936</v>
      </c>
      <c r="EV7" s="23">
        <f>IF(EV$5="Real",INDEX('Informacion de Sam'!$2:$2,MATCH(EV$6,'Informacion de Sam'!$1:$1,0)),EV$10/(1-'Supuestos Proyeccion'!$F$24))</f>
        <v>258254984.14987132</v>
      </c>
      <c r="EW7" s="23">
        <f>IF(EW$5="Real",INDEX('Informacion de Sam'!$2:$2,MATCH(EW$6,'Informacion de Sam'!$1:$1,0)),EW$10/(1-'Supuestos Proyeccion'!$F$24))</f>
        <v>157625368.22525677</v>
      </c>
      <c r="EX7" s="23">
        <f>IF(EX$5="Real",INDEX('Informacion de Sam'!$2:$2,MATCH(EX$6,'Informacion de Sam'!$1:$1,0)),EX$10/(1-'Supuestos Proyeccion'!$F$24))</f>
        <v>152161858.74731997</v>
      </c>
      <c r="EY7" s="23">
        <f>IF(EY$5="Real",INDEX('Informacion de Sam'!$2:$2,MATCH(EY$6,'Informacion de Sam'!$1:$1,0)),EY$10/(1-'Supuestos Proyeccion'!$F$24))</f>
        <v>156844704.88477519</v>
      </c>
      <c r="EZ7" s="23">
        <f>IF(EZ$5="Real",INDEX('Informacion de Sam'!$2:$2,MATCH(EZ$6,'Informacion de Sam'!$1:$1,0)),EZ$10/(1-'Supuestos Proyeccion'!$F$24))</f>
        <v>145173354.6591998</v>
      </c>
      <c r="FA7" s="23">
        <f>SUM(EO7:EZ7)</f>
        <v>2020855775.2838304</v>
      </c>
      <c r="FB7" s="23">
        <f>IF(FB$5="Real",INDEX('Informacion de Sam'!$2:$2,MATCH(FB$6,'Informacion de Sam'!$1:$1,0)),FB$10/(1-'Supuestos Proyeccion'!$F$24))</f>
        <v>190057790.85094491</v>
      </c>
      <c r="FC7" s="23">
        <f>IF(FC$5="Real",INDEX('Informacion de Sam'!$2:$2,MATCH(FC$6,'Informacion de Sam'!$1:$1,0)),FC$10/(1-'Supuestos Proyeccion'!$F$24))</f>
        <v>269411378.84267187</v>
      </c>
      <c r="FD7" s="23">
        <f>IF(FD$5="Real",INDEX('Informacion de Sam'!$2:$2,MATCH(FD$6,'Informacion de Sam'!$1:$1,0)),FD$10/(1-'Supuestos Proyeccion'!$F$24))</f>
        <v>193348439.94521171</v>
      </c>
      <c r="FE7" s="23">
        <f>IF(FE$5="Real",INDEX('Informacion de Sam'!$2:$2,MATCH(FE$6,'Informacion de Sam'!$1:$1,0)),FE$10/(1-'Supuestos Proyeccion'!$F$24))</f>
        <v>197800125.67436907</v>
      </c>
      <c r="FF7" s="23">
        <f>IF(FF$5="Real",INDEX('Informacion de Sam'!$2:$2,MATCH(FF$6,'Informacion de Sam'!$1:$1,0)),FF$10/(1-'Supuestos Proyeccion'!$F$24))</f>
        <v>174028925.46603799</v>
      </c>
      <c r="FG7" s="23">
        <f>IF(FG$5="Real",INDEX('Informacion de Sam'!$2:$2,MATCH(FG$6,'Informacion de Sam'!$1:$1,0)),FG$10/(1-'Supuestos Proyeccion'!$F$24))</f>
        <v>199021472.37686232</v>
      </c>
      <c r="FH7" s="23">
        <f>IF(FH$5="Real",INDEX('Informacion de Sam'!$2:$2,MATCH(FH$6,'Informacion de Sam'!$1:$1,0)),FH$10/(1-'Supuestos Proyeccion'!$F$24))</f>
        <v>214826247.61566171</v>
      </c>
      <c r="FI7" s="23">
        <f>IF(FI$5="Real",INDEX('Informacion de Sam'!$2:$2,MATCH(FI$6,'Informacion de Sam'!$1:$1,0)),FI$10/(1-'Supuestos Proyeccion'!$F$24))</f>
        <v>322818730.18733919</v>
      </c>
      <c r="FJ7" s="23">
        <f>IF(FJ$5="Real",INDEX('Informacion de Sam'!$2:$2,MATCH(FJ$6,'Informacion de Sam'!$1:$1,0)),FJ$10/(1-'Supuestos Proyeccion'!$F$24))</f>
        <v>197031710.281571</v>
      </c>
      <c r="FK7" s="23">
        <f>IF(FK$5="Real",INDEX('Informacion de Sam'!$2:$2,MATCH(FK$6,'Informacion de Sam'!$1:$1,0)),FK$10/(1-'Supuestos Proyeccion'!$F$24))</f>
        <v>190202323.43414995</v>
      </c>
      <c r="FL7" s="23">
        <f>IF(FL$5="Real",INDEX('Informacion de Sam'!$2:$2,MATCH(FL$6,'Informacion de Sam'!$1:$1,0)),FL$10/(1-'Supuestos Proyeccion'!$F$24))</f>
        <v>196055881.10596898</v>
      </c>
      <c r="FM7" s="23">
        <f>IF(FM$5="Real",INDEX('Informacion de Sam'!$2:$2,MATCH(FM$6,'Informacion de Sam'!$1:$1,0)),FM$10/(1-'Supuestos Proyeccion'!$F$24))</f>
        <v>181466693.32399976</v>
      </c>
      <c r="FN7" s="23">
        <f>SUM(FB7:FM7)</f>
        <v>2526069719.1047883</v>
      </c>
      <c r="FO7" s="23">
        <f>IF(FO$5="Real",INDEX('Informacion de Sam'!$2:$2,MATCH(FO$6,'Informacion de Sam'!$1:$1,0)),FO$10/(1-'Supuestos Proyeccion'!$F$24))</f>
        <v>237572238.56368113</v>
      </c>
      <c r="FP7" s="23">
        <f>IF(FP$5="Real",INDEX('Informacion de Sam'!$2:$2,MATCH(FP$6,'Informacion de Sam'!$1:$1,0)),FP$10/(1-'Supuestos Proyeccion'!$F$24))</f>
        <v>336764223.55333984</v>
      </c>
      <c r="FQ7" s="23">
        <f>IF(FQ$5="Real",INDEX('Informacion de Sam'!$2:$2,MATCH(FQ$6,'Informacion de Sam'!$1:$1,0)),FQ$10/(1-'Supuestos Proyeccion'!$F$24))</f>
        <v>241685549.93151462</v>
      </c>
      <c r="FR7" s="23">
        <f>IF(FR$5="Real",INDEX('Informacion de Sam'!$2:$2,MATCH(FR$6,'Informacion de Sam'!$1:$1,0)),FR$10/(1-'Supuestos Proyeccion'!$F$24))</f>
        <v>247250157.09296128</v>
      </c>
      <c r="FS7" s="23">
        <f>IF(FS$5="Real",INDEX('Informacion de Sam'!$2:$2,MATCH(FS$6,'Informacion de Sam'!$1:$1,0)),FS$10/(1-'Supuestos Proyeccion'!$F$24))</f>
        <v>217536156.83254749</v>
      </c>
      <c r="FT7" s="23">
        <f>IF(FT$5="Real",INDEX('Informacion de Sam'!$2:$2,MATCH(FT$6,'Informacion de Sam'!$1:$1,0)),FT$10/(1-'Supuestos Proyeccion'!$F$24))</f>
        <v>248776840.47107789</v>
      </c>
      <c r="FU7" s="23">
        <f>IF(FU$5="Real",INDEX('Informacion de Sam'!$2:$2,MATCH(FU$6,'Informacion de Sam'!$1:$1,0)),FU$10/(1-'Supuestos Proyeccion'!$F$24))</f>
        <v>268532809.51957715</v>
      </c>
      <c r="FV7" s="23">
        <f>IF(FV$5="Real",INDEX('Informacion de Sam'!$2:$2,MATCH(FV$6,'Informacion de Sam'!$1:$1,0)),FV$10/(1-'Supuestos Proyeccion'!$F$24))</f>
        <v>403523412.73417395</v>
      </c>
      <c r="FW7" s="23">
        <f>IF(FW$5="Real",INDEX('Informacion de Sam'!$2:$2,MATCH(FW$6,'Informacion de Sam'!$1:$1,0)),FW$10/(1-'Supuestos Proyeccion'!$F$24))</f>
        <v>246289637.85196373</v>
      </c>
      <c r="FX7" s="23">
        <f>IF(FX$5="Real",INDEX('Informacion de Sam'!$2:$2,MATCH(FX$6,'Informacion de Sam'!$1:$1,0)),FX$10/(1-'Supuestos Proyeccion'!$F$24))</f>
        <v>237752904.29268745</v>
      </c>
      <c r="FY7" s="23">
        <f>IF(FY$5="Real",INDEX('Informacion de Sam'!$2:$2,MATCH(FY$6,'Informacion de Sam'!$1:$1,0)),FY$10/(1-'Supuestos Proyeccion'!$F$24))</f>
        <v>245069851.38246125</v>
      </c>
      <c r="FZ7" s="23">
        <f>IF(FZ$5="Real",INDEX('Informacion de Sam'!$2:$2,MATCH(FZ$6,'Informacion de Sam'!$1:$1,0)),FZ$10/(1-'Supuestos Proyeccion'!$F$24))</f>
        <v>226833366.65499967</v>
      </c>
      <c r="GA7" s="23">
        <f>SUM(FO7:FZ7)</f>
        <v>3157587148.8809848</v>
      </c>
      <c r="GB7" s="23">
        <f>IF(GB$5="Real",INDEX('Informacion de Sam'!$2:$2,MATCH(GB$6,'Informacion de Sam'!$1:$1,0)),GB$10/(1-'Supuestos Proyeccion'!$F$24))</f>
        <v>296965298.20460141</v>
      </c>
      <c r="GC7" s="23">
        <f>IF(GC$5="Real",INDEX('Informacion de Sam'!$2:$2,MATCH(GC$6,'Informacion de Sam'!$1:$1,0)),GC$10/(1-'Supuestos Proyeccion'!$F$24))</f>
        <v>420955279.44167477</v>
      </c>
      <c r="GD7" s="23">
        <f>IF(GD$5="Real",INDEX('Informacion de Sam'!$2:$2,MATCH(GD$6,'Informacion de Sam'!$1:$1,0)),GD$10/(1-'Supuestos Proyeccion'!$F$24))</f>
        <v>302106937.41439331</v>
      </c>
      <c r="GE7" s="23">
        <f>IF(GE$5="Real",INDEX('Informacion de Sam'!$2:$2,MATCH(GE$6,'Informacion de Sam'!$1:$1,0)),GE$10/(1-'Supuestos Proyeccion'!$F$24))</f>
        <v>309062696.36620164</v>
      </c>
      <c r="GF7" s="23">
        <f>IF(GF$5="Real",INDEX('Informacion de Sam'!$2:$2,MATCH(GF$6,'Informacion de Sam'!$1:$1,0)),GF$10/(1-'Supuestos Proyeccion'!$F$24))</f>
        <v>271920196.04068434</v>
      </c>
      <c r="GG7" s="23">
        <f>IF(GG$5="Real",INDEX('Informacion de Sam'!$2:$2,MATCH(GG$6,'Informacion de Sam'!$1:$1,0)),GG$10/(1-'Supuestos Proyeccion'!$F$24))</f>
        <v>310971050.58884734</v>
      </c>
      <c r="GH7" s="23">
        <f>IF(GH$5="Real",INDEX('Informacion de Sam'!$2:$2,MATCH(GH$6,'Informacion de Sam'!$1:$1,0)),GH$10/(1-'Supuestos Proyeccion'!$F$24))</f>
        <v>335666011.89947146</v>
      </c>
      <c r="GI7" s="23">
        <f>IF(GI$5="Real",INDEX('Informacion de Sam'!$2:$2,MATCH(GI$6,'Informacion de Sam'!$1:$1,0)),GI$10/(1-'Supuestos Proyeccion'!$F$24))</f>
        <v>504404265.91771746</v>
      </c>
      <c r="GJ7" s="23">
        <f>IF(GJ$5="Real",INDEX('Informacion de Sam'!$2:$2,MATCH(GJ$6,'Informacion de Sam'!$1:$1,0)),GJ$10/(1-'Supuestos Proyeccion'!$F$24))</f>
        <v>307862047.3149547</v>
      </c>
      <c r="GK7" s="23">
        <f>IF(GK$5="Real",INDEX('Informacion de Sam'!$2:$2,MATCH(GK$6,'Informacion de Sam'!$1:$1,0)),GK$10/(1-'Supuestos Proyeccion'!$F$24))</f>
        <v>297191130.36585933</v>
      </c>
      <c r="GL7" s="23">
        <f>IF(GL$5="Real",INDEX('Informacion de Sam'!$2:$2,MATCH(GL$6,'Informacion de Sam'!$1:$1,0)),GL$10/(1-'Supuestos Proyeccion'!$F$24))</f>
        <v>306337314.22807658</v>
      </c>
      <c r="GM7" s="23">
        <f>IF(GM$5="Real",INDEX('Informacion de Sam'!$2:$2,MATCH(GM$6,'Informacion de Sam'!$1:$1,0)),GM$10/(1-'Supuestos Proyeccion'!$F$24))</f>
        <v>283541708.31874961</v>
      </c>
      <c r="GN7" s="23">
        <f>SUM(GB7:GM7)</f>
        <v>3946983936.1012321</v>
      </c>
      <c r="GO7" s="23">
        <f>IF(GO$5="Real",INDEX('Informacion de Sam'!$2:$2,MATCH(GO$6,'Informacion de Sam'!$1:$1,0)),GO$10/(1-'Supuestos Proyeccion'!$F$24))</f>
        <v>371206622.75575173</v>
      </c>
      <c r="GP7" s="23">
        <f>IF(GP$5="Real",INDEX('Informacion de Sam'!$2:$2,MATCH(GP$6,'Informacion de Sam'!$1:$1,0)),GP$10/(1-'Supuestos Proyeccion'!$F$24))</f>
        <v>526194099.30209339</v>
      </c>
      <c r="GQ7" s="23">
        <f>IF(GQ$5="Real",INDEX('Informacion de Sam'!$2:$2,MATCH(GQ$6,'Informacion de Sam'!$1:$1,0)),GQ$10/(1-'Supuestos Proyeccion'!$F$24))</f>
        <v>377633671.76799154</v>
      </c>
      <c r="GR7" s="23">
        <f>IF(GR$5="Real",INDEX('Informacion de Sam'!$2:$2,MATCH(GR$6,'Informacion de Sam'!$1:$1,0)),GR$10/(1-'Supuestos Proyeccion'!$F$24))</f>
        <v>386328370.45775205</v>
      </c>
      <c r="GS7" s="23">
        <f>IF(GS$5="Real",INDEX('Informacion de Sam'!$2:$2,MATCH(GS$6,'Informacion de Sam'!$1:$1,0)),GS$10/(1-'Supuestos Proyeccion'!$F$24))</f>
        <v>339900245.0508554</v>
      </c>
      <c r="GT7" s="23">
        <f>IF(GT$5="Real",INDEX('Informacion de Sam'!$2:$2,MATCH(GT$6,'Informacion de Sam'!$1:$1,0)),GT$10/(1-'Supuestos Proyeccion'!$F$24))</f>
        <v>388713813.23605913</v>
      </c>
      <c r="GU7" s="23">
        <f>IF(GU$5="Real",INDEX('Informacion de Sam'!$2:$2,MATCH(GU$6,'Informacion de Sam'!$1:$1,0)),GU$10/(1-'Supuestos Proyeccion'!$F$24))</f>
        <v>419582514.87433922</v>
      </c>
      <c r="GV7" s="23">
        <f>IF(GV$5="Real",INDEX('Informacion de Sam'!$2:$2,MATCH(GV$6,'Informacion de Sam'!$1:$1,0)),GV$10/(1-'Supuestos Proyeccion'!$F$24))</f>
        <v>630505332.39714682</v>
      </c>
      <c r="GW7" s="23">
        <f>IF(GW$5="Real",INDEX('Informacion de Sam'!$2:$2,MATCH(GW$6,'Informacion de Sam'!$1:$1,0)),GW$10/(1-'Supuestos Proyeccion'!$F$24))</f>
        <v>384827559.14369333</v>
      </c>
      <c r="GX7" s="23">
        <f>IF(GX$5="Real",INDEX('Informacion de Sam'!$2:$2,MATCH(GX$6,'Informacion de Sam'!$1:$1,0)),GX$10/(1-'Supuestos Proyeccion'!$F$24))</f>
        <v>371488912.95732415</v>
      </c>
      <c r="GY7" s="23">
        <f>IF(GY$5="Real",INDEX('Informacion de Sam'!$2:$2,MATCH(GY$6,'Informacion de Sam'!$1:$1,0)),GY$10/(1-'Supuestos Proyeccion'!$F$24))</f>
        <v>382921642.78509569</v>
      </c>
      <c r="GZ7" s="23">
        <f>IF(GZ$5="Real",INDEX('Informacion de Sam'!$2:$2,MATCH(GZ$6,'Informacion de Sam'!$1:$1,0)),GZ$10/(1-'Supuestos Proyeccion'!$F$24))</f>
        <v>354427135.39843702</v>
      </c>
      <c r="HA7" s="23">
        <f>SUM(GO7:GZ7)</f>
        <v>4933729920.1265392</v>
      </c>
      <c r="HB7" s="23"/>
      <c r="HC7" s="51">
        <f t="shared" ref="HC7:HR8" si="0">SUMIFS($B7:$HA7,$B$4:$HA$4,HC$6,$B$5:$HA$5,"Acumulado")</f>
        <v>306806133.53000003</v>
      </c>
      <c r="HD7" s="51">
        <f t="shared" si="0"/>
        <v>466654437.22999996</v>
      </c>
      <c r="HE7" s="51">
        <f t="shared" si="0"/>
        <v>633484052.64999974</v>
      </c>
      <c r="HF7" s="51">
        <f t="shared" si="0"/>
        <v>676872047.57999992</v>
      </c>
      <c r="HG7" s="51">
        <f t="shared" si="0"/>
        <v>774927751.51999998</v>
      </c>
      <c r="HH7" s="51">
        <f t="shared" si="0"/>
        <v>761226769.03000009</v>
      </c>
      <c r="HI7" s="51">
        <f t="shared" si="0"/>
        <v>670020424.91574371</v>
      </c>
      <c r="HJ7" s="51">
        <f t="shared" si="0"/>
        <v>827742525.55625701</v>
      </c>
      <c r="HK7" s="51">
        <f t="shared" si="0"/>
        <v>1034678156.9453213</v>
      </c>
      <c r="HL7" s="51">
        <f t="shared" si="0"/>
        <v>1293347696.1816516</v>
      </c>
      <c r="HM7" s="51">
        <f t="shared" si="0"/>
        <v>1616684620.2270646</v>
      </c>
      <c r="HN7" s="51">
        <f t="shared" si="0"/>
        <v>2020855775.2838304</v>
      </c>
      <c r="HO7" s="51">
        <f t="shared" si="0"/>
        <v>2526069719.1047883</v>
      </c>
      <c r="HP7" s="51">
        <f t="shared" si="0"/>
        <v>3157587148.8809848</v>
      </c>
      <c r="HQ7" s="51">
        <f t="shared" si="0"/>
        <v>3946983936.1012321</v>
      </c>
      <c r="HR7" s="51">
        <f t="shared" si="0"/>
        <v>4933729920.1265392</v>
      </c>
    </row>
    <row r="8" spans="1:226" x14ac:dyDescent="0.35">
      <c r="A8" t="s">
        <v>54</v>
      </c>
      <c r="B8" s="23">
        <f>IF(B$5="Real",INDEX('Informacion de Sam'!$3:$3,MATCH(B$6,'Informacion de Sam'!$1:$1,0)),B$7-B$10)</f>
        <v>0</v>
      </c>
      <c r="C8" s="23">
        <f>IF(C$5="Real",INDEX('Informacion de Sam'!$3:$3,MATCH(C$6,'Informacion de Sam'!$1:$1,0)),C$7-C$10)</f>
        <v>0</v>
      </c>
      <c r="D8" s="23">
        <f>IF(D$5="Real",INDEX('Informacion de Sam'!$3:$3,MATCH(D$6,'Informacion de Sam'!$1:$1,0)),D$7-D$10)</f>
        <v>0</v>
      </c>
      <c r="E8" s="23">
        <f>IF(E$5="Real",INDEX('Informacion de Sam'!$3:$3,MATCH(E$6,'Informacion de Sam'!$1:$1,0)),E$7-E$10)</f>
        <v>0</v>
      </c>
      <c r="F8" s="23">
        <f>IF(F$5="Real",INDEX('Informacion de Sam'!$3:$3,MATCH(F$6,'Informacion de Sam'!$1:$1,0)),F$7-F$10)</f>
        <v>4659794.68</v>
      </c>
      <c r="G8" s="23">
        <f>IF(G$5="Real",INDEX('Informacion de Sam'!$3:$3,MATCH(G$6,'Informacion de Sam'!$1:$1,0)),G$7-G$10)</f>
        <v>5419389.8999999985</v>
      </c>
      <c r="H8" s="23">
        <f>IF(H$5="Real",INDEX('Informacion de Sam'!$3:$3,MATCH(H$6,'Informacion de Sam'!$1:$1,0)),H$7-H$10)</f>
        <v>2648916.9200000018</v>
      </c>
      <c r="I8" s="23">
        <f>IF(I$5="Real",INDEX('Informacion de Sam'!$3:$3,MATCH(I$6,'Informacion de Sam'!$1:$1,0)),I$7-I$10)</f>
        <v>4234333.6999999955</v>
      </c>
      <c r="J8" s="23">
        <f>IF(J$5="Real",INDEX('Informacion de Sam'!$3:$3,MATCH(J$6,'Informacion de Sam'!$1:$1,0)),J$7-J$10)</f>
        <v>4317614.5900000036</v>
      </c>
      <c r="K8" s="23">
        <f>IF(K$5="Real",INDEX('Informacion de Sam'!$3:$3,MATCH(K$6,'Informacion de Sam'!$1:$1,0)),K$7-K$10)</f>
        <v>3761815.5399999917</v>
      </c>
      <c r="L8" s="23">
        <f>IF(L$5="Real",INDEX('Informacion de Sam'!$3:$3,MATCH(L$6,'Informacion de Sam'!$1:$1,0)),L$7-L$10)</f>
        <v>5524123.6800000146</v>
      </c>
      <c r="M8" s="23">
        <f>IF(M$5="Real",INDEX('Informacion de Sam'!$3:$3,MATCH(M$6,'Informacion de Sam'!$1:$1,0)),M$7-M$10)</f>
        <v>3038103.4399999827</v>
      </c>
      <c r="N8" s="23">
        <f>SUM(B8:M8)</f>
        <v>33604092.449999988</v>
      </c>
      <c r="O8" s="23">
        <f>IF(O$5="Real",INDEX('Informacion de Sam'!$3:$3,MATCH(O$6,'Informacion de Sam'!$1:$1,0)),O$7-O$10)</f>
        <v>9599889.2899999991</v>
      </c>
      <c r="P8" s="23">
        <f>IF(P$5="Real",INDEX('Informacion de Sam'!$3:$3,MATCH(P$6,'Informacion de Sam'!$1:$1,0)),P$7-P$10)</f>
        <v>1533431.08</v>
      </c>
      <c r="Q8" s="23">
        <f>IF(Q$5="Real",INDEX('Informacion de Sam'!$3:$3,MATCH(Q$6,'Informacion de Sam'!$1:$1,0)),Q$7-Q$10)</f>
        <v>9082354.9500000011</v>
      </c>
      <c r="R8" s="23">
        <f>IF(R$5="Real",INDEX('Informacion de Sam'!$3:$3,MATCH(R$6,'Informacion de Sam'!$1:$1,0)),R$7-R$10)</f>
        <v>1325005.7100000009</v>
      </c>
      <c r="S8" s="23">
        <f>IF(S$5="Real",INDEX('Informacion de Sam'!$3:$3,MATCH(S$6,'Informacion de Sam'!$1:$1,0)),S$7-S$10)</f>
        <v>3474913.0599999987</v>
      </c>
      <c r="T8" s="23">
        <f>IF(T$5="Real",INDEX('Informacion de Sam'!$3:$3,MATCH(T$6,'Informacion de Sam'!$1:$1,0)),T$7-T$10)</f>
        <v>4784770.9899999974</v>
      </c>
      <c r="U8" s="23">
        <f>IF(U$5="Real",INDEX('Informacion de Sam'!$3:$3,MATCH(U$6,'Informacion de Sam'!$1:$1,0)),U$7-U$10)</f>
        <v>1934480.5800000045</v>
      </c>
      <c r="V8" s="23">
        <f>IF(V$5="Real",INDEX('Informacion de Sam'!$3:$3,MATCH(V$6,'Informacion de Sam'!$1:$1,0)),V$7-V$10)</f>
        <v>4062122.0799999982</v>
      </c>
      <c r="W8" s="23">
        <f>IF(W$5="Real",INDEX('Informacion de Sam'!$3:$3,MATCH(W$6,'Informacion de Sam'!$1:$1,0)),W$7-W$10)</f>
        <v>3703477.2999999896</v>
      </c>
      <c r="X8" s="23">
        <f>IF(X$5="Real",INDEX('Informacion de Sam'!$3:$3,MATCH(X$6,'Informacion de Sam'!$1:$1,0)),X$7-X$10)</f>
        <v>4707037.1300000101</v>
      </c>
      <c r="Y8" s="23">
        <f>IF(Y$5="Real",INDEX('Informacion de Sam'!$3:$3,MATCH(Y$6,'Informacion de Sam'!$1:$1,0)),Y$7-Y$10)</f>
        <v>3367873.9900000021</v>
      </c>
      <c r="Z8" s="23">
        <f>IF(Z$5="Real",INDEX('Informacion de Sam'!$3:$3,MATCH(Z$6,'Informacion de Sam'!$1:$1,0)),Z$7-Z$10)</f>
        <v>1732603.8399999961</v>
      </c>
      <c r="AA8" s="23">
        <f>SUM(O8:Z8)</f>
        <v>49307960</v>
      </c>
      <c r="AB8" s="23">
        <f>IF(AB$5="Real",INDEX('Informacion de Sam'!$3:$3,MATCH(AB$6,'Informacion de Sam'!$1:$1,0)),AB$7-AB$10)</f>
        <v>3979552.8199999994</v>
      </c>
      <c r="AC8" s="23">
        <f>IF(AC$5="Real",INDEX('Informacion de Sam'!$3:$3,MATCH(AC$6,'Informacion de Sam'!$1:$1,0)),AC$7-AC$10)</f>
        <v>4167832.6199999992</v>
      </c>
      <c r="AD8" s="23">
        <f>IF(AD$5="Real",INDEX('Informacion de Sam'!$3:$3,MATCH(AD$6,'Informacion de Sam'!$1:$1,0)),AD$7-AD$10)</f>
        <v>4223660.7100000018</v>
      </c>
      <c r="AE8" s="23">
        <f>IF(AE$5="Real",INDEX('Informacion de Sam'!$3:$3,MATCH(AE$6,'Informacion de Sam'!$1:$1,0)),AE$7-AE$10)</f>
        <v>4713693.3699999992</v>
      </c>
      <c r="AF8" s="23">
        <f>IF(AF$5="Real",INDEX('Informacion de Sam'!$3:$3,MATCH(AF$6,'Informacion de Sam'!$1:$1,0)),AF$7-AF$10)</f>
        <v>10753126.02</v>
      </c>
      <c r="AG8" s="23">
        <f>IF(AG$5="Real",INDEX('Informacion de Sam'!$3:$3,MATCH(AG$6,'Informacion de Sam'!$1:$1,0)),AG$7-AG$10)</f>
        <v>12703756.290000003</v>
      </c>
      <c r="AH8" s="23">
        <f>IF(AH$5="Real",INDEX('Informacion de Sam'!$3:$3,MATCH(AH$6,'Informacion de Sam'!$1:$1,0)),AH$7-AH$10)</f>
        <v>4489698.6200000048</v>
      </c>
      <c r="AI8" s="23">
        <f>IF(AI$5="Real",INDEX('Informacion de Sam'!$3:$3,MATCH(AI$6,'Informacion de Sam'!$1:$1,0)),AI$7-AI$10)</f>
        <v>4106829.459999986</v>
      </c>
      <c r="AJ8" s="23">
        <f>IF(AJ$5="Real",INDEX('Informacion de Sam'!$3:$3,MATCH(AJ$6,'Informacion de Sam'!$1:$1,0)),AJ$7-AJ$10)</f>
        <v>3335831.5100000054</v>
      </c>
      <c r="AK8" s="23">
        <f>IF(AK$5="Real",INDEX('Informacion de Sam'!$3:$3,MATCH(AK$6,'Informacion de Sam'!$1:$1,0)),AK$7-AK$10)</f>
        <v>5524300.4700000137</v>
      </c>
      <c r="AL8" s="23">
        <f>IF(AL$5="Real",INDEX('Informacion de Sam'!$3:$3,MATCH(AL$6,'Informacion de Sam'!$1:$1,0)),AL$7-AL$10)</f>
        <v>2687448.7499999925</v>
      </c>
      <c r="AM8" s="23">
        <f>IF(AM$5="Real",INDEX('Informacion de Sam'!$3:$3,MATCH(AM$6,'Informacion de Sam'!$1:$1,0)),AM$7-AM$10)</f>
        <v>3188867.5</v>
      </c>
      <c r="AN8" s="23">
        <f>SUM(AB8:AM8)</f>
        <v>63874598.140000001</v>
      </c>
      <c r="AO8" s="23">
        <f>IF(AO$5="Real",INDEX('Informacion de Sam'!$3:$3,MATCH(AO$6,'Informacion de Sam'!$1:$1,0)),AO$7-AO$10)</f>
        <v>3521007.71</v>
      </c>
      <c r="AP8" s="23">
        <f>IF(AP$5="Real",INDEX('Informacion de Sam'!$3:$3,MATCH(AP$6,'Informacion de Sam'!$1:$1,0)),AP$7-AP$10)</f>
        <v>3738419.79</v>
      </c>
      <c r="AQ8" s="23">
        <f>IF(AQ$5="Real",INDEX('Informacion de Sam'!$3:$3,MATCH(AQ$6,'Informacion de Sam'!$1:$1,0)),AQ$7-AQ$10)</f>
        <v>5926629.8200000003</v>
      </c>
      <c r="AR8" s="23">
        <f>IF(AR$5="Real",INDEX('Informacion de Sam'!$3:$3,MATCH(AR$6,'Informacion de Sam'!$1:$1,0)),AR$7-AR$10)</f>
        <v>4526166.9699999988</v>
      </c>
      <c r="AS8" s="23">
        <f>IF(AS$5="Real",INDEX('Informacion de Sam'!$3:$3,MATCH(AS$6,'Informacion de Sam'!$1:$1,0)),AS$7-AS$10)</f>
        <v>6231474.0099999979</v>
      </c>
      <c r="AT8" s="23">
        <f>IF(AT$5="Real",INDEX('Informacion de Sam'!$3:$3,MATCH(AT$6,'Informacion de Sam'!$1:$1,0)),AT$7-AT$10)</f>
        <v>3210753.4600000009</v>
      </c>
      <c r="AU8" s="23">
        <f>IF(AU$5="Real",INDEX('Informacion de Sam'!$3:$3,MATCH(AU$6,'Informacion de Sam'!$1:$1,0)),AU$7-AU$10)</f>
        <v>4498219.3399999961</v>
      </c>
      <c r="AV8" s="23">
        <f>IF(AV$5="Real",INDEX('Informacion de Sam'!$3:$3,MATCH(AV$6,'Informacion de Sam'!$1:$1,0)),AV$7-AV$10)</f>
        <v>8734528.5500000045</v>
      </c>
      <c r="AW8" s="23">
        <f>IF(AW$5="Real",INDEX('Informacion de Sam'!$3:$3,MATCH(AW$6,'Informacion de Sam'!$1:$1,0)),AW$7-AW$10)</f>
        <v>4148948.9900000021</v>
      </c>
      <c r="AX8" s="23">
        <f>IF(AX$5="Real",INDEX('Informacion de Sam'!$3:$3,MATCH(AX$6,'Informacion de Sam'!$1:$1,0)),AX$7-AX$10)</f>
        <v>4428107.18</v>
      </c>
      <c r="AY8" s="23">
        <f>IF(AY$5="Real",INDEX('Informacion de Sam'!$3:$3,MATCH(AY$6,'Informacion de Sam'!$1:$1,0)),AY$7-AY$10)</f>
        <v>7104043.4799999893</v>
      </c>
      <c r="AZ8" s="23">
        <f>IF(AZ$5="Real",INDEX('Informacion de Sam'!$3:$3,MATCH(AZ$6,'Informacion de Sam'!$1:$1,0)),AZ$7-AZ$10)</f>
        <v>1606880.8100000173</v>
      </c>
      <c r="BA8" s="23">
        <f>SUM(AO8:AZ8)</f>
        <v>57675180.110000007</v>
      </c>
      <c r="BB8" s="23">
        <f>IF(BB$5="Real",INDEX('Informacion de Sam'!$3:$3,MATCH(BB$6,'Informacion de Sam'!$1:$1,0)),BB$7-BB$10)</f>
        <v>4862255.0500000007</v>
      </c>
      <c r="BC8" s="23">
        <f>IF(BC$5="Real",INDEX('Informacion de Sam'!$3:$3,MATCH(BC$6,'Informacion de Sam'!$1:$1,0)),BC$7-BC$10)</f>
        <v>3860281.459999999</v>
      </c>
      <c r="BD8" s="23">
        <f>IF(BD$5="Real",INDEX('Informacion de Sam'!$3:$3,MATCH(BD$6,'Informacion de Sam'!$1:$1,0)),BD$7-BD$10)</f>
        <v>6032483.6800000016</v>
      </c>
      <c r="BE8" s="23">
        <f>IF(BE$5="Real",INDEX('Informacion de Sam'!$3:$3,MATCH(BE$6,'Informacion de Sam'!$1:$1,0)),BE$7-BE$10)</f>
        <v>6856463.3800000027</v>
      </c>
      <c r="BF8" s="23">
        <f>IF(BF$5="Real",INDEX('Informacion de Sam'!$3:$3,MATCH(BF$6,'Informacion de Sam'!$1:$1,0)),BF$7-BF$10)</f>
        <v>13910857.689999994</v>
      </c>
      <c r="BG8" s="23">
        <f>IF(BG$5="Real",INDEX('Informacion de Sam'!$3:$3,MATCH(BG$6,'Informacion de Sam'!$1:$1,0)),BG$7-BG$10)</f>
        <v>4182202.0800000057</v>
      </c>
      <c r="BH8" s="23">
        <f>IF(BH$5="Real",INDEX('Informacion de Sam'!$3:$3,MATCH(BH$6,'Informacion de Sam'!$1:$1,0)),BH$7-BH$10)</f>
        <v>7075816.349999994</v>
      </c>
      <c r="BI8" s="23">
        <f>IF(BI$5="Real",INDEX('Informacion de Sam'!$3:$3,MATCH(BI$6,'Informacion de Sam'!$1:$1,0)),BI$7-BI$10)</f>
        <v>5588606.8999999911</v>
      </c>
      <c r="BJ8" s="23">
        <f>IF(BJ$5="Real",INDEX('Informacion de Sam'!$3:$3,MATCH(BJ$6,'Informacion de Sam'!$1:$1,0)),BJ$7-BJ$10)</f>
        <v>6656176.540000014</v>
      </c>
      <c r="BK8" s="23">
        <f>IF(BK$5="Real",INDEX('Informacion de Sam'!$3:$3,MATCH(BK$6,'Informacion de Sam'!$1:$1,0)),BK$7-BK$10)</f>
        <v>5820628.2499999963</v>
      </c>
      <c r="BL8" s="23">
        <f>IF(BL$5="Real",INDEX('Informacion de Sam'!$3:$3,MATCH(BL$6,'Informacion de Sam'!$1:$1,0)),BL$7-BL$10)</f>
        <v>2532174.4599999934</v>
      </c>
      <c r="BM8" s="23">
        <f>IF(BM$5="Real",INDEX('Informacion de Sam'!$3:$3,MATCH(BM$6,'Informacion de Sam'!$1:$1,0)),BM$7-BM$10)</f>
        <v>8667983.0600000024</v>
      </c>
      <c r="BN8" s="23">
        <f>SUM(BB8:BM8)</f>
        <v>76045928.899999991</v>
      </c>
      <c r="BO8" s="23">
        <f>IF(BO$5="Real",INDEX('Informacion de Sam'!$3:$3,MATCH(BO$6,'Informacion de Sam'!$1:$1,0)),BO$7-BO$10)</f>
        <v>5104873.7699999996</v>
      </c>
      <c r="BP8" s="23">
        <f>IF(BP$5="Real",INDEX('Informacion de Sam'!$3:$3,MATCH(BP$6,'Informacion de Sam'!$1:$1,0)),BP$7-BP$10)</f>
        <v>8253616.25</v>
      </c>
      <c r="BQ8" s="23">
        <f>IF(BQ$5="Real",INDEX('Informacion de Sam'!$3:$3,MATCH(BQ$6,'Informacion de Sam'!$1:$1,0)),BQ$7-BQ$10)</f>
        <v>15211031.720000003</v>
      </c>
      <c r="BR8" s="23">
        <f>IF(BR$5="Real",INDEX('Informacion de Sam'!$3:$3,MATCH(BR$6,'Informacion de Sam'!$1:$1,0)),BR$7-BR$10)</f>
        <v>16855329.530000001</v>
      </c>
      <c r="BS8" s="23">
        <f>IF(BS$5="Real",INDEX('Informacion de Sam'!$3:$3,MATCH(BS$6,'Informacion de Sam'!$1:$1,0)),BS$7-BS$10)</f>
        <v>6041157.9099999927</v>
      </c>
      <c r="BT8" s="23">
        <f>IF(BT$5="Real",INDEX('Informacion de Sam'!$3:$3,MATCH(BT$6,'Informacion de Sam'!$1:$1,0)),BT$7-BT$10)</f>
        <v>2776640.1800000044</v>
      </c>
      <c r="BU8" s="23">
        <f>IF(BU$5="Real",INDEX('Informacion de Sam'!$3:$3,MATCH(BU$6,'Informacion de Sam'!$1:$1,0)),BU$7-BU$10)</f>
        <v>7434936.8699999973</v>
      </c>
      <c r="BV8" s="23">
        <f>IF(BV$5="Real",INDEX('Informacion de Sam'!$3:$3,MATCH(BV$6,'Informacion de Sam'!$1:$1,0)),BV$7-BV$10)</f>
        <v>5885393.2799999937</v>
      </c>
      <c r="BW8" s="23">
        <f>IF(BW$5="Real",INDEX('Informacion de Sam'!$3:$3,MATCH(BW$6,'Informacion de Sam'!$1:$1,0)),BW$7-BW$10)</f>
        <v>4937725.3899999978</v>
      </c>
      <c r="BX8" s="23">
        <f>IF(BX$5="Real",INDEX('Informacion de Sam'!$3:$3,MATCH(BX$6,'Informacion de Sam'!$1:$1,0)),BX$7-BX$10)</f>
        <v>8068454.6800000295</v>
      </c>
      <c r="BY8" s="23">
        <f>IF(BY$5="Real",INDEX('Informacion de Sam'!$3:$3,MATCH(BY$6,'Informacion de Sam'!$1:$1,0)),BY$7-BY$10)</f>
        <v>5595818.5199999809</v>
      </c>
      <c r="BZ8" s="23">
        <f>IF(BZ$5="Real",INDEX('Informacion de Sam'!$3:$3,MATCH(BZ$6,'Informacion de Sam'!$1:$1,0)),BZ$7-BZ$10)</f>
        <v>6450448.6099999994</v>
      </c>
      <c r="CA8" s="23">
        <f>SUM(BO8:BZ8)</f>
        <v>92615426.709999993</v>
      </c>
      <c r="CB8" s="23">
        <f>IF(CB$5="Real",INDEX('Informacion de Sam'!$3:$3,MATCH(CB$6,'Informacion de Sam'!$1:$1,0)),CB$7-CB$10)</f>
        <v>4299628.6400000006</v>
      </c>
      <c r="CC8" s="23">
        <f>IF(CC$5="Real",INDEX('Informacion de Sam'!$3:$3,MATCH(CC$6,'Informacion de Sam'!$1:$1,0)),CC$7-CC$10)</f>
        <v>5793714.379999999</v>
      </c>
      <c r="CD8" s="23">
        <f>IF(CD$5="Real",INDEX('Informacion de Sam'!$3:$3,MATCH(CD$6,'Informacion de Sam'!$1:$1,0)),CD$7-CD$10)</f>
        <v>5852794.0299999975</v>
      </c>
      <c r="CE8" s="23">
        <f>IF(CE$5="Real",INDEX('Informacion de Sam'!$3:$3,MATCH(CE$6,'Informacion de Sam'!$1:$1,0)),CE$7-CE$10)</f>
        <v>18388453.23</v>
      </c>
      <c r="CF8" s="23">
        <f>IF(CF$5="Real",INDEX('Informacion de Sam'!$3:$3,MATCH(CF$6,'Informacion de Sam'!$1:$1,0)),CF$7-CF$10)</f>
        <v>15132048.219999999</v>
      </c>
      <c r="CG8" s="23">
        <f>IF(CG$5="Real",INDEX('Informacion de Sam'!$3:$3,MATCH(CG$6,'Informacion de Sam'!$1:$1,0)),CG$7-CG$10)</f>
        <v>5995997.3300000103</v>
      </c>
      <c r="CH8" s="23">
        <f>IF(CH$5="Real",INDEX('Informacion de Sam'!$3:$3,MATCH(CH$6,'Informacion de Sam'!$1:$1,0)),CH$7-CH$10)</f>
        <v>4451830.0299999937</v>
      </c>
      <c r="CI8" s="23">
        <f>IF(CI$5="Real",INDEX('Informacion de Sam'!$3:$3,MATCH(CI$6,'Informacion de Sam'!$1:$1,0)),CI$7-CI$10)</f>
        <v>5089122.2200000053</v>
      </c>
      <c r="CJ8" s="23">
        <f>IF(CJ$5="Real",INDEX('Informacion de Sam'!$3:$3,MATCH(CJ$6,'Informacion de Sam'!$1:$1,0)),CJ$7-CJ$10)</f>
        <v>6396204.1760318801</v>
      </c>
      <c r="CK8" s="23">
        <f>IF(CK$5="Real",INDEX('Informacion de Sam'!$3:$3,MATCH(CK$6,'Informacion de Sam'!$1:$1,0)),CK$7-CK$10)</f>
        <v>6174503.046752803</v>
      </c>
      <c r="CL8" s="23">
        <f>IF(CL$5="Real",INDEX('Informacion de Sam'!$3:$3,MATCH(CL$6,'Informacion de Sam'!$1:$1,0)),CL$7-CL$10)</f>
        <v>6364526.0129628032</v>
      </c>
      <c r="CM8" s="23">
        <f>IF(CM$5="Real",INDEX('Informacion de Sam'!$3:$3,MATCH(CM$6,'Informacion de Sam'!$1:$1,0)),CM$7-CM$10)</f>
        <v>5890919.8930007294</v>
      </c>
      <c r="CN8" s="23">
        <f>SUM(CB8:CM8)</f>
        <v>89829741.208748251</v>
      </c>
      <c r="CO8" s="23">
        <f>IF(CO$5="Real",INDEX('Informacion de Sam'!$3:$3,MATCH(CO$6,'Informacion de Sam'!$1:$1,0)),CO$7-CO$10)</f>
        <v>7712263.8901053518</v>
      </c>
      <c r="CP8" s="23">
        <f>IF(CP$5="Real",INDEX('Informacion de Sam'!$3:$3,MATCH(CP$6,'Informacion de Sam'!$1:$1,0)),CP$7-CP$10)</f>
        <v>10932315.057062551</v>
      </c>
      <c r="CQ8" s="23">
        <f>IF(CQ$5="Real",INDEX('Informacion de Sam'!$3:$3,MATCH(CQ$6,'Informacion de Sam'!$1:$1,0)),CQ$7-CQ$10)</f>
        <v>7845793.5605866089</v>
      </c>
      <c r="CR8" s="23">
        <f>IF(CR$5="Real",INDEX('Informacion de Sam'!$3:$3,MATCH(CR$6,'Informacion de Sam'!$1:$1,0)),CR$7-CR$10)</f>
        <v>8026436.3795174137</v>
      </c>
      <c r="CS8" s="23">
        <f>IF(CS$5="Real",INDEX('Informacion de Sam'!$3:$3,MATCH(CS$6,'Informacion de Sam'!$1:$1,0)),CS$7-CS$10)</f>
        <v>7061836.2535749078</v>
      </c>
      <c r="CT8" s="23">
        <f>IF(CT$5="Real",INDEX('Informacion de Sam'!$3:$3,MATCH(CT$6,'Informacion de Sam'!$1:$1,0)),CT$7-CT$10)</f>
        <v>8075996.8212586641</v>
      </c>
      <c r="CU8" s="23">
        <f>IF(CU$5="Real",INDEX('Informacion de Sam'!$3:$3,MATCH(CU$6,'Informacion de Sam'!$1:$1,0)),CU$7-CU$10)</f>
        <v>8717331.2112864777</v>
      </c>
      <c r="CV8" s="23">
        <f>IF(CV$5="Real",INDEX('Informacion de Sam'!$3:$3,MATCH(CV$6,'Informacion de Sam'!$1:$1,0)),CV$7-CV$10)</f>
        <v>13099506.338185459</v>
      </c>
      <c r="CW8" s="23">
        <f>IF(CW$5="Real",INDEX('Informacion de Sam'!$3:$3,MATCH(CW$6,'Informacion de Sam'!$1:$1,0)),CW$7-CW$10)</f>
        <v>7995255.220039852</v>
      </c>
      <c r="CX8" s="23">
        <f>IF(CX$5="Real",INDEX('Informacion de Sam'!$3:$3,MATCH(CX$6,'Informacion de Sam'!$1:$1,0)),CX$7-CX$10)</f>
        <v>7718128.8084410056</v>
      </c>
      <c r="CY8" s="23">
        <f>IF(CY$5="Real",INDEX('Informacion de Sam'!$3:$3,MATCH(CY$6,'Informacion de Sam'!$1:$1,0)),CY$7-CY$10)</f>
        <v>7955657.5162035003</v>
      </c>
      <c r="CZ8" s="23">
        <f>IF(CZ$5="Real",INDEX('Informacion de Sam'!$3:$3,MATCH(CZ$6,'Informacion de Sam'!$1:$1,0)),CZ$7-CZ$10)</f>
        <v>7363649.8662509173</v>
      </c>
      <c r="DA8" s="23">
        <f>SUM(CO8:CZ8)</f>
        <v>102504170.9225127</v>
      </c>
      <c r="DB8" s="23">
        <f>IF(DB$5="Real",INDEX('Informacion de Sam'!$3:$3,MATCH(DB$6,'Informacion de Sam'!$1:$1,0)),DB$7-DB$10)</f>
        <v>9640329.8626316935</v>
      </c>
      <c r="DC8" s="23">
        <f>IF(DC$5="Real",INDEX('Informacion de Sam'!$3:$3,MATCH(DC$6,'Informacion de Sam'!$1:$1,0)),DC$7-DC$10)</f>
        <v>13665393.821328193</v>
      </c>
      <c r="DD8" s="23">
        <f>IF(DD$5="Real",INDEX('Informacion de Sam'!$3:$3,MATCH(DD$6,'Informacion de Sam'!$1:$1,0)),DD$7-DD$10)</f>
        <v>9807241.9507332593</v>
      </c>
      <c r="DE8" s="23">
        <f>IF(DE$5="Real",INDEX('Informacion de Sam'!$3:$3,MATCH(DE$6,'Informacion de Sam'!$1:$1,0)),DE$7-DE$10)</f>
        <v>10033045.474396765</v>
      </c>
      <c r="DF8" s="23">
        <f>IF(DF$5="Real",INDEX('Informacion de Sam'!$3:$3,MATCH(DF$6,'Informacion de Sam'!$1:$1,0)),DF$7-DF$10)</f>
        <v>8827295.3169686347</v>
      </c>
      <c r="DG8" s="23">
        <f>IF(DG$5="Real",INDEX('Informacion de Sam'!$3:$3,MATCH(DG$6,'Informacion de Sam'!$1:$1,0)),DG$7-DG$10)</f>
        <v>10094996.02657333</v>
      </c>
      <c r="DH8" s="23">
        <f>IF(DH$5="Real",INDEX('Informacion de Sam'!$3:$3,MATCH(DH$6,'Informacion de Sam'!$1:$1,0)),DH$7-DH$10)</f>
        <v>10896664.014108092</v>
      </c>
      <c r="DI8" s="23">
        <f>IF(DI$5="Real",INDEX('Informacion de Sam'!$3:$3,MATCH(DI$6,'Informacion de Sam'!$1:$1,0)),DI$7-DI$10)</f>
        <v>16374382.922731817</v>
      </c>
      <c r="DJ8" s="23">
        <f>IF(DJ$5="Real",INDEX('Informacion de Sam'!$3:$3,MATCH(DJ$6,'Informacion de Sam'!$1:$1,0)),DJ$7-DJ$10)</f>
        <v>9994069.0250498056</v>
      </c>
      <c r="DK8" s="23">
        <f>IF(DK$5="Real",INDEX('Informacion de Sam'!$3:$3,MATCH(DK$6,'Informacion de Sam'!$1:$1,0)),DK$7-DK$10)</f>
        <v>9647661.0105512589</v>
      </c>
      <c r="DL8" s="23">
        <f>IF(DL$5="Real",INDEX('Informacion de Sam'!$3:$3,MATCH(DL$6,'Informacion de Sam'!$1:$1,0)),DL$7-DL$10)</f>
        <v>9944571.8952543736</v>
      </c>
      <c r="DM8" s="23">
        <f>IF(DM$5="Real",INDEX('Informacion de Sam'!$3:$3,MATCH(DM$6,'Informacion de Sam'!$1:$1,0)),DM$7-DM$10)</f>
        <v>9204562.3328136504</v>
      </c>
      <c r="DN8" s="23">
        <f>SUM(DB8:DM8)</f>
        <v>128130213.65314087</v>
      </c>
      <c r="DO8" s="23">
        <f>IF(DO$5="Real",INDEX('Informacion de Sam'!$3:$3,MATCH(DO$6,'Informacion de Sam'!$1:$1,0)),DO$7-DO$10)</f>
        <v>12050412.328289613</v>
      </c>
      <c r="DP8" s="23">
        <f>IF(DP$5="Real",INDEX('Informacion de Sam'!$3:$3,MATCH(DP$6,'Informacion de Sam'!$1:$1,0)),DP$7-DP$10)</f>
        <v>17081742.276660249</v>
      </c>
      <c r="DQ8" s="23">
        <f>IF(DQ$5="Real",INDEX('Informacion de Sam'!$3:$3,MATCH(DQ$6,'Informacion de Sam'!$1:$1,0)),DQ$7-DQ$10)</f>
        <v>12259052.43841657</v>
      </c>
      <c r="DR8" s="23">
        <f>IF(DR$5="Real",INDEX('Informacion de Sam'!$3:$3,MATCH(DR$6,'Informacion de Sam'!$1:$1,0)),DR$7-DR$10)</f>
        <v>12541306.842995957</v>
      </c>
      <c r="DS8" s="23">
        <f>IF(DS$5="Real",INDEX('Informacion de Sam'!$3:$3,MATCH(DS$6,'Informacion de Sam'!$1:$1,0)),DS$7-DS$10)</f>
        <v>11034119.14621079</v>
      </c>
      <c r="DT8" s="23">
        <f>IF(DT$5="Real",INDEX('Informacion de Sam'!$3:$3,MATCH(DT$6,'Informacion de Sam'!$1:$1,0)),DT$7-DT$10)</f>
        <v>12618745.033216655</v>
      </c>
      <c r="DU8" s="23">
        <f>IF(DU$5="Real",INDEX('Informacion de Sam'!$3:$3,MATCH(DU$6,'Informacion de Sam'!$1:$1,0)),DU$7-DU$10)</f>
        <v>13620830.017635107</v>
      </c>
      <c r="DV8" s="23">
        <f>IF(DV$5="Real",INDEX('Informacion de Sam'!$3:$3,MATCH(DV$6,'Informacion de Sam'!$1:$1,0)),DV$7-DV$10)</f>
        <v>20467978.653414756</v>
      </c>
      <c r="DW8" s="23">
        <f>IF(DW$5="Real",INDEX('Informacion de Sam'!$3:$3,MATCH(DW$6,'Informacion de Sam'!$1:$1,0)),DW$7-DW$10)</f>
        <v>12492586.281312257</v>
      </c>
      <c r="DX8" s="23">
        <f>IF(DX$5="Real",INDEX('Informacion de Sam'!$3:$3,MATCH(DX$6,'Informacion de Sam'!$1:$1,0)),DX$7-DX$10)</f>
        <v>12059576.263189077</v>
      </c>
      <c r="DY8" s="23">
        <f>IF(DY$5="Real",INDEX('Informacion de Sam'!$3:$3,MATCH(DY$6,'Informacion de Sam'!$1:$1,0)),DY$7-DY$10)</f>
        <v>12430714.869067967</v>
      </c>
      <c r="DZ8" s="23">
        <f>IF(DZ$5="Real",INDEX('Informacion de Sam'!$3:$3,MATCH(DZ$6,'Informacion de Sam'!$1:$1,0)),DZ$7-DZ$10)</f>
        <v>11505702.916017056</v>
      </c>
      <c r="EA8" s="23">
        <f>SUM(DO8:DZ8)</f>
        <v>160162767.06642604</v>
      </c>
      <c r="EB8" s="23">
        <f>IF(EB$5="Real",INDEX('Informacion de Sam'!$3:$3,MATCH(EB$6,'Informacion de Sam'!$1:$1,0)),EB$7-EB$10)</f>
        <v>15063015.41036202</v>
      </c>
      <c r="EC8" s="23">
        <f>IF(EC$5="Real",INDEX('Informacion de Sam'!$3:$3,MATCH(EC$6,'Informacion de Sam'!$1:$1,0)),EC$7-EC$10)</f>
        <v>21352177.845825315</v>
      </c>
      <c r="ED8" s="23">
        <f>IF(ED$5="Real",INDEX('Informacion de Sam'!$3:$3,MATCH(ED$6,'Informacion de Sam'!$1:$1,0)),ED$7-ED$10)</f>
        <v>15323815.54802072</v>
      </c>
      <c r="EE8" s="23">
        <f>IF(EE$5="Real",INDEX('Informacion de Sam'!$3:$3,MATCH(EE$6,'Informacion de Sam'!$1:$1,0)),EE$7-EE$10)</f>
        <v>15676633.553744957</v>
      </c>
      <c r="EF8" s="23">
        <f>IF(EF$5="Real",INDEX('Informacion de Sam'!$3:$3,MATCH(EF$6,'Informacion de Sam'!$1:$1,0)),EF$7-EF$10)</f>
        <v>13792648.932763487</v>
      </c>
      <c r="EG8" s="23">
        <f>IF(EG$5="Real",INDEX('Informacion de Sam'!$3:$3,MATCH(EG$6,'Informacion de Sam'!$1:$1,0)),EG$7-EG$10)</f>
        <v>15773431.291520819</v>
      </c>
      <c r="EH8" s="23">
        <f>IF(EH$5="Real",INDEX('Informacion de Sam'!$3:$3,MATCH(EH$6,'Informacion de Sam'!$1:$1,0)),EH$7-EH$10)</f>
        <v>17026037.522043884</v>
      </c>
      <c r="EI8" s="23">
        <f>IF(EI$5="Real",INDEX('Informacion de Sam'!$3:$3,MATCH(EI$6,'Informacion de Sam'!$1:$1,0)),EI$7-EI$10)</f>
        <v>25584973.316768467</v>
      </c>
      <c r="EJ8" s="23">
        <f>IF(EJ$5="Real",INDEX('Informacion de Sam'!$3:$3,MATCH(EJ$6,'Informacion de Sam'!$1:$1,0)),EJ$7-EJ$10)</f>
        <v>15615732.851640329</v>
      </c>
      <c r="EK8" s="23">
        <f>IF(EK$5="Real",INDEX('Informacion de Sam'!$3:$3,MATCH(EK$6,'Informacion de Sam'!$1:$1,0)),EK$7-EK$10)</f>
        <v>15074470.328986347</v>
      </c>
      <c r="EL8" s="23">
        <f>IF(EL$5="Real",INDEX('Informacion de Sam'!$3:$3,MATCH(EL$6,'Informacion de Sam'!$1:$1,0)),EL$7-EL$10)</f>
        <v>15538393.586334959</v>
      </c>
      <c r="EM8" s="23">
        <f>IF(EM$5="Real",INDEX('Informacion de Sam'!$3:$3,MATCH(EM$6,'Informacion de Sam'!$1:$1,0)),EM$7-EM$10)</f>
        <v>14382128.645021319</v>
      </c>
      <c r="EN8" s="23">
        <f>SUM(EB8:EM8)</f>
        <v>200203458.83303261</v>
      </c>
      <c r="EO8" s="23">
        <f>IF(EO$5="Real",INDEX('Informacion de Sam'!$3:$3,MATCH(EO$6,'Informacion de Sam'!$1:$1,0)),EO$7-EO$10)</f>
        <v>18828769.262952521</v>
      </c>
      <c r="EP8" s="23">
        <f>IF(EP$5="Real",INDEX('Informacion de Sam'!$3:$3,MATCH(EP$6,'Informacion de Sam'!$1:$1,0)),EP$7-EP$10)</f>
        <v>26690222.307281613</v>
      </c>
      <c r="EQ8" s="23">
        <f>IF(EQ$5="Real",INDEX('Informacion de Sam'!$3:$3,MATCH(EQ$6,'Informacion de Sam'!$1:$1,0)),EQ$7-EQ$10)</f>
        <v>19154769.435025901</v>
      </c>
      <c r="ER8" s="23">
        <f>IF(ER$5="Real",INDEX('Informacion de Sam'!$3:$3,MATCH(ER$6,'Informacion de Sam'!$1:$1,0)),ER$7-ER$10)</f>
        <v>19595791.9421812</v>
      </c>
      <c r="ES8" s="23">
        <f>IF(ES$5="Real",INDEX('Informacion de Sam'!$3:$3,MATCH(ES$6,'Informacion de Sam'!$1:$1,0)),ES$7-ES$10)</f>
        <v>17240811.165954351</v>
      </c>
      <c r="ET8" s="23">
        <f>IF(ET$5="Real",INDEX('Informacion de Sam'!$3:$3,MATCH(ET$6,'Informacion de Sam'!$1:$1,0)),ET$7-ET$10)</f>
        <v>19716789.114401042</v>
      </c>
      <c r="EU8" s="23">
        <f>IF(EU$5="Real",INDEX('Informacion de Sam'!$3:$3,MATCH(EU$6,'Informacion de Sam'!$1:$1,0)),EU$7-EU$10)</f>
        <v>21282546.90255487</v>
      </c>
      <c r="EV8" s="23">
        <f>IF(EV$5="Real",INDEX('Informacion de Sam'!$3:$3,MATCH(EV$6,'Informacion de Sam'!$1:$1,0)),EV$7-EV$10)</f>
        <v>31981216.645960569</v>
      </c>
      <c r="EW8" s="23">
        <f>IF(EW$5="Real",INDEX('Informacion de Sam'!$3:$3,MATCH(EW$6,'Informacion de Sam'!$1:$1,0)),EW$7-EW$10)</f>
        <v>19519666.0645504</v>
      </c>
      <c r="EX8" s="23">
        <f>IF(EX$5="Real",INDEX('Informacion de Sam'!$3:$3,MATCH(EX$6,'Informacion de Sam'!$1:$1,0)),EX$7-EX$10)</f>
        <v>18843087.911232933</v>
      </c>
      <c r="EY8" s="23">
        <f>IF(EY$5="Real",INDEX('Informacion de Sam'!$3:$3,MATCH(EY$6,'Informacion de Sam'!$1:$1,0)),EY$7-EY$10)</f>
        <v>19422991.98291871</v>
      </c>
      <c r="EZ8" s="23">
        <f>IF(EZ$5="Real",INDEX('Informacion de Sam'!$3:$3,MATCH(EZ$6,'Informacion de Sam'!$1:$1,0)),EZ$7-EZ$10)</f>
        <v>17977660.806276664</v>
      </c>
      <c r="FA8" s="23">
        <f>SUM(EO8:EZ8)</f>
        <v>250254323.54129076</v>
      </c>
      <c r="FB8" s="23">
        <f>IF(FB$5="Real",INDEX('Informacion de Sam'!$3:$3,MATCH(FB$6,'Informacion de Sam'!$1:$1,0)),FB$7-FB$10)</f>
        <v>23535961.578690648</v>
      </c>
      <c r="FC8" s="23">
        <f>IF(FC$5="Real",INDEX('Informacion de Sam'!$3:$3,MATCH(FC$6,'Informacion de Sam'!$1:$1,0)),FC$7-FC$10)</f>
        <v>33362777.884102046</v>
      </c>
      <c r="FD8" s="23">
        <f>IF(FD$5="Real",INDEX('Informacion de Sam'!$3:$3,MATCH(FD$6,'Informacion de Sam'!$1:$1,0)),FD$7-FD$10)</f>
        <v>23943461.793782353</v>
      </c>
      <c r="FE8" s="23">
        <f>IF(FE$5="Real",INDEX('Informacion de Sam'!$3:$3,MATCH(FE$6,'Informacion de Sam'!$1:$1,0)),FE$7-FE$10)</f>
        <v>24494739.927726507</v>
      </c>
      <c r="FF8" s="23">
        <f>IF(FF$5="Real",INDEX('Informacion de Sam'!$3:$3,MATCH(FF$6,'Informacion de Sam'!$1:$1,0)),FF$7-FF$10)</f>
        <v>21551013.957442969</v>
      </c>
      <c r="FG8" s="23">
        <f>IF(FG$5="Real",INDEX('Informacion de Sam'!$3:$3,MATCH(FG$6,'Informacion de Sam'!$1:$1,0)),FG$7-FG$10)</f>
        <v>24645986.393001288</v>
      </c>
      <c r="FH8" s="23">
        <f>IF(FH$5="Real",INDEX('Informacion de Sam'!$3:$3,MATCH(FH$6,'Informacion de Sam'!$1:$1,0)),FH$7-FH$10)</f>
        <v>26603183.628193587</v>
      </c>
      <c r="FI8" s="23">
        <f>IF(FI$5="Real",INDEX('Informacion de Sam'!$3:$3,MATCH(FI$6,'Informacion de Sam'!$1:$1,0)),FI$7-FI$10)</f>
        <v>39976520.807450712</v>
      </c>
      <c r="FJ8" s="23">
        <f>IF(FJ$5="Real",INDEX('Informacion de Sam'!$3:$3,MATCH(FJ$6,'Informacion de Sam'!$1:$1,0)),FJ$7-FJ$10)</f>
        <v>24399582.58068803</v>
      </c>
      <c r="FK8" s="23">
        <f>IF(FK$5="Real",INDEX('Informacion de Sam'!$3:$3,MATCH(FK$6,'Informacion de Sam'!$1:$1,0)),FK$7-FK$10)</f>
        <v>23553859.889041156</v>
      </c>
      <c r="FL8" s="23">
        <f>IF(FL$5="Real",INDEX('Informacion de Sam'!$3:$3,MATCH(FL$6,'Informacion de Sam'!$1:$1,0)),FL$7-FL$10)</f>
        <v>24278739.978648365</v>
      </c>
      <c r="FM8" s="23">
        <f>IF(FM$5="Real",INDEX('Informacion de Sam'!$3:$3,MATCH(FM$6,'Informacion de Sam'!$1:$1,0)),FM$7-FM$10)</f>
        <v>22472076.007845819</v>
      </c>
      <c r="FN8" s="23">
        <f>SUM(FB8:FM8)</f>
        <v>312817904.42661351</v>
      </c>
      <c r="FO8" s="23">
        <f>IF(FO$5="Real",INDEX('Informacion de Sam'!$3:$3,MATCH(FO$6,'Informacion de Sam'!$1:$1,0)),FO$7-FO$10)</f>
        <v>29419951.97336331</v>
      </c>
      <c r="FP8" s="23">
        <f>IF(FP$5="Real",INDEX('Informacion de Sam'!$3:$3,MATCH(FP$6,'Informacion de Sam'!$1:$1,0)),FP$7-FP$10)</f>
        <v>41703472.355127573</v>
      </c>
      <c r="FQ8" s="23">
        <f>IF(FQ$5="Real",INDEX('Informacion de Sam'!$3:$3,MATCH(FQ$6,'Informacion de Sam'!$1:$1,0)),FQ$7-FQ$10)</f>
        <v>29929327.242227942</v>
      </c>
      <c r="FR8" s="23">
        <f>IF(FR$5="Real",INDEX('Informacion de Sam'!$3:$3,MATCH(FR$6,'Informacion de Sam'!$1:$1,0)),FR$7-FR$10)</f>
        <v>30618424.909658104</v>
      </c>
      <c r="FS8" s="23">
        <f>IF(FS$5="Real",INDEX('Informacion de Sam'!$3:$3,MATCH(FS$6,'Informacion de Sam'!$1:$1,0)),FS$7-FS$10)</f>
        <v>26938767.446803689</v>
      </c>
      <c r="FT8" s="23">
        <f>IF(FT$5="Real",INDEX('Informacion de Sam'!$3:$3,MATCH(FT$6,'Informacion de Sam'!$1:$1,0)),FT$7-FT$10)</f>
        <v>30807482.991251618</v>
      </c>
      <c r="FU8" s="23">
        <f>IF(FU$5="Real",INDEX('Informacion de Sam'!$3:$3,MATCH(FU$6,'Informacion de Sam'!$1:$1,0)),FU$7-FU$10)</f>
        <v>33253979.535241991</v>
      </c>
      <c r="FV8" s="23">
        <f>IF(FV$5="Real",INDEX('Informacion de Sam'!$3:$3,MATCH(FV$6,'Informacion de Sam'!$1:$1,0)),FV$7-FV$10)</f>
        <v>49970651.009313405</v>
      </c>
      <c r="FW8" s="23">
        <f>IF(FW$5="Real",INDEX('Informacion de Sam'!$3:$3,MATCH(FW$6,'Informacion de Sam'!$1:$1,0)),FW$7-FW$10)</f>
        <v>30499478.225860029</v>
      </c>
      <c r="FX8" s="23">
        <f>IF(FX$5="Real",INDEX('Informacion de Sam'!$3:$3,MATCH(FX$6,'Informacion de Sam'!$1:$1,0)),FX$7-FX$10)</f>
        <v>29442324.861301452</v>
      </c>
      <c r="FY8" s="23">
        <f>IF(FY$5="Real",INDEX('Informacion de Sam'!$3:$3,MATCH(FY$6,'Informacion de Sam'!$1:$1,0)),FY$7-FY$10)</f>
        <v>30348424.973310471</v>
      </c>
      <c r="FZ8" s="23">
        <f>IF(FZ$5="Real",INDEX('Informacion de Sam'!$3:$3,MATCH(FZ$6,'Informacion de Sam'!$1:$1,0)),FZ$7-FZ$10)</f>
        <v>28090095.009807259</v>
      </c>
      <c r="GA8" s="23">
        <f>SUM(FO8:FZ8)</f>
        <v>391022380.53326678</v>
      </c>
      <c r="GB8" s="23">
        <f>IF(GB$5="Real",INDEX('Informacion de Sam'!$3:$3,MATCH(GB$6,'Informacion de Sam'!$1:$1,0)),GB$7-GB$10)</f>
        <v>36774939.96670413</v>
      </c>
      <c r="GC8" s="23">
        <f>IF(GC$5="Real",INDEX('Informacion de Sam'!$3:$3,MATCH(GC$6,'Informacion de Sam'!$1:$1,0)),GC$7-GC$10)</f>
        <v>52129340.443909407</v>
      </c>
      <c r="GD8" s="23">
        <f>IF(GD$5="Real",INDEX('Informacion de Sam'!$3:$3,MATCH(GD$6,'Informacion de Sam'!$1:$1,0)),GD$7-GD$10)</f>
        <v>37411659.05278495</v>
      </c>
      <c r="GE8" s="23">
        <f>IF(GE$5="Real",INDEX('Informacion de Sam'!$3:$3,MATCH(GE$6,'Informacion de Sam'!$1:$1,0)),GE$7-GE$10)</f>
        <v>38273031.137072623</v>
      </c>
      <c r="GF8" s="23">
        <f>IF(GF$5="Real",INDEX('Informacion de Sam'!$3:$3,MATCH(GF$6,'Informacion de Sam'!$1:$1,0)),GF$7-GF$10)</f>
        <v>33673459.308504611</v>
      </c>
      <c r="GG8" s="23">
        <f>IF(GG$5="Real",INDEX('Informacion de Sam'!$3:$3,MATCH(GG$6,'Informacion de Sam'!$1:$1,0)),GG$7-GG$10)</f>
        <v>38509353.739064515</v>
      </c>
      <c r="GH8" s="23">
        <f>IF(GH$5="Real",INDEX('Informacion de Sam'!$3:$3,MATCH(GH$6,'Informacion de Sam'!$1:$1,0)),GH$7-GH$10)</f>
        <v>41567474.419052482</v>
      </c>
      <c r="GI8" s="23">
        <f>IF(GI$5="Real",INDEX('Informacion de Sam'!$3:$3,MATCH(GI$6,'Informacion de Sam'!$1:$1,0)),GI$7-GI$10)</f>
        <v>62463313.761641741</v>
      </c>
      <c r="GJ8" s="23">
        <f>IF(GJ$5="Real",INDEX('Informacion de Sam'!$3:$3,MATCH(GJ$6,'Informacion de Sam'!$1:$1,0)),GJ$7-GJ$10)</f>
        <v>38124347.782325029</v>
      </c>
      <c r="GK8" s="23">
        <f>IF(GK$5="Real",INDEX('Informacion de Sam'!$3:$3,MATCH(GK$6,'Informacion de Sam'!$1:$1,0)),GK$7-GK$10)</f>
        <v>36802906.076626837</v>
      </c>
      <c r="GL8" s="23">
        <f>IF(GL$5="Real",INDEX('Informacion de Sam'!$3:$3,MATCH(GL$6,'Informacion de Sam'!$1:$1,0)),GL$7-GL$10)</f>
        <v>37935531.216638088</v>
      </c>
      <c r="GM8" s="23">
        <f>IF(GM$5="Real",INDEX('Informacion de Sam'!$3:$3,MATCH(GM$6,'Informacion de Sam'!$1:$1,0)),GM$7-GM$10)</f>
        <v>35112618.762259066</v>
      </c>
      <c r="GN8" s="23">
        <f>SUM(GB8:GM8)</f>
        <v>488777975.66658348</v>
      </c>
      <c r="GO8" s="23">
        <f>IF(GO$5="Real",INDEX('Informacion de Sam'!$3:$3,MATCH(GO$6,'Informacion de Sam'!$1:$1,0)),GO$7-GO$10)</f>
        <v>45968674.958380163</v>
      </c>
      <c r="GP8" s="23">
        <f>IF(GP$5="Real",INDEX('Informacion de Sam'!$3:$3,MATCH(GP$6,'Informacion de Sam'!$1:$1,0)),GP$7-GP$10)</f>
        <v>65161675.554886758</v>
      </c>
      <c r="GQ8" s="23">
        <f>IF(GQ$5="Real",INDEX('Informacion de Sam'!$3:$3,MATCH(GQ$6,'Informacion de Sam'!$1:$1,0)),GQ$7-GQ$10)</f>
        <v>46764573.81598115</v>
      </c>
      <c r="GR8" s="23">
        <f>IF(GR$5="Real",INDEX('Informacion de Sam'!$3:$3,MATCH(GR$6,'Informacion de Sam'!$1:$1,0)),GR$7-GR$10)</f>
        <v>47841288.921340823</v>
      </c>
      <c r="GS8" s="23">
        <f>IF(GS$5="Real",INDEX('Informacion de Sam'!$3:$3,MATCH(GS$6,'Informacion de Sam'!$1:$1,0)),GS$7-GS$10)</f>
        <v>42091824.135630786</v>
      </c>
      <c r="GT8" s="23">
        <f>IF(GT$5="Real",INDEX('Informacion de Sam'!$3:$3,MATCH(GT$6,'Informacion de Sam'!$1:$1,0)),GT$7-GT$10)</f>
        <v>48136692.173830628</v>
      </c>
      <c r="GU8" s="23">
        <f>IF(GU$5="Real",INDEX('Informacion de Sam'!$3:$3,MATCH(GU$6,'Informacion de Sam'!$1:$1,0)),GU$7-GU$10)</f>
        <v>51959343.023815572</v>
      </c>
      <c r="GV8" s="23">
        <f>IF(GV$5="Real",INDEX('Informacion de Sam'!$3:$3,MATCH(GV$6,'Informacion de Sam'!$1:$1,0)),GV$7-GV$10)</f>
        <v>78079142.202052236</v>
      </c>
      <c r="GW8" s="23">
        <f>IF(GW$5="Real",INDEX('Informacion de Sam'!$3:$3,MATCH(GW$6,'Informacion de Sam'!$1:$1,0)),GW$7-GW$10)</f>
        <v>47655434.727906287</v>
      </c>
      <c r="GX8" s="23">
        <f>IF(GX$5="Real",INDEX('Informacion de Sam'!$3:$3,MATCH(GX$6,'Informacion de Sam'!$1:$1,0)),GX$7-GX$10)</f>
        <v>46003632.595783532</v>
      </c>
      <c r="GY8" s="23">
        <f>IF(GY$5="Real",INDEX('Informacion de Sam'!$3:$3,MATCH(GY$6,'Informacion de Sam'!$1:$1,0)),GY$7-GY$10)</f>
        <v>47419414.02079761</v>
      </c>
      <c r="GZ8" s="23">
        <f>IF(GZ$5="Real",INDEX('Informacion de Sam'!$3:$3,MATCH(GZ$6,'Informacion de Sam'!$1:$1,0)),GZ$7-GZ$10)</f>
        <v>43890773.452823877</v>
      </c>
      <c r="HA8" s="23">
        <f>SUM(GO8:GZ8)</f>
        <v>610972469.58322942</v>
      </c>
      <c r="HB8" s="23"/>
      <c r="HC8" s="51">
        <f t="shared" si="0"/>
        <v>33604092.449999988</v>
      </c>
      <c r="HD8" s="51">
        <f t="shared" si="0"/>
        <v>49307960</v>
      </c>
      <c r="HE8" s="51">
        <f t="shared" si="0"/>
        <v>63874598.140000001</v>
      </c>
      <c r="HF8" s="51">
        <f t="shared" si="0"/>
        <v>57675180.110000007</v>
      </c>
      <c r="HG8" s="51">
        <f t="shared" si="0"/>
        <v>76045928.899999991</v>
      </c>
      <c r="HH8" s="51">
        <f t="shared" si="0"/>
        <v>92615426.709999993</v>
      </c>
      <c r="HI8" s="51">
        <f t="shared" si="0"/>
        <v>89829741.208748251</v>
      </c>
      <c r="HJ8" s="51">
        <f t="shared" si="0"/>
        <v>102504170.9225127</v>
      </c>
      <c r="HK8" s="51">
        <f t="shared" si="0"/>
        <v>128130213.65314087</v>
      </c>
      <c r="HL8" s="51">
        <f t="shared" si="0"/>
        <v>160162767.06642604</v>
      </c>
      <c r="HM8" s="51">
        <f t="shared" si="0"/>
        <v>200203458.83303261</v>
      </c>
      <c r="HN8" s="51">
        <f t="shared" si="0"/>
        <v>250254323.54129076</v>
      </c>
      <c r="HO8" s="51">
        <f t="shared" si="0"/>
        <v>312817904.42661351</v>
      </c>
      <c r="HP8" s="51">
        <f t="shared" si="0"/>
        <v>391022380.53326678</v>
      </c>
      <c r="HQ8" s="51">
        <f t="shared" si="0"/>
        <v>488777975.66658348</v>
      </c>
      <c r="HR8" s="51">
        <f t="shared" si="0"/>
        <v>610972469.58322942</v>
      </c>
    </row>
    <row r="9" spans="1:226" x14ac:dyDescent="0.35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</row>
    <row r="10" spans="1:226" x14ac:dyDescent="0.35">
      <c r="A10" s="24" t="s">
        <v>55</v>
      </c>
      <c r="B10" s="29" cm="1">
        <f t="array" ref="B10">IF(B$5="Real",INDEX('Informacion de Sam'!$5:$5,MATCH(B$6,'Informacion de Sam'!$1:$1,0)),INDEX('Supuestos Proyeccion'!$B$20:$M$20,MONTH(B$6))*INDEX('Supuestos Proyeccion'!$C$42:$C$52,B$4-2024))</f>
        <v>29627738</v>
      </c>
      <c r="C10" s="29" cm="1">
        <f t="array" ref="C10">IF(C$5="Real",INDEX('Informacion de Sam'!$5:$5,MATCH(C$6,'Informacion de Sam'!$1:$1,0)),INDEX('Supuestos Proyeccion'!$B$20:$M$20,MONTH(C$6))*INDEX('Supuestos Proyeccion'!$C$42:$C$52,C$4-2024))</f>
        <v>44729547.370000005</v>
      </c>
      <c r="D10" s="29" cm="1">
        <f t="array" ref="D10">IF(D$5="Real",INDEX('Informacion de Sam'!$5:$5,MATCH(D$6,'Informacion de Sam'!$1:$1,0)),INDEX('Supuestos Proyeccion'!$B$20:$M$20,MONTH(D$6))*INDEX('Supuestos Proyeccion'!$C$42:$C$52,D$4-2024))</f>
        <v>29073919.829999998</v>
      </c>
      <c r="E10" s="29" cm="1">
        <f t="array" ref="E10">IF(E$5="Real",INDEX('Informacion de Sam'!$5:$5,MATCH(E$6,'Informacion de Sam'!$1:$1,0)),INDEX('Supuestos Proyeccion'!$B$20:$M$20,MONTH(E$6))*INDEX('Supuestos Proyeccion'!$C$42:$C$52,E$4-2024))</f>
        <v>26448702.529999994</v>
      </c>
      <c r="F10" s="29" cm="1">
        <f t="array" ref="F10">IF(F$5="Real",INDEX('Informacion de Sam'!$5:$5,MATCH(F$6,'Informacion de Sam'!$1:$1,0)),INDEX('Supuestos Proyeccion'!$B$20:$M$20,MONTH(F$6))*INDEX('Supuestos Proyeccion'!$C$42:$C$52,F$4-2024))</f>
        <v>27557156.149999999</v>
      </c>
      <c r="G10" s="29" cm="1">
        <f t="array" ref="G10">IF(G$5="Real",INDEX('Informacion de Sam'!$5:$5,MATCH(G$6,'Informacion de Sam'!$1:$1,0)),INDEX('Supuestos Proyeccion'!$B$20:$M$20,MONTH(G$6))*INDEX('Supuestos Proyeccion'!$C$42:$C$52,G$4-2024))</f>
        <v>29693270.150000006</v>
      </c>
      <c r="H10" s="29" cm="1">
        <f t="array" ref="H10">IF(H$5="Real",INDEX('Informacion de Sam'!$5:$5,MATCH(H$6,'Informacion de Sam'!$1:$1,0)),INDEX('Supuestos Proyeccion'!$B$20:$M$20,MONTH(H$6))*INDEX('Supuestos Proyeccion'!$C$42:$C$52,H$4-2024))</f>
        <v>28830631.199999988</v>
      </c>
      <c r="I10" s="29" cm="1">
        <f t="array" ref="I10">IF(I$5="Real",INDEX('Informacion de Sam'!$5:$5,MATCH(I$6,'Informacion de Sam'!$1:$1,0)),INDEX('Supuestos Proyeccion'!$B$20:$M$20,MONTH(I$6))*INDEX('Supuestos Proyeccion'!$C$42:$C$52,I$4-2024))</f>
        <v>62440523.140000015</v>
      </c>
      <c r="J10" s="29" cm="1">
        <f t="array" ref="J10">IF(J$5="Real",INDEX('Informacion de Sam'!$5:$5,MATCH(J$6,'Informacion de Sam'!$1:$1,0)),INDEX('Supuestos Proyeccion'!$B$20:$M$20,MONTH(J$6))*INDEX('Supuestos Proyeccion'!$C$42:$C$52,J$4-2024))</f>
        <v>30172454.060000002</v>
      </c>
      <c r="K10" s="29" cm="1">
        <f t="array" ref="K10">IF(K$5="Real",INDEX('Informacion de Sam'!$5:$5,MATCH(K$6,'Informacion de Sam'!$1:$1,0)),INDEX('Supuestos Proyeccion'!$B$20:$M$20,MONTH(K$6))*INDEX('Supuestos Proyeccion'!$C$42:$C$52,K$4-2024))</f>
        <v>29798181.829999983</v>
      </c>
      <c r="L10" s="29" cm="1">
        <f t="array" ref="L10">IF(L$5="Real",INDEX('Informacion de Sam'!$5:$5,MATCH(L$6,'Informacion de Sam'!$1:$1,0)),INDEX('Supuestos Proyeccion'!$B$20:$M$20,MONTH(L$6))*INDEX('Supuestos Proyeccion'!$C$42:$C$52,L$4-2024))</f>
        <v>29089014.800000012</v>
      </c>
      <c r="M10" s="29" cm="1">
        <f t="array" ref="M10">IF(M$5="Real",INDEX('Informacion de Sam'!$5:$5,MATCH(M$6,'Informacion de Sam'!$1:$1,0)),INDEX('Supuestos Proyeccion'!$B$20:$M$20,MONTH(M$6))*INDEX('Supuestos Proyeccion'!$C$42:$C$52,M$4-2024))</f>
        <v>36735239.240000002</v>
      </c>
      <c r="N10" s="29">
        <f>SUM(B10:M10)</f>
        <v>404196378.30000001</v>
      </c>
      <c r="O10" s="29" cm="1">
        <f t="array" ref="O10">IF(O$5="Real",INDEX('Informacion de Sam'!$5:$5,MATCH(O$6,'Informacion de Sam'!$1:$1,0)),INDEX('Supuestos Proyeccion'!$B$20:$M$20,MONTH(O$6))*INDEX('Supuestos Proyeccion'!$C$42:$C$52,O$4-2024))</f>
        <v>23973735.800000001</v>
      </c>
      <c r="P10" s="29" cm="1">
        <f t="array" ref="P10">IF(P$5="Real",INDEX('Informacion de Sam'!$5:$5,MATCH(P$6,'Informacion de Sam'!$1:$1,0)),INDEX('Supuestos Proyeccion'!$B$20:$M$20,MONTH(P$6))*INDEX('Supuestos Proyeccion'!$C$42:$C$52,P$4-2024))</f>
        <v>36937103.900000006</v>
      </c>
      <c r="Q10" s="29" cm="1">
        <f t="array" ref="Q10">IF(Q$5="Real",INDEX('Informacion de Sam'!$5:$5,MATCH(Q$6,'Informacion de Sam'!$1:$1,0)),INDEX('Supuestos Proyeccion'!$B$20:$M$20,MONTH(Q$6))*INDEX('Supuestos Proyeccion'!$C$42:$C$52,Q$4-2024))</f>
        <v>39586809.499999993</v>
      </c>
      <c r="R10" s="29" cm="1">
        <f t="array" ref="R10">IF(R$5="Real",INDEX('Informacion de Sam'!$5:$5,MATCH(R$6,'Informacion de Sam'!$1:$1,0)),INDEX('Supuestos Proyeccion'!$B$20:$M$20,MONTH(R$6))*INDEX('Supuestos Proyeccion'!$C$42:$C$52,R$4-2024))</f>
        <v>31654425.040000014</v>
      </c>
      <c r="S10" s="29" cm="1">
        <f t="array" ref="S10">IF(S$5="Real",INDEX('Informacion de Sam'!$5:$5,MATCH(S$6,'Informacion de Sam'!$1:$1,0)),INDEX('Supuestos Proyeccion'!$B$20:$M$20,MONTH(S$6))*INDEX('Supuestos Proyeccion'!$C$42:$C$52,S$4-2024))</f>
        <v>26984812.049999982</v>
      </c>
      <c r="T10" s="29" cm="1">
        <f t="array" ref="T10">IF(T$5="Real",INDEX('Informacion de Sam'!$5:$5,MATCH(T$6,'Informacion de Sam'!$1:$1,0)),INDEX('Supuestos Proyeccion'!$B$20:$M$20,MONTH(T$6))*INDEX('Supuestos Proyeccion'!$C$42:$C$52,T$4-2024))</f>
        <v>34593353.430000015</v>
      </c>
      <c r="U10" s="29" cm="1">
        <f t="array" ref="U10">IF(U$5="Real",INDEX('Informacion de Sam'!$5:$5,MATCH(U$6,'Informacion de Sam'!$1:$1,0)),INDEX('Supuestos Proyeccion'!$B$20:$M$20,MONTH(U$6))*INDEX('Supuestos Proyeccion'!$C$42:$C$52,U$4-2024))</f>
        <v>30106301.759999979</v>
      </c>
      <c r="V10" s="29" cm="1">
        <f t="array" ref="V10">IF(V$5="Real",INDEX('Informacion de Sam'!$5:$5,MATCH(V$6,'Informacion de Sam'!$1:$1,0)),INDEX('Supuestos Proyeccion'!$B$20:$M$20,MONTH(V$6))*INDEX('Supuestos Proyeccion'!$C$42:$C$52,V$4-2024))</f>
        <v>66409700.940000035</v>
      </c>
      <c r="W10" s="29" cm="1">
        <f t="array" ref="W10">IF(W$5="Real",INDEX('Informacion de Sam'!$5:$5,MATCH(W$6,'Informacion de Sam'!$1:$1,0)),INDEX('Supuestos Proyeccion'!$B$20:$M$20,MONTH(W$6))*INDEX('Supuestos Proyeccion'!$C$42:$C$52,W$4-2024))</f>
        <v>31845005.439999998</v>
      </c>
      <c r="X10" s="29" cm="1">
        <f t="array" ref="X10">IF(X$5="Real",INDEX('Informacion de Sam'!$5:$5,MATCH(X$6,'Informacion de Sam'!$1:$1,0)),INDEX('Supuestos Proyeccion'!$B$20:$M$20,MONTH(X$6))*INDEX('Supuestos Proyeccion'!$C$42:$C$52,X$4-2024))</f>
        <v>30027901.209999982</v>
      </c>
      <c r="Y10" s="29" cm="1">
        <f t="array" ref="Y10">IF(Y$5="Real",INDEX('Informacion de Sam'!$5:$5,MATCH(Y$6,'Informacion de Sam'!$1:$1,0)),INDEX('Supuestos Proyeccion'!$B$20:$M$20,MONTH(Y$6))*INDEX('Supuestos Proyeccion'!$C$42:$C$52,Y$4-2024))</f>
        <v>31702612.920000028</v>
      </c>
      <c r="Z10" s="29" cm="1">
        <f t="array" ref="Z10">IF(Z$5="Real",INDEX('Informacion de Sam'!$5:$5,MATCH(Z$6,'Informacion de Sam'!$1:$1,0)),INDEX('Supuestos Proyeccion'!$B$20:$M$20,MONTH(Z$6))*INDEX('Supuestos Proyeccion'!$C$42:$C$52,Z$4-2024))</f>
        <v>33524715.239999987</v>
      </c>
      <c r="AA10" s="29">
        <f>SUM(O10:Z10)</f>
        <v>417346477.23000002</v>
      </c>
      <c r="AB10" s="29" cm="1">
        <f t="array" ref="AB10">IF(AB$5="Real",INDEX('Informacion de Sam'!$5:$5,MATCH(AB$6,'Informacion de Sam'!$1:$1,0)),INDEX('Supuestos Proyeccion'!$B$20:$M$20,MONTH(AB$6))*INDEX('Supuestos Proyeccion'!$C$42:$C$52,AB$4-2024))</f>
        <v>34889656.890000001</v>
      </c>
      <c r="AC10" s="29" cm="1">
        <f t="array" ref="AC10">IF(AC$5="Real",INDEX('Informacion de Sam'!$5:$5,MATCH(AC$6,'Informacion de Sam'!$1:$1,0)),INDEX('Supuestos Proyeccion'!$B$20:$M$20,MONTH(AC$6))*INDEX('Supuestos Proyeccion'!$C$42:$C$52,AC$4-2024))</f>
        <v>62579592.060000002</v>
      </c>
      <c r="AD10" s="29" cm="1">
        <f t="array" ref="AD10">IF(AD$5="Real",INDEX('Informacion de Sam'!$5:$5,MATCH(AD$6,'Informacion de Sam'!$1:$1,0)),INDEX('Supuestos Proyeccion'!$B$20:$M$20,MONTH(AD$6))*INDEX('Supuestos Proyeccion'!$C$42:$C$52,AD$4-2024))</f>
        <v>38977815.979999997</v>
      </c>
      <c r="AE10" s="29" cm="1">
        <f t="array" ref="AE10">IF(AE$5="Real",INDEX('Informacion de Sam'!$5:$5,MATCH(AE$6,'Informacion de Sam'!$1:$1,0)),INDEX('Supuestos Proyeccion'!$B$20:$M$20,MONTH(AE$6))*INDEX('Supuestos Proyeccion'!$C$42:$C$52,AE$4-2024))</f>
        <v>40219575.559999995</v>
      </c>
      <c r="AF10" s="29" cm="1">
        <f t="array" ref="AF10">IF(AF$5="Real",INDEX('Informacion de Sam'!$5:$5,MATCH(AF$6,'Informacion de Sam'!$1:$1,0)),INDEX('Supuestos Proyeccion'!$B$20:$M$20,MONTH(AF$6))*INDEX('Supuestos Proyeccion'!$C$42:$C$52,AF$4-2024))</f>
        <v>40097558.740000002</v>
      </c>
      <c r="AG10" s="29" cm="1">
        <f t="array" ref="AG10">IF(AG$5="Real",INDEX('Informacion de Sam'!$5:$5,MATCH(AG$6,'Informacion de Sam'!$1:$1,0)),INDEX('Supuestos Proyeccion'!$B$20:$M$20,MONTH(AG$6))*INDEX('Supuestos Proyeccion'!$C$42:$C$52,AG$4-2024))</f>
        <v>47953811.979999989</v>
      </c>
      <c r="AH10" s="29" cm="1">
        <f t="array" ref="AH10">IF(AH$5="Real",INDEX('Informacion de Sam'!$5:$5,MATCH(AH$6,'Informacion de Sam'!$1:$1,0)),INDEX('Supuestos Proyeccion'!$B$20:$M$20,MONTH(AH$6))*INDEX('Supuestos Proyeccion'!$C$42:$C$52,AH$4-2024))</f>
        <v>80443744.889999986</v>
      </c>
      <c r="AI10" s="29" cm="1">
        <f t="array" ref="AI10">IF(AI$5="Real",INDEX('Informacion de Sam'!$5:$5,MATCH(AI$6,'Informacion de Sam'!$1:$1,0)),INDEX('Supuestos Proyeccion'!$B$20:$M$20,MONTH(AI$6))*INDEX('Supuestos Proyeccion'!$C$42:$C$52,AI$4-2024))</f>
        <v>47657802.640000015</v>
      </c>
      <c r="AJ10" s="29" cm="1">
        <f t="array" ref="AJ10">IF(AJ$5="Real",INDEX('Informacion de Sam'!$5:$5,MATCH(AJ$6,'Informacion de Sam'!$1:$1,0)),INDEX('Supuestos Proyeccion'!$B$20:$M$20,MONTH(AJ$6))*INDEX('Supuestos Proyeccion'!$C$42:$C$52,AJ$4-2024))</f>
        <v>52235840.080000006</v>
      </c>
      <c r="AK10" s="29" cm="1">
        <f t="array" ref="AK10">IF(AK$5="Real",INDEX('Informacion de Sam'!$5:$5,MATCH(AK$6,'Informacion de Sam'!$1:$1,0)),INDEX('Supuestos Proyeccion'!$B$20:$M$20,MONTH(AK$6))*INDEX('Supuestos Proyeccion'!$C$42:$C$52,AK$4-2024))</f>
        <v>45332456.150000013</v>
      </c>
      <c r="AL10" s="29" cm="1">
        <f t="array" ref="AL10">IF(AL$5="Real",INDEX('Informacion de Sam'!$5:$5,MATCH(AL$6,'Informacion de Sam'!$1:$1,0)),INDEX('Supuestos Proyeccion'!$B$20:$M$20,MONTH(AL$6))*INDEX('Supuestos Proyeccion'!$C$42:$C$52,AL$4-2024))</f>
        <v>42030996.569999993</v>
      </c>
      <c r="AM10" s="29" cm="1">
        <f t="array" ref="AM10">IF(AM$5="Real",INDEX('Informacion de Sam'!$5:$5,MATCH(AM$6,'Informacion de Sam'!$1:$1,0)),INDEX('Supuestos Proyeccion'!$B$20:$M$20,MONTH(AM$6))*INDEX('Supuestos Proyeccion'!$C$42:$C$52,AM$4-2024))</f>
        <v>37190602.969999976</v>
      </c>
      <c r="AN10" s="29">
        <f>SUM(AB10:AM10)</f>
        <v>569609454.50999999</v>
      </c>
      <c r="AO10" s="29" cm="1">
        <f t="array" ref="AO10">IF(AO$5="Real",INDEX('Informacion de Sam'!$5:$5,MATCH(AO$6,'Informacion de Sam'!$1:$1,0)),INDEX('Supuestos Proyeccion'!$B$20:$M$20,MONTH(AO$6))*INDEX('Supuestos Proyeccion'!$C$42:$C$52,AO$4-2024))</f>
        <v>48918619.270000003</v>
      </c>
      <c r="AP10" s="29" cm="1">
        <f t="array" ref="AP10">IF(AP$5="Real",INDEX('Informacion de Sam'!$5:$5,MATCH(AP$6,'Informacion de Sam'!$1:$1,0)),INDEX('Supuestos Proyeccion'!$B$20:$M$20,MONTH(AP$6))*INDEX('Supuestos Proyeccion'!$C$42:$C$52,AP$4-2024))</f>
        <v>65524722.599999994</v>
      </c>
      <c r="AQ10" s="29" cm="1">
        <f t="array" ref="AQ10">IF(AQ$5="Real",INDEX('Informacion de Sam'!$5:$5,MATCH(AQ$6,'Informacion de Sam'!$1:$1,0)),INDEX('Supuestos Proyeccion'!$B$20:$M$20,MONTH(AQ$6))*INDEX('Supuestos Proyeccion'!$C$42:$C$52,AQ$4-2024))</f>
        <v>45884900.949999996</v>
      </c>
      <c r="AR10" s="29" cm="1">
        <f t="array" ref="AR10">IF(AR$5="Real",INDEX('Informacion de Sam'!$5:$5,MATCH(AR$6,'Informacion de Sam'!$1:$1,0)),INDEX('Supuestos Proyeccion'!$B$20:$M$20,MONTH(AR$6))*INDEX('Supuestos Proyeccion'!$C$42:$C$52,AR$4-2024))</f>
        <v>58134959.00999999</v>
      </c>
      <c r="AS10" s="29" cm="1">
        <f t="array" ref="AS10">IF(AS$5="Real",INDEX('Informacion de Sam'!$5:$5,MATCH(AS$6,'Informacion de Sam'!$1:$1,0)),INDEX('Supuestos Proyeccion'!$B$20:$M$20,MONTH(AS$6))*INDEX('Supuestos Proyeccion'!$C$42:$C$52,AS$4-2024))</f>
        <v>44176200.12000002</v>
      </c>
      <c r="AT10" s="29" cm="1">
        <f t="array" ref="AT10">IF(AT$5="Real",INDEX('Informacion de Sam'!$5:$5,MATCH(AT$6,'Informacion de Sam'!$1:$1,0)),INDEX('Supuestos Proyeccion'!$B$20:$M$20,MONTH(AT$6))*INDEX('Supuestos Proyeccion'!$C$42:$C$52,AT$4-2024))</f>
        <v>46196776.589999959</v>
      </c>
      <c r="AU10" s="29" cm="1">
        <f t="array" ref="AU10">IF(AU$5="Real",INDEX('Informacion de Sam'!$5:$5,MATCH(AU$6,'Informacion de Sam'!$1:$1,0)),INDEX('Supuestos Proyeccion'!$B$20:$M$20,MONTH(AU$6))*INDEX('Supuestos Proyeccion'!$C$42:$C$52,AU$4-2024))</f>
        <v>40901864.270000055</v>
      </c>
      <c r="AV10" s="29" cm="1">
        <f t="array" ref="AV10">IF(AV$5="Real",INDEX('Informacion de Sam'!$5:$5,MATCH(AV$6,'Informacion de Sam'!$1:$1,0)),INDEX('Supuestos Proyeccion'!$B$20:$M$20,MONTH(AV$6))*INDEX('Supuestos Proyeccion'!$C$42:$C$52,AV$4-2024))</f>
        <v>82662929.159999952</v>
      </c>
      <c r="AW10" s="29" cm="1">
        <f t="array" ref="AW10">IF(AW$5="Real",INDEX('Informacion de Sam'!$5:$5,MATCH(AW$6,'Informacion de Sam'!$1:$1,0)),INDEX('Supuestos Proyeccion'!$B$20:$M$20,MONTH(AW$6))*INDEX('Supuestos Proyeccion'!$C$42:$C$52,AW$4-2024))</f>
        <v>43092871.189999998</v>
      </c>
      <c r="AX10" s="29" cm="1">
        <f t="array" ref="AX10">IF(AX$5="Real",INDEX('Informacion de Sam'!$5:$5,MATCH(AX$6,'Informacion de Sam'!$1:$1,0)),INDEX('Supuestos Proyeccion'!$B$20:$M$20,MONTH(AX$6))*INDEX('Supuestos Proyeccion'!$C$42:$C$52,AX$4-2024))</f>
        <v>41959254.350000024</v>
      </c>
      <c r="AY10" s="29" cm="1">
        <f t="array" ref="AY10">IF(AY$5="Real",INDEX('Informacion de Sam'!$5:$5,MATCH(AY$6,'Informacion de Sam'!$1:$1,0)),INDEX('Supuestos Proyeccion'!$B$20:$M$20,MONTH(AY$6))*INDEX('Supuestos Proyeccion'!$C$42:$C$52,AY$4-2024))</f>
        <v>52642884.170000009</v>
      </c>
      <c r="AZ10" s="29" cm="1">
        <f t="array" ref="AZ10">IF(AZ$5="Real",INDEX('Informacion de Sam'!$5:$5,MATCH(AZ$6,'Informacion de Sam'!$1:$1,0)),INDEX('Supuestos Proyeccion'!$B$20:$M$20,MONTH(AZ$6))*INDEX('Supuestos Proyeccion'!$C$42:$C$52,AZ$4-2024))</f>
        <v>49100885.790000036</v>
      </c>
      <c r="BA10" s="29">
        <f>SUM(AO10:AZ10)</f>
        <v>619196867.47000003</v>
      </c>
      <c r="BB10" s="29" cm="1">
        <f t="array" ref="BB10">IF(BB$5="Real",INDEX('Informacion de Sam'!$5:$5,MATCH(BB$6,'Informacion de Sam'!$1:$1,0)),INDEX('Supuestos Proyeccion'!$B$20:$M$20,MONTH(BB$6))*INDEX('Supuestos Proyeccion'!$C$42:$C$52,BB$4-2024))</f>
        <v>51372746.990000002</v>
      </c>
      <c r="BC10" s="29" cm="1">
        <f t="array" ref="BC10">IF(BC$5="Real",INDEX('Informacion de Sam'!$5:$5,MATCH(BC$6,'Informacion de Sam'!$1:$1,0)),INDEX('Supuestos Proyeccion'!$B$20:$M$20,MONTH(BC$6))*INDEX('Supuestos Proyeccion'!$C$42:$C$52,BC$4-2024))</f>
        <v>76587478.100000009</v>
      </c>
      <c r="BD10" s="29" cm="1">
        <f t="array" ref="BD10">IF(BD$5="Real",INDEX('Informacion de Sam'!$5:$5,MATCH(BD$6,'Informacion de Sam'!$1:$1,0)),INDEX('Supuestos Proyeccion'!$B$20:$M$20,MONTH(BD$6))*INDEX('Supuestos Proyeccion'!$C$42:$C$52,BD$4-2024))</f>
        <v>46334676.490000002</v>
      </c>
      <c r="BE10" s="29" cm="1">
        <f t="array" ref="BE10">IF(BE$5="Real",INDEX('Informacion de Sam'!$5:$5,MATCH(BE$6,'Informacion de Sam'!$1:$1,0)),INDEX('Supuestos Proyeccion'!$B$20:$M$20,MONTH(BE$6))*INDEX('Supuestos Proyeccion'!$C$42:$C$52,BE$4-2024))</f>
        <v>59222764.569999993</v>
      </c>
      <c r="BF10" s="29" cm="1">
        <f t="array" ref="BF10">IF(BF$5="Real",INDEX('Informacion de Sam'!$5:$5,MATCH(BF$6,'Informacion de Sam'!$1:$1,0)),INDEX('Supuestos Proyeccion'!$B$20:$M$20,MONTH(BF$6))*INDEX('Supuestos Proyeccion'!$C$42:$C$52,BF$4-2024))</f>
        <v>45368141.449999973</v>
      </c>
      <c r="BG10" s="29" cm="1">
        <f t="array" ref="BG10">IF(BG$5="Real",INDEX('Informacion de Sam'!$5:$5,MATCH(BG$6,'Informacion de Sam'!$1:$1,0)),INDEX('Supuestos Proyeccion'!$B$20:$M$20,MONTH(BG$6))*INDEX('Supuestos Proyeccion'!$C$42:$C$52,BG$4-2024))</f>
        <v>52371016.730000004</v>
      </c>
      <c r="BH10" s="29" cm="1">
        <f t="array" ref="BH10">IF(BH$5="Real",INDEX('Informacion de Sam'!$5:$5,MATCH(BH$6,'Informacion de Sam'!$1:$1,0)),INDEX('Supuestos Proyeccion'!$B$20:$M$20,MONTH(BH$6))*INDEX('Supuestos Proyeccion'!$C$42:$C$52,BH$4-2024))</f>
        <v>51148104.030000016</v>
      </c>
      <c r="BI10" s="29" cm="1">
        <f t="array" ref="BI10">IF(BI$5="Real",INDEX('Informacion de Sam'!$5:$5,MATCH(BI$6,'Informacion de Sam'!$1:$1,0)),INDEX('Supuestos Proyeccion'!$B$20:$M$20,MONTH(BI$6))*INDEX('Supuestos Proyeccion'!$C$42:$C$52,BI$4-2024))</f>
        <v>105052378.89</v>
      </c>
      <c r="BJ10" s="29" cm="1">
        <f t="array" ref="BJ10">IF(BJ$5="Real",INDEX('Informacion de Sam'!$5:$5,MATCH(BJ$6,'Informacion de Sam'!$1:$1,0)),INDEX('Supuestos Proyeccion'!$B$20:$M$20,MONTH(BJ$6))*INDEX('Supuestos Proyeccion'!$C$42:$C$52,BJ$4-2024))</f>
        <v>48753592.24999997</v>
      </c>
      <c r="BK10" s="29" cm="1">
        <f t="array" ref="BK10">IF(BK$5="Real",INDEX('Informacion de Sam'!$5:$5,MATCH(BK$6,'Informacion de Sam'!$1:$1,0)),INDEX('Supuestos Proyeccion'!$B$20:$M$20,MONTH(BK$6))*INDEX('Supuestos Proyeccion'!$C$42:$C$52,BK$4-2024))</f>
        <v>60297099.719999999</v>
      </c>
      <c r="BL10" s="29" cm="1">
        <f t="array" ref="BL10">IF(BL$5="Real",INDEX('Informacion de Sam'!$5:$5,MATCH(BL$6,'Informacion de Sam'!$1:$1,0)),INDEX('Supuestos Proyeccion'!$B$20:$M$20,MONTH(BL$6))*INDEX('Supuestos Proyeccion'!$C$42:$C$52,BL$4-2024))</f>
        <v>62096385.579999976</v>
      </c>
      <c r="BM10" s="29" cm="1">
        <f t="array" ref="BM10">IF(BM$5="Real",INDEX('Informacion de Sam'!$5:$5,MATCH(BM$6,'Informacion de Sam'!$1:$1,0)),INDEX('Supuestos Proyeccion'!$B$20:$M$20,MONTH(BM$6))*INDEX('Supuestos Proyeccion'!$C$42:$C$52,BM$4-2024))</f>
        <v>40277437.820000045</v>
      </c>
      <c r="BN10" s="29">
        <f>SUM(BB10:BM10)</f>
        <v>698881822.62</v>
      </c>
      <c r="BO10" s="29" cm="1">
        <f t="array" ref="BO10">IF(BO$5="Real",INDEX('Informacion de Sam'!$5:$5,MATCH(BO$6,'Informacion de Sam'!$1:$1,0)),INDEX('Supuestos Proyeccion'!$B$20:$M$20,MONTH(BO$6))*INDEX('Supuestos Proyeccion'!$C$42:$C$52,BO$4-2024))</f>
        <v>71491492.390000001</v>
      </c>
      <c r="BP10" s="29" cm="1">
        <f t="array" ref="BP10">IF(BP$5="Real",INDEX('Informacion de Sam'!$5:$5,MATCH(BP$6,'Informacion de Sam'!$1:$1,0)),INDEX('Supuestos Proyeccion'!$B$20:$M$20,MONTH(BP$6))*INDEX('Supuestos Proyeccion'!$C$42:$C$52,BP$4-2024))</f>
        <v>77207834.909999996</v>
      </c>
      <c r="BQ10" s="29" cm="1">
        <f t="array" ref="BQ10">IF(BQ$5="Real",INDEX('Informacion de Sam'!$5:$5,MATCH(BQ$6,'Informacion de Sam'!$1:$1,0)),INDEX('Supuestos Proyeccion'!$B$20:$M$20,MONTH(BQ$6))*INDEX('Supuestos Proyeccion'!$C$42:$C$52,BQ$4-2024))</f>
        <v>55917499.480000019</v>
      </c>
      <c r="BR10" s="29" cm="1">
        <f t="array" ref="BR10">IF(BR$5="Real",INDEX('Informacion de Sam'!$5:$5,MATCH(BR$6,'Informacion de Sam'!$1:$1,0)),INDEX('Supuestos Proyeccion'!$B$20:$M$20,MONTH(BR$6))*INDEX('Supuestos Proyeccion'!$C$42:$C$52,BR$4-2024))</f>
        <v>53022803.249999985</v>
      </c>
      <c r="BS10" s="29" cm="1">
        <f t="array" ref="BS10">IF(BS$5="Real",INDEX('Informacion de Sam'!$5:$5,MATCH(BS$6,'Informacion de Sam'!$1:$1,0)),INDEX('Supuestos Proyeccion'!$B$20:$M$20,MONTH(BS$6))*INDEX('Supuestos Proyeccion'!$C$42:$C$52,BS$4-2024))</f>
        <v>49389487.759999976</v>
      </c>
      <c r="BT10" s="29" cm="1">
        <f t="array" ref="BT10">IF(BT$5="Real",INDEX('Informacion de Sam'!$5:$5,MATCH(BT$6,'Informacion de Sam'!$1:$1,0)),INDEX('Supuestos Proyeccion'!$B$20:$M$20,MONTH(BT$6))*INDEX('Supuestos Proyeccion'!$C$42:$C$52,BT$4-2024))</f>
        <v>55254411.730000041</v>
      </c>
      <c r="BU10" s="29" cm="1">
        <f t="array" ref="BU10">IF(BU$5="Real",INDEX('Informacion de Sam'!$5:$5,MATCH(BU$6,'Informacion de Sam'!$1:$1,0)),INDEX('Supuestos Proyeccion'!$B$20:$M$20,MONTH(BU$6))*INDEX('Supuestos Proyeccion'!$C$42:$C$52,BU$4-2024))</f>
        <v>57720046.99999997</v>
      </c>
      <c r="BV10" s="29" cm="1">
        <f t="array" ref="BV10">IF(BV$5="Real",INDEX('Informacion de Sam'!$5:$5,MATCH(BV$6,'Informacion de Sam'!$1:$1,0)),INDEX('Supuestos Proyeccion'!$B$20:$M$20,MONTH(BV$6))*INDEX('Supuestos Proyeccion'!$C$42:$C$52,BV$4-2024))</f>
        <v>57288065.00000003</v>
      </c>
      <c r="BW10" s="29" cm="1">
        <f t="array" ref="BW10">IF(BW$5="Real",INDEX('Informacion de Sam'!$5:$5,MATCH(BW$6,'Informacion de Sam'!$1:$1,0)),INDEX('Supuestos Proyeccion'!$B$20:$M$20,MONTH(BW$6))*INDEX('Supuestos Proyeccion'!$C$42:$C$52,BW$4-2024))</f>
        <v>57490884.769999988</v>
      </c>
      <c r="BX10" s="29" cm="1">
        <f t="array" ref="BX10">IF(BX$5="Real",INDEX('Informacion de Sam'!$5:$5,MATCH(BX$6,'Informacion de Sam'!$1:$1,0)),INDEX('Supuestos Proyeccion'!$B$20:$M$20,MONTH(BX$6))*INDEX('Supuestos Proyeccion'!$C$42:$C$52,BX$4-2024))</f>
        <v>48459095.070000045</v>
      </c>
      <c r="BY10" s="29" cm="1">
        <f t="array" ref="BY10">IF(BY$5="Real",INDEX('Informacion de Sam'!$5:$5,MATCH(BY$6,'Informacion de Sam'!$1:$1,0)),INDEX('Supuestos Proyeccion'!$B$20:$M$20,MONTH(BY$6))*INDEX('Supuestos Proyeccion'!$C$42:$C$52,BY$4-2024))</f>
        <v>46862970.679999948</v>
      </c>
      <c r="BZ10" s="29" cm="1">
        <f t="array" ref="BZ10">IF(BZ$5="Real",INDEX('Informacion de Sam'!$5:$5,MATCH(BZ$6,'Informacion de Sam'!$1:$1,0)),INDEX('Supuestos Proyeccion'!$B$20:$M$20,MONTH(BZ$6))*INDEX('Supuestos Proyeccion'!$C$42:$C$52,BZ$4-2024))</f>
        <v>38506750.280000061</v>
      </c>
      <c r="CA10" s="29">
        <f>SUM(BO10:BZ10)</f>
        <v>668611342.32000005</v>
      </c>
      <c r="CB10" s="29" cm="1">
        <f t="array" ref="CB10">IF(CB$5="Real",INDEX('Informacion de Sam'!$5:$5,MATCH(CB$6,'Informacion de Sam'!$1:$1,0)),INDEX('Supuestos Proyeccion'!$B$20:$M$20,MONTH(CB$6))*INDEX('Supuestos Proyeccion'!$C$42:$C$52,CB$4-2024))</f>
        <v>51192513.380000003</v>
      </c>
      <c r="CC10" s="29" cm="1">
        <f t="array" ref="CC10">IF(CC$5="Real",INDEX('Informacion de Sam'!$5:$5,MATCH(CC$6,'Informacion de Sam'!$1:$1,0)),INDEX('Supuestos Proyeccion'!$B$20:$M$20,MONTH(CC$6))*INDEX('Supuestos Proyeccion'!$C$42:$C$52,CC$4-2024))</f>
        <v>74115586.00999999</v>
      </c>
      <c r="CD10" s="29" cm="1">
        <f t="array" ref="CD10">IF(CD$5="Real",INDEX('Informacion de Sam'!$5:$5,MATCH(CD$6,'Informacion de Sam'!$1:$1,0)),INDEX('Supuestos Proyeccion'!$B$20:$M$20,MONTH(CD$6))*INDEX('Supuestos Proyeccion'!$C$42:$C$52,CD$4-2024))</f>
        <v>62495809.570000008</v>
      </c>
      <c r="CE10" s="29" cm="1">
        <f t="array" ref="CE10">IF(CE$5="Real",INDEX('Informacion de Sam'!$5:$5,MATCH(CE$6,'Informacion de Sam'!$1:$1,0)),INDEX('Supuestos Proyeccion'!$B$20:$M$20,MONTH(CE$6))*INDEX('Supuestos Proyeccion'!$C$42:$C$52,CE$4-2024))</f>
        <v>41426154.559999995</v>
      </c>
      <c r="CF10" s="29" cm="1">
        <f t="array" ref="CF10">IF(CF$5="Real",INDEX('Informacion de Sam'!$5:$5,MATCH(CF$6,'Informacion de Sam'!$1:$1,0)),INDEX('Supuestos Proyeccion'!$B$20:$M$20,MONTH(CF$6))*INDEX('Supuestos Proyeccion'!$C$42:$C$52,CF$4-2024))</f>
        <v>40376473.680000007</v>
      </c>
      <c r="CG10" s="29" cm="1">
        <f t="array" ref="CG10">IF(CG$5="Real",INDEX('Informacion de Sam'!$5:$5,MATCH(CG$6,'Informacion de Sam'!$1:$1,0)),INDEX('Supuestos Proyeccion'!$B$20:$M$20,MONTH(CG$6))*INDEX('Supuestos Proyeccion'!$C$42:$C$52,CG$4-2024))</f>
        <v>42708705.130000025</v>
      </c>
      <c r="CH10" s="29" cm="1">
        <f t="array" ref="CH10">IF(CH$5="Real",INDEX('Informacion de Sam'!$5:$5,MATCH(CH$6,'Informacion de Sam'!$1:$1,0)),INDEX('Supuestos Proyeccion'!$B$20:$M$20,MONTH(CH$6))*INDEX('Supuestos Proyeccion'!$C$42:$C$52,CH$4-2024))</f>
        <v>46133198.189999983</v>
      </c>
      <c r="CI10" s="29" cm="1">
        <f t="array" ref="CI10">IF(CI$5="Real",INDEX('Informacion de Sam'!$5:$5,MATCH(CI$6,'Informacion de Sam'!$1:$1,0)),INDEX('Supuestos Proyeccion'!$B$20:$M$20,MONTH(CI$6))*INDEX('Supuestos Proyeccion'!$C$42:$C$52,CI$4-2024))</f>
        <v>46092040.030000016</v>
      </c>
      <c r="CJ10" s="29" cm="1">
        <f t="array" ref="CJ10">IF(CJ$5="Real",INDEX('Informacion de Sam'!$5:$5,MATCH(CJ$6,'Informacion de Sam'!$1:$1,0)),INDEX('Supuestos Proyeccion'!$B$20:$M$20,MONTH(CJ$6))*INDEX('Supuestos Proyeccion'!$C$42:$C$52,CJ$4-2024))</f>
        <v>45254476.484020263</v>
      </c>
      <c r="CK10" s="29" cm="1">
        <f t="array" ref="CK10">IF(CK$5="Real",INDEX('Informacion de Sam'!$5:$5,MATCH(CK$6,'Informacion de Sam'!$1:$1,0)),INDEX('Supuestos Proyeccion'!$B$20:$M$20,MONTH(CK$6))*INDEX('Supuestos Proyeccion'!$C$42:$C$52,CK$4-2024))</f>
        <v>43685894.827569</v>
      </c>
      <c r="CL10" s="29" cm="1">
        <f t="array" ref="CL10">IF(CL$5="Real",INDEX('Informacion de Sam'!$5:$5,MATCH(CL$6,'Informacion de Sam'!$1:$1,0)),INDEX('Supuestos Proyeccion'!$B$20:$M$20,MONTH(CL$6))*INDEX('Supuestos Proyeccion'!$C$42:$C$52,CL$4-2024))</f>
        <v>45030346.883680336</v>
      </c>
      <c r="CM10" s="29" cm="1">
        <f t="array" ref="CM10">IF(CM$5="Real",INDEX('Informacion de Sam'!$5:$5,MATCH(CM$6,'Informacion de Sam'!$1:$1,0)),INDEX('Supuestos Proyeccion'!$B$20:$M$20,MONTH(CM$6))*INDEX('Supuestos Proyeccion'!$C$42:$C$52,CM$4-2024))</f>
        <v>41679484.961725853</v>
      </c>
      <c r="CN10" s="29">
        <f>SUM(CB10:CM10)</f>
        <v>580190683.70699549</v>
      </c>
      <c r="CO10" s="29" cm="1">
        <f t="array" ref="CO10">IF(CO$5="Real",INDEX('Informacion de Sam'!$5:$5,MATCH(CO$6,'Informacion de Sam'!$1:$1,0)),INDEX('Supuestos Proyeccion'!$B$20:$M$20,MONTH(CO$6))*INDEX('Supuestos Proyeccion'!$C$42:$C$52,CO$4-2024))</f>
        <v>54565873.015932269</v>
      </c>
      <c r="CP10" s="29" cm="1">
        <f t="array" ref="CP10">IF(CP$5="Real",INDEX('Informacion de Sam'!$5:$5,MATCH(CP$6,'Informacion de Sam'!$1:$1,0)),INDEX('Supuestos Proyeccion'!$B$20:$M$20,MONTH(CP$6))*INDEX('Supuestos Proyeccion'!$C$42:$C$52,CP$4-2024))</f>
        <v>77348405.562104151</v>
      </c>
      <c r="CQ10" s="29" cm="1">
        <f t="array" ref="CQ10">IF(CQ$5="Real",INDEX('Informacion de Sam'!$5:$5,MATCH(CQ$6,'Informacion de Sam'!$1:$1,0)),INDEX('Supuestos Proyeccion'!$B$20:$M$20,MONTH(CQ$6))*INDEX('Supuestos Proyeccion'!$C$42:$C$52,CQ$4-2024))</f>
        <v>55510623.240660369</v>
      </c>
      <c r="CR10" s="29" cm="1">
        <f t="array" ref="CR10">IF(CR$5="Real",INDEX('Informacion de Sam'!$5:$5,MATCH(CR$6,'Informacion de Sam'!$1:$1,0)),INDEX('Supuestos Proyeccion'!$B$20:$M$20,MONTH(CR$6))*INDEX('Supuestos Proyeccion'!$C$42:$C$52,CR$4-2024))</f>
        <v>56788708.801459827</v>
      </c>
      <c r="CS10" s="29" cm="1">
        <f t="array" ref="CS10">IF(CS$5="Real",INDEX('Informacion de Sam'!$5:$5,MATCH(CS$6,'Informacion de Sam'!$1:$1,0)),INDEX('Supuestos Proyeccion'!$B$20:$M$20,MONTH(CS$6))*INDEX('Supuestos Proyeccion'!$C$42:$C$52,CS$4-2024))</f>
        <v>49963962.043136418</v>
      </c>
      <c r="CT10" s="29" cm="1">
        <f t="array" ref="CT10">IF(CT$5="Real",INDEX('Informacion de Sam'!$5:$5,MATCH(CT$6,'Informacion de Sam'!$1:$1,0)),INDEX('Supuestos Proyeccion'!$B$20:$M$20,MONTH(CT$6))*INDEX('Supuestos Proyeccion'!$C$42:$C$52,CT$4-2024))</f>
        <v>57139359.247191578</v>
      </c>
      <c r="CU10" s="29" cm="1">
        <f t="array" ref="CU10">IF(CU$5="Real",INDEX('Informacion de Sam'!$5:$5,MATCH(CU$6,'Informacion de Sam'!$1:$1,0)),INDEX('Supuestos Proyeccion'!$B$20:$M$20,MONTH(CU$6))*INDEX('Supuestos Proyeccion'!$C$42:$C$52,CU$4-2024))</f>
        <v>61676933.607413553</v>
      </c>
      <c r="CV10" s="29" cm="1">
        <f t="array" ref="CV10">IF(CV$5="Real",INDEX('Informacion de Sam'!$5:$5,MATCH(CV$6,'Informacion de Sam'!$1:$1,0)),INDEX('Supuestos Proyeccion'!$B$20:$M$20,MONTH(CV$6))*INDEX('Supuestos Proyeccion'!$C$42:$C$52,CV$4-2024))</f>
        <v>92681735.169601843</v>
      </c>
      <c r="CW10" s="29" cm="1">
        <f t="array" ref="CW10">IF(CW$5="Real",INDEX('Informacion de Sam'!$5:$5,MATCH(CW$6,'Informacion de Sam'!$1:$1,0)),INDEX('Supuestos Proyeccion'!$B$20:$M$20,MONTH(CW$6))*INDEX('Supuestos Proyeccion'!$C$42:$C$52,CW$4-2024))</f>
        <v>56568095.605025329</v>
      </c>
      <c r="CX10" s="29" cm="1">
        <f t="array" ref="CX10">IF(CX$5="Real",INDEX('Informacion de Sam'!$5:$5,MATCH(CX$6,'Informacion de Sam'!$1:$1,0)),INDEX('Supuestos Proyeccion'!$B$20:$M$20,MONTH(CX$6))*INDEX('Supuestos Proyeccion'!$C$42:$C$52,CX$4-2024))</f>
        <v>54607368.534461245</v>
      </c>
      <c r="CY10" s="29" cm="1">
        <f t="array" ref="CY10">IF(CY$5="Real",INDEX('Informacion de Sam'!$5:$5,MATCH(CY$6,'Informacion de Sam'!$1:$1,0)),INDEX('Supuestos Proyeccion'!$B$20:$M$20,MONTH(CY$6))*INDEX('Supuestos Proyeccion'!$C$42:$C$52,CY$4-2024))</f>
        <v>56287933.604600422</v>
      </c>
      <c r="CZ10" s="29" cm="1">
        <f t="array" ref="CZ10">IF(CZ$5="Real",INDEX('Informacion de Sam'!$5:$5,MATCH(CZ$6,'Informacion de Sam'!$1:$1,0)),INDEX('Supuestos Proyeccion'!$B$20:$M$20,MONTH(CZ$6))*INDEX('Supuestos Proyeccion'!$C$42:$C$52,CZ$4-2024))</f>
        <v>52099356.202157319</v>
      </c>
      <c r="DA10" s="29">
        <f>SUM(CO10:CZ10)</f>
        <v>725238354.63374424</v>
      </c>
      <c r="DB10" s="29" cm="1">
        <f t="array" ref="DB10">IF(DB$5="Real",INDEX('Informacion de Sam'!$5:$5,MATCH(DB$6,'Informacion de Sam'!$1:$1,0)),INDEX('Supuestos Proyeccion'!$B$20:$M$20,MONTH(DB$6))*INDEX('Supuestos Proyeccion'!$C$42:$C$52,DB$4-2024))</f>
        <v>68207341.269915342</v>
      </c>
      <c r="DC10" s="29" cm="1">
        <f t="array" ref="DC10">IF(DC$5="Real",INDEX('Informacion de Sam'!$5:$5,MATCH(DC$6,'Informacion de Sam'!$1:$1,0)),INDEX('Supuestos Proyeccion'!$B$20:$M$20,MONTH(DC$6))*INDEX('Supuestos Proyeccion'!$C$42:$C$52,DC$4-2024))</f>
        <v>96685506.952630192</v>
      </c>
      <c r="DD10" s="29" cm="1">
        <f t="array" ref="DD10">IF(DD$5="Real",INDEX('Informacion de Sam'!$5:$5,MATCH(DD$6,'Informacion de Sam'!$1:$1,0)),INDEX('Supuestos Proyeccion'!$B$20:$M$20,MONTH(DD$6))*INDEX('Supuestos Proyeccion'!$C$42:$C$52,DD$4-2024))</f>
        <v>69388279.050825462</v>
      </c>
      <c r="DE10" s="29" cm="1">
        <f t="array" ref="DE10">IF(DE$5="Real",INDEX('Informacion de Sam'!$5:$5,MATCH(DE$6,'Informacion de Sam'!$1:$1,0)),INDEX('Supuestos Proyeccion'!$B$20:$M$20,MONTH(DE$6))*INDEX('Supuestos Proyeccion'!$C$42:$C$52,DE$4-2024))</f>
        <v>70985886.001824781</v>
      </c>
      <c r="DF10" s="29" cm="1">
        <f t="array" ref="DF10">IF(DF$5="Real",INDEX('Informacion de Sam'!$5:$5,MATCH(DF$6,'Informacion de Sam'!$1:$1,0)),INDEX('Supuestos Proyeccion'!$B$20:$M$20,MONTH(DF$6))*INDEX('Supuestos Proyeccion'!$C$42:$C$52,DF$4-2024))</f>
        <v>62454952.553920522</v>
      </c>
      <c r="DG10" s="29" cm="1">
        <f t="array" ref="DG10">IF(DG$5="Real",INDEX('Informacion de Sam'!$5:$5,MATCH(DG$6,'Informacion de Sam'!$1:$1,0)),INDEX('Supuestos Proyeccion'!$B$20:$M$20,MONTH(DG$6))*INDEX('Supuestos Proyeccion'!$C$42:$C$52,DG$4-2024))</f>
        <v>71424199.058989465</v>
      </c>
      <c r="DH10" s="29" cm="1">
        <f t="array" ref="DH10">IF(DH$5="Real",INDEX('Informacion de Sam'!$5:$5,MATCH(DH$6,'Informacion de Sam'!$1:$1,0)),INDEX('Supuestos Proyeccion'!$B$20:$M$20,MONTH(DH$6))*INDEX('Supuestos Proyeccion'!$C$42:$C$52,DH$4-2024))</f>
        <v>77096167.009266943</v>
      </c>
      <c r="DI10" s="29" cm="1">
        <f t="array" ref="DI10">IF(DI$5="Real",INDEX('Informacion de Sam'!$5:$5,MATCH(DI$6,'Informacion de Sam'!$1:$1,0)),INDEX('Supuestos Proyeccion'!$B$20:$M$20,MONTH(DI$6))*INDEX('Supuestos Proyeccion'!$C$42:$C$52,DI$4-2024))</f>
        <v>115852168.96200231</v>
      </c>
      <c r="DJ10" s="29" cm="1">
        <f t="array" ref="DJ10">IF(DJ$5="Real",INDEX('Informacion de Sam'!$5:$5,MATCH(DJ$6,'Informacion de Sam'!$1:$1,0)),INDEX('Supuestos Proyeccion'!$B$20:$M$20,MONTH(DJ$6))*INDEX('Supuestos Proyeccion'!$C$42:$C$52,DJ$4-2024))</f>
        <v>70710119.506281659</v>
      </c>
      <c r="DK10" s="29" cm="1">
        <f t="array" ref="DK10">IF(DK$5="Real",INDEX('Informacion de Sam'!$5:$5,MATCH(DK$6,'Informacion de Sam'!$1:$1,0)),INDEX('Supuestos Proyeccion'!$B$20:$M$20,MONTH(DK$6))*INDEX('Supuestos Proyeccion'!$C$42:$C$52,DK$4-2024))</f>
        <v>68259210.66807656</v>
      </c>
      <c r="DL10" s="29" cm="1">
        <f t="array" ref="DL10">IF(DL$5="Real",INDEX('Informacion de Sam'!$5:$5,MATCH(DL$6,'Informacion de Sam'!$1:$1,0)),INDEX('Supuestos Proyeccion'!$B$20:$M$20,MONTH(DL$6))*INDEX('Supuestos Proyeccion'!$C$42:$C$52,DL$4-2024))</f>
        <v>70359917.005750522</v>
      </c>
      <c r="DM10" s="29" cm="1">
        <f t="array" ref="DM10">IF(DM$5="Real",INDEX('Informacion de Sam'!$5:$5,MATCH(DM$6,'Informacion de Sam'!$1:$1,0)),INDEX('Supuestos Proyeccion'!$B$20:$M$20,MONTH(DM$6))*INDEX('Supuestos Proyeccion'!$C$42:$C$52,DM$4-2024))</f>
        <v>65124195.252696648</v>
      </c>
      <c r="DN10" s="29">
        <f>SUM(DB10:DM10)</f>
        <v>906547943.2921803</v>
      </c>
      <c r="DO10" s="29" cm="1">
        <f t="array" ref="DO10">IF(DO$5="Real",INDEX('Informacion de Sam'!$5:$5,MATCH(DO$6,'Informacion de Sam'!$1:$1,0)),INDEX('Supuestos Proyeccion'!$B$20:$M$20,MONTH(DO$6))*INDEX('Supuestos Proyeccion'!$C$42:$C$52,DO$4-2024))</f>
        <v>85259176.587394178</v>
      </c>
      <c r="DP10" s="29" cm="1">
        <f t="array" ref="DP10">IF(DP$5="Real",INDEX('Informacion de Sam'!$5:$5,MATCH(DP$6,'Informacion de Sam'!$1:$1,0)),INDEX('Supuestos Proyeccion'!$B$20:$M$20,MONTH(DP$6))*INDEX('Supuestos Proyeccion'!$C$42:$C$52,DP$4-2024))</f>
        <v>120856883.69078775</v>
      </c>
      <c r="DQ10" s="29" cm="1">
        <f t="array" ref="DQ10">IF(DQ$5="Real",INDEX('Informacion de Sam'!$5:$5,MATCH(DQ$6,'Informacion de Sam'!$1:$1,0)),INDEX('Supuestos Proyeccion'!$B$20:$M$20,MONTH(DQ$6))*INDEX('Supuestos Proyeccion'!$C$42:$C$52,DQ$4-2024))</f>
        <v>86735348.813531816</v>
      </c>
      <c r="DR10" s="29" cm="1">
        <f t="array" ref="DR10">IF(DR$5="Real",INDEX('Informacion de Sam'!$5:$5,MATCH(DR$6,'Informacion de Sam'!$1:$1,0)),INDEX('Supuestos Proyeccion'!$B$20:$M$20,MONTH(DR$6))*INDEX('Supuestos Proyeccion'!$C$42:$C$52,DR$4-2024))</f>
        <v>88732357.50228098</v>
      </c>
      <c r="DS10" s="29" cm="1">
        <f t="array" ref="DS10">IF(DS$5="Real",INDEX('Informacion de Sam'!$5:$5,MATCH(DS$6,'Informacion de Sam'!$1:$1,0)),INDEX('Supuestos Proyeccion'!$B$20:$M$20,MONTH(DS$6))*INDEX('Supuestos Proyeccion'!$C$42:$C$52,DS$4-2024))</f>
        <v>78068690.692400649</v>
      </c>
      <c r="DT10" s="29" cm="1">
        <f t="array" ref="DT10">IF(DT$5="Real",INDEX('Informacion de Sam'!$5:$5,MATCH(DT$6,'Informacion de Sam'!$1:$1,0)),INDEX('Supuestos Proyeccion'!$B$20:$M$20,MONTH(DT$6))*INDEX('Supuestos Proyeccion'!$C$42:$C$52,DT$4-2024))</f>
        <v>89280248.823736846</v>
      </c>
      <c r="DU10" s="29" cm="1">
        <f t="array" ref="DU10">IF(DU$5="Real",INDEX('Informacion de Sam'!$5:$5,MATCH(DU$6,'Informacion de Sam'!$1:$1,0)),INDEX('Supuestos Proyeccion'!$B$20:$M$20,MONTH(DU$6))*INDEX('Supuestos Proyeccion'!$C$42:$C$52,DU$4-2024))</f>
        <v>96370208.761583686</v>
      </c>
      <c r="DV10" s="29" cm="1">
        <f t="array" ref="DV10">IF(DV$5="Real",INDEX('Informacion de Sam'!$5:$5,MATCH(DV$6,'Informacion de Sam'!$1:$1,0)),INDEX('Supuestos Proyeccion'!$B$20:$M$20,MONTH(DV$6))*INDEX('Supuestos Proyeccion'!$C$42:$C$52,DV$4-2024))</f>
        <v>144815211.20250288</v>
      </c>
      <c r="DW10" s="29" cm="1">
        <f t="array" ref="DW10">IF(DW$5="Real",INDEX('Informacion de Sam'!$5:$5,MATCH(DW$6,'Informacion de Sam'!$1:$1,0)),INDEX('Supuestos Proyeccion'!$B$20:$M$20,MONTH(DW$6))*INDEX('Supuestos Proyeccion'!$C$42:$C$52,DW$4-2024))</f>
        <v>88387649.382852077</v>
      </c>
      <c r="DX10" s="29" cm="1">
        <f t="array" ref="DX10">IF(DX$5="Real",INDEX('Informacion de Sam'!$5:$5,MATCH(DX$6,'Informacion de Sam'!$1:$1,0)),INDEX('Supuestos Proyeccion'!$B$20:$M$20,MONTH(DX$6))*INDEX('Supuestos Proyeccion'!$C$42:$C$52,DX$4-2024))</f>
        <v>85324013.335095704</v>
      </c>
      <c r="DY10" s="29" cm="1">
        <f t="array" ref="DY10">IF(DY$5="Real",INDEX('Informacion de Sam'!$5:$5,MATCH(DY$6,'Informacion de Sam'!$1:$1,0)),INDEX('Supuestos Proyeccion'!$B$20:$M$20,MONTH(DY$6))*INDEX('Supuestos Proyeccion'!$C$42:$C$52,DY$4-2024))</f>
        <v>87949896.257188156</v>
      </c>
      <c r="DZ10" s="29" cm="1">
        <f t="array" ref="DZ10">IF(DZ$5="Real",INDEX('Informacion de Sam'!$5:$5,MATCH(DZ$6,'Informacion de Sam'!$1:$1,0)),INDEX('Supuestos Proyeccion'!$B$20:$M$20,MONTH(DZ$6))*INDEX('Supuestos Proyeccion'!$C$42:$C$52,DZ$4-2024))</f>
        <v>81405244.065870807</v>
      </c>
      <c r="EA10" s="29">
        <f>SUM(DO10:DZ10)</f>
        <v>1133184929.1152256</v>
      </c>
      <c r="EB10" s="29" cm="1">
        <f t="array" ref="EB10">IF(EB$5="Real",INDEX('Informacion de Sam'!$5:$5,MATCH(EB$6,'Informacion de Sam'!$1:$1,0)),INDEX('Supuestos Proyeccion'!$B$20:$M$20,MONTH(EB$6))*INDEX('Supuestos Proyeccion'!$C$42:$C$52,EB$4-2024))</f>
        <v>106573970.73424272</v>
      </c>
      <c r="EC10" s="29" cm="1">
        <f t="array" ref="EC10">IF(EC$5="Real",INDEX('Informacion de Sam'!$5:$5,MATCH(EC$6,'Informacion de Sam'!$1:$1,0)),INDEX('Supuestos Proyeccion'!$B$20:$M$20,MONTH(EC$6))*INDEX('Supuestos Proyeccion'!$C$42:$C$52,EC$4-2024))</f>
        <v>151071104.61348468</v>
      </c>
      <c r="ED10" s="29" cm="1">
        <f t="array" ref="ED10">IF(ED$5="Real",INDEX('Informacion de Sam'!$5:$5,MATCH(ED$6,'Informacion de Sam'!$1:$1,0)),INDEX('Supuestos Proyeccion'!$B$20:$M$20,MONTH(ED$6))*INDEX('Supuestos Proyeccion'!$C$42:$C$52,ED$4-2024))</f>
        <v>108419186.01691478</v>
      </c>
      <c r="EE10" s="29" cm="1">
        <f t="array" ref="EE10">IF(EE$5="Real",INDEX('Informacion de Sam'!$5:$5,MATCH(EE$6,'Informacion de Sam'!$1:$1,0)),INDEX('Supuestos Proyeccion'!$B$20:$M$20,MONTH(EE$6))*INDEX('Supuestos Proyeccion'!$C$42:$C$52,EE$4-2024))</f>
        <v>110915446.87785123</v>
      </c>
      <c r="EF10" s="29" cm="1">
        <f t="array" ref="EF10">IF(EF$5="Real",INDEX('Informacion de Sam'!$5:$5,MATCH(EF$6,'Informacion de Sam'!$1:$1,0)),INDEX('Supuestos Proyeccion'!$B$20:$M$20,MONTH(EF$6))*INDEX('Supuestos Proyeccion'!$C$42:$C$52,EF$4-2024))</f>
        <v>97585863.365500823</v>
      </c>
      <c r="EG10" s="29" cm="1">
        <f t="array" ref="EG10">IF(EG$5="Real",INDEX('Informacion de Sam'!$5:$5,MATCH(EG$6,'Informacion de Sam'!$1:$1,0)),INDEX('Supuestos Proyeccion'!$B$20:$M$20,MONTH(EG$6))*INDEX('Supuestos Proyeccion'!$C$42:$C$52,EG$4-2024))</f>
        <v>111600311.02967106</v>
      </c>
      <c r="EH10" s="29" cm="1">
        <f t="array" ref="EH10">IF(EH$5="Real",INDEX('Informacion de Sam'!$5:$5,MATCH(EH$6,'Informacion de Sam'!$1:$1,0)),INDEX('Supuestos Proyeccion'!$B$20:$M$20,MONTH(EH$6))*INDEX('Supuestos Proyeccion'!$C$42:$C$52,EH$4-2024))</f>
        <v>120462760.95197961</v>
      </c>
      <c r="EI10" s="29" cm="1">
        <f t="array" ref="EI10">IF(EI$5="Real",INDEX('Informacion de Sam'!$5:$5,MATCH(EI$6,'Informacion de Sam'!$1:$1,0)),INDEX('Supuestos Proyeccion'!$B$20:$M$20,MONTH(EI$6))*INDEX('Supuestos Proyeccion'!$C$42:$C$52,EI$4-2024))</f>
        <v>181019014.00312862</v>
      </c>
      <c r="EJ10" s="29" cm="1">
        <f t="array" ref="EJ10">IF(EJ$5="Real",INDEX('Informacion de Sam'!$5:$5,MATCH(EJ$6,'Informacion de Sam'!$1:$1,0)),INDEX('Supuestos Proyeccion'!$B$20:$M$20,MONTH(EJ$6))*INDEX('Supuestos Proyeccion'!$C$42:$C$52,EJ$4-2024))</f>
        <v>110484561.7285651</v>
      </c>
      <c r="EK10" s="29" cm="1">
        <f t="array" ref="EK10">IF(EK$5="Real",INDEX('Informacion de Sam'!$5:$5,MATCH(EK$6,'Informacion de Sam'!$1:$1,0)),INDEX('Supuestos Proyeccion'!$B$20:$M$20,MONTH(EK$6))*INDEX('Supuestos Proyeccion'!$C$42:$C$52,EK$4-2024))</f>
        <v>106655016.66886963</v>
      </c>
      <c r="EL10" s="29" cm="1">
        <f t="array" ref="EL10">IF(EL$5="Real",INDEX('Informacion de Sam'!$5:$5,MATCH(EL$6,'Informacion de Sam'!$1:$1,0)),INDEX('Supuestos Proyeccion'!$B$20:$M$20,MONTH(EL$6))*INDEX('Supuestos Proyeccion'!$C$42:$C$52,EL$4-2024))</f>
        <v>109937370.32148519</v>
      </c>
      <c r="EM10" s="29" cm="1">
        <f t="array" ref="EM10">IF(EM$5="Real",INDEX('Informacion de Sam'!$5:$5,MATCH(EM$6,'Informacion de Sam'!$1:$1,0)),INDEX('Supuestos Proyeccion'!$B$20:$M$20,MONTH(EM$6))*INDEX('Supuestos Proyeccion'!$C$42:$C$52,EM$4-2024))</f>
        <v>101756555.08233853</v>
      </c>
      <c r="EN10" s="29">
        <f>SUM(EB10:EM10)</f>
        <v>1416481161.3940322</v>
      </c>
      <c r="EO10" s="29" cm="1">
        <f t="array" ref="EO10">IF(EO$5="Real",INDEX('Informacion de Sam'!$5:$5,MATCH(EO$6,'Informacion de Sam'!$1:$1,0)),INDEX('Supuestos Proyeccion'!$B$20:$M$20,MONTH(EO$6))*INDEX('Supuestos Proyeccion'!$C$42:$C$52,EO$4-2024))</f>
        <v>133217463.41780339</v>
      </c>
      <c r="EP10" s="29" cm="1">
        <f t="array" ref="EP10">IF(EP$5="Real",INDEX('Informacion de Sam'!$5:$5,MATCH(EP$6,'Informacion de Sam'!$1:$1,0)),INDEX('Supuestos Proyeccion'!$B$20:$M$20,MONTH(EP$6))*INDEX('Supuestos Proyeccion'!$C$42:$C$52,EP$4-2024))</f>
        <v>188838880.76685584</v>
      </c>
      <c r="EQ10" s="29" cm="1">
        <f t="array" ref="EQ10">IF(EQ$5="Real",INDEX('Informacion de Sam'!$5:$5,MATCH(EQ$6,'Informacion de Sam'!$1:$1,0)),INDEX('Supuestos Proyeccion'!$B$20:$M$20,MONTH(EQ$6))*INDEX('Supuestos Proyeccion'!$C$42:$C$52,EQ$4-2024))</f>
        <v>135523982.52114347</v>
      </c>
      <c r="ER10" s="29" cm="1">
        <f t="array" ref="ER10">IF(ER$5="Real",INDEX('Informacion de Sam'!$5:$5,MATCH(ER$6,'Informacion de Sam'!$1:$1,0)),INDEX('Supuestos Proyeccion'!$B$20:$M$20,MONTH(ER$6))*INDEX('Supuestos Proyeccion'!$C$42:$C$52,ER$4-2024))</f>
        <v>138644308.59731403</v>
      </c>
      <c r="ES10" s="29" cm="1">
        <f t="array" ref="ES10">IF(ES$5="Real",INDEX('Informacion de Sam'!$5:$5,MATCH(ES$6,'Informacion de Sam'!$1:$1,0)),INDEX('Supuestos Proyeccion'!$B$20:$M$20,MONTH(ES$6))*INDEX('Supuestos Proyeccion'!$C$42:$C$52,ES$4-2024))</f>
        <v>121982329.20687601</v>
      </c>
      <c r="ET10" s="29" cm="1">
        <f t="array" ref="ET10">IF(ET$5="Real",INDEX('Informacion de Sam'!$5:$5,MATCH(ET$6,'Informacion de Sam'!$1:$1,0)),INDEX('Supuestos Proyeccion'!$B$20:$M$20,MONTH(ET$6))*INDEX('Supuestos Proyeccion'!$C$42:$C$52,ET$4-2024))</f>
        <v>139500388.78708881</v>
      </c>
      <c r="EU10" s="29" cm="1">
        <f t="array" ref="EU10">IF(EU$5="Real",INDEX('Informacion de Sam'!$5:$5,MATCH(EU$6,'Informacion de Sam'!$1:$1,0)),INDEX('Supuestos Proyeccion'!$B$20:$M$20,MONTH(EU$6))*INDEX('Supuestos Proyeccion'!$C$42:$C$52,EU$4-2024))</f>
        <v>150578451.18997449</v>
      </c>
      <c r="EV10" s="29" cm="1">
        <f t="array" ref="EV10">IF(EV$5="Real",INDEX('Informacion de Sam'!$5:$5,MATCH(EV$6,'Informacion de Sam'!$1:$1,0)),INDEX('Supuestos Proyeccion'!$B$20:$M$20,MONTH(EV$6))*INDEX('Supuestos Proyeccion'!$C$42:$C$52,EV$4-2024))</f>
        <v>226273767.50391075</v>
      </c>
      <c r="EW10" s="29" cm="1">
        <f t="array" ref="EW10">IF(EW$5="Real",INDEX('Informacion de Sam'!$5:$5,MATCH(EW$6,'Informacion de Sam'!$1:$1,0)),INDEX('Supuestos Proyeccion'!$B$20:$M$20,MONTH(EW$6))*INDEX('Supuestos Proyeccion'!$C$42:$C$52,EW$4-2024))</f>
        <v>138105702.16070637</v>
      </c>
      <c r="EX10" s="29" cm="1">
        <f t="array" ref="EX10">IF(EX$5="Real",INDEX('Informacion de Sam'!$5:$5,MATCH(EX$6,'Informacion de Sam'!$1:$1,0)),INDEX('Supuestos Proyeccion'!$B$20:$M$20,MONTH(EX$6))*INDEX('Supuestos Proyeccion'!$C$42:$C$52,EX$4-2024))</f>
        <v>133318770.83608703</v>
      </c>
      <c r="EY10" s="29" cm="1">
        <f t="array" ref="EY10">IF(EY$5="Real",INDEX('Informacion de Sam'!$5:$5,MATCH(EY$6,'Informacion de Sam'!$1:$1,0)),INDEX('Supuestos Proyeccion'!$B$20:$M$20,MONTH(EY$6))*INDEX('Supuestos Proyeccion'!$C$42:$C$52,EY$4-2024))</f>
        <v>137421712.90185648</v>
      </c>
      <c r="EZ10" s="29" cm="1">
        <f t="array" ref="EZ10">IF(EZ$5="Real",INDEX('Informacion de Sam'!$5:$5,MATCH(EZ$6,'Informacion de Sam'!$1:$1,0)),INDEX('Supuestos Proyeccion'!$B$20:$M$20,MONTH(EZ$6))*INDEX('Supuestos Proyeccion'!$C$42:$C$52,EZ$4-2024))</f>
        <v>127195693.85292314</v>
      </c>
      <c r="FA10" s="29">
        <f>SUM(EO10:EZ10)</f>
        <v>1770601451.7425396</v>
      </c>
      <c r="FB10" s="29" cm="1">
        <f t="array" ref="FB10">IF(FB$5="Real",INDEX('Informacion de Sam'!$5:$5,MATCH(FB$6,'Informacion de Sam'!$1:$1,0)),INDEX('Supuestos Proyeccion'!$B$20:$M$20,MONTH(FB$6))*INDEX('Supuestos Proyeccion'!$C$42:$C$52,FB$4-2024))</f>
        <v>166521829.27225426</v>
      </c>
      <c r="FC10" s="29" cm="1">
        <f t="array" ref="FC10">IF(FC$5="Real",INDEX('Informacion de Sam'!$5:$5,MATCH(FC$6,'Informacion de Sam'!$1:$1,0)),INDEX('Supuestos Proyeccion'!$B$20:$M$20,MONTH(FC$6))*INDEX('Supuestos Proyeccion'!$C$42:$C$52,FC$4-2024))</f>
        <v>236048600.95856982</v>
      </c>
      <c r="FD10" s="29" cm="1">
        <f t="array" ref="FD10">IF(FD$5="Real",INDEX('Informacion de Sam'!$5:$5,MATCH(FD$6,'Informacion de Sam'!$1:$1,0)),INDEX('Supuestos Proyeccion'!$B$20:$M$20,MONTH(FD$6))*INDEX('Supuestos Proyeccion'!$C$42:$C$52,FD$4-2024))</f>
        <v>169404978.15142936</v>
      </c>
      <c r="FE10" s="29" cm="1">
        <f t="array" ref="FE10">IF(FE$5="Real",INDEX('Informacion de Sam'!$5:$5,MATCH(FE$6,'Informacion de Sam'!$1:$1,0)),INDEX('Supuestos Proyeccion'!$B$20:$M$20,MONTH(FE$6))*INDEX('Supuestos Proyeccion'!$C$42:$C$52,FE$4-2024))</f>
        <v>173305385.74664256</v>
      </c>
      <c r="FF10" s="29" cm="1">
        <f t="array" ref="FF10">IF(FF$5="Real",INDEX('Informacion de Sam'!$5:$5,MATCH(FF$6,'Informacion de Sam'!$1:$1,0)),INDEX('Supuestos Proyeccion'!$B$20:$M$20,MONTH(FF$6))*INDEX('Supuestos Proyeccion'!$C$42:$C$52,FF$4-2024))</f>
        <v>152477911.50859502</v>
      </c>
      <c r="FG10" s="29" cm="1">
        <f t="array" ref="FG10">IF(FG$5="Real",INDEX('Informacion de Sam'!$5:$5,MATCH(FG$6,'Informacion de Sam'!$1:$1,0)),INDEX('Supuestos Proyeccion'!$B$20:$M$20,MONTH(FG$6))*INDEX('Supuestos Proyeccion'!$C$42:$C$52,FG$4-2024))</f>
        <v>174375485.98386103</v>
      </c>
      <c r="FH10" s="29" cm="1">
        <f t="array" ref="FH10">IF(FH$5="Real",INDEX('Informacion de Sam'!$5:$5,MATCH(FH$6,'Informacion de Sam'!$1:$1,0)),INDEX('Supuestos Proyeccion'!$B$20:$M$20,MONTH(FH$6))*INDEX('Supuestos Proyeccion'!$C$42:$C$52,FH$4-2024))</f>
        <v>188223063.98746812</v>
      </c>
      <c r="FI10" s="29" cm="1">
        <f t="array" ref="FI10">IF(FI$5="Real",INDEX('Informacion de Sam'!$5:$5,MATCH(FI$6,'Informacion de Sam'!$1:$1,0)),INDEX('Supuestos Proyeccion'!$B$20:$M$20,MONTH(FI$6))*INDEX('Supuestos Proyeccion'!$C$42:$C$52,FI$4-2024))</f>
        <v>282842209.37988847</v>
      </c>
      <c r="FJ10" s="29" cm="1">
        <f t="array" ref="FJ10">IF(FJ$5="Real",INDEX('Informacion de Sam'!$5:$5,MATCH(FJ$6,'Informacion de Sam'!$1:$1,0)),INDEX('Supuestos Proyeccion'!$B$20:$M$20,MONTH(FJ$6))*INDEX('Supuestos Proyeccion'!$C$42:$C$52,FJ$4-2024))</f>
        <v>172632127.70088297</v>
      </c>
      <c r="FK10" s="29" cm="1">
        <f t="array" ref="FK10">IF(FK$5="Real",INDEX('Informacion de Sam'!$5:$5,MATCH(FK$6,'Informacion de Sam'!$1:$1,0)),INDEX('Supuestos Proyeccion'!$B$20:$M$20,MONTH(FK$6))*INDEX('Supuestos Proyeccion'!$C$42:$C$52,FK$4-2024))</f>
        <v>166648463.5451088</v>
      </c>
      <c r="FL10" s="29" cm="1">
        <f t="array" ref="FL10">IF(FL$5="Real",INDEX('Informacion de Sam'!$5:$5,MATCH(FL$6,'Informacion de Sam'!$1:$1,0)),INDEX('Supuestos Proyeccion'!$B$20:$M$20,MONTH(FL$6))*INDEX('Supuestos Proyeccion'!$C$42:$C$52,FL$4-2024))</f>
        <v>171777141.12732062</v>
      </c>
      <c r="FM10" s="29" cm="1">
        <f t="array" ref="FM10">IF(FM$5="Real",INDEX('Informacion de Sam'!$5:$5,MATCH(FM$6,'Informacion de Sam'!$1:$1,0)),INDEX('Supuestos Proyeccion'!$B$20:$M$20,MONTH(FM$6))*INDEX('Supuestos Proyeccion'!$C$42:$C$52,FM$4-2024))</f>
        <v>158994617.31615394</v>
      </c>
      <c r="FN10" s="29">
        <f>SUM(FB10:FM10)</f>
        <v>2213251814.6781745</v>
      </c>
      <c r="FO10" s="29" cm="1">
        <f t="array" ref="FO10">IF(FO$5="Real",INDEX('Informacion de Sam'!$5:$5,MATCH(FO$6,'Informacion de Sam'!$1:$1,0)),INDEX('Supuestos Proyeccion'!$B$20:$M$20,MONTH(FO$6))*INDEX('Supuestos Proyeccion'!$C$42:$C$52,FO$4-2024))</f>
        <v>208152286.59031782</v>
      </c>
      <c r="FP10" s="29" cm="1">
        <f t="array" ref="FP10">IF(FP$5="Real",INDEX('Informacion de Sam'!$5:$5,MATCH(FP$6,'Informacion de Sam'!$1:$1,0)),INDEX('Supuestos Proyeccion'!$B$20:$M$20,MONTH(FP$6))*INDEX('Supuestos Proyeccion'!$C$42:$C$52,FP$4-2024))</f>
        <v>295060751.19821227</v>
      </c>
      <c r="FQ10" s="29" cm="1">
        <f t="array" ref="FQ10">IF(FQ$5="Real",INDEX('Informacion de Sam'!$5:$5,MATCH(FQ$6,'Informacion de Sam'!$1:$1,0)),INDEX('Supuestos Proyeccion'!$B$20:$M$20,MONTH(FQ$6))*INDEX('Supuestos Proyeccion'!$C$42:$C$52,FQ$4-2024))</f>
        <v>211756222.68928668</v>
      </c>
      <c r="FR10" s="29" cm="1">
        <f t="array" ref="FR10">IF(FR$5="Real",INDEX('Informacion de Sam'!$5:$5,MATCH(FR$6,'Informacion de Sam'!$1:$1,0)),INDEX('Supuestos Proyeccion'!$B$20:$M$20,MONTH(FR$6))*INDEX('Supuestos Proyeccion'!$C$42:$C$52,FR$4-2024))</f>
        <v>216631732.18330318</v>
      </c>
      <c r="FS10" s="29" cm="1">
        <f t="array" ref="FS10">IF(FS$5="Real",INDEX('Informacion de Sam'!$5:$5,MATCH(FS$6,'Informacion de Sam'!$1:$1,0)),INDEX('Supuestos Proyeccion'!$B$20:$M$20,MONTH(FS$6))*INDEX('Supuestos Proyeccion'!$C$42:$C$52,FS$4-2024))</f>
        <v>190597389.3857438</v>
      </c>
      <c r="FT10" s="29" cm="1">
        <f t="array" ref="FT10">IF(FT$5="Real",INDEX('Informacion de Sam'!$5:$5,MATCH(FT$6,'Informacion de Sam'!$1:$1,0)),INDEX('Supuestos Proyeccion'!$B$20:$M$20,MONTH(FT$6))*INDEX('Supuestos Proyeccion'!$C$42:$C$52,FT$4-2024))</f>
        <v>217969357.47982627</v>
      </c>
      <c r="FU10" s="29" cm="1">
        <f t="array" ref="FU10">IF(FU$5="Real",INDEX('Informacion de Sam'!$5:$5,MATCH(FU$6,'Informacion de Sam'!$1:$1,0)),INDEX('Supuestos Proyeccion'!$B$20:$M$20,MONTH(FU$6))*INDEX('Supuestos Proyeccion'!$C$42:$C$52,FU$4-2024))</f>
        <v>235278829.98433515</v>
      </c>
      <c r="FV10" s="29" cm="1">
        <f t="array" ref="FV10">IF(FV$5="Real",INDEX('Informacion de Sam'!$5:$5,MATCH(FV$6,'Informacion de Sam'!$1:$1,0)),INDEX('Supuestos Proyeccion'!$B$20:$M$20,MONTH(FV$6))*INDEX('Supuestos Proyeccion'!$C$42:$C$52,FV$4-2024))</f>
        <v>353552761.72486055</v>
      </c>
      <c r="FW10" s="29" cm="1">
        <f t="array" ref="FW10">IF(FW$5="Real",INDEX('Informacion de Sam'!$5:$5,MATCH(FW$6,'Informacion de Sam'!$1:$1,0)),INDEX('Supuestos Proyeccion'!$B$20:$M$20,MONTH(FW$6))*INDEX('Supuestos Proyeccion'!$C$42:$C$52,FW$4-2024))</f>
        <v>215790159.6261037</v>
      </c>
      <c r="FX10" s="29" cm="1">
        <f t="array" ref="FX10">IF(FX$5="Real",INDEX('Informacion de Sam'!$5:$5,MATCH(FX$6,'Informacion de Sam'!$1:$1,0)),INDEX('Supuestos Proyeccion'!$B$20:$M$20,MONTH(FX$6))*INDEX('Supuestos Proyeccion'!$C$42:$C$52,FX$4-2024))</f>
        <v>208310579.43138599</v>
      </c>
      <c r="FY10" s="29" cm="1">
        <f t="array" ref="FY10">IF(FY$5="Real",INDEX('Informacion de Sam'!$5:$5,MATCH(FY$6,'Informacion de Sam'!$1:$1,0)),INDEX('Supuestos Proyeccion'!$B$20:$M$20,MONTH(FY$6))*INDEX('Supuestos Proyeccion'!$C$42:$C$52,FY$4-2024))</f>
        <v>214721426.40915078</v>
      </c>
      <c r="FZ10" s="29" cm="1">
        <f t="array" ref="FZ10">IF(FZ$5="Real",INDEX('Informacion de Sam'!$5:$5,MATCH(FZ$6,'Informacion de Sam'!$1:$1,0)),INDEX('Supuestos Proyeccion'!$B$20:$M$20,MONTH(FZ$6))*INDEX('Supuestos Proyeccion'!$C$42:$C$52,FZ$4-2024))</f>
        <v>198743271.64519241</v>
      </c>
      <c r="GA10" s="29">
        <f>SUM(FO10:FZ10)</f>
        <v>2766564768.3477182</v>
      </c>
      <c r="GB10" s="29" cm="1">
        <f t="array" ref="GB10">IF(GB$5="Real",INDEX('Informacion de Sam'!$5:$5,MATCH(GB$6,'Informacion de Sam'!$1:$1,0)),INDEX('Supuestos Proyeccion'!$B$20:$M$20,MONTH(GB$6))*INDEX('Supuestos Proyeccion'!$C$42:$C$52,GB$4-2024))</f>
        <v>260190358.23789728</v>
      </c>
      <c r="GC10" s="29" cm="1">
        <f t="array" ref="GC10">IF(GC$5="Real",INDEX('Informacion de Sam'!$5:$5,MATCH(GC$6,'Informacion de Sam'!$1:$1,0)),INDEX('Supuestos Proyeccion'!$B$20:$M$20,MONTH(GC$6))*INDEX('Supuestos Proyeccion'!$C$42:$C$52,GC$4-2024))</f>
        <v>368825938.99776536</v>
      </c>
      <c r="GD10" s="29" cm="1">
        <f t="array" ref="GD10">IF(GD$5="Real",INDEX('Informacion de Sam'!$5:$5,MATCH(GD$6,'Informacion de Sam'!$1:$1,0)),INDEX('Supuestos Proyeccion'!$B$20:$M$20,MONTH(GD$6))*INDEX('Supuestos Proyeccion'!$C$42:$C$52,GD$4-2024))</f>
        <v>264695278.36160836</v>
      </c>
      <c r="GE10" s="29" cm="1">
        <f t="array" ref="GE10">IF(GE$5="Real",INDEX('Informacion de Sam'!$5:$5,MATCH(GE$6,'Informacion de Sam'!$1:$1,0)),INDEX('Supuestos Proyeccion'!$B$20:$M$20,MONTH(GE$6))*INDEX('Supuestos Proyeccion'!$C$42:$C$52,GE$4-2024))</f>
        <v>270789665.22912902</v>
      </c>
      <c r="GF10" s="29" cm="1">
        <f t="array" ref="GF10">IF(GF$5="Real",INDEX('Informacion de Sam'!$5:$5,MATCH(GF$6,'Informacion de Sam'!$1:$1,0)),INDEX('Supuestos Proyeccion'!$B$20:$M$20,MONTH(GF$6))*INDEX('Supuestos Proyeccion'!$C$42:$C$52,GF$4-2024))</f>
        <v>238246736.73217973</v>
      </c>
      <c r="GG10" s="29" cm="1">
        <f t="array" ref="GG10">IF(GG$5="Real",INDEX('Informacion de Sam'!$5:$5,MATCH(GG$6,'Informacion de Sam'!$1:$1,0)),INDEX('Supuestos Proyeccion'!$B$20:$M$20,MONTH(GG$6))*INDEX('Supuestos Proyeccion'!$C$42:$C$52,GG$4-2024))</f>
        <v>272461696.84978282</v>
      </c>
      <c r="GH10" s="29" cm="1">
        <f t="array" ref="GH10">IF(GH$5="Real",INDEX('Informacion de Sam'!$5:$5,MATCH(GH$6,'Informacion de Sam'!$1:$1,0)),INDEX('Supuestos Proyeccion'!$B$20:$M$20,MONTH(GH$6))*INDEX('Supuestos Proyeccion'!$C$42:$C$52,GH$4-2024))</f>
        <v>294098537.48041898</v>
      </c>
      <c r="GI10" s="29" cm="1">
        <f t="array" ref="GI10">IF(GI$5="Real",INDEX('Informacion de Sam'!$5:$5,MATCH(GI$6,'Informacion de Sam'!$1:$1,0)),INDEX('Supuestos Proyeccion'!$B$20:$M$20,MONTH(GI$6))*INDEX('Supuestos Proyeccion'!$C$42:$C$52,GI$4-2024))</f>
        <v>441940952.15607572</v>
      </c>
      <c r="GJ10" s="29" cm="1">
        <f t="array" ref="GJ10">IF(GJ$5="Real",INDEX('Informacion de Sam'!$5:$5,MATCH(GJ$6,'Informacion de Sam'!$1:$1,0)),INDEX('Supuestos Proyeccion'!$B$20:$M$20,MONTH(GJ$6))*INDEX('Supuestos Proyeccion'!$C$42:$C$52,GJ$4-2024))</f>
        <v>269737699.53262967</v>
      </c>
      <c r="GK10" s="29" cm="1">
        <f t="array" ref="GK10">IF(GK$5="Real",INDEX('Informacion de Sam'!$5:$5,MATCH(GK$6,'Informacion de Sam'!$1:$1,0)),INDEX('Supuestos Proyeccion'!$B$20:$M$20,MONTH(GK$6))*INDEX('Supuestos Proyeccion'!$C$42:$C$52,GK$4-2024))</f>
        <v>260388224.28923249</v>
      </c>
      <c r="GL10" s="29" cm="1">
        <f t="array" ref="GL10">IF(GL$5="Real",INDEX('Informacion de Sam'!$5:$5,MATCH(GL$6,'Informacion de Sam'!$1:$1,0)),INDEX('Supuestos Proyeccion'!$B$20:$M$20,MONTH(GL$6))*INDEX('Supuestos Proyeccion'!$C$42:$C$52,GL$4-2024))</f>
        <v>268401783.01143849</v>
      </c>
      <c r="GM10" s="29" cm="1">
        <f t="array" ref="GM10">IF(GM$5="Real",INDEX('Informacion de Sam'!$5:$5,MATCH(GM$6,'Informacion de Sam'!$1:$1,0)),INDEX('Supuestos Proyeccion'!$B$20:$M$20,MONTH(GM$6))*INDEX('Supuestos Proyeccion'!$C$42:$C$52,GM$4-2024))</f>
        <v>248429089.55649054</v>
      </c>
      <c r="GN10" s="29">
        <f>SUM(GB10:GM10)</f>
        <v>3458205960.434648</v>
      </c>
      <c r="GO10" s="29" cm="1">
        <f t="array" ref="GO10">IF(GO$5="Real",INDEX('Informacion de Sam'!$5:$5,MATCH(GO$6,'Informacion de Sam'!$1:$1,0)),INDEX('Supuestos Proyeccion'!$B$20:$M$20,MONTH(GO$6))*INDEX('Supuestos Proyeccion'!$C$42:$C$52,GO$4-2024))</f>
        <v>325237947.79737157</v>
      </c>
      <c r="GP10" s="29" cm="1">
        <f t="array" ref="GP10">IF(GP$5="Real",INDEX('Informacion de Sam'!$5:$5,MATCH(GP$6,'Informacion de Sam'!$1:$1,0)),INDEX('Supuestos Proyeccion'!$B$20:$M$20,MONTH(GP$6))*INDEX('Supuestos Proyeccion'!$C$42:$C$52,GP$4-2024))</f>
        <v>461032423.74720663</v>
      </c>
      <c r="GQ10" s="29" cm="1">
        <f t="array" ref="GQ10">IF(GQ$5="Real",INDEX('Informacion de Sam'!$5:$5,MATCH(GQ$6,'Informacion de Sam'!$1:$1,0)),INDEX('Supuestos Proyeccion'!$B$20:$M$20,MONTH(GQ$6))*INDEX('Supuestos Proyeccion'!$C$42:$C$52,GQ$4-2024))</f>
        <v>330869097.95201039</v>
      </c>
      <c r="GR10" s="29" cm="1">
        <f t="array" ref="GR10">IF(GR$5="Real",INDEX('Informacion de Sam'!$5:$5,MATCH(GR$6,'Informacion de Sam'!$1:$1,0)),INDEX('Supuestos Proyeccion'!$B$20:$M$20,MONTH(GR$6))*INDEX('Supuestos Proyeccion'!$C$42:$C$52,GR$4-2024))</f>
        <v>338487081.53641123</v>
      </c>
      <c r="GS10" s="29" cm="1">
        <f t="array" ref="GS10">IF(GS$5="Real",INDEX('Informacion de Sam'!$5:$5,MATCH(GS$6,'Informacion de Sam'!$1:$1,0)),INDEX('Supuestos Proyeccion'!$B$20:$M$20,MONTH(GS$6))*INDEX('Supuestos Proyeccion'!$C$42:$C$52,GS$4-2024))</f>
        <v>297808420.91522461</v>
      </c>
      <c r="GT10" s="29" cm="1">
        <f t="array" ref="GT10">IF(GT$5="Real",INDEX('Informacion de Sam'!$5:$5,MATCH(GT$6,'Informacion de Sam'!$1:$1,0)),INDEX('Supuestos Proyeccion'!$B$20:$M$20,MONTH(GT$6))*INDEX('Supuestos Proyeccion'!$C$42:$C$52,GT$4-2024))</f>
        <v>340577121.0622285</v>
      </c>
      <c r="GU10" s="29" cm="1">
        <f t="array" ref="GU10">IF(GU$5="Real",INDEX('Informacion de Sam'!$5:$5,MATCH(GU$6,'Informacion de Sam'!$1:$1,0)),INDEX('Supuestos Proyeccion'!$B$20:$M$20,MONTH(GU$6))*INDEX('Supuestos Proyeccion'!$C$42:$C$52,GU$4-2024))</f>
        <v>367623171.85052365</v>
      </c>
      <c r="GV10" s="29" cm="1">
        <f t="array" ref="GV10">IF(GV$5="Real",INDEX('Informacion de Sam'!$5:$5,MATCH(GV$6,'Informacion de Sam'!$1:$1,0)),INDEX('Supuestos Proyeccion'!$B$20:$M$20,MONTH(GV$6))*INDEX('Supuestos Proyeccion'!$C$42:$C$52,GV$4-2024))</f>
        <v>552426190.19509459</v>
      </c>
      <c r="GW10" s="29" cm="1">
        <f t="array" ref="GW10">IF(GW$5="Real",INDEX('Informacion de Sam'!$5:$5,MATCH(GW$6,'Informacion de Sam'!$1:$1,0)),INDEX('Supuestos Proyeccion'!$B$20:$M$20,MONTH(GW$6))*INDEX('Supuestos Proyeccion'!$C$42:$C$52,GW$4-2024))</f>
        <v>337172124.41578704</v>
      </c>
      <c r="GX10" s="29" cm="1">
        <f t="array" ref="GX10">IF(GX$5="Real",INDEX('Informacion de Sam'!$5:$5,MATCH(GX$6,'Informacion de Sam'!$1:$1,0)),INDEX('Supuestos Proyeccion'!$B$20:$M$20,MONTH(GX$6))*INDEX('Supuestos Proyeccion'!$C$42:$C$52,GX$4-2024))</f>
        <v>325485280.36154062</v>
      </c>
      <c r="GY10" s="29" cm="1">
        <f t="array" ref="GY10">IF(GY$5="Real",INDEX('Informacion de Sam'!$5:$5,MATCH(GY$6,'Informacion de Sam'!$1:$1,0)),INDEX('Supuestos Proyeccion'!$B$20:$M$20,MONTH(GY$6))*INDEX('Supuestos Proyeccion'!$C$42:$C$52,GY$4-2024))</f>
        <v>335502228.76429808</v>
      </c>
      <c r="GZ10" s="29" cm="1">
        <f t="array" ref="GZ10">IF(GZ$5="Real",INDEX('Informacion de Sam'!$5:$5,MATCH(GZ$6,'Informacion de Sam'!$1:$1,0)),INDEX('Supuestos Proyeccion'!$B$20:$M$20,MONTH(GZ$6))*INDEX('Supuestos Proyeccion'!$C$42:$C$52,GZ$4-2024))</f>
        <v>310536361.94561315</v>
      </c>
      <c r="HA10" s="29">
        <f>SUM(GO10:GZ10)</f>
        <v>4322757450.5433102</v>
      </c>
      <c r="HB10" s="29"/>
      <c r="HC10" s="52">
        <f t="shared" ref="HC10:HR10" si="1">SUMIFS($B10:$HA10,$B$4:$HA$4,HC$6,$B$5:$HA$5,"Acumulado")</f>
        <v>404196378.30000001</v>
      </c>
      <c r="HD10" s="52">
        <f t="shared" si="1"/>
        <v>417346477.23000002</v>
      </c>
      <c r="HE10" s="52">
        <f t="shared" si="1"/>
        <v>569609454.50999999</v>
      </c>
      <c r="HF10" s="52">
        <f t="shared" si="1"/>
        <v>619196867.47000003</v>
      </c>
      <c r="HG10" s="52">
        <f t="shared" si="1"/>
        <v>698881822.62</v>
      </c>
      <c r="HH10" s="52">
        <f t="shared" si="1"/>
        <v>668611342.32000005</v>
      </c>
      <c r="HI10" s="52">
        <f t="shared" si="1"/>
        <v>580190683.70699549</v>
      </c>
      <c r="HJ10" s="52">
        <f t="shared" si="1"/>
        <v>725238354.63374424</v>
      </c>
      <c r="HK10" s="52">
        <f t="shared" si="1"/>
        <v>906547943.2921803</v>
      </c>
      <c r="HL10" s="52">
        <f t="shared" si="1"/>
        <v>1133184929.1152256</v>
      </c>
      <c r="HM10" s="52">
        <f t="shared" si="1"/>
        <v>1416481161.3940322</v>
      </c>
      <c r="HN10" s="52">
        <f t="shared" si="1"/>
        <v>1770601451.7425396</v>
      </c>
      <c r="HO10" s="52">
        <f t="shared" si="1"/>
        <v>2213251814.6781745</v>
      </c>
      <c r="HP10" s="52">
        <f t="shared" si="1"/>
        <v>2766564768.3477182</v>
      </c>
      <c r="HQ10" s="52">
        <f t="shared" si="1"/>
        <v>3458205960.434648</v>
      </c>
      <c r="HR10" s="52">
        <f t="shared" si="1"/>
        <v>4322757450.5433102</v>
      </c>
    </row>
    <row r="11" spans="1:226" x14ac:dyDescent="0.35">
      <c r="A11" s="24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51"/>
      <c r="HD11" s="51"/>
      <c r="HE11" s="51"/>
      <c r="HF11" s="51"/>
      <c r="HG11" s="51"/>
      <c r="HH11" s="51"/>
      <c r="HI11" s="51"/>
      <c r="HJ11" s="51"/>
      <c r="HK11" s="51"/>
      <c r="HL11" s="51"/>
      <c r="HM11" s="51"/>
      <c r="HN11" s="51"/>
      <c r="HO11" s="51"/>
      <c r="HP11" s="51"/>
      <c r="HQ11" s="51"/>
      <c r="HR11" s="51"/>
    </row>
    <row r="12" spans="1:226" x14ac:dyDescent="0.35">
      <c r="A12" t="s">
        <v>56</v>
      </c>
      <c r="B12" s="23">
        <f>IF(B$5="Real",INDEX('Informacion de Sam'!$7:$7,MATCH(B$6,'Informacion de Sam'!$1:$1,0)),B$10*'Supuestos Proyeccion'!$F$25)</f>
        <v>14280523.84</v>
      </c>
      <c r="C12" s="23">
        <f>IF(C$5="Real",INDEX('Informacion de Sam'!$7:$7,MATCH(C$6,'Informacion de Sam'!$1:$1,0)),C$10*'Supuestos Proyeccion'!$F$25)</f>
        <v>20373375.66</v>
      </c>
      <c r="D12" s="23">
        <f>IF(D$5="Real",INDEX('Informacion de Sam'!$7:$7,MATCH(D$6,'Informacion de Sam'!$1:$1,0)),D$10*'Supuestos Proyeccion'!$F$25)</f>
        <v>10166878.759999998</v>
      </c>
      <c r="E12" s="23">
        <f>IF(E$5="Real",INDEX('Informacion de Sam'!$7:$7,MATCH(E$6,'Informacion de Sam'!$1:$1,0)),E$10*'Supuestos Proyeccion'!$F$25)</f>
        <v>13703220.539999999</v>
      </c>
      <c r="F12" s="23">
        <f>IF(F$5="Real",INDEX('Informacion de Sam'!$7:$7,MATCH(F$6,'Informacion de Sam'!$1:$1,0)),F$10*'Supuestos Proyeccion'!$F$25)</f>
        <v>11344553.210000008</v>
      </c>
      <c r="G12" s="23">
        <f>IF(G$5="Real",INDEX('Informacion de Sam'!$7:$7,MATCH(G$6,'Informacion de Sam'!$1:$1,0)),G$10*'Supuestos Proyeccion'!$F$25)</f>
        <v>15047317.640000001</v>
      </c>
      <c r="H12" s="23">
        <f>IF(H$5="Real",INDEX('Informacion de Sam'!$7:$7,MATCH(H$6,'Informacion de Sam'!$1:$1,0)),H$10*'Supuestos Proyeccion'!$F$25)</f>
        <v>12554282.039999992</v>
      </c>
      <c r="I12" s="23">
        <f>IF(I$5="Real",INDEX('Informacion de Sam'!$7:$7,MATCH(I$6,'Informacion de Sam'!$1:$1,0)),I$10*'Supuestos Proyeccion'!$F$25)</f>
        <v>40743734.439999998</v>
      </c>
      <c r="J12" s="23">
        <f>IF(J$5="Real",INDEX('Informacion de Sam'!$7:$7,MATCH(J$6,'Informacion de Sam'!$1:$1,0)),J$10*'Supuestos Proyeccion'!$F$25)</f>
        <v>14983190.819999993</v>
      </c>
      <c r="K12" s="23">
        <f>IF(K$5="Real",INDEX('Informacion de Sam'!$7:$7,MATCH(K$6,'Informacion de Sam'!$1:$1,0)),K$10*'Supuestos Proyeccion'!$F$25)</f>
        <v>13668091.890000015</v>
      </c>
      <c r="L12" s="23">
        <f>IF(L$5="Real",INDEX('Informacion de Sam'!$7:$7,MATCH(L$6,'Informacion de Sam'!$1:$1,0)),L$10*'Supuestos Proyeccion'!$F$25)</f>
        <v>15383656.49000001</v>
      </c>
      <c r="M12" s="23">
        <f>IF(M$5="Real",INDEX('Informacion de Sam'!$7:$7,MATCH(M$6,'Informacion de Sam'!$1:$1,0)),M$10*'Supuestos Proyeccion'!$F$25)</f>
        <v>22289748.399999976</v>
      </c>
      <c r="N12" s="23">
        <f>SUM(B12:M12)</f>
        <v>204538573.72999999</v>
      </c>
      <c r="O12" s="23">
        <f>IF(O$5="Real",INDEX('Informacion de Sam'!$7:$7,MATCH(O$6,'Informacion de Sam'!$1:$1,0)),O$10*'Supuestos Proyeccion'!$F$25)</f>
        <v>9378417.8699999992</v>
      </c>
      <c r="P12" s="23">
        <f>IF(P$5="Real",INDEX('Informacion de Sam'!$7:$7,MATCH(P$6,'Informacion de Sam'!$1:$1,0)),P$10*'Supuestos Proyeccion'!$F$25)</f>
        <v>16670613.130000001</v>
      </c>
      <c r="Q12" s="23">
        <f>IF(Q$5="Real",INDEX('Informacion de Sam'!$7:$7,MATCH(Q$6,'Informacion de Sam'!$1:$1,0)),Q$10*'Supuestos Proyeccion'!$F$25)</f>
        <v>12486903.060000002</v>
      </c>
      <c r="R12" s="23">
        <f>IF(R$5="Real",INDEX('Informacion de Sam'!$7:$7,MATCH(R$6,'Informacion de Sam'!$1:$1,0)),R$10*'Supuestos Proyeccion'!$F$25)</f>
        <v>16295073.519999996</v>
      </c>
      <c r="S12" s="23">
        <f>IF(S$5="Real",INDEX('Informacion de Sam'!$7:$7,MATCH(S$6,'Informacion de Sam'!$1:$1,0)),S$10*'Supuestos Proyeccion'!$F$25)</f>
        <v>13304567.840000004</v>
      </c>
      <c r="T12" s="23">
        <f>IF(T$5="Real",INDEX('Informacion de Sam'!$7:$7,MATCH(T$6,'Informacion de Sam'!$1:$1,0)),T$10*'Supuestos Proyeccion'!$F$25)</f>
        <v>19038864.670000002</v>
      </c>
      <c r="U12" s="23">
        <f>IF(U$5="Real",INDEX('Informacion de Sam'!$7:$7,MATCH(U$6,'Informacion de Sam'!$1:$1,0)),U$10*'Supuestos Proyeccion'!$F$25)</f>
        <v>12751976.629999995</v>
      </c>
      <c r="V12" s="23">
        <f>IF(V$5="Real",INDEX('Informacion de Sam'!$7:$7,MATCH(V$6,'Informacion de Sam'!$1:$1,0)),V$10*'Supuestos Proyeccion'!$F$25)</f>
        <v>44566200.379999995</v>
      </c>
      <c r="W12" s="23">
        <f>IF(W$5="Real",INDEX('Informacion de Sam'!$7:$7,MATCH(W$6,'Informacion de Sam'!$1:$1,0)),W$10*'Supuestos Proyeccion'!$F$25)</f>
        <v>15772984.640000015</v>
      </c>
      <c r="X12" s="23">
        <f>IF(X$5="Real",INDEX('Informacion de Sam'!$7:$7,MATCH(X$6,'Informacion de Sam'!$1:$1,0)),X$10*'Supuestos Proyeccion'!$F$25)</f>
        <v>13891807.810000002</v>
      </c>
      <c r="Y12" s="23">
        <f>IF(Y$5="Real",INDEX('Informacion de Sam'!$7:$7,MATCH(Y$6,'Informacion de Sam'!$1:$1,0)),Y$10*'Supuestos Proyeccion'!$F$25)</f>
        <v>16310862.810000002</v>
      </c>
      <c r="Z12" s="23">
        <f>IF(Z$5="Real",INDEX('Informacion de Sam'!$7:$7,MATCH(Z$6,'Informacion de Sam'!$1:$1,0)),Z$10*'Supuestos Proyeccion'!$F$25)</f>
        <v>22118731.00999999</v>
      </c>
      <c r="AA12" s="23">
        <f>SUM(O12:Z12)</f>
        <v>212587003.37</v>
      </c>
      <c r="AB12" s="23">
        <f>IF(AB$5="Real",INDEX('Informacion de Sam'!$7:$7,MATCH(AB$6,'Informacion de Sam'!$1:$1,0)),AB$10*'Supuestos Proyeccion'!$F$25)</f>
        <v>16161407.630000001</v>
      </c>
      <c r="AC12" s="23">
        <f>IF(AC$5="Real",INDEX('Informacion de Sam'!$7:$7,MATCH(AC$6,'Informacion de Sam'!$1:$1,0)),AC$10*'Supuestos Proyeccion'!$F$25)</f>
        <v>21265640.390000001</v>
      </c>
      <c r="AD12" s="23">
        <f>IF(AD$5="Real",INDEX('Informacion de Sam'!$7:$7,MATCH(AD$6,'Informacion de Sam'!$1:$1,0)),AD$10*'Supuestos Proyeccion'!$F$25)</f>
        <v>16196180.699999996</v>
      </c>
      <c r="AE12" s="23">
        <f>IF(AE$5="Real",INDEX('Informacion de Sam'!$7:$7,MATCH(AE$6,'Informacion de Sam'!$1:$1,0)),AE$10*'Supuestos Proyeccion'!$F$25)</f>
        <v>20673260.340000004</v>
      </c>
      <c r="AF12" s="23">
        <f>IF(AF$5="Real",INDEX('Informacion de Sam'!$7:$7,MATCH(AF$6,'Informacion de Sam'!$1:$1,0)),AF$10*'Supuestos Proyeccion'!$F$25)</f>
        <v>20973792.519999996</v>
      </c>
      <c r="AG12" s="23">
        <f>IF(AG$5="Real",INDEX('Informacion de Sam'!$7:$7,MATCH(AG$6,'Informacion de Sam'!$1:$1,0)),AG$10*'Supuestos Proyeccion'!$F$25)</f>
        <v>27064110.939999998</v>
      </c>
      <c r="AH12" s="23">
        <f>IF(AH$5="Real",INDEX('Informacion de Sam'!$7:$7,MATCH(AH$6,'Informacion de Sam'!$1:$1,0)),AH$10*'Supuestos Proyeccion'!$F$25)</f>
        <v>50344783.579999998</v>
      </c>
      <c r="AI12" s="23">
        <f>IF(AI$5="Real",INDEX('Informacion de Sam'!$7:$7,MATCH(AI$6,'Informacion de Sam'!$1:$1,0)),AI$10*'Supuestos Proyeccion'!$F$25)</f>
        <v>21490422.520000011</v>
      </c>
      <c r="AJ12" s="23">
        <f>IF(AJ$5="Real",INDEX('Informacion de Sam'!$7:$7,MATCH(AJ$6,'Informacion de Sam'!$1:$1,0)),AJ$10*'Supuestos Proyeccion'!$F$25)</f>
        <v>23590906.960000008</v>
      </c>
      <c r="AK12" s="23">
        <f>IF(AK$5="Real",INDEX('Informacion de Sam'!$7:$7,MATCH(AK$6,'Informacion de Sam'!$1:$1,0)),AK$10*'Supuestos Proyeccion'!$F$25)</f>
        <v>20203932.809999973</v>
      </c>
      <c r="AL12" s="23">
        <f>IF(AL$5="Real",INDEX('Informacion de Sam'!$7:$7,MATCH(AL$6,'Informacion de Sam'!$1:$1,0)),AL$10*'Supuestos Proyeccion'!$F$25)</f>
        <v>17762188.25</v>
      </c>
      <c r="AM12" s="23">
        <f>IF(AM$5="Real",INDEX('Informacion de Sam'!$7:$7,MATCH(AM$6,'Informacion de Sam'!$1:$1,0)),AM$10*'Supuestos Proyeccion'!$F$25)</f>
        <v>20607698.610000014</v>
      </c>
      <c r="AN12" s="23">
        <f>SUM(AB12:AM12)</f>
        <v>276334325.25</v>
      </c>
      <c r="AO12" s="23">
        <f>IF(AO$5="Real",INDEX('Informacion de Sam'!$7:$7,MATCH(AO$6,'Informacion de Sam'!$1:$1,0)),AO$10*'Supuestos Proyeccion'!$F$25)</f>
        <v>20973062.32</v>
      </c>
      <c r="AP12" s="23">
        <f>IF(AP$5="Real",INDEX('Informacion de Sam'!$7:$7,MATCH(AP$6,'Informacion de Sam'!$1:$1,0)),AP$10*'Supuestos Proyeccion'!$F$25)</f>
        <v>20894148.32</v>
      </c>
      <c r="AQ12" s="23">
        <f>IF(AQ$5="Real",INDEX('Informacion de Sam'!$7:$7,MATCH(AQ$6,'Informacion de Sam'!$1:$1,0)),AQ$10*'Supuestos Proyeccion'!$F$25)</f>
        <v>21309639.490000002</v>
      </c>
      <c r="AR12" s="23">
        <f>IF(AR$5="Real",INDEX('Informacion de Sam'!$7:$7,MATCH(AR$6,'Informacion de Sam'!$1:$1,0)),AR$10*'Supuestos Proyeccion'!$F$25)</f>
        <v>27340888.889999993</v>
      </c>
      <c r="AS12" s="23">
        <f>IF(AS$5="Real",INDEX('Informacion de Sam'!$7:$7,MATCH(AS$6,'Informacion de Sam'!$1:$1,0)),AS$10*'Supuestos Proyeccion'!$F$25)</f>
        <v>21760372.730000004</v>
      </c>
      <c r="AT12" s="23">
        <f>IF(AT$5="Real",INDEX('Informacion de Sam'!$7:$7,MATCH(AT$6,'Informacion de Sam'!$1:$1,0)),AT$10*'Supuestos Proyeccion'!$F$25)</f>
        <v>22836101.210000008</v>
      </c>
      <c r="AU12" s="23">
        <f>IF(AU$5="Real",INDEX('Informacion de Sam'!$7:$7,MATCH(AU$6,'Informacion de Sam'!$1:$1,0)),AU$10*'Supuestos Proyeccion'!$F$25)</f>
        <v>18103321.810000002</v>
      </c>
      <c r="AV12" s="23">
        <f>IF(AV$5="Real",INDEX('Informacion de Sam'!$7:$7,MATCH(AV$6,'Informacion de Sam'!$1:$1,0)),AV$10*'Supuestos Proyeccion'!$F$25)</f>
        <v>52523852.539999992</v>
      </c>
      <c r="AW12" s="23">
        <f>IF(AW$5="Real",INDEX('Informacion de Sam'!$7:$7,MATCH(AW$6,'Informacion de Sam'!$1:$1,0)),AW$10*'Supuestos Proyeccion'!$F$25)</f>
        <v>18250225.789999992</v>
      </c>
      <c r="AX12" s="23">
        <f>IF(AX$5="Real",INDEX('Informacion de Sam'!$7:$7,MATCH(AX$6,'Informacion de Sam'!$1:$1,0)),AX$10*'Supuestos Proyeccion'!$F$25)</f>
        <v>18027088.539999992</v>
      </c>
      <c r="AY12" s="23">
        <f>IF(AY$5="Real",INDEX('Informacion de Sam'!$7:$7,MATCH(AY$6,'Informacion de Sam'!$1:$1,0)),AY$10*'Supuestos Proyeccion'!$F$25)</f>
        <v>31768977.590000033</v>
      </c>
      <c r="AZ12" s="23">
        <f>IF(AZ$5="Real",INDEX('Informacion de Sam'!$7:$7,MATCH(AZ$6,'Informacion de Sam'!$1:$1,0)),AZ$10*'Supuestos Proyeccion'!$F$25)</f>
        <v>21573703.339999974</v>
      </c>
      <c r="BA12" s="23">
        <f>SUM(AO12:AZ12)</f>
        <v>295361382.56999999</v>
      </c>
      <c r="BB12" s="23">
        <f>IF(BB$5="Real",INDEX('Informacion de Sam'!$7:$7,MATCH(BB$6,'Informacion de Sam'!$1:$1,0)),BB$10*'Supuestos Proyeccion'!$F$25)</f>
        <v>21351895.98</v>
      </c>
      <c r="BC12" s="23">
        <f>IF(BC$5="Real",INDEX('Informacion de Sam'!$7:$7,MATCH(BC$6,'Informacion de Sam'!$1:$1,0)),BC$10*'Supuestos Proyeccion'!$F$25)</f>
        <v>22787927.489999998</v>
      </c>
      <c r="BD12" s="23">
        <f>IF(BD$5="Real",INDEX('Informacion de Sam'!$7:$7,MATCH(BD$6,'Informacion de Sam'!$1:$1,0)),BD$10*'Supuestos Proyeccion'!$F$25)</f>
        <v>22759220.660000004</v>
      </c>
      <c r="BE12" s="23">
        <f>IF(BE$5="Real",INDEX('Informacion de Sam'!$7:$7,MATCH(BE$6,'Informacion de Sam'!$1:$1,0)),BE$10*'Supuestos Proyeccion'!$F$25)</f>
        <v>27280443.279999994</v>
      </c>
      <c r="BF12" s="23">
        <f>IF(BF$5="Real",INDEX('Informacion de Sam'!$7:$7,MATCH(BF$6,'Informacion de Sam'!$1:$1,0)),BF$10*'Supuestos Proyeccion'!$F$25)</f>
        <v>21019483.020000011</v>
      </c>
      <c r="BG12" s="23">
        <f>IF(BG$5="Real",INDEX('Informacion de Sam'!$7:$7,MATCH(BG$6,'Informacion de Sam'!$1:$1,0)),BG$10*'Supuestos Proyeccion'!$F$25)</f>
        <v>26164304.560000002</v>
      </c>
      <c r="BH12" s="23">
        <f>IF(BH$5="Real",INDEX('Informacion de Sam'!$7:$7,MATCH(BH$6,'Informacion de Sam'!$1:$1,0)),BH$10*'Supuestos Proyeccion'!$F$25)</f>
        <v>18476477.129999995</v>
      </c>
      <c r="BI12" s="23">
        <f>IF(BI$5="Real",INDEX('Informacion de Sam'!$7:$7,MATCH(BI$6,'Informacion de Sam'!$1:$1,0)),BI$10*'Supuestos Proyeccion'!$F$25)</f>
        <v>67036234.449999988</v>
      </c>
      <c r="BJ12" s="23">
        <f>IF(BJ$5="Real",INDEX('Informacion de Sam'!$7:$7,MATCH(BJ$6,'Informacion de Sam'!$1:$1,0)),BJ$10*'Supuestos Proyeccion'!$F$25)</f>
        <v>19109452.710000008</v>
      </c>
      <c r="BK12" s="23">
        <f>IF(BK$5="Real",INDEX('Informacion de Sam'!$7:$7,MATCH(BK$6,'Informacion de Sam'!$1:$1,0)),BK$10*'Supuestos Proyeccion'!$F$25)</f>
        <v>28140488.23999998</v>
      </c>
      <c r="BL12" s="23">
        <f>IF(BL$5="Real",INDEX('Informacion de Sam'!$7:$7,MATCH(BL$6,'Informacion de Sam'!$1:$1,0)),BL$10*'Supuestos Proyeccion'!$F$25)</f>
        <v>33307340.350000024</v>
      </c>
      <c r="BM12" s="23">
        <f>IF(BM$5="Real",INDEX('Informacion de Sam'!$7:$7,MATCH(BM$6,'Informacion de Sam'!$1:$1,0)),BM$10*'Supuestos Proyeccion'!$F$25)</f>
        <v>20682510.029999971</v>
      </c>
      <c r="BN12" s="23">
        <f>SUM(BB12:BM12)</f>
        <v>328115777.89999998</v>
      </c>
      <c r="BO12" s="23">
        <f>IF(BO$5="Real",INDEX('Informacion de Sam'!$7:$7,MATCH(BO$6,'Informacion de Sam'!$1:$1,0)),BO$10*'Supuestos Proyeccion'!$F$25)</f>
        <v>33364682.800000001</v>
      </c>
      <c r="BP12" s="23">
        <f>IF(BP$5="Real",INDEX('Informacion de Sam'!$7:$7,MATCH(BP$6,'Informacion de Sam'!$1:$1,0)),BP$10*'Supuestos Proyeccion'!$F$25)</f>
        <v>28047519.529999997</v>
      </c>
      <c r="BQ12" s="23">
        <f>IF(BQ$5="Real",INDEX('Informacion de Sam'!$7:$7,MATCH(BQ$6,'Informacion de Sam'!$1:$1,0)),BQ$10*'Supuestos Proyeccion'!$F$25)</f>
        <v>26293104.090000004</v>
      </c>
      <c r="BR12" s="23">
        <f>IF(BR$5="Real",INDEX('Informacion de Sam'!$7:$7,MATCH(BR$6,'Informacion de Sam'!$1:$1,0)),BR$10*'Supuestos Proyeccion'!$F$25)</f>
        <v>19630588.859999999</v>
      </c>
      <c r="BS12" s="23">
        <f>IF(BS$5="Real",INDEX('Informacion de Sam'!$7:$7,MATCH(BS$6,'Informacion de Sam'!$1:$1,0)),BS$10*'Supuestos Proyeccion'!$F$25)</f>
        <v>20732603.730000004</v>
      </c>
      <c r="BT12" s="23">
        <f>IF(BT$5="Real",INDEX('Informacion de Sam'!$7:$7,MATCH(BT$6,'Informacion de Sam'!$1:$1,0)),BT$10*'Supuestos Proyeccion'!$F$25)</f>
        <v>24480039.600000009</v>
      </c>
      <c r="BU12" s="23">
        <f>IF(BU$5="Real",INDEX('Informacion de Sam'!$7:$7,MATCH(BU$6,'Informacion de Sam'!$1:$1,0)),BU$10*'Supuestos Proyeccion'!$F$25)</f>
        <v>27234464.199999988</v>
      </c>
      <c r="BV12" s="23">
        <f>IF(BV$5="Real",INDEX('Informacion de Sam'!$7:$7,MATCH(BV$6,'Informacion de Sam'!$1:$1,0)),BV$10*'Supuestos Proyeccion'!$F$25)</f>
        <v>20124405.030000001</v>
      </c>
      <c r="BW12" s="23">
        <f>IF(BW$5="Real",INDEX('Informacion de Sam'!$7:$7,MATCH(BW$6,'Informacion de Sam'!$1:$1,0)),BW$10*'Supuestos Proyeccion'!$F$25)</f>
        <v>21237598.979999989</v>
      </c>
      <c r="BX12" s="23">
        <f>IF(BX$5="Real",INDEX('Informacion de Sam'!$7:$7,MATCH(BX$6,'Informacion de Sam'!$1:$1,0)),BX$10*'Supuestos Proyeccion'!$F$25)</f>
        <v>23685551.930000007</v>
      </c>
      <c r="BY12" s="23">
        <f>IF(BY$5="Real",INDEX('Informacion de Sam'!$7:$7,MATCH(BY$6,'Informacion de Sam'!$1:$1,0)),BY$10*'Supuestos Proyeccion'!$F$25)</f>
        <v>23183097.069999993</v>
      </c>
      <c r="BZ12" s="23">
        <f>IF(BZ$5="Real",INDEX('Informacion de Sam'!$7:$7,MATCH(BZ$6,'Informacion de Sam'!$1:$1,0)),BZ$10*'Supuestos Proyeccion'!$F$25)</f>
        <v>23708609.540000021</v>
      </c>
      <c r="CA12" s="23">
        <f>SUM(BO12:BZ12)</f>
        <v>291722265.36000001</v>
      </c>
      <c r="CB12" s="23">
        <f>IF(CB$5="Real",INDEX('Informacion de Sam'!$7:$7,MATCH(CB$6,'Informacion de Sam'!$1:$1,0)),CB$10*'Supuestos Proyeccion'!$F$25)</f>
        <v>18254565.34</v>
      </c>
      <c r="CC12" s="23">
        <f>IF(CC$5="Real",INDEX('Informacion de Sam'!$7:$7,MATCH(CC$6,'Informacion de Sam'!$1:$1,0)),CC$10*'Supuestos Proyeccion'!$F$25)</f>
        <v>26621037.000000004</v>
      </c>
      <c r="CD12" s="23">
        <f>IF(CD$5="Real",INDEX('Informacion de Sam'!$7:$7,MATCH(CD$6,'Informacion de Sam'!$1:$1,0)),CD$10*'Supuestos Proyeccion'!$F$25)</f>
        <v>33028070.090000004</v>
      </c>
      <c r="CE12" s="23">
        <f>IF(CE$5="Real",INDEX('Informacion de Sam'!$7:$7,MATCH(CE$6,'Informacion de Sam'!$1:$1,0)),CE$10*'Supuestos Proyeccion'!$F$25)</f>
        <v>15146107.969999999</v>
      </c>
      <c r="CF12" s="23">
        <f>IF(CF$5="Real",INDEX('Informacion de Sam'!$7:$7,MATCH(CF$6,'Informacion de Sam'!$1:$1,0)),CF$10*'Supuestos Proyeccion'!$F$25)</f>
        <v>15850704.149999991</v>
      </c>
      <c r="CG12" s="23">
        <f>IF(CG$5="Real",INDEX('Informacion de Sam'!$7:$7,MATCH(CG$6,'Informacion de Sam'!$1:$1,0)),CG$10*'Supuestos Proyeccion'!$F$25)</f>
        <v>21920937.409999996</v>
      </c>
      <c r="CH12" s="23">
        <f>IF(CH$5="Real",INDEX('Informacion de Sam'!$7:$7,MATCH(CH$6,'Informacion de Sam'!$1:$1,0)),CH$10*'Supuestos Proyeccion'!$F$25)</f>
        <v>23762794.780000016</v>
      </c>
      <c r="CI12" s="23">
        <f>IF(CI$5="Real",INDEX('Informacion de Sam'!$7:$7,MATCH(CI$6,'Informacion de Sam'!$1:$1,0)),CI$10*'Supuestos Proyeccion'!$F$25)</f>
        <v>19178661.769999981</v>
      </c>
      <c r="CJ12" s="23">
        <f>IF(CJ$5="Real",INDEX('Informacion de Sam'!$7:$7,MATCH(CJ$6,'Informacion de Sam'!$1:$1,0)),CJ$10*'Supuestos Proyeccion'!$F$25)</f>
        <v>19438223.063945148</v>
      </c>
      <c r="CK12" s="23">
        <f>IF(CK$5="Real",INDEX('Informacion de Sam'!$7:$7,MATCH(CK$6,'Informacion de Sam'!$1:$1,0)),CK$10*'Supuestos Proyeccion'!$F$25)</f>
        <v>18764467.835710905</v>
      </c>
      <c r="CL12" s="23">
        <f>IF(CL$5="Real",INDEX('Informacion de Sam'!$7:$7,MATCH(CL$6,'Informacion de Sam'!$1:$1,0)),CL$10*'Supuestos Proyeccion'!$F$25)</f>
        <v>19341952.341021664</v>
      </c>
      <c r="CM12" s="23">
        <f>IF(CM$5="Real",INDEX('Informacion de Sam'!$7:$7,MATCH(CM$6,'Informacion de Sam'!$1:$1,0)),CM$10*'Supuestos Proyeccion'!$F$25)</f>
        <v>17902651.600940607</v>
      </c>
      <c r="CN12" s="23">
        <f>SUM(CB12:CM12)</f>
        <v>249210173.35161832</v>
      </c>
      <c r="CO12" s="23">
        <f>IF(CO$5="Real",INDEX('Informacion de Sam'!$7:$7,MATCH(CO$6,'Informacion de Sam'!$1:$1,0)),CO$10*'Supuestos Proyeccion'!$F$25)</f>
        <v>23437761.162415083</v>
      </c>
      <c r="CP12" s="23">
        <f>IF(CP$5="Real",INDEX('Informacion de Sam'!$7:$7,MATCH(CP$6,'Informacion de Sam'!$1:$1,0)),CP$10*'Supuestos Proyeccion'!$F$25)</f>
        <v>33223576.489445858</v>
      </c>
      <c r="CQ12" s="23">
        <f>IF(CQ$5="Real",INDEX('Informacion de Sam'!$7:$7,MATCH(CQ$6,'Informacion de Sam'!$1:$1,0)),CQ$10*'Supuestos Proyeccion'!$F$25)</f>
        <v>23843561.141439516</v>
      </c>
      <c r="CR12" s="23">
        <f>IF(CR$5="Real",INDEX('Informacion de Sam'!$7:$7,MATCH(CR$6,'Informacion de Sam'!$1:$1,0)),CR$10*'Supuestos Proyeccion'!$F$25)</f>
        <v>24392539.146618735</v>
      </c>
      <c r="CS12" s="23">
        <f>IF(CS$5="Real",INDEX('Informacion de Sam'!$7:$7,MATCH(CS$6,'Informacion de Sam'!$1:$1,0)),CS$10*'Supuestos Proyeccion'!$F$25)</f>
        <v>21461095.449770961</v>
      </c>
      <c r="CT12" s="23">
        <f>IF(CT$5="Real",INDEX('Informacion de Sam'!$7:$7,MATCH(CT$6,'Informacion de Sam'!$1:$1,0)),CT$10*'Supuestos Proyeccion'!$F$25)</f>
        <v>24543154.557759605</v>
      </c>
      <c r="CU12" s="23">
        <f>IF(CU$5="Real",INDEX('Informacion de Sam'!$7:$7,MATCH(CU$6,'Informacion de Sam'!$1:$1,0)),CU$10*'Supuestos Proyeccion'!$F$25)</f>
        <v>26492185.66884489</v>
      </c>
      <c r="CV12" s="23">
        <f>IF(CV$5="Real",INDEX('Informacion de Sam'!$7:$7,MATCH(CV$6,'Informacion de Sam'!$1:$1,0)),CV$10*'Supuestos Proyeccion'!$F$25)</f>
        <v>39809724.521205314</v>
      </c>
      <c r="CW12" s="23">
        <f>IF(CW$5="Real",INDEX('Informacion de Sam'!$7:$7,MATCH(CW$6,'Informacion de Sam'!$1:$1,0)),CW$10*'Supuestos Proyeccion'!$F$25)</f>
        <v>24297778.829931434</v>
      </c>
      <c r="CX12" s="23">
        <f>IF(CX$5="Real",INDEX('Informacion de Sam'!$7:$7,MATCH(CX$6,'Informacion de Sam'!$1:$1,0)),CX$10*'Supuestos Proyeccion'!$F$25)</f>
        <v>23455584.79463863</v>
      </c>
      <c r="CY12" s="23">
        <f>IF(CY$5="Real",INDEX('Informacion de Sam'!$7:$7,MATCH(CY$6,'Informacion de Sam'!$1:$1,0)),CY$10*'Supuestos Proyeccion'!$F$25)</f>
        <v>24177440.426277082</v>
      </c>
      <c r="CZ12" s="23">
        <f>IF(CZ$5="Real",INDEX('Informacion de Sam'!$7:$7,MATCH(CZ$6,'Informacion de Sam'!$1:$1,0)),CZ$10*'Supuestos Proyeccion'!$F$25)</f>
        <v>22378314.501175761</v>
      </c>
      <c r="DA12" s="23">
        <f>SUM(CO12:CZ12)</f>
        <v>311512716.68952286</v>
      </c>
      <c r="DB12" s="23">
        <f>IF(DB$5="Real",INDEX('Informacion de Sam'!$7:$7,MATCH(DB$6,'Informacion de Sam'!$1:$1,0)),DB$10*'Supuestos Proyeccion'!$F$25)</f>
        <v>29297201.453018855</v>
      </c>
      <c r="DC12" s="23">
        <f>IF(DC$5="Real",INDEX('Informacion de Sam'!$7:$7,MATCH(DC$6,'Informacion de Sam'!$1:$1,0)),DC$10*'Supuestos Proyeccion'!$F$25)</f>
        <v>41529470.611807324</v>
      </c>
      <c r="DD12" s="23">
        <f>IF(DD$5="Real",INDEX('Informacion de Sam'!$7:$7,MATCH(DD$6,'Informacion de Sam'!$1:$1,0)),DD$10*'Supuestos Proyeccion'!$F$25)</f>
        <v>29804451.426799394</v>
      </c>
      <c r="DE12" s="23">
        <f>IF(DE$5="Real",INDEX('Informacion de Sam'!$7:$7,MATCH(DE$6,'Informacion de Sam'!$1:$1,0)),DE$10*'Supuestos Proyeccion'!$F$25)</f>
        <v>30490673.933273416</v>
      </c>
      <c r="DF12" s="23">
        <f>IF(DF$5="Real",INDEX('Informacion de Sam'!$7:$7,MATCH(DF$6,'Informacion de Sam'!$1:$1,0)),DF$10*'Supuestos Proyeccion'!$F$25)</f>
        <v>26826369.312213704</v>
      </c>
      <c r="DG12" s="23">
        <f>IF(DG$5="Real",INDEX('Informacion de Sam'!$7:$7,MATCH(DG$6,'Informacion de Sam'!$1:$1,0)),DG$10*'Supuestos Proyeccion'!$F$25)</f>
        <v>30678943.197199505</v>
      </c>
      <c r="DH12" s="23">
        <f>IF(DH$5="Real",INDEX('Informacion de Sam'!$7:$7,MATCH(DH$6,'Informacion de Sam'!$1:$1,0)),DH$10*'Supuestos Proyeccion'!$F$25)</f>
        <v>33115232.086056113</v>
      </c>
      <c r="DI12" s="23">
        <f>IF(DI$5="Real",INDEX('Informacion de Sam'!$7:$7,MATCH(DI$6,'Informacion de Sam'!$1:$1,0)),DI$10*'Supuestos Proyeccion'!$F$25)</f>
        <v>49762155.651506647</v>
      </c>
      <c r="DJ12" s="23">
        <f>IF(DJ$5="Real",INDEX('Informacion de Sam'!$7:$7,MATCH(DJ$6,'Informacion de Sam'!$1:$1,0)),DJ$10*'Supuestos Proyeccion'!$F$25)</f>
        <v>30372223.537414294</v>
      </c>
      <c r="DK12" s="23">
        <f>IF(DK$5="Real",INDEX('Informacion de Sam'!$7:$7,MATCH(DK$6,'Informacion de Sam'!$1:$1,0)),DK$10*'Supuestos Proyeccion'!$F$25)</f>
        <v>29319480.993298288</v>
      </c>
      <c r="DL12" s="23">
        <f>IF(DL$5="Real",INDEX('Informacion de Sam'!$7:$7,MATCH(DL$6,'Informacion de Sam'!$1:$1,0)),DL$10*'Supuestos Proyeccion'!$F$25)</f>
        <v>30221800.53284635</v>
      </c>
      <c r="DM12" s="23">
        <f>IF(DM$5="Real",INDEX('Informacion de Sam'!$7:$7,MATCH(DM$6,'Informacion de Sam'!$1:$1,0)),DM$10*'Supuestos Proyeccion'!$F$25)</f>
        <v>27972893.126469702</v>
      </c>
      <c r="DN12" s="23">
        <f>SUM(DB12:DM12)</f>
        <v>389390895.86190355</v>
      </c>
      <c r="DO12" s="23">
        <f>IF(DO$5="Real",INDEX('Informacion de Sam'!$7:$7,MATCH(DO$6,'Informacion de Sam'!$1:$1,0)),DO$10*'Supuestos Proyeccion'!$F$25)</f>
        <v>36621501.81627357</v>
      </c>
      <c r="DP12" s="23">
        <f>IF(DP$5="Real",INDEX('Informacion de Sam'!$7:$7,MATCH(DP$6,'Informacion de Sam'!$1:$1,0)),DP$10*'Supuestos Proyeccion'!$F$25)</f>
        <v>51911838.264759161</v>
      </c>
      <c r="DQ12" s="23">
        <f>IF(DQ$5="Real",INDEX('Informacion de Sam'!$7:$7,MATCH(DQ$6,'Informacion de Sam'!$1:$1,0)),DQ$10*'Supuestos Proyeccion'!$F$25)</f>
        <v>37255564.283499241</v>
      </c>
      <c r="DR12" s="23">
        <f>IF(DR$5="Real",INDEX('Informacion de Sam'!$7:$7,MATCH(DR$6,'Informacion de Sam'!$1:$1,0)),DR$10*'Supuestos Proyeccion'!$F$25)</f>
        <v>38113342.416591771</v>
      </c>
      <c r="DS12" s="23">
        <f>IF(DS$5="Real",INDEX('Informacion de Sam'!$7:$7,MATCH(DS$6,'Informacion de Sam'!$1:$1,0)),DS$10*'Supuestos Proyeccion'!$F$25)</f>
        <v>33532961.640267126</v>
      </c>
      <c r="DT12" s="23">
        <f>IF(DT$5="Real",INDEX('Informacion de Sam'!$7:$7,MATCH(DT$6,'Informacion de Sam'!$1:$1,0)),DT$10*'Supuestos Proyeccion'!$F$25)</f>
        <v>38348678.996499389</v>
      </c>
      <c r="DU12" s="23">
        <f>IF(DU$5="Real",INDEX('Informacion de Sam'!$7:$7,MATCH(DU$6,'Informacion de Sam'!$1:$1,0)),DU$10*'Supuestos Proyeccion'!$F$25)</f>
        <v>41394040.107570149</v>
      </c>
      <c r="DV12" s="23">
        <f>IF(DV$5="Real",INDEX('Informacion de Sam'!$7:$7,MATCH(DV$6,'Informacion de Sam'!$1:$1,0)),DV$10*'Supuestos Proyeccion'!$F$25)</f>
        <v>62202694.564383306</v>
      </c>
      <c r="DW12" s="23">
        <f>IF(DW$5="Real",INDEX('Informacion de Sam'!$7:$7,MATCH(DW$6,'Informacion de Sam'!$1:$1,0)),DW$10*'Supuestos Proyeccion'!$F$25)</f>
        <v>37965279.421767868</v>
      </c>
      <c r="DX12" s="23">
        <f>IF(DX$5="Real",INDEX('Informacion de Sam'!$7:$7,MATCH(DX$6,'Informacion de Sam'!$1:$1,0)),DX$10*'Supuestos Proyeccion'!$F$25)</f>
        <v>36649351.241622865</v>
      </c>
      <c r="DY12" s="23">
        <f>IF(DY$5="Real",INDEX('Informacion de Sam'!$7:$7,MATCH(DY$6,'Informacion de Sam'!$1:$1,0)),DY$10*'Supuestos Proyeccion'!$F$25)</f>
        <v>37777250.666057937</v>
      </c>
      <c r="DZ12" s="23">
        <f>IF(DZ$5="Real",INDEX('Informacion de Sam'!$7:$7,MATCH(DZ$6,'Informacion de Sam'!$1:$1,0)),DZ$10*'Supuestos Proyeccion'!$F$25)</f>
        <v>34966116.408087127</v>
      </c>
      <c r="EA12" s="23">
        <f>SUM(DO12:DZ12)</f>
        <v>486738619.82737958</v>
      </c>
      <c r="EB12" s="23">
        <f>IF(EB$5="Real",INDEX('Informacion de Sam'!$7:$7,MATCH(EB$6,'Informacion de Sam'!$1:$1,0)),EB$10*'Supuestos Proyeccion'!$F$25)</f>
        <v>45776877.270341963</v>
      </c>
      <c r="EC12" s="23">
        <f>IF(EC$5="Real",INDEX('Informacion de Sam'!$7:$7,MATCH(EC$6,'Informacion de Sam'!$1:$1,0)),EC$10*'Supuestos Proyeccion'!$F$25)</f>
        <v>64889797.830948949</v>
      </c>
      <c r="ED12" s="23">
        <f>IF(ED$5="Real",INDEX('Informacion de Sam'!$7:$7,MATCH(ED$6,'Informacion de Sam'!$1:$1,0)),ED$10*'Supuestos Proyeccion'!$F$25)</f>
        <v>46569455.354374059</v>
      </c>
      <c r="EE12" s="23">
        <f>IF(EE$5="Real",INDEX('Informacion de Sam'!$7:$7,MATCH(EE$6,'Informacion de Sam'!$1:$1,0)),EE$10*'Supuestos Proyeccion'!$F$25)</f>
        <v>47641678.020739719</v>
      </c>
      <c r="EF12" s="23">
        <f>IF(EF$5="Real",INDEX('Informacion de Sam'!$7:$7,MATCH(EF$6,'Informacion de Sam'!$1:$1,0)),EF$10*'Supuestos Proyeccion'!$F$25)</f>
        <v>41916202.05033391</v>
      </c>
      <c r="EG12" s="23">
        <f>IF(EG$5="Real",INDEX('Informacion de Sam'!$7:$7,MATCH(EG$6,'Informacion de Sam'!$1:$1,0)),EG$10*'Supuestos Proyeccion'!$F$25)</f>
        <v>47935848.745624229</v>
      </c>
      <c r="EH12" s="23">
        <f>IF(EH$5="Real",INDEX('Informacion de Sam'!$7:$7,MATCH(EH$6,'Informacion de Sam'!$1:$1,0)),EH$10*'Supuestos Proyeccion'!$F$25)</f>
        <v>51742550.134462684</v>
      </c>
      <c r="EI12" s="23">
        <f>IF(EI$5="Real",INDEX('Informacion de Sam'!$7:$7,MATCH(EI$6,'Informacion de Sam'!$1:$1,0)),EI$10*'Supuestos Proyeccion'!$F$25)</f>
        <v>77753368.20547913</v>
      </c>
      <c r="EJ12" s="23">
        <f>IF(EJ$5="Real",INDEX('Informacion de Sam'!$7:$7,MATCH(EJ$6,'Informacion de Sam'!$1:$1,0)),EJ$10*'Supuestos Proyeccion'!$F$25)</f>
        <v>47456599.277209833</v>
      </c>
      <c r="EK12" s="23">
        <f>IF(EK$5="Real",INDEX('Informacion de Sam'!$7:$7,MATCH(EK$6,'Informacion de Sam'!$1:$1,0)),EK$10*'Supuestos Proyeccion'!$F$25)</f>
        <v>45811689.052028582</v>
      </c>
      <c r="EL12" s="23">
        <f>IF(EL$5="Real",INDEX('Informacion de Sam'!$7:$7,MATCH(EL$6,'Informacion de Sam'!$1:$1,0)),EL$10*'Supuestos Proyeccion'!$F$25)</f>
        <v>47221563.332572423</v>
      </c>
      <c r="EM12" s="23">
        <f>IF(EM$5="Real",INDEX('Informacion de Sam'!$7:$7,MATCH(EM$6,'Informacion de Sam'!$1:$1,0)),EM$10*'Supuestos Proyeccion'!$F$25)</f>
        <v>43707645.510108911</v>
      </c>
      <c r="EN12" s="23">
        <f>SUM(EB12:EM12)</f>
        <v>608423274.78422451</v>
      </c>
      <c r="EO12" s="23">
        <f>IF(EO$5="Real",INDEX('Informacion de Sam'!$7:$7,MATCH(EO$6,'Informacion de Sam'!$1:$1,0)),EO$10*'Supuestos Proyeccion'!$F$25)</f>
        <v>57221096.587927453</v>
      </c>
      <c r="EP12" s="23">
        <f>IF(EP$5="Real",INDEX('Informacion de Sam'!$7:$7,MATCH(EP$6,'Informacion de Sam'!$1:$1,0)),EP$10*'Supuestos Proyeccion'!$F$25)</f>
        <v>81112247.288686171</v>
      </c>
      <c r="EQ12" s="23">
        <f>IF(EQ$5="Real",INDEX('Informacion de Sam'!$7:$7,MATCH(EQ$6,'Informacion de Sam'!$1:$1,0)),EQ$10*'Supuestos Proyeccion'!$F$25)</f>
        <v>58211819.192967564</v>
      </c>
      <c r="ER12" s="23">
        <f>IF(ER$5="Real",INDEX('Informacion de Sam'!$7:$7,MATCH(ER$6,'Informacion de Sam'!$1:$1,0)),ER$10*'Supuestos Proyeccion'!$F$25)</f>
        <v>59552097.525924645</v>
      </c>
      <c r="ES12" s="23">
        <f>IF(ES$5="Real",INDEX('Informacion de Sam'!$7:$7,MATCH(ES$6,'Informacion de Sam'!$1:$1,0)),ES$10*'Supuestos Proyeccion'!$F$25)</f>
        <v>52395252.562917382</v>
      </c>
      <c r="ET12" s="23">
        <f>IF(ET$5="Real",INDEX('Informacion de Sam'!$7:$7,MATCH(ET$6,'Informacion de Sam'!$1:$1,0)),ET$10*'Supuestos Proyeccion'!$F$25)</f>
        <v>59919810.932030283</v>
      </c>
      <c r="EU12" s="23">
        <f>IF(EU$5="Real",INDEX('Informacion de Sam'!$7:$7,MATCH(EU$6,'Informacion de Sam'!$1:$1,0)),EU$10*'Supuestos Proyeccion'!$F$25)</f>
        <v>64678187.668078341</v>
      </c>
      <c r="EV12" s="23">
        <f>IF(EV$5="Real",INDEX('Informacion de Sam'!$7:$7,MATCH(EV$6,'Informacion de Sam'!$1:$1,0)),EV$10*'Supuestos Proyeccion'!$F$25)</f>
        <v>97191710.256848916</v>
      </c>
      <c r="EW12" s="23">
        <f>IF(EW$5="Real",INDEX('Informacion de Sam'!$7:$7,MATCH(EW$6,'Informacion de Sam'!$1:$1,0)),EW$10*'Supuestos Proyeccion'!$F$25)</f>
        <v>59320749.096512295</v>
      </c>
      <c r="EX12" s="23">
        <f>IF(EX$5="Real",INDEX('Informacion de Sam'!$7:$7,MATCH(EX$6,'Informacion de Sam'!$1:$1,0)),EX$10*'Supuestos Proyeccion'!$F$25)</f>
        <v>57264611.315035723</v>
      </c>
      <c r="EY12" s="23">
        <f>IF(EY$5="Real",INDEX('Informacion de Sam'!$7:$7,MATCH(EY$6,'Informacion de Sam'!$1:$1,0)),EY$10*'Supuestos Proyeccion'!$F$25)</f>
        <v>59026954.165715523</v>
      </c>
      <c r="EZ12" s="23">
        <f>IF(EZ$5="Real",INDEX('Informacion de Sam'!$7:$7,MATCH(EZ$6,'Informacion de Sam'!$1:$1,0)),EZ$10*'Supuestos Proyeccion'!$F$25)</f>
        <v>54634556.887636133</v>
      </c>
      <c r="FA12" s="23">
        <f>SUM(EO12:EZ12)</f>
        <v>760529093.48028052</v>
      </c>
      <c r="FB12" s="23">
        <f>IF(FB$5="Real",INDEX('Informacion de Sam'!$7:$7,MATCH(FB$6,'Informacion de Sam'!$1:$1,0)),FB$10*'Supuestos Proyeccion'!$F$25)</f>
        <v>71526370.734909326</v>
      </c>
      <c r="FC12" s="23">
        <f>IF(FC$5="Real",INDEX('Informacion de Sam'!$7:$7,MATCH(FC$6,'Informacion de Sam'!$1:$1,0)),FC$10*'Supuestos Proyeccion'!$F$25)</f>
        <v>101390309.11085774</v>
      </c>
      <c r="FD12" s="23">
        <f>IF(FD$5="Real",INDEX('Informacion de Sam'!$7:$7,MATCH(FD$6,'Informacion de Sam'!$1:$1,0)),FD$10*'Supuestos Proyeccion'!$F$25)</f>
        <v>72764773.991209462</v>
      </c>
      <c r="FE12" s="23">
        <f>IF(FE$5="Real",INDEX('Informacion de Sam'!$7:$7,MATCH(FE$6,'Informacion de Sam'!$1:$1,0)),FE$10*'Supuestos Proyeccion'!$F$25)</f>
        <v>74440121.907405823</v>
      </c>
      <c r="FF12" s="23">
        <f>IF(FF$5="Real",INDEX('Informacion de Sam'!$7:$7,MATCH(FF$6,'Informacion de Sam'!$1:$1,0)),FF$10*'Supuestos Proyeccion'!$F$25)</f>
        <v>65494065.703646734</v>
      </c>
      <c r="FG12" s="23">
        <f>IF(FG$5="Real",INDEX('Informacion de Sam'!$7:$7,MATCH(FG$6,'Informacion de Sam'!$1:$1,0)),FG$10*'Supuestos Proyeccion'!$F$25)</f>
        <v>74899763.66503787</v>
      </c>
      <c r="FH12" s="23">
        <f>IF(FH$5="Real",INDEX('Informacion de Sam'!$7:$7,MATCH(FH$6,'Informacion de Sam'!$1:$1,0)),FH$10*'Supuestos Proyeccion'!$F$25)</f>
        <v>80847734.585097939</v>
      </c>
      <c r="FI12" s="23">
        <f>IF(FI$5="Real",INDEX('Informacion de Sam'!$7:$7,MATCH(FI$6,'Informacion de Sam'!$1:$1,0)),FI$10*'Supuestos Proyeccion'!$F$25)</f>
        <v>121489637.82106115</v>
      </c>
      <c r="FJ12" s="23">
        <f>IF(FJ$5="Real",INDEX('Informacion de Sam'!$7:$7,MATCH(FJ$6,'Informacion de Sam'!$1:$1,0)),FJ$10*'Supuestos Proyeccion'!$F$25)</f>
        <v>74150936.370640367</v>
      </c>
      <c r="FK12" s="23">
        <f>IF(FK$5="Real",INDEX('Informacion de Sam'!$7:$7,MATCH(FK$6,'Informacion de Sam'!$1:$1,0)),FK$10*'Supuestos Proyeccion'!$F$25)</f>
        <v>71580764.143794656</v>
      </c>
      <c r="FL12" s="23">
        <f>IF(FL$5="Real",INDEX('Informacion de Sam'!$7:$7,MATCH(FL$6,'Informacion de Sam'!$1:$1,0)),FL$10*'Supuestos Proyeccion'!$F$25)</f>
        <v>73783692.707144409</v>
      </c>
      <c r="FM12" s="23">
        <f>IF(FM$5="Real",INDEX('Informacion de Sam'!$7:$7,MATCH(FM$6,'Informacion de Sam'!$1:$1,0)),FM$10*'Supuestos Proyeccion'!$F$25)</f>
        <v>68293196.109545171</v>
      </c>
      <c r="FN12" s="23">
        <f>SUM(FB12:FM12)</f>
        <v>950661366.85035062</v>
      </c>
      <c r="FO12" s="23">
        <f>IF(FO$5="Real",INDEX('Informacion de Sam'!$7:$7,MATCH(FO$6,'Informacion de Sam'!$1:$1,0)),FO$10*'Supuestos Proyeccion'!$F$25)</f>
        <v>89407963.41863665</v>
      </c>
      <c r="FP12" s="23">
        <f>IF(FP$5="Real",INDEX('Informacion de Sam'!$7:$7,MATCH(FP$6,'Informacion de Sam'!$1:$1,0)),FP$10*'Supuestos Proyeccion'!$F$25)</f>
        <v>126737886.38857216</v>
      </c>
      <c r="FQ12" s="23">
        <f>IF(FQ$5="Real",INDEX('Informacion de Sam'!$7:$7,MATCH(FQ$6,'Informacion de Sam'!$1:$1,0)),FQ$10*'Supuestos Proyeccion'!$F$25)</f>
        <v>90955967.489011824</v>
      </c>
      <c r="FR12" s="23">
        <f>IF(FR$5="Real",INDEX('Informacion de Sam'!$7:$7,MATCH(FR$6,'Informacion de Sam'!$1:$1,0)),FR$10*'Supuestos Proyeccion'!$F$25)</f>
        <v>93050152.384257257</v>
      </c>
      <c r="FS12" s="23">
        <f>IF(FS$5="Real",INDEX('Informacion de Sam'!$7:$7,MATCH(FS$6,'Informacion de Sam'!$1:$1,0)),FS$10*'Supuestos Proyeccion'!$F$25)</f>
        <v>81867582.129558429</v>
      </c>
      <c r="FT12" s="23">
        <f>IF(FT$5="Real",INDEX('Informacion de Sam'!$7:$7,MATCH(FT$6,'Informacion de Sam'!$1:$1,0)),FT$10*'Supuestos Proyeccion'!$F$25)</f>
        <v>93624704.581297323</v>
      </c>
      <c r="FU12" s="23">
        <f>IF(FU$5="Real",INDEX('Informacion de Sam'!$7:$7,MATCH(FU$6,'Informacion de Sam'!$1:$1,0)),FU$10*'Supuestos Proyeccion'!$F$25)</f>
        <v>101059668.23137242</v>
      </c>
      <c r="FV12" s="23">
        <f>IF(FV$5="Real",INDEX('Informacion de Sam'!$7:$7,MATCH(FV$6,'Informacion de Sam'!$1:$1,0)),FV$10*'Supuestos Proyeccion'!$F$25)</f>
        <v>151862047.27632642</v>
      </c>
      <c r="FW12" s="23">
        <f>IF(FW$5="Real",INDEX('Informacion de Sam'!$7:$7,MATCH(FW$6,'Informacion de Sam'!$1:$1,0)),FW$10*'Supuestos Proyeccion'!$F$25)</f>
        <v>92688670.463300452</v>
      </c>
      <c r="FX12" s="23">
        <f>IF(FX$5="Real",INDEX('Informacion de Sam'!$7:$7,MATCH(FX$6,'Informacion de Sam'!$1:$1,0)),FX$10*'Supuestos Proyeccion'!$F$25)</f>
        <v>89475955.17974332</v>
      </c>
      <c r="FY12" s="23">
        <f>IF(FY$5="Real",INDEX('Informacion de Sam'!$7:$7,MATCH(FY$6,'Informacion de Sam'!$1:$1,0)),FY$10*'Supuestos Proyeccion'!$F$25)</f>
        <v>92229615.883930519</v>
      </c>
      <c r="FZ12" s="23">
        <f>IF(FZ$5="Real",INDEX('Informacion de Sam'!$7:$7,MATCH(FZ$6,'Informacion de Sam'!$1:$1,0)),FZ$10*'Supuestos Proyeccion'!$F$25)</f>
        <v>85366495.136931464</v>
      </c>
      <c r="GA12" s="23">
        <f>SUM(FO12:FZ12)</f>
        <v>1188326708.5629382</v>
      </c>
      <c r="GB12" s="23">
        <f>IF(GB$5="Real",INDEX('Informacion de Sam'!$7:$7,MATCH(GB$6,'Informacion de Sam'!$1:$1,0)),GB$10*'Supuestos Proyeccion'!$F$25)</f>
        <v>111759954.27329582</v>
      </c>
      <c r="GC12" s="23">
        <f>IF(GC$5="Real",INDEX('Informacion de Sam'!$7:$7,MATCH(GC$6,'Informacion de Sam'!$1:$1,0)),GC$10*'Supuestos Proyeccion'!$F$25)</f>
        <v>158422357.98571521</v>
      </c>
      <c r="GD12" s="23">
        <f>IF(GD$5="Real",INDEX('Informacion de Sam'!$7:$7,MATCH(GD$6,'Informacion de Sam'!$1:$1,0)),GD$10*'Supuestos Proyeccion'!$F$25)</f>
        <v>113694959.36126478</v>
      </c>
      <c r="GE12" s="23">
        <f>IF(GE$5="Real",INDEX('Informacion de Sam'!$7:$7,MATCH(GE$6,'Informacion de Sam'!$1:$1,0)),GE$10*'Supuestos Proyeccion'!$F$25)</f>
        <v>116312690.4803216</v>
      </c>
      <c r="GF12" s="23">
        <f>IF(GF$5="Real",INDEX('Informacion de Sam'!$7:$7,MATCH(GF$6,'Informacion de Sam'!$1:$1,0)),GF$10*'Supuestos Proyeccion'!$F$25)</f>
        <v>102334477.66194803</v>
      </c>
      <c r="GG12" s="23">
        <f>IF(GG$5="Real",INDEX('Informacion de Sam'!$7:$7,MATCH(GG$6,'Informacion de Sam'!$1:$1,0)),GG$10*'Supuestos Proyeccion'!$F$25)</f>
        <v>117030880.72662164</v>
      </c>
      <c r="GH12" s="23">
        <f>IF(GH$5="Real",INDEX('Informacion de Sam'!$7:$7,MATCH(GH$6,'Informacion de Sam'!$1:$1,0)),GH$10*'Supuestos Proyeccion'!$F$25)</f>
        <v>126324585.28921553</v>
      </c>
      <c r="GI12" s="23">
        <f>IF(GI$5="Real",INDEX('Informacion de Sam'!$7:$7,MATCH(GI$6,'Informacion de Sam'!$1:$1,0)),GI$10*'Supuestos Proyeccion'!$F$25)</f>
        <v>189827559.09540805</v>
      </c>
      <c r="GJ12" s="23">
        <f>IF(GJ$5="Real",INDEX('Informacion de Sam'!$7:$7,MATCH(GJ$6,'Informacion de Sam'!$1:$1,0)),GJ$10*'Supuestos Proyeccion'!$F$25)</f>
        <v>115860838.07912558</v>
      </c>
      <c r="GK12" s="23">
        <f>IF(GK$5="Real",INDEX('Informacion de Sam'!$7:$7,MATCH(GK$6,'Informacion de Sam'!$1:$1,0)),GK$10*'Supuestos Proyeccion'!$F$25)</f>
        <v>111844943.97467914</v>
      </c>
      <c r="GL12" s="23">
        <f>IF(GL$5="Real",INDEX('Informacion de Sam'!$7:$7,MATCH(GL$6,'Informacion de Sam'!$1:$1,0)),GL$10*'Supuestos Proyeccion'!$F$25)</f>
        <v>115287019.85491316</v>
      </c>
      <c r="GM12" s="23">
        <f>IF(GM$5="Real",INDEX('Informacion de Sam'!$7:$7,MATCH(GM$6,'Informacion de Sam'!$1:$1,0)),GM$10*'Supuestos Proyeccion'!$F$25)</f>
        <v>106708118.92116433</v>
      </c>
      <c r="GN12" s="23">
        <f>SUM(GB12:GM12)</f>
        <v>1485408385.7036729</v>
      </c>
      <c r="GO12" s="23">
        <f>IF(GO$5="Real",INDEX('Informacion de Sam'!$7:$7,MATCH(GO$6,'Informacion de Sam'!$1:$1,0)),GO$10*'Supuestos Proyeccion'!$F$25)</f>
        <v>139699942.84161976</v>
      </c>
      <c r="GP12" s="23">
        <f>IF(GP$5="Real",INDEX('Informacion de Sam'!$7:$7,MATCH(GP$6,'Informacion de Sam'!$1:$1,0)),GP$10*'Supuestos Proyeccion'!$F$25)</f>
        <v>198027947.482144</v>
      </c>
      <c r="GQ12" s="23">
        <f>IF(GQ$5="Real",INDEX('Informacion de Sam'!$7:$7,MATCH(GQ$6,'Informacion de Sam'!$1:$1,0)),GQ$10*'Supuestos Proyeccion'!$F$25)</f>
        <v>142118699.20158097</v>
      </c>
      <c r="GR12" s="23">
        <f>IF(GR$5="Real",INDEX('Informacion de Sam'!$7:$7,MATCH(GR$6,'Informacion de Sam'!$1:$1,0)),GR$10*'Supuestos Proyeccion'!$F$25)</f>
        <v>145390863.10040197</v>
      </c>
      <c r="GS12" s="23">
        <f>IF(GS$5="Real",INDEX('Informacion de Sam'!$7:$7,MATCH(GS$6,'Informacion de Sam'!$1:$1,0)),GS$10*'Supuestos Proyeccion'!$F$25)</f>
        <v>127918097.077435</v>
      </c>
      <c r="GT12" s="23">
        <f>IF(GT$5="Real",INDEX('Informacion de Sam'!$7:$7,MATCH(GT$6,'Informacion de Sam'!$1:$1,0)),GT$10*'Supuestos Proyeccion'!$F$25)</f>
        <v>146288600.90827703</v>
      </c>
      <c r="GU12" s="23">
        <f>IF(GU$5="Real",INDEX('Informacion de Sam'!$7:$7,MATCH(GU$6,'Informacion de Sam'!$1:$1,0)),GU$10*'Supuestos Proyeccion'!$F$25)</f>
        <v>157905731.6115194</v>
      </c>
      <c r="GV12" s="23">
        <f>IF(GV$5="Real",INDEX('Informacion de Sam'!$7:$7,MATCH(GV$6,'Informacion de Sam'!$1:$1,0)),GV$10*'Supuestos Proyeccion'!$F$25)</f>
        <v>237284448.86926004</v>
      </c>
      <c r="GW12" s="23">
        <f>IF(GW$5="Real",INDEX('Informacion de Sam'!$7:$7,MATCH(GW$6,'Informacion de Sam'!$1:$1,0)),GW$10*'Supuestos Proyeccion'!$F$25)</f>
        <v>144826047.59890696</v>
      </c>
      <c r="GX12" s="23">
        <f>IF(GX$5="Real",INDEX('Informacion de Sam'!$7:$7,MATCH(GX$6,'Informacion de Sam'!$1:$1,0)),GX$10*'Supuestos Proyeccion'!$F$25)</f>
        <v>139806179.96834892</v>
      </c>
      <c r="GY12" s="23">
        <f>IF(GY$5="Real",INDEX('Informacion de Sam'!$7:$7,MATCH(GY$6,'Informacion de Sam'!$1:$1,0)),GY$10*'Supuestos Proyeccion'!$F$25)</f>
        <v>144108774.81864142</v>
      </c>
      <c r="GZ12" s="23">
        <f>IF(GZ$5="Real",INDEX('Informacion de Sam'!$7:$7,MATCH(GZ$6,'Informacion de Sam'!$1:$1,0)),GZ$10*'Supuestos Proyeccion'!$F$25)</f>
        <v>133385148.6514554</v>
      </c>
      <c r="HA12" s="23">
        <f>SUM(GO12:GZ12)</f>
        <v>1856760482.129591</v>
      </c>
      <c r="HB12" s="23"/>
      <c r="HC12" s="51">
        <f t="shared" ref="HC12:HR12" si="2">SUMIFS($B12:$HA12,$B$4:$HA$4,HC$6,$B$5:$HA$5,"Acumulado")</f>
        <v>204538573.72999999</v>
      </c>
      <c r="HD12" s="51">
        <f t="shared" si="2"/>
        <v>212587003.37</v>
      </c>
      <c r="HE12" s="51">
        <f t="shared" si="2"/>
        <v>276334325.25</v>
      </c>
      <c r="HF12" s="51">
        <f t="shared" si="2"/>
        <v>295361382.56999999</v>
      </c>
      <c r="HG12" s="51">
        <f t="shared" si="2"/>
        <v>328115777.89999998</v>
      </c>
      <c r="HH12" s="51">
        <f t="shared" si="2"/>
        <v>291722265.36000001</v>
      </c>
      <c r="HI12" s="51">
        <f t="shared" si="2"/>
        <v>249210173.35161832</v>
      </c>
      <c r="HJ12" s="51">
        <f t="shared" si="2"/>
        <v>311512716.68952286</v>
      </c>
      <c r="HK12" s="51">
        <f t="shared" si="2"/>
        <v>389390895.86190355</v>
      </c>
      <c r="HL12" s="51">
        <f t="shared" si="2"/>
        <v>486738619.82737958</v>
      </c>
      <c r="HM12" s="51">
        <f t="shared" si="2"/>
        <v>608423274.78422451</v>
      </c>
      <c r="HN12" s="51">
        <f t="shared" si="2"/>
        <v>760529093.48028052</v>
      </c>
      <c r="HO12" s="51">
        <f t="shared" si="2"/>
        <v>950661366.85035062</v>
      </c>
      <c r="HP12" s="51">
        <f t="shared" si="2"/>
        <v>1188326708.5629382</v>
      </c>
      <c r="HQ12" s="51">
        <f t="shared" si="2"/>
        <v>1485408385.7036729</v>
      </c>
      <c r="HR12" s="51">
        <f t="shared" si="2"/>
        <v>1856760482.129591</v>
      </c>
    </row>
    <row r="13" spans="1:226" x14ac:dyDescent="0.35"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</row>
    <row r="14" spans="1:226" x14ac:dyDescent="0.35">
      <c r="A14" s="25" t="s">
        <v>57</v>
      </c>
      <c r="B14" s="29">
        <f>IF(B$5="Real",INDEX('Informacion de Sam'!$9:$9,MATCH(B$6,'Informacion de Sam'!$1:$1,0)),B$10-B$12)</f>
        <v>15347214.16</v>
      </c>
      <c r="C14" s="29">
        <f>IF(C$5="Real",INDEX('Informacion de Sam'!$9:$9,MATCH(C$6,'Informacion de Sam'!$1:$1,0)),C$10-C$12)</f>
        <v>24356171.710000005</v>
      </c>
      <c r="D14" s="29">
        <f>IF(D$5="Real",INDEX('Informacion de Sam'!$9:$9,MATCH(D$6,'Informacion de Sam'!$1:$1,0)),D$10-D$12)</f>
        <v>18907041.07</v>
      </c>
      <c r="E14" s="29">
        <f>IF(E$5="Real",INDEX('Informacion de Sam'!$9:$9,MATCH(E$6,'Informacion de Sam'!$1:$1,0)),E$10-E$12)</f>
        <v>12745481.989999995</v>
      </c>
      <c r="F14" s="29">
        <f>IF(F$5="Real",INDEX('Informacion de Sam'!$9:$9,MATCH(F$6,'Informacion de Sam'!$1:$1,0)),F$10-F$12)</f>
        <v>16212602.93999999</v>
      </c>
      <c r="G14" s="29">
        <f>IF(G$5="Real",INDEX('Informacion de Sam'!$9:$9,MATCH(G$6,'Informacion de Sam'!$1:$1,0)),G$10-G$12)</f>
        <v>14645952.510000005</v>
      </c>
      <c r="H14" s="29">
        <f>IF(H$5="Real",INDEX('Informacion de Sam'!$9:$9,MATCH(H$6,'Informacion de Sam'!$1:$1,0)),H$10-H$12)</f>
        <v>16276349.159999996</v>
      </c>
      <c r="I14" s="29">
        <f>IF(I$5="Real",INDEX('Informacion de Sam'!$9:$9,MATCH(I$6,'Informacion de Sam'!$1:$1,0)),I$10-I$12)</f>
        <v>21696788.700000018</v>
      </c>
      <c r="J14" s="29">
        <f>IF(J$5="Real",INDEX('Informacion de Sam'!$9:$9,MATCH(J$6,'Informacion de Sam'!$1:$1,0)),J$10-J$12)</f>
        <v>15189263.24000001</v>
      </c>
      <c r="K14" s="29">
        <f>IF(K$5="Real",INDEX('Informacion de Sam'!$9:$9,MATCH(K$6,'Informacion de Sam'!$1:$1,0)),K$10-K$12)</f>
        <v>16130089.939999968</v>
      </c>
      <c r="L14" s="29">
        <f>IF(L$5="Real",INDEX('Informacion de Sam'!$9:$9,MATCH(L$6,'Informacion de Sam'!$1:$1,0)),L$10-L$12)</f>
        <v>13705358.310000002</v>
      </c>
      <c r="M14" s="29">
        <f>IF(M$5="Real",INDEX('Informacion de Sam'!$9:$9,MATCH(M$6,'Informacion de Sam'!$1:$1,0)),M$10-M$12)</f>
        <v>14445490.840000026</v>
      </c>
      <c r="N14" s="29">
        <f>SUM(B14:M14)</f>
        <v>199657804.57000002</v>
      </c>
      <c r="O14" s="29">
        <f>IF(O$5="Real",INDEX('Informacion de Sam'!$9:$9,MATCH(O$6,'Informacion de Sam'!$1:$1,0)),O$10-O$12)</f>
        <v>14595317.930000002</v>
      </c>
      <c r="P14" s="29">
        <f>IF(P$5="Real",INDEX('Informacion de Sam'!$9:$9,MATCH(P$6,'Informacion de Sam'!$1:$1,0)),P$10-P$12)</f>
        <v>20266490.770000003</v>
      </c>
      <c r="Q14" s="29">
        <f>IF(Q$5="Real",INDEX('Informacion de Sam'!$9:$9,MATCH(Q$6,'Informacion de Sam'!$1:$1,0)),Q$10-Q$12)</f>
        <v>27099906.43999999</v>
      </c>
      <c r="R14" s="29">
        <f>IF(R$5="Real",INDEX('Informacion de Sam'!$9:$9,MATCH(R$6,'Informacion de Sam'!$1:$1,0)),R$10-R$12)</f>
        <v>15359351.520000018</v>
      </c>
      <c r="S14" s="29">
        <f>IF(S$5="Real",INDEX('Informacion de Sam'!$9:$9,MATCH(S$6,'Informacion de Sam'!$1:$1,0)),S$10-S$12)</f>
        <v>13680244.209999979</v>
      </c>
      <c r="T14" s="29">
        <f>IF(T$5="Real",INDEX('Informacion de Sam'!$9:$9,MATCH(T$6,'Informacion de Sam'!$1:$1,0)),T$10-T$12)</f>
        <v>15554488.760000013</v>
      </c>
      <c r="U14" s="29">
        <f>IF(U$5="Real",INDEX('Informacion de Sam'!$9:$9,MATCH(U$6,'Informacion de Sam'!$1:$1,0)),U$10-U$12)</f>
        <v>17354325.129999984</v>
      </c>
      <c r="V14" s="29">
        <f>IF(V$5="Real",INDEX('Informacion de Sam'!$9:$9,MATCH(V$6,'Informacion de Sam'!$1:$1,0)),V$10-V$12)</f>
        <v>21843500.56000004</v>
      </c>
      <c r="W14" s="29">
        <f>IF(W$5="Real",INDEX('Informacion de Sam'!$9:$9,MATCH(W$6,'Informacion de Sam'!$1:$1,0)),W$10-W$12)</f>
        <v>16072020.799999982</v>
      </c>
      <c r="X14" s="29">
        <f>IF(X$5="Real",INDEX('Informacion de Sam'!$9:$9,MATCH(X$6,'Informacion de Sam'!$1:$1,0)),X$10-X$12)</f>
        <v>16136093.39999998</v>
      </c>
      <c r="Y14" s="29">
        <f>IF(Y$5="Real",INDEX('Informacion de Sam'!$9:$9,MATCH(Y$6,'Informacion de Sam'!$1:$1,0)),Y$10-Y$12)</f>
        <v>15391750.110000025</v>
      </c>
      <c r="Z14" s="29">
        <f>IF(Z$5="Real",INDEX('Informacion de Sam'!$9:$9,MATCH(Z$6,'Informacion de Sam'!$1:$1,0)),Z$10-Z$12)</f>
        <v>11405984.229999997</v>
      </c>
      <c r="AA14" s="29">
        <f>SUM(O14:Z14)</f>
        <v>204759473.85999998</v>
      </c>
      <c r="AB14" s="29">
        <f>IF(AB$5="Real",INDEX('Informacion de Sam'!$9:$9,MATCH(AB$6,'Informacion de Sam'!$1:$1,0)),AB$10-AB$12)</f>
        <v>18728249.259999998</v>
      </c>
      <c r="AC14" s="29">
        <f>IF(AC$5="Real",INDEX('Informacion de Sam'!$9:$9,MATCH(AC$6,'Informacion de Sam'!$1:$1,0)),AC$10-AC$12)</f>
        <v>41313951.670000002</v>
      </c>
      <c r="AD14" s="29">
        <f>IF(AD$5="Real",INDEX('Informacion de Sam'!$9:$9,MATCH(AD$6,'Informacion de Sam'!$1:$1,0)),AD$10-AD$12)</f>
        <v>22781635.280000001</v>
      </c>
      <c r="AE14" s="29">
        <f>IF(AE$5="Real",INDEX('Informacion de Sam'!$9:$9,MATCH(AE$6,'Informacion de Sam'!$1:$1,0)),AE$10-AE$12)</f>
        <v>19546315.219999991</v>
      </c>
      <c r="AF14" s="29">
        <f>IF(AF$5="Real",INDEX('Informacion de Sam'!$9:$9,MATCH(AF$6,'Informacion de Sam'!$1:$1,0)),AF$10-AF$12)</f>
        <v>19123766.220000006</v>
      </c>
      <c r="AG14" s="29">
        <f>IF(AG$5="Real",INDEX('Informacion de Sam'!$9:$9,MATCH(AG$6,'Informacion de Sam'!$1:$1,0)),AG$10-AG$12)</f>
        <v>20889701.039999992</v>
      </c>
      <c r="AH14" s="29">
        <f>IF(AH$5="Real",INDEX('Informacion de Sam'!$9:$9,MATCH(AH$6,'Informacion de Sam'!$1:$1,0)),AH$10-AH$12)</f>
        <v>30098961.309999987</v>
      </c>
      <c r="AI14" s="29">
        <f>IF(AI$5="Real",INDEX('Informacion de Sam'!$9:$9,MATCH(AI$6,'Informacion de Sam'!$1:$1,0)),AI$10-AI$12)</f>
        <v>26167380.120000005</v>
      </c>
      <c r="AJ14" s="29">
        <f>IF(AJ$5="Real",INDEX('Informacion de Sam'!$9:$9,MATCH(AJ$6,'Informacion de Sam'!$1:$1,0)),AJ$10-AJ$12)</f>
        <v>28644933.119999997</v>
      </c>
      <c r="AK14" s="29">
        <f>IF(AK$5="Real",INDEX('Informacion de Sam'!$9:$9,MATCH(AK$6,'Informacion de Sam'!$1:$1,0)),AK$10-AK$12)</f>
        <v>25128523.340000041</v>
      </c>
      <c r="AL14" s="29">
        <f>IF(AL$5="Real",INDEX('Informacion de Sam'!$9:$9,MATCH(AL$6,'Informacion de Sam'!$1:$1,0)),AL$10-AL$12)</f>
        <v>24268808.319999993</v>
      </c>
      <c r="AM14" s="29">
        <f>IF(AM$5="Real",INDEX('Informacion de Sam'!$9:$9,MATCH(AM$6,'Informacion de Sam'!$1:$1,0)),AM$10-AM$12)</f>
        <v>16582904.359999962</v>
      </c>
      <c r="AN14" s="29">
        <f>SUM(AB14:AM14)</f>
        <v>293275129.25999999</v>
      </c>
      <c r="AO14" s="29">
        <f>IF(AO$5="Real",INDEX('Informacion de Sam'!$9:$9,MATCH(AO$6,'Informacion de Sam'!$1:$1,0)),AO$10-AO$12)</f>
        <v>27945556.950000003</v>
      </c>
      <c r="AP14" s="29">
        <f>IF(AP$5="Real",INDEX('Informacion de Sam'!$9:$9,MATCH(AP$6,'Informacion de Sam'!$1:$1,0)),AP$10-AP$12)</f>
        <v>44630574.279999994</v>
      </c>
      <c r="AQ14" s="29">
        <f>IF(AQ$5="Real",INDEX('Informacion de Sam'!$9:$9,MATCH(AQ$6,'Informacion de Sam'!$1:$1,0)),AQ$10-AQ$12)</f>
        <v>24575261.459999993</v>
      </c>
      <c r="AR14" s="29">
        <f>IF(AR$5="Real",INDEX('Informacion de Sam'!$9:$9,MATCH(AR$6,'Informacion de Sam'!$1:$1,0)),AR$10-AR$12)</f>
        <v>30794070.119999997</v>
      </c>
      <c r="AS14" s="29">
        <f>IF(AS$5="Real",INDEX('Informacion de Sam'!$9:$9,MATCH(AS$6,'Informacion de Sam'!$1:$1,0)),AS$10-AS$12)</f>
        <v>22415827.390000015</v>
      </c>
      <c r="AT14" s="29">
        <f>IF(AT$5="Real",INDEX('Informacion de Sam'!$9:$9,MATCH(AT$6,'Informacion de Sam'!$1:$1,0)),AT$10-AT$12)</f>
        <v>23360675.379999951</v>
      </c>
      <c r="AU14" s="29">
        <f>IF(AU$5="Real",INDEX('Informacion de Sam'!$9:$9,MATCH(AU$6,'Informacion de Sam'!$1:$1,0)),AU$10-AU$12)</f>
        <v>22798542.460000053</v>
      </c>
      <c r="AV14" s="29">
        <f>IF(AV$5="Real",INDEX('Informacion de Sam'!$9:$9,MATCH(AV$6,'Informacion de Sam'!$1:$1,0)),AV$10-AV$12)</f>
        <v>30139076.61999996</v>
      </c>
      <c r="AW14" s="29">
        <f>IF(AW$5="Real",INDEX('Informacion de Sam'!$9:$9,MATCH(AW$6,'Informacion de Sam'!$1:$1,0)),AW$10-AW$12)</f>
        <v>24842645.400000006</v>
      </c>
      <c r="AX14" s="29">
        <f>IF(AX$5="Real",INDEX('Informacion de Sam'!$9:$9,MATCH(AX$6,'Informacion de Sam'!$1:$1,0)),AX$10-AX$12)</f>
        <v>23932165.810000032</v>
      </c>
      <c r="AY14" s="29">
        <f>IF(AY$5="Real",INDEX('Informacion de Sam'!$9:$9,MATCH(AY$6,'Informacion de Sam'!$1:$1,0)),AY$10-AY$12)</f>
        <v>20873906.579999976</v>
      </c>
      <c r="AZ14" s="29">
        <f>IF(AZ$5="Real",INDEX('Informacion de Sam'!$9:$9,MATCH(AZ$6,'Informacion de Sam'!$1:$1,0)),AZ$10-AZ$12)</f>
        <v>27527182.450000063</v>
      </c>
      <c r="BA14" s="29">
        <f>SUM(AO14:AZ14)</f>
        <v>323835484.89999998</v>
      </c>
      <c r="BB14" s="29">
        <f>IF(BB$5="Real",INDEX('Informacion de Sam'!$9:$9,MATCH(BB$6,'Informacion de Sam'!$1:$1,0)),BB$10-BB$12)</f>
        <v>30020851.010000002</v>
      </c>
      <c r="BC14" s="29">
        <f>IF(BC$5="Real",INDEX('Informacion de Sam'!$9:$9,MATCH(BC$6,'Informacion de Sam'!$1:$1,0)),BC$10-BC$12)</f>
        <v>53799550.610000014</v>
      </c>
      <c r="BD14" s="29">
        <f>IF(BD$5="Real",INDEX('Informacion de Sam'!$9:$9,MATCH(BD$6,'Informacion de Sam'!$1:$1,0)),BD$10-BD$12)</f>
        <v>23575455.829999998</v>
      </c>
      <c r="BE14" s="29">
        <f>IF(BE$5="Real",INDEX('Informacion de Sam'!$9:$9,MATCH(BE$6,'Informacion de Sam'!$1:$1,0)),BE$10-BE$12)</f>
        <v>31942321.289999999</v>
      </c>
      <c r="BF14" s="29">
        <f>IF(BF$5="Real",INDEX('Informacion de Sam'!$9:$9,MATCH(BF$6,'Informacion de Sam'!$1:$1,0)),BF$10-BF$12)</f>
        <v>24348658.429999962</v>
      </c>
      <c r="BG14" s="29">
        <f>IF(BG$5="Real",INDEX('Informacion de Sam'!$9:$9,MATCH(BG$6,'Informacion de Sam'!$1:$1,0)),BG$10-BG$12)</f>
        <v>26206712.170000002</v>
      </c>
      <c r="BH14" s="29">
        <f>IF(BH$5="Real",INDEX('Informacion de Sam'!$9:$9,MATCH(BH$6,'Informacion de Sam'!$1:$1,0)),BH$10-BH$12)</f>
        <v>32671626.900000021</v>
      </c>
      <c r="BI14" s="29">
        <f>IF(BI$5="Real",INDEX('Informacion de Sam'!$9:$9,MATCH(BI$6,'Informacion de Sam'!$1:$1,0)),BI$10-BI$12)</f>
        <v>38016144.440000013</v>
      </c>
      <c r="BJ14" s="29">
        <f>IF(BJ$5="Real",INDEX('Informacion de Sam'!$9:$9,MATCH(BJ$6,'Informacion de Sam'!$1:$1,0)),BJ$10-BJ$12)</f>
        <v>29644139.539999962</v>
      </c>
      <c r="BK14" s="29">
        <f>IF(BK$5="Real",INDEX('Informacion de Sam'!$9:$9,MATCH(BK$6,'Informacion de Sam'!$1:$1,0)),BK$10-BK$12)</f>
        <v>32156611.480000019</v>
      </c>
      <c r="BL14" s="29">
        <f>IF(BL$5="Real",INDEX('Informacion de Sam'!$9:$9,MATCH(BL$6,'Informacion de Sam'!$1:$1,0)),BL$10-BL$12)</f>
        <v>28789045.229999952</v>
      </c>
      <c r="BM14" s="29">
        <f>IF(BM$5="Real",INDEX('Informacion de Sam'!$9:$9,MATCH(BM$6,'Informacion de Sam'!$1:$1,0)),BM$10-BM$12)</f>
        <v>19594927.790000074</v>
      </c>
      <c r="BN14" s="29">
        <f>SUM(BB14:BM14)</f>
        <v>370766044.72000003</v>
      </c>
      <c r="BO14" s="29">
        <f>IF(BO$5="Real",INDEX('Informacion de Sam'!$9:$9,MATCH(BO$6,'Informacion de Sam'!$1:$1,0)),BO$10-BO$12)</f>
        <v>38126809.590000004</v>
      </c>
      <c r="BP14" s="29">
        <f>IF(BP$5="Real",INDEX('Informacion de Sam'!$9:$9,MATCH(BP$6,'Informacion de Sam'!$1:$1,0)),BP$10-BP$12)</f>
        <v>49160315.379999995</v>
      </c>
      <c r="BQ14" s="29">
        <f>IF(BQ$5="Real",INDEX('Informacion de Sam'!$9:$9,MATCH(BQ$6,'Informacion de Sam'!$1:$1,0)),BQ$10-BQ$12)</f>
        <v>29624395.390000015</v>
      </c>
      <c r="BR14" s="29">
        <f>IF(BR$5="Real",INDEX('Informacion de Sam'!$9:$9,MATCH(BR$6,'Informacion de Sam'!$1:$1,0)),BR$10-BR$12)</f>
        <v>33392214.389999986</v>
      </c>
      <c r="BS14" s="29">
        <f>IF(BS$5="Real",INDEX('Informacion de Sam'!$9:$9,MATCH(BS$6,'Informacion de Sam'!$1:$1,0)),BS$10-BS$12)</f>
        <v>28656884.029999971</v>
      </c>
      <c r="BT14" s="29">
        <f>IF(BT$5="Real",INDEX('Informacion de Sam'!$9:$9,MATCH(BT$6,'Informacion de Sam'!$1:$1,0)),BT$10-BT$12)</f>
        <v>30774372.130000032</v>
      </c>
      <c r="BU14" s="29">
        <f>IF(BU$5="Real",INDEX('Informacion de Sam'!$9:$9,MATCH(BU$6,'Informacion de Sam'!$1:$1,0)),BU$10-BU$12)</f>
        <v>30485582.799999982</v>
      </c>
      <c r="BV14" s="29">
        <f>IF(BV$5="Real",INDEX('Informacion de Sam'!$9:$9,MATCH(BV$6,'Informacion de Sam'!$1:$1,0)),BV$10-BV$12)</f>
        <v>37163659.970000029</v>
      </c>
      <c r="BW14" s="29">
        <f>IF(BW$5="Real",INDEX('Informacion de Sam'!$9:$9,MATCH(BW$6,'Informacion de Sam'!$1:$1,0)),BW$10-BW$12)</f>
        <v>36253285.789999999</v>
      </c>
      <c r="BX14" s="29">
        <f>IF(BX$5="Real",INDEX('Informacion de Sam'!$9:$9,MATCH(BX$6,'Informacion de Sam'!$1:$1,0)),BX$10-BX$12)</f>
        <v>24773543.140000038</v>
      </c>
      <c r="BY14" s="29">
        <f>IF(BY$5="Real",INDEX('Informacion de Sam'!$9:$9,MATCH(BY$6,'Informacion de Sam'!$1:$1,0)),BY$10-BY$12)</f>
        <v>23679873.609999955</v>
      </c>
      <c r="BZ14" s="29">
        <f>IF(BZ$5="Real",INDEX('Informacion de Sam'!$9:$9,MATCH(BZ$6,'Informacion de Sam'!$1:$1,0)),BZ$10-BZ$12)</f>
        <v>14798140.740000039</v>
      </c>
      <c r="CA14" s="29">
        <f>SUM(BO14:BZ14)</f>
        <v>376889076.96000004</v>
      </c>
      <c r="CB14" s="29">
        <f>IF(CB$5="Real",INDEX('Informacion de Sam'!$9:$9,MATCH(CB$6,'Informacion de Sam'!$1:$1,0)),CB$10-CB$12)</f>
        <v>32937948.040000003</v>
      </c>
      <c r="CC14" s="29">
        <f>IF(CC$5="Real",INDEX('Informacion de Sam'!$9:$9,MATCH(CC$6,'Informacion de Sam'!$1:$1,0)),CC$10-CC$12)</f>
        <v>47494549.00999999</v>
      </c>
      <c r="CD14" s="29">
        <f>IF(CD$5="Real",INDEX('Informacion de Sam'!$9:$9,MATCH(CD$6,'Informacion de Sam'!$1:$1,0)),CD$10-CD$12)</f>
        <v>29467739.480000004</v>
      </c>
      <c r="CE14" s="29">
        <f>IF(CE$5="Real",INDEX('Informacion de Sam'!$9:$9,MATCH(CE$6,'Informacion de Sam'!$1:$1,0)),CE$10-CE$12)</f>
        <v>26280046.589999996</v>
      </c>
      <c r="CF14" s="29">
        <f>IF(CF$5="Real",INDEX('Informacion de Sam'!$9:$9,MATCH(CF$6,'Informacion de Sam'!$1:$1,0)),CF$10-CF$12)</f>
        <v>24525769.530000016</v>
      </c>
      <c r="CG14" s="29">
        <f>IF(CG$5="Real",INDEX('Informacion de Sam'!$9:$9,MATCH(CG$6,'Informacion de Sam'!$1:$1,0)),CG$10-CG$12)</f>
        <v>20787767.720000029</v>
      </c>
      <c r="CH14" s="29">
        <f>IF(CH$5="Real",INDEX('Informacion de Sam'!$9:$9,MATCH(CH$6,'Informacion de Sam'!$1:$1,0)),CH$10-CH$12)</f>
        <v>22370403.409999967</v>
      </c>
      <c r="CI14" s="29">
        <f>IF(CI$5="Real",INDEX('Informacion de Sam'!$9:$9,MATCH(CI$6,'Informacion de Sam'!$1:$1,0)),CI$10-CI$12)</f>
        <v>26913378.260000035</v>
      </c>
      <c r="CJ14" s="29">
        <f>IF(CJ$5="Real",INDEX('Informacion de Sam'!$9:$9,MATCH(CJ$6,'Informacion de Sam'!$1:$1,0)),CJ$10-CJ$12)</f>
        <v>25816253.420075115</v>
      </c>
      <c r="CK14" s="29">
        <f>IF(CK$5="Real",INDEX('Informacion de Sam'!$9:$9,MATCH(CK$6,'Informacion de Sam'!$1:$1,0)),CK$10-CK$12)</f>
        <v>24921426.991858095</v>
      </c>
      <c r="CL14" s="29">
        <f>IF(CL$5="Real",INDEX('Informacion de Sam'!$9:$9,MATCH(CL$6,'Informacion de Sam'!$1:$1,0)),CL$10-CL$12)</f>
        <v>25688394.542658672</v>
      </c>
      <c r="CM14" s="29">
        <f>IF(CM$5="Real",INDEX('Informacion de Sam'!$9:$9,MATCH(CM$6,'Informacion de Sam'!$1:$1,0)),CM$10-CM$12)</f>
        <v>23776833.360785246</v>
      </c>
      <c r="CN14" s="29">
        <f>SUM(CB14:CM14)</f>
        <v>330980510.3553772</v>
      </c>
      <c r="CO14" s="29">
        <f>IF(CO$5="Real",INDEX('Informacion de Sam'!$9:$9,MATCH(CO$6,'Informacion de Sam'!$1:$1,0)),CO$10-CO$12)</f>
        <v>31128111.853517186</v>
      </c>
      <c r="CP14" s="29">
        <f>IF(CP$5="Real",INDEX('Informacion de Sam'!$9:$9,MATCH(CP$6,'Informacion de Sam'!$1:$1,0)),CP$10-CP$12)</f>
        <v>44124829.072658293</v>
      </c>
      <c r="CQ14" s="29">
        <f>IF(CQ$5="Real",INDEX('Informacion de Sam'!$9:$9,MATCH(CQ$6,'Informacion de Sam'!$1:$1,0)),CQ$10-CQ$12)</f>
        <v>31667062.099220853</v>
      </c>
      <c r="CR14" s="29">
        <f>IF(CR$5="Real",INDEX('Informacion de Sam'!$9:$9,MATCH(CR$6,'Informacion de Sam'!$1:$1,0)),CR$10-CR$12)</f>
        <v>32396169.654841091</v>
      </c>
      <c r="CS14" s="29">
        <f>IF(CS$5="Real",INDEX('Informacion de Sam'!$9:$9,MATCH(CS$6,'Informacion de Sam'!$1:$1,0)),CS$10-CS$12)</f>
        <v>28502866.593365457</v>
      </c>
      <c r="CT14" s="29">
        <f>IF(CT$5="Real",INDEX('Informacion de Sam'!$9:$9,MATCH(CT$6,'Informacion de Sam'!$1:$1,0)),CT$10-CT$12)</f>
        <v>32596204.689431973</v>
      </c>
      <c r="CU14" s="29">
        <f>IF(CU$5="Real",INDEX('Informacion de Sam'!$9:$9,MATCH(CU$6,'Informacion de Sam'!$1:$1,0)),CU$10-CU$12)</f>
        <v>35184747.938568667</v>
      </c>
      <c r="CV14" s="29">
        <f>IF(CV$5="Real",INDEX('Informacion de Sam'!$9:$9,MATCH(CV$6,'Informacion de Sam'!$1:$1,0)),CV$10-CV$12)</f>
        <v>52872010.648396529</v>
      </c>
      <c r="CW14" s="29">
        <f>IF(CW$5="Real",INDEX('Informacion de Sam'!$9:$9,MATCH(CW$6,'Informacion de Sam'!$1:$1,0)),CW$10-CW$12)</f>
        <v>32270316.775093894</v>
      </c>
      <c r="CX14" s="29">
        <f>IF(CX$5="Real",INDEX('Informacion de Sam'!$9:$9,MATCH(CX$6,'Informacion de Sam'!$1:$1,0)),CX$10-CX$12)</f>
        <v>31151783.739822615</v>
      </c>
      <c r="CY14" s="29">
        <f>IF(CY$5="Real",INDEX('Informacion de Sam'!$9:$9,MATCH(CY$6,'Informacion de Sam'!$1:$1,0)),CY$10-CY$12)</f>
        <v>32110493.17832334</v>
      </c>
      <c r="CZ14" s="29">
        <f>IF(CZ$5="Real",INDEX('Informacion de Sam'!$9:$9,MATCH(CZ$6,'Informacion de Sam'!$1:$1,0)),CZ$10-CZ$12)</f>
        <v>29721041.700981557</v>
      </c>
      <c r="DA14" s="29">
        <f>SUM(CO14:CZ14)</f>
        <v>413725637.9442215</v>
      </c>
      <c r="DB14" s="29">
        <f>IF(DB$5="Real",INDEX('Informacion de Sam'!$9:$9,MATCH(DB$6,'Informacion de Sam'!$1:$1,0)),DB$10-DB$12)</f>
        <v>38910139.816896483</v>
      </c>
      <c r="DC14" s="29">
        <f>IF(DC$5="Real",INDEX('Informacion de Sam'!$9:$9,MATCH(DC$6,'Informacion de Sam'!$1:$1,0)),DC$10-DC$12)</f>
        <v>55156036.340822868</v>
      </c>
      <c r="DD14" s="29">
        <f>IF(DD$5="Real",INDEX('Informacion de Sam'!$9:$9,MATCH(DD$6,'Informacion de Sam'!$1:$1,0)),DD$10-DD$12)</f>
        <v>39583827.624026068</v>
      </c>
      <c r="DE14" s="29">
        <f>IF(DE$5="Real",INDEX('Informacion de Sam'!$9:$9,MATCH(DE$6,'Informacion de Sam'!$1:$1,0)),DE$10-DE$12)</f>
        <v>40495212.068551362</v>
      </c>
      <c r="DF14" s="29">
        <f>IF(DF$5="Real",INDEX('Informacion de Sam'!$9:$9,MATCH(DF$6,'Informacion de Sam'!$1:$1,0)),DF$10-DF$12)</f>
        <v>35628583.241706818</v>
      </c>
      <c r="DG14" s="29">
        <f>IF(DG$5="Real",INDEX('Informacion de Sam'!$9:$9,MATCH(DG$6,'Informacion de Sam'!$1:$1,0)),DG$10-DG$12)</f>
        <v>40745255.861789957</v>
      </c>
      <c r="DH14" s="29">
        <f>IF(DH$5="Real",INDEX('Informacion de Sam'!$9:$9,MATCH(DH$6,'Informacion de Sam'!$1:$1,0)),DH$10-DH$12)</f>
        <v>43980934.923210829</v>
      </c>
      <c r="DI14" s="29">
        <f>IF(DI$5="Real",INDEX('Informacion de Sam'!$9:$9,MATCH(DI$6,'Informacion de Sam'!$1:$1,0)),DI$10-DI$12)</f>
        <v>66090013.31049566</v>
      </c>
      <c r="DJ14" s="29">
        <f>IF(DJ$5="Real",INDEX('Informacion de Sam'!$9:$9,MATCH(DJ$6,'Informacion de Sam'!$1:$1,0)),DJ$10-DJ$12)</f>
        <v>40337895.968867362</v>
      </c>
      <c r="DK14" s="29">
        <f>IF(DK$5="Real",INDEX('Informacion de Sam'!$9:$9,MATCH(DK$6,'Informacion de Sam'!$1:$1,0)),DK$10-DK$12)</f>
        <v>38939729.674778268</v>
      </c>
      <c r="DL14" s="29">
        <f>IF(DL$5="Real",INDEX('Informacion de Sam'!$9:$9,MATCH(DL$6,'Informacion de Sam'!$1:$1,0)),DL$10-DL$12)</f>
        <v>40138116.472904176</v>
      </c>
      <c r="DM14" s="29">
        <f>IF(DM$5="Real",INDEX('Informacion de Sam'!$9:$9,MATCH(DM$6,'Informacion de Sam'!$1:$1,0)),DM$10-DM$12)</f>
        <v>37151302.126226947</v>
      </c>
      <c r="DN14" s="29">
        <f>SUM(DB14:DM14)</f>
        <v>517157047.43027681</v>
      </c>
      <c r="DO14" s="29">
        <f>IF(DO$5="Real",INDEX('Informacion de Sam'!$9:$9,MATCH(DO$6,'Informacion de Sam'!$1:$1,0)),DO$10-DO$12)</f>
        <v>48637674.771120608</v>
      </c>
      <c r="DP14" s="29">
        <f>IF(DP$5="Real",INDEX('Informacion de Sam'!$9:$9,MATCH(DP$6,'Informacion de Sam'!$1:$1,0)),DP$10-DP$12)</f>
        <v>68945045.426028579</v>
      </c>
      <c r="DQ14" s="29">
        <f>IF(DQ$5="Real",INDEX('Informacion de Sam'!$9:$9,MATCH(DQ$6,'Informacion de Sam'!$1:$1,0)),DQ$10-DQ$12)</f>
        <v>49479784.530032575</v>
      </c>
      <c r="DR14" s="29">
        <f>IF(DR$5="Real",INDEX('Informacion de Sam'!$9:$9,MATCH(DR$6,'Informacion de Sam'!$1:$1,0)),DR$10-DR$12)</f>
        <v>50619015.085689209</v>
      </c>
      <c r="DS14" s="29">
        <f>IF(DS$5="Real",INDEX('Informacion de Sam'!$9:$9,MATCH(DS$6,'Informacion de Sam'!$1:$1,0)),DS$10-DS$12)</f>
        <v>44535729.052133523</v>
      </c>
      <c r="DT14" s="29">
        <f>IF(DT$5="Real",INDEX('Informacion de Sam'!$9:$9,MATCH(DT$6,'Informacion de Sam'!$1:$1,0)),DT$10-DT$12)</f>
        <v>50931569.827237457</v>
      </c>
      <c r="DU14" s="29">
        <f>IF(DU$5="Real",INDEX('Informacion de Sam'!$9:$9,MATCH(DU$6,'Informacion de Sam'!$1:$1,0)),DU$10-DU$12)</f>
        <v>54976168.654013537</v>
      </c>
      <c r="DV14" s="29">
        <f>IF(DV$5="Real",INDEX('Informacion de Sam'!$9:$9,MATCH(DV$6,'Informacion de Sam'!$1:$1,0)),DV$10-DV$12)</f>
        <v>82612516.638119578</v>
      </c>
      <c r="DW14" s="29">
        <f>IF(DW$5="Real",INDEX('Informacion de Sam'!$9:$9,MATCH(DW$6,'Informacion de Sam'!$1:$1,0)),DW$10-DW$12)</f>
        <v>50422369.961084209</v>
      </c>
      <c r="DX14" s="29">
        <f>IF(DX$5="Real",INDEX('Informacion de Sam'!$9:$9,MATCH(DX$6,'Informacion de Sam'!$1:$1,0)),DX$10-DX$12)</f>
        <v>48674662.093472838</v>
      </c>
      <c r="DY14" s="29">
        <f>IF(DY$5="Real",INDEX('Informacion de Sam'!$9:$9,MATCH(DY$6,'Informacion de Sam'!$1:$1,0)),DY$10-DY$12)</f>
        <v>50172645.591130219</v>
      </c>
      <c r="DZ14" s="29">
        <f>IF(DZ$5="Real",INDEX('Informacion de Sam'!$9:$9,MATCH(DZ$6,'Informacion de Sam'!$1:$1,0)),DZ$10-DZ$12)</f>
        <v>46439127.65778368</v>
      </c>
      <c r="EA14" s="29">
        <f>SUM(DO14:DZ14)</f>
        <v>646446309.28784597</v>
      </c>
      <c r="EB14" s="29">
        <f>IF(EB$5="Real",INDEX('Informacion de Sam'!$9:$9,MATCH(EB$6,'Informacion de Sam'!$1:$1,0)),EB$10-EB$12)</f>
        <v>60797093.46390076</v>
      </c>
      <c r="EC14" s="29">
        <f>IF(EC$5="Real",INDEX('Informacion de Sam'!$9:$9,MATCH(EC$6,'Informacion de Sam'!$1:$1,0)),EC$10-EC$12)</f>
        <v>86181306.782535732</v>
      </c>
      <c r="ED14" s="29">
        <f>IF(ED$5="Real",INDEX('Informacion de Sam'!$9:$9,MATCH(ED$6,'Informacion de Sam'!$1:$1,0)),ED$10-ED$12)</f>
        <v>61849730.662540726</v>
      </c>
      <c r="EE14" s="29">
        <f>IF(EE$5="Real",INDEX('Informacion de Sam'!$9:$9,MATCH(EE$6,'Informacion de Sam'!$1:$1,0)),EE$10-EE$12)</f>
        <v>63273768.857111514</v>
      </c>
      <c r="EF14" s="29">
        <f>IF(EF$5="Real",INDEX('Informacion de Sam'!$9:$9,MATCH(EF$6,'Informacion de Sam'!$1:$1,0)),EF$10-EF$12)</f>
        <v>55669661.315166913</v>
      </c>
      <c r="EG14" s="29">
        <f>IF(EG$5="Real",INDEX('Informacion de Sam'!$9:$9,MATCH(EG$6,'Informacion de Sam'!$1:$1,0)),EG$10-EG$12)</f>
        <v>63664462.284046829</v>
      </c>
      <c r="EH14" s="29">
        <f>IF(EH$5="Real",INDEX('Informacion de Sam'!$9:$9,MATCH(EH$6,'Informacion de Sam'!$1:$1,0)),EH$10-EH$12)</f>
        <v>68720210.817516923</v>
      </c>
      <c r="EI14" s="29">
        <f>IF(EI$5="Real",INDEX('Informacion de Sam'!$9:$9,MATCH(EI$6,'Informacion de Sam'!$1:$1,0)),EI$10-EI$12)</f>
        <v>103265645.79764949</v>
      </c>
      <c r="EJ14" s="29">
        <f>IF(EJ$5="Real",INDEX('Informacion de Sam'!$9:$9,MATCH(EJ$6,'Informacion de Sam'!$1:$1,0)),EJ$10-EJ$12)</f>
        <v>63027962.451355264</v>
      </c>
      <c r="EK14" s="29">
        <f>IF(EK$5="Real",INDEX('Informacion de Sam'!$9:$9,MATCH(EK$6,'Informacion de Sam'!$1:$1,0)),EK$10-EK$12)</f>
        <v>60843327.616841048</v>
      </c>
      <c r="EL14" s="29">
        <f>IF(EL$5="Real",INDEX('Informacion de Sam'!$9:$9,MATCH(EL$6,'Informacion de Sam'!$1:$1,0)),EL$10-EL$12)</f>
        <v>62715806.988912769</v>
      </c>
      <c r="EM14" s="29">
        <f>IF(EM$5="Real",INDEX('Informacion de Sam'!$9:$9,MATCH(EM$6,'Informacion de Sam'!$1:$1,0)),EM$10-EM$12)</f>
        <v>58048909.572229616</v>
      </c>
      <c r="EN14" s="29">
        <f>SUM(EB14:EM14)</f>
        <v>808057886.60980761</v>
      </c>
      <c r="EO14" s="29">
        <f>IF(EO$5="Real",INDEX('Informacion de Sam'!$9:$9,MATCH(EO$6,'Informacion de Sam'!$1:$1,0)),EO$10-EO$12)</f>
        <v>75996366.829875946</v>
      </c>
      <c r="EP14" s="29">
        <f>IF(EP$5="Real",INDEX('Informacion de Sam'!$9:$9,MATCH(EP$6,'Informacion de Sam'!$1:$1,0)),EP$10-EP$12)</f>
        <v>107726633.47816966</v>
      </c>
      <c r="EQ14" s="29">
        <f>IF(EQ$5="Real",INDEX('Informacion de Sam'!$9:$9,MATCH(EQ$6,'Informacion de Sam'!$1:$1,0)),EQ$10-EQ$12)</f>
        <v>77312163.328175902</v>
      </c>
      <c r="ER14" s="29">
        <f>IF(ER$5="Real",INDEX('Informacion de Sam'!$9:$9,MATCH(ER$6,'Informacion de Sam'!$1:$1,0)),ER$10-ER$12)</f>
        <v>79092211.071389377</v>
      </c>
      <c r="ES14" s="29">
        <f>IF(ES$5="Real",INDEX('Informacion de Sam'!$9:$9,MATCH(ES$6,'Informacion de Sam'!$1:$1,0)),ES$10-ES$12)</f>
        <v>69587076.643958628</v>
      </c>
      <c r="ET14" s="29">
        <f>IF(ET$5="Real",INDEX('Informacion de Sam'!$9:$9,MATCH(ET$6,'Informacion de Sam'!$1:$1,0)),ET$10-ET$12)</f>
        <v>79580577.855058521</v>
      </c>
      <c r="EU14" s="29">
        <f>IF(EU$5="Real",INDEX('Informacion de Sam'!$9:$9,MATCH(EU$6,'Informacion de Sam'!$1:$1,0)),EU$10-EU$12)</f>
        <v>85900263.521896154</v>
      </c>
      <c r="EV14" s="29">
        <f>IF(EV$5="Real",INDEX('Informacion de Sam'!$9:$9,MATCH(EV$6,'Informacion de Sam'!$1:$1,0)),EV$10-EV$12)</f>
        <v>129082057.24706183</v>
      </c>
      <c r="EW14" s="29">
        <f>IF(EW$5="Real",INDEX('Informacion de Sam'!$9:$9,MATCH(EW$6,'Informacion de Sam'!$1:$1,0)),EW$10-EW$12)</f>
        <v>78784953.064194083</v>
      </c>
      <c r="EX14" s="29">
        <f>IF(EX$5="Real",INDEX('Informacion de Sam'!$9:$9,MATCH(EX$6,'Informacion de Sam'!$1:$1,0)),EX$10-EX$12)</f>
        <v>76054159.521051317</v>
      </c>
      <c r="EY14" s="29">
        <f>IF(EY$5="Real",INDEX('Informacion de Sam'!$9:$9,MATCH(EY$6,'Informacion de Sam'!$1:$1,0)),EY$10-EY$12)</f>
        <v>78394758.736140966</v>
      </c>
      <c r="EZ14" s="29">
        <f>IF(EZ$5="Real",INDEX('Informacion de Sam'!$9:$9,MATCH(EZ$6,'Informacion de Sam'!$1:$1,0)),EZ$10-EZ$12)</f>
        <v>72561136.965287</v>
      </c>
      <c r="FA14" s="29">
        <f>SUM(EO14:EZ14)</f>
        <v>1010072358.2622594</v>
      </c>
      <c r="FB14" s="29">
        <f>IF(FB$5="Real",INDEX('Informacion de Sam'!$9:$9,MATCH(FB$6,'Informacion de Sam'!$1:$1,0)),FB$10-FB$12)</f>
        <v>94995458.537344933</v>
      </c>
      <c r="FC14" s="29">
        <f>IF(FC$5="Real",INDEX('Informacion de Sam'!$9:$9,MATCH(FC$6,'Informacion de Sam'!$1:$1,0)),FC$10-FC$12)</f>
        <v>134658291.8477121</v>
      </c>
      <c r="FD14" s="29">
        <f>IF(FD$5="Real",INDEX('Informacion de Sam'!$9:$9,MATCH(FD$6,'Informacion de Sam'!$1:$1,0)),FD$10-FD$12)</f>
        <v>96640204.160219893</v>
      </c>
      <c r="FE14" s="29">
        <f>IF(FE$5="Real",INDEX('Informacion de Sam'!$9:$9,MATCH(FE$6,'Informacion de Sam'!$1:$1,0)),FE$10-FE$12)</f>
        <v>98865263.839236736</v>
      </c>
      <c r="FF14" s="29">
        <f>IF(FF$5="Real",INDEX('Informacion de Sam'!$9:$9,MATCH(FF$6,'Informacion de Sam'!$1:$1,0)),FF$10-FF$12)</f>
        <v>86983845.804948285</v>
      </c>
      <c r="FG14" s="29">
        <f>IF(FG$5="Real",INDEX('Informacion de Sam'!$9:$9,MATCH(FG$6,'Informacion de Sam'!$1:$1,0)),FG$10-FG$12)</f>
        <v>99475722.318823159</v>
      </c>
      <c r="FH14" s="29">
        <f>IF(FH$5="Real",INDEX('Informacion de Sam'!$9:$9,MATCH(FH$6,'Informacion de Sam'!$1:$1,0)),FH$10-FH$12)</f>
        <v>107375329.40237018</v>
      </c>
      <c r="FI14" s="29">
        <f>IF(FI$5="Real",INDEX('Informacion de Sam'!$9:$9,MATCH(FI$6,'Informacion de Sam'!$1:$1,0)),FI$10-FI$12)</f>
        <v>161352571.55882734</v>
      </c>
      <c r="FJ14" s="29">
        <f>IF(FJ$5="Real",INDEX('Informacion de Sam'!$9:$9,MATCH(FJ$6,'Informacion de Sam'!$1:$1,0)),FJ$10-FJ$12)</f>
        <v>98481191.330242604</v>
      </c>
      <c r="FK14" s="29">
        <f>IF(FK$5="Real",INDEX('Informacion de Sam'!$9:$9,MATCH(FK$6,'Informacion de Sam'!$1:$1,0)),FK$10-FK$12)</f>
        <v>95067699.401314139</v>
      </c>
      <c r="FL14" s="29">
        <f>IF(FL$5="Real",INDEX('Informacion de Sam'!$9:$9,MATCH(FL$6,'Informacion de Sam'!$1:$1,0)),FL$10-FL$12)</f>
        <v>97993448.420176208</v>
      </c>
      <c r="FM14" s="29">
        <f>IF(FM$5="Real",INDEX('Informacion de Sam'!$9:$9,MATCH(FM$6,'Informacion de Sam'!$1:$1,0)),FM$10-FM$12)</f>
        <v>90701421.206608772</v>
      </c>
      <c r="FN14" s="29">
        <f>SUM(FB14:FM14)</f>
        <v>1262590447.8278244</v>
      </c>
      <c r="FO14" s="29">
        <f>IF(FO$5="Real",INDEX('Informacion de Sam'!$9:$9,MATCH(FO$6,'Informacion de Sam'!$1:$1,0)),FO$10-FO$12)</f>
        <v>118744323.17168117</v>
      </c>
      <c r="FP14" s="29">
        <f>IF(FP$5="Real",INDEX('Informacion de Sam'!$9:$9,MATCH(FP$6,'Informacion de Sam'!$1:$1,0)),FP$10-FP$12)</f>
        <v>168322864.80964011</v>
      </c>
      <c r="FQ14" s="29">
        <f>IF(FQ$5="Real",INDEX('Informacion de Sam'!$9:$9,MATCH(FQ$6,'Informacion de Sam'!$1:$1,0)),FQ$10-FQ$12)</f>
        <v>120800255.20027485</v>
      </c>
      <c r="FR14" s="29">
        <f>IF(FR$5="Real",INDEX('Informacion de Sam'!$9:$9,MATCH(FR$6,'Informacion de Sam'!$1:$1,0)),FR$10-FR$12)</f>
        <v>123581579.79904592</v>
      </c>
      <c r="FS14" s="29">
        <f>IF(FS$5="Real",INDEX('Informacion de Sam'!$9:$9,MATCH(FS$6,'Informacion de Sam'!$1:$1,0)),FS$10-FS$12)</f>
        <v>108729807.25618537</v>
      </c>
      <c r="FT14" s="29">
        <f>IF(FT$5="Real",INDEX('Informacion de Sam'!$9:$9,MATCH(FT$6,'Informacion de Sam'!$1:$1,0)),FT$10-FT$12)</f>
        <v>124344652.89852895</v>
      </c>
      <c r="FU14" s="29">
        <f>IF(FU$5="Real",INDEX('Informacion de Sam'!$9:$9,MATCH(FU$6,'Informacion de Sam'!$1:$1,0)),FU$10-FU$12)</f>
        <v>134219161.75296274</v>
      </c>
      <c r="FV14" s="29">
        <f>IF(FV$5="Real",INDEX('Informacion de Sam'!$9:$9,MATCH(FV$6,'Informacion de Sam'!$1:$1,0)),FV$10-FV$12)</f>
        <v>201690714.44853413</v>
      </c>
      <c r="FW14" s="29">
        <f>IF(FW$5="Real",INDEX('Informacion de Sam'!$9:$9,MATCH(FW$6,'Informacion de Sam'!$1:$1,0)),FW$10-FW$12)</f>
        <v>123101489.16280325</v>
      </c>
      <c r="FX14" s="29">
        <f>IF(FX$5="Real",INDEX('Informacion de Sam'!$9:$9,MATCH(FX$6,'Informacion de Sam'!$1:$1,0)),FX$10-FX$12)</f>
        <v>118834624.25164267</v>
      </c>
      <c r="FY14" s="29">
        <f>IF(FY$5="Real",INDEX('Informacion de Sam'!$9:$9,MATCH(FY$6,'Informacion de Sam'!$1:$1,0)),FY$10-FY$12)</f>
        <v>122491810.52522026</v>
      </c>
      <c r="FZ14" s="29">
        <f>IF(FZ$5="Real",INDEX('Informacion de Sam'!$9:$9,MATCH(FZ$6,'Informacion de Sam'!$1:$1,0)),FZ$10-FZ$12)</f>
        <v>113376776.50826095</v>
      </c>
      <c r="GA14" s="29">
        <f>SUM(FO14:FZ14)</f>
        <v>1578238059.7847803</v>
      </c>
      <c r="GB14" s="29">
        <f>IF(GB$5="Real",INDEX('Informacion de Sam'!$9:$9,MATCH(GB$6,'Informacion de Sam'!$1:$1,0)),GB$10-GB$12)</f>
        <v>148430403.96460146</v>
      </c>
      <c r="GC14" s="29">
        <f>IF(GC$5="Real",INDEX('Informacion de Sam'!$9:$9,MATCH(GC$6,'Informacion de Sam'!$1:$1,0)),GC$10-GC$12)</f>
        <v>210403581.01205015</v>
      </c>
      <c r="GD14" s="29">
        <f>IF(GD$5="Real",INDEX('Informacion de Sam'!$9:$9,MATCH(GD$6,'Informacion de Sam'!$1:$1,0)),GD$10-GD$12)</f>
        <v>151000319.00034356</v>
      </c>
      <c r="GE14" s="29">
        <f>IF(GE$5="Real",INDEX('Informacion de Sam'!$9:$9,MATCH(GE$6,'Informacion de Sam'!$1:$1,0)),GE$10-GE$12)</f>
        <v>154476974.74880743</v>
      </c>
      <c r="GF14" s="29">
        <f>IF(GF$5="Real",INDEX('Informacion de Sam'!$9:$9,MATCH(GF$6,'Informacion de Sam'!$1:$1,0)),GF$10-GF$12)</f>
        <v>135912259.07023171</v>
      </c>
      <c r="GG14" s="29">
        <f>IF(GG$5="Real",INDEX('Informacion de Sam'!$9:$9,MATCH(GG$6,'Informacion de Sam'!$1:$1,0)),GG$10-GG$12)</f>
        <v>155430816.1231612</v>
      </c>
      <c r="GH14" s="29">
        <f>IF(GH$5="Real",INDEX('Informacion de Sam'!$9:$9,MATCH(GH$6,'Informacion de Sam'!$1:$1,0)),GH$10-GH$12)</f>
        <v>167773952.19120345</v>
      </c>
      <c r="GI14" s="29">
        <f>IF(GI$5="Real",INDEX('Informacion de Sam'!$9:$9,MATCH(GI$6,'Informacion de Sam'!$1:$1,0)),GI$10-GI$12)</f>
        <v>252113393.06066766</v>
      </c>
      <c r="GJ14" s="29">
        <f>IF(GJ$5="Real",INDEX('Informacion de Sam'!$9:$9,MATCH(GJ$6,'Informacion de Sam'!$1:$1,0)),GJ$10-GJ$12)</f>
        <v>153876861.45350409</v>
      </c>
      <c r="GK14" s="29">
        <f>IF(GK$5="Real",INDEX('Informacion de Sam'!$9:$9,MATCH(GK$6,'Informacion de Sam'!$1:$1,0)),GK$10-GK$12)</f>
        <v>148543280.31455335</v>
      </c>
      <c r="GL14" s="29">
        <f>IF(GL$5="Real",INDEX('Informacion de Sam'!$9:$9,MATCH(GL$6,'Informacion de Sam'!$1:$1,0)),GL$10-GL$12)</f>
        <v>153114763.15652531</v>
      </c>
      <c r="GM14" s="29">
        <f>IF(GM$5="Real",INDEX('Informacion de Sam'!$9:$9,MATCH(GM$6,'Informacion de Sam'!$1:$1,0)),GM$10-GM$12)</f>
        <v>141720970.63532621</v>
      </c>
      <c r="GN14" s="29">
        <f>SUM(GB14:GM14)</f>
        <v>1972797574.7309756</v>
      </c>
      <c r="GO14" s="29">
        <f>IF(GO$5="Real",INDEX('Informacion de Sam'!$9:$9,MATCH(GO$6,'Informacion de Sam'!$1:$1,0)),GO$10-GO$12)</f>
        <v>185538004.95575181</v>
      </c>
      <c r="GP14" s="29">
        <f>IF(GP$5="Real",INDEX('Informacion de Sam'!$9:$9,MATCH(GP$6,'Informacion de Sam'!$1:$1,0)),GP$10-GP$12)</f>
        <v>263004476.26506263</v>
      </c>
      <c r="GQ14" s="29">
        <f>IF(GQ$5="Real",INDEX('Informacion de Sam'!$9:$9,MATCH(GQ$6,'Informacion de Sam'!$1:$1,0)),GQ$10-GQ$12)</f>
        <v>188750398.75042942</v>
      </c>
      <c r="GR14" s="29">
        <f>IF(GR$5="Real",INDEX('Informacion de Sam'!$9:$9,MATCH(GR$6,'Informacion de Sam'!$1:$1,0)),GR$10-GR$12)</f>
        <v>193096218.43600926</v>
      </c>
      <c r="GS14" s="29">
        <f>IF(GS$5="Real",INDEX('Informacion de Sam'!$9:$9,MATCH(GS$6,'Informacion de Sam'!$1:$1,0)),GS$10-GS$12)</f>
        <v>169890323.8377896</v>
      </c>
      <c r="GT14" s="29">
        <f>IF(GT$5="Real",INDEX('Informacion de Sam'!$9:$9,MATCH(GT$6,'Informacion de Sam'!$1:$1,0)),GT$10-GT$12)</f>
        <v>194288520.15395147</v>
      </c>
      <c r="GU14" s="29">
        <f>IF(GU$5="Real",INDEX('Informacion de Sam'!$9:$9,MATCH(GU$6,'Informacion de Sam'!$1:$1,0)),GU$10-GU$12)</f>
        <v>209717440.23900425</v>
      </c>
      <c r="GV14" s="29">
        <f>IF(GV$5="Real",INDEX('Informacion de Sam'!$9:$9,MATCH(GV$6,'Informacion de Sam'!$1:$1,0)),GV$10-GV$12)</f>
        <v>315141741.32583451</v>
      </c>
      <c r="GW14" s="29">
        <f>IF(GW$5="Real",INDEX('Informacion de Sam'!$9:$9,MATCH(GW$6,'Informacion de Sam'!$1:$1,0)),GW$10-GW$12)</f>
        <v>192346076.81688008</v>
      </c>
      <c r="GX14" s="29">
        <f>IF(GX$5="Real",INDEX('Informacion de Sam'!$9:$9,MATCH(GX$6,'Informacion de Sam'!$1:$1,0)),GX$10-GX$12)</f>
        <v>185679100.3931917</v>
      </c>
      <c r="GY14" s="29">
        <f>IF(GY$5="Real",INDEX('Informacion de Sam'!$9:$9,MATCH(GY$6,'Informacion de Sam'!$1:$1,0)),GY$10-GY$12)</f>
        <v>191393453.94565666</v>
      </c>
      <c r="GZ14" s="29">
        <f>IF(GZ$5="Real",INDEX('Informacion de Sam'!$9:$9,MATCH(GZ$6,'Informacion de Sam'!$1:$1,0)),GZ$10-GZ$12)</f>
        <v>177151213.29415774</v>
      </c>
      <c r="HA14" s="29">
        <f>SUM(GO14:GZ14)</f>
        <v>2465996968.4137192</v>
      </c>
      <c r="HB14" s="29"/>
      <c r="HC14" s="52">
        <f t="shared" ref="HC14:HR14" si="3">SUMIFS($B14:$HA14,$B$4:$HA$4,HC$6,$B$5:$HA$5,"Acumulado")</f>
        <v>199657804.57000002</v>
      </c>
      <c r="HD14" s="52">
        <f t="shared" si="3"/>
        <v>204759473.85999998</v>
      </c>
      <c r="HE14" s="52">
        <f t="shared" si="3"/>
        <v>293275129.25999999</v>
      </c>
      <c r="HF14" s="52">
        <f t="shared" si="3"/>
        <v>323835484.89999998</v>
      </c>
      <c r="HG14" s="52">
        <f t="shared" si="3"/>
        <v>370766044.72000003</v>
      </c>
      <c r="HH14" s="52">
        <f t="shared" si="3"/>
        <v>376889076.96000004</v>
      </c>
      <c r="HI14" s="52">
        <f t="shared" si="3"/>
        <v>330980510.3553772</v>
      </c>
      <c r="HJ14" s="52">
        <f t="shared" si="3"/>
        <v>413725637.9442215</v>
      </c>
      <c r="HK14" s="52">
        <f t="shared" si="3"/>
        <v>517157047.43027681</v>
      </c>
      <c r="HL14" s="52">
        <f t="shared" si="3"/>
        <v>646446309.28784597</v>
      </c>
      <c r="HM14" s="52">
        <f t="shared" si="3"/>
        <v>808057886.60980761</v>
      </c>
      <c r="HN14" s="52">
        <f t="shared" si="3"/>
        <v>1010072358.2622594</v>
      </c>
      <c r="HO14" s="52">
        <f t="shared" si="3"/>
        <v>1262590447.8278244</v>
      </c>
      <c r="HP14" s="52">
        <f t="shared" si="3"/>
        <v>1578238059.7847803</v>
      </c>
      <c r="HQ14" s="52">
        <f t="shared" si="3"/>
        <v>1972797574.7309756</v>
      </c>
      <c r="HR14" s="52">
        <f t="shared" si="3"/>
        <v>2465996968.4137192</v>
      </c>
    </row>
    <row r="15" spans="1:226" x14ac:dyDescent="0.35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1"/>
      <c r="HO15" s="51"/>
      <c r="HP15" s="51"/>
      <c r="HQ15" s="51"/>
      <c r="HR15" s="51"/>
    </row>
    <row r="16" spans="1:226" x14ac:dyDescent="0.35">
      <c r="A16" t="s">
        <v>58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</row>
    <row r="17" spans="1:226" x14ac:dyDescent="0.35">
      <c r="A17" t="s">
        <v>59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</row>
    <row r="18" spans="1:226" x14ac:dyDescent="0.35">
      <c r="A18" s="53" t="s">
        <v>60</v>
      </c>
      <c r="B18" s="29">
        <f>IF(B$5="Real",INDEX('Informacion de Sam'!$13:$13,MATCH(B$6,'Informacion de Sam'!$1:$1,0)),'Supuestos Proyeccion'!$F$26*(B$14-XES$14))</f>
        <v>-412861.04999999993</v>
      </c>
      <c r="C18" s="29">
        <f>IF(C$5="Real",INDEX('Informacion de Sam'!$13:$13,MATCH(C$6,'Informacion de Sam'!$1:$1,0)),'Supuestos Proyeccion'!$F$26*(C$14-XET$14))</f>
        <v>7122851.0999999987</v>
      </c>
      <c r="D18" s="29">
        <f>IF(D$5="Real",INDEX('Informacion de Sam'!$13:$13,MATCH(D$6,'Informacion de Sam'!$1:$1,0)),'Supuestos Proyeccion'!$F$26*(D$14-XEU$14))</f>
        <v>2169790.620000001</v>
      </c>
      <c r="E18" s="29">
        <f>IF(E$5="Real",INDEX('Informacion de Sam'!$13:$13,MATCH(E$6,'Informacion de Sam'!$1:$1,0)),'Supuestos Proyeccion'!$F$26*(E$14-XEV$14))</f>
        <v>-1076894.67</v>
      </c>
      <c r="F18" s="29">
        <f>IF(F$5="Real",INDEX('Informacion de Sam'!$13:$13,MATCH(F$6,'Informacion de Sam'!$1:$1,0)),'Supuestos Proyeccion'!$F$26*(F$14-XEW$14))</f>
        <v>97680.490000000224</v>
      </c>
      <c r="G18" s="29">
        <f>IF(G$5="Real",INDEX('Informacion de Sam'!$13:$13,MATCH(G$6,'Informacion de Sam'!$1:$1,0)),'Supuestos Proyeccion'!$F$26*(G$14-XEX$14))</f>
        <v>-1038554.4900000002</v>
      </c>
      <c r="H18" s="29">
        <f>IF(H$5="Real",INDEX('Informacion de Sam'!$13:$13,MATCH(H$6,'Informacion de Sam'!$1:$1,0)),'Supuestos Proyeccion'!$F$26*(H$14-XEY$14))</f>
        <v>-502418.94999999925</v>
      </c>
      <c r="I18" s="29">
        <f>IF(I$5="Real",INDEX('Informacion de Sam'!$13:$13,MATCH(I$6,'Informacion de Sam'!$1:$1,0)),'Supuestos Proyeccion'!$F$26*(I$14-XEZ$14))</f>
        <v>1418651.0300000012</v>
      </c>
      <c r="J18" s="29">
        <f>IF(J$5="Real",INDEX('Informacion de Sam'!$13:$13,MATCH(J$6,'Informacion de Sam'!$1:$1,0)),'Supuestos Proyeccion'!$F$26*(J$14-XFA$14))</f>
        <v>-3130.25</v>
      </c>
      <c r="K18" s="29">
        <f>IF(K$5="Real",INDEX('Informacion de Sam'!$13:$13,MATCH(K$6,'Informacion de Sam'!$1:$1,0)),'Supuestos Proyeccion'!$F$26*(K$14-XFB$14))</f>
        <v>1324282.799999997</v>
      </c>
      <c r="L18" s="29">
        <f>IF(L$5="Real",INDEX('Informacion de Sam'!$13:$13,MATCH(L$6,'Informacion de Sam'!$1:$1,0)),'Supuestos Proyeccion'!$F$26*(L$14-XFC$14))</f>
        <v>-3818277.3599999994</v>
      </c>
      <c r="M18" s="29">
        <f>IF(M$5="Real",INDEX('Informacion de Sam'!$13:$13,MATCH(M$6,'Informacion de Sam'!$1:$1,0)),'Supuestos Proyeccion'!$F$26*(M$14-XFD$14))</f>
        <v>-748399.26999999955</v>
      </c>
      <c r="N18" s="29">
        <f>SUM(B18:M18)</f>
        <v>4532720</v>
      </c>
      <c r="O18" s="29">
        <f>IF(O$5="Real",INDEX('Informacion de Sam'!$13:$13,MATCH(O$6,'Informacion de Sam'!$1:$1,0)),'Supuestos Proyeccion'!$F$26*(O$14-B$14))</f>
        <v>-994677.32000000007</v>
      </c>
      <c r="P18" s="29">
        <f>IF(P$5="Real",INDEX('Informacion de Sam'!$13:$13,MATCH(P$6,'Informacion de Sam'!$1:$1,0)),'Supuestos Proyeccion'!$F$26*(P$14-C$14))</f>
        <v>1567825.99</v>
      </c>
      <c r="Q18" s="29">
        <f>IF(Q$5="Real",INDEX('Informacion de Sam'!$13:$13,MATCH(Q$6,'Informacion de Sam'!$1:$1,0)),'Supuestos Proyeccion'!$F$26*(Q$14-D$14))</f>
        <v>12919414.630000001</v>
      </c>
      <c r="R18" s="29">
        <f>IF(R$5="Real",INDEX('Informacion de Sam'!$13:$13,MATCH(R$6,'Informacion de Sam'!$1:$1,0)),'Supuestos Proyeccion'!$F$26*(R$14-E$14))</f>
        <v>-172532.48999999836</v>
      </c>
      <c r="S18" s="29">
        <f>IF(S$5="Real",INDEX('Informacion de Sam'!$13:$13,MATCH(S$6,'Informacion de Sam'!$1:$1,0)),'Supuestos Proyeccion'!$F$26*(S$14-F$14))</f>
        <v>-3228718.6700000037</v>
      </c>
      <c r="T18" s="29">
        <f>IF(T$5="Real",INDEX('Informacion de Sam'!$13:$13,MATCH(T$6,'Informacion de Sam'!$1:$1,0)),'Supuestos Proyeccion'!$F$26*(T$14-G$14))</f>
        <v>-822329.71999999881</v>
      </c>
      <c r="U18" s="29">
        <f>IF(U$5="Real",INDEX('Informacion de Sam'!$13:$13,MATCH(U$6,'Informacion de Sam'!$1:$1,0)),'Supuestos Proyeccion'!$F$26*(U$14-H$14))</f>
        <v>-311327.00999999978</v>
      </c>
      <c r="V18" s="29">
        <f>IF(V$5="Real",INDEX('Informacion de Sam'!$13:$13,MATCH(V$6,'Informacion de Sam'!$1:$1,0)),'Supuestos Proyeccion'!$F$26*(V$14-I$14))</f>
        <v>-1169971.9100000001</v>
      </c>
      <c r="W18" s="29">
        <f>IF(W$5="Real",INDEX('Informacion de Sam'!$13:$13,MATCH(W$6,'Informacion de Sam'!$1:$1,0)),'Supuestos Proyeccion'!$F$26*(W$14-J$14))</f>
        <v>-263423.92000000179</v>
      </c>
      <c r="X18" s="29">
        <f>IF(X$5="Real",INDEX('Informacion de Sam'!$13:$13,MATCH(X$6,'Informacion de Sam'!$1:$1,0)),'Supuestos Proyeccion'!$F$26*(X$14-K$14))</f>
        <v>-450442.25</v>
      </c>
      <c r="Y18" s="29">
        <f>IF(Y$5="Real",INDEX('Informacion de Sam'!$13:$13,MATCH(Y$6,'Informacion de Sam'!$1:$1,0)),'Supuestos Proyeccion'!$F$26*(Y$14-L$14))</f>
        <v>-1754874.0699999966</v>
      </c>
      <c r="Z18" s="29">
        <f>IF(Z$5="Real",INDEX('Informacion de Sam'!$13:$13,MATCH(Z$6,'Informacion de Sam'!$1:$1,0)),'Supuestos Proyeccion'!$F$26*(Z$14-M$14))</f>
        <v>-3129441.1500000022</v>
      </c>
      <c r="AA18" s="29">
        <f>SUM(O18:Z18)</f>
        <v>2189502.1099999994</v>
      </c>
      <c r="AB18" s="29">
        <f>IF(AB$5="Real",INDEX('Informacion de Sam'!$13:$13,MATCH(AB$6,'Informacion de Sam'!$1:$1,0)),'Supuestos Proyeccion'!$F$26*(AB$14-O$14))</f>
        <v>3561213.26</v>
      </c>
      <c r="AC18" s="29">
        <f>IF(AC$5="Real",INDEX('Informacion de Sam'!$13:$13,MATCH(AC$6,'Informacion de Sam'!$1:$1,0)),'Supuestos Proyeccion'!$F$26*(AC$14-P$14))</f>
        <v>22231158.57</v>
      </c>
      <c r="AD18" s="29">
        <f>IF(AD$5="Real",INDEX('Informacion de Sam'!$13:$13,MATCH(AD$6,'Informacion de Sam'!$1:$1,0)),'Supuestos Proyeccion'!$F$26*(AD$14-Q$14))</f>
        <v>1259462.799999997</v>
      </c>
      <c r="AE18" s="29">
        <f>IF(AE$5="Real",INDEX('Informacion de Sam'!$13:$13,MATCH(AE$6,'Informacion de Sam'!$1:$1,0)),'Supuestos Proyeccion'!$F$26*(AE$14-R$14))</f>
        <v>-3749.5500000007451</v>
      </c>
      <c r="AF18" s="29">
        <f>IF(AF$5="Real",INDEX('Informacion de Sam'!$13:$13,MATCH(AF$6,'Informacion de Sam'!$1:$1,0)),'Supuestos Proyeccion'!$F$26*(AF$14-S$14))</f>
        <v>-1249167.4399999939</v>
      </c>
      <c r="AG18" s="29">
        <f>IF(AG$5="Real",INDEX('Informacion de Sam'!$13:$13,MATCH(AG$6,'Informacion de Sam'!$1:$1,0)),'Supuestos Proyeccion'!$F$26*(AG$14-T$14))</f>
        <v>-2881266.09</v>
      </c>
      <c r="AH18" s="29">
        <f>IF(AH$5="Real",INDEX('Informacion de Sam'!$13:$13,MATCH(AH$6,'Informacion de Sam'!$1:$1,0)),'Supuestos Proyeccion'!$F$26*(AH$14-U$14))</f>
        <v>3497611.2399999946</v>
      </c>
      <c r="AI18" s="29">
        <f>IF(AI$5="Real",INDEX('Informacion de Sam'!$13:$13,MATCH(AI$6,'Informacion de Sam'!$1:$1,0)),'Supuestos Proyeccion'!$F$26*(AI$14-V$14))</f>
        <v>2295922.9600000046</v>
      </c>
      <c r="AJ18" s="29">
        <f>IF(AJ$5="Real",INDEX('Informacion de Sam'!$13:$13,MATCH(AJ$6,'Informacion de Sam'!$1:$1,0)),'Supuestos Proyeccion'!$F$26*(AJ$14-W$14))</f>
        <v>6262139.2600000016</v>
      </c>
      <c r="AK18" s="29">
        <f>IF(AK$5="Real",INDEX('Informacion de Sam'!$13:$13,MATCH(AK$6,'Informacion de Sam'!$1:$1,0)),'Supuestos Proyeccion'!$F$26*(AK$14-X$14))</f>
        <v>4947017.8999999911</v>
      </c>
      <c r="AL18" s="29">
        <f>IF(AL$5="Real",INDEX('Informacion de Sam'!$13:$13,MATCH(AL$6,'Informacion de Sam'!$1:$1,0)),'Supuestos Proyeccion'!$F$26*(AL$14-Y$14))</f>
        <v>312162.42000000179</v>
      </c>
      <c r="AM18" s="29">
        <f>IF(AM$5="Real",INDEX('Informacion de Sam'!$13:$13,MATCH(AM$6,'Informacion de Sam'!$1:$1,0)),'Supuestos Proyeccion'!$F$26*(AM$14-Z$14))</f>
        <v>-3606698.099999994</v>
      </c>
      <c r="AN18" s="29">
        <f>SUM(AB18:AM18)</f>
        <v>36625807.230000004</v>
      </c>
      <c r="AO18" s="29">
        <f>IF(AO$5="Real",INDEX('Informacion de Sam'!$13:$13,MATCH(AO$6,'Informacion de Sam'!$1:$1,0)),'Supuestos Proyeccion'!$F$26*(AO$14-AB$14))</f>
        <v>7965130.8999999994</v>
      </c>
      <c r="AP18" s="29">
        <f>IF(AP$5="Real",INDEX('Informacion de Sam'!$13:$13,MATCH(AP$6,'Informacion de Sam'!$1:$1,0)),'Supuestos Proyeccion'!$F$26*(AP$14-AC$14))</f>
        <v>18470603.670000002</v>
      </c>
      <c r="AQ18" s="29">
        <f>IF(AQ$5="Real",INDEX('Informacion de Sam'!$13:$13,MATCH(AQ$6,'Informacion de Sam'!$1:$1,0)),'Supuestos Proyeccion'!$F$26*(AQ$14-AD$14))</f>
        <v>2519877.4699999988</v>
      </c>
      <c r="AR18" s="29">
        <f>IF(AR$5="Real",INDEX('Informacion de Sam'!$13:$13,MATCH(AR$6,'Informacion de Sam'!$1:$1,0)),'Supuestos Proyeccion'!$F$26*(AR$14-AE$14))</f>
        <v>5823588.8699999973</v>
      </c>
      <c r="AS18" s="29">
        <f>IF(AS$5="Real",INDEX('Informacion de Sam'!$13:$13,MATCH(AS$6,'Informacion de Sam'!$1:$1,0)),'Supuestos Proyeccion'!$F$26*(AS$14-AF$14))</f>
        <v>-2147734.7299999967</v>
      </c>
      <c r="AT18" s="29">
        <f>IF(AT$5="Real",INDEX('Informacion de Sam'!$13:$13,MATCH(AT$6,'Informacion de Sam'!$1:$1,0)),'Supuestos Proyeccion'!$F$26*(AT$14-AG$14))</f>
        <v>-3142429.9800000004</v>
      </c>
      <c r="AU18" s="29">
        <f>IF(AU$5="Real",INDEX('Informacion de Sam'!$13:$13,MATCH(AU$6,'Informacion de Sam'!$1:$1,0)),'Supuestos Proyeccion'!$F$26*(AU$14-AH$14))</f>
        <v>1102759.8000000007</v>
      </c>
      <c r="AV18" s="29">
        <f>IF(AV$5="Real",INDEX('Informacion de Sam'!$13:$13,MATCH(AV$6,'Informacion de Sam'!$1:$1,0)),'Supuestos Proyeccion'!$F$26*(AV$14-AI$14))</f>
        <v>-230429.83000000194</v>
      </c>
      <c r="AW18" s="29">
        <f>IF(AW$5="Real",INDEX('Informacion de Sam'!$13:$13,MATCH(AW$6,'Informacion de Sam'!$1:$1,0)),'Supuestos Proyeccion'!$F$26*(AW$14-AJ$14))</f>
        <v>87775.810000006109</v>
      </c>
      <c r="AX18" s="29">
        <f>IF(AX$5="Real",INDEX('Informacion de Sam'!$13:$13,MATCH(AX$6,'Informacion de Sam'!$1:$1,0)),'Supuestos Proyeccion'!$F$26*(AX$14-AK$14))</f>
        <v>-2038779.9600000046</v>
      </c>
      <c r="AY18" s="29">
        <f>IF(AY$5="Real",INDEX('Informacion de Sam'!$13:$13,MATCH(AY$6,'Informacion de Sam'!$1:$1,0)),'Supuestos Proyeccion'!$F$26*(AY$14-AL$14))</f>
        <v>-3084811.6399999969</v>
      </c>
      <c r="AZ18" s="29">
        <f>IF(AZ$5="Real",INDEX('Informacion de Sam'!$13:$13,MATCH(AZ$6,'Informacion de Sam'!$1:$1,0)),'Supuestos Proyeccion'!$F$26*(AZ$14-AM$14))</f>
        <v>-4593961.570000004</v>
      </c>
      <c r="BA18" s="29">
        <f>SUM(AO18:AZ18)</f>
        <v>20731588.809999999</v>
      </c>
      <c r="BB18" s="29">
        <f>IF(BB$5="Real",INDEX('Informacion de Sam'!$13:$13,MATCH(BB$6,'Informacion de Sam'!$1:$1,0)),'Supuestos Proyeccion'!$F$26*(BB$14-AO$14))</f>
        <v>6142338.9799999995</v>
      </c>
      <c r="BC18" s="29">
        <f>IF(BC$5="Real",INDEX('Informacion de Sam'!$13:$13,MATCH(BC$6,'Informacion de Sam'!$1:$1,0)),'Supuestos Proyeccion'!$F$26*(BC$14-AP$14))</f>
        <v>25304716.489999998</v>
      </c>
      <c r="BD18" s="29">
        <f>IF(BD$5="Real",INDEX('Informacion de Sam'!$13:$13,MATCH(BD$6,'Informacion de Sam'!$1:$1,0)),'Supuestos Proyeccion'!$F$26*(BD$14-AQ$14))</f>
        <v>-1859668.25</v>
      </c>
      <c r="BE18" s="29">
        <f>IF(BE$5="Real",INDEX('Informacion de Sam'!$13:$13,MATCH(BE$6,'Informacion de Sam'!$1:$1,0)),'Supuestos Proyeccion'!$F$26*(BE$14-AR$14))</f>
        <v>4973325.6300000027</v>
      </c>
      <c r="BF18" s="29">
        <f>IF(BF$5="Real",INDEX('Informacion de Sam'!$13:$13,MATCH(BF$6,'Informacion de Sam'!$1:$1,0)),'Supuestos Proyeccion'!$F$26*(BF$14-AS$14))</f>
        <v>-4622358.7400000021</v>
      </c>
      <c r="BG18" s="29">
        <f>IF(BG$5="Real",INDEX('Informacion de Sam'!$13:$13,MATCH(BG$6,'Informacion de Sam'!$1:$1,0)),'Supuestos Proyeccion'!$F$26*(BG$14-AT$14))</f>
        <v>-1191280.9699999988</v>
      </c>
      <c r="BH18" s="29">
        <f>IF(BH$5="Real",INDEX('Informacion de Sam'!$13:$13,MATCH(BH$6,'Informacion de Sam'!$1:$1,0)),'Supuestos Proyeccion'!$F$26*(BH$14-AU$14))</f>
        <v>2119109.5799999982</v>
      </c>
      <c r="BI18" s="29">
        <f>IF(BI$5="Real",INDEX('Informacion de Sam'!$13:$13,MATCH(BI$6,'Informacion de Sam'!$1:$1,0)),'Supuestos Proyeccion'!$F$26*(BI$14-AV$14))</f>
        <v>1128183.6000000052</v>
      </c>
      <c r="BJ18" s="29">
        <f>IF(BJ$5="Real",INDEX('Informacion de Sam'!$13:$13,MATCH(BJ$6,'Informacion de Sam'!$1:$1,0)),'Supuestos Proyeccion'!$F$26*(BJ$14-AW$14))</f>
        <v>515791.01999999583</v>
      </c>
      <c r="BK18" s="29">
        <f>IF(BK$5="Real",INDEX('Informacion de Sam'!$13:$13,MATCH(BK$6,'Informacion de Sam'!$1:$1,0)),'Supuestos Proyeccion'!$F$26*(BK$14-AX$14))</f>
        <v>-2032376.7300000004</v>
      </c>
      <c r="BL18" s="29">
        <f>IF(BL$5="Real",INDEX('Informacion de Sam'!$13:$13,MATCH(BL$6,'Informacion de Sam'!$1:$1,0)),'Supuestos Proyeccion'!$F$26*(BL$14-AY$14))</f>
        <v>-3940349.7900000028</v>
      </c>
      <c r="BM18" s="29">
        <f>IF(BM$5="Real",INDEX('Informacion de Sam'!$13:$13,MATCH(BM$6,'Informacion de Sam'!$1:$1,0)),'Supuestos Proyeccion'!$F$26*(BM$14-AZ$14))</f>
        <v>-6007286.3900000006</v>
      </c>
      <c r="BN18" s="29">
        <f>SUM(BB18:BM18)</f>
        <v>20530144.429999996</v>
      </c>
      <c r="BO18" s="29">
        <f>IF(BO$5="Real",INDEX('Informacion de Sam'!$13:$13,MATCH(BO$6,'Informacion de Sam'!$1:$1,0)),'Supuestos Proyeccion'!$F$26*(BO$14-BB$14))</f>
        <v>5905450.1200000001</v>
      </c>
      <c r="BP18" s="29">
        <f>IF(BP$5="Real",INDEX('Informacion de Sam'!$13:$13,MATCH(BP$6,'Informacion de Sam'!$1:$1,0)),'Supuestos Proyeccion'!$F$26*(BP$14-BC$14))</f>
        <v>21969660.82</v>
      </c>
      <c r="BQ18" s="29">
        <f>IF(BQ$5="Real",INDEX('Informacion de Sam'!$13:$13,MATCH(BQ$6,'Informacion de Sam'!$1:$1,0)),'Supuestos Proyeccion'!$F$26*(BQ$14-BD$14))</f>
        <v>-885553.12000000104</v>
      </c>
      <c r="BR18" s="29">
        <f>IF(BR$5="Real",INDEX('Informacion de Sam'!$13:$13,MATCH(BR$6,'Informacion de Sam'!$1:$1,0)),'Supuestos Proyeccion'!$F$26*(BR$14-BE$14))</f>
        <v>3592943.4599999972</v>
      </c>
      <c r="BS18" s="29">
        <f>IF(BS$5="Real",INDEX('Informacion de Sam'!$13:$13,MATCH(BS$6,'Informacion de Sam'!$1:$1,0)),'Supuestos Proyeccion'!$F$26*(BS$14-BF$14))</f>
        <v>-3584336.09</v>
      </c>
      <c r="BT18" s="29">
        <f>IF(BT$5="Real",INDEX('Informacion de Sam'!$13:$13,MATCH(BT$6,'Informacion de Sam'!$1:$1,0)),'Supuestos Proyeccion'!$F$26*(BT$14-BG$14))</f>
        <v>-3202225.5699999966</v>
      </c>
      <c r="BU18" s="29">
        <f>IF(BU$5="Real",INDEX('Informacion de Sam'!$13:$13,MATCH(BU$6,'Informacion de Sam'!$1:$1,0)),'Supuestos Proyeccion'!$F$26*(BU$14-BH$14))</f>
        <v>2216721.1599999964</v>
      </c>
      <c r="BV18" s="29">
        <f>IF(BV$5="Real",INDEX('Informacion de Sam'!$13:$13,MATCH(BV$6,'Informacion de Sam'!$1:$1,0)),'Supuestos Proyeccion'!$F$26*(BV$14-BI$14))</f>
        <v>7638925.6700000055</v>
      </c>
      <c r="BW18" s="29">
        <f>IF(BW$5="Real",INDEX('Informacion de Sam'!$13:$13,MATCH(BW$6,'Informacion de Sam'!$1:$1,0)),'Supuestos Proyeccion'!$F$26*(BW$14-BJ$14))</f>
        <v>4443104.1499999911</v>
      </c>
      <c r="BX18" s="29">
        <f>IF(BX$5="Real",INDEX('Informacion de Sam'!$13:$13,MATCH(BX$6,'Informacion de Sam'!$1:$1,0)),'Supuestos Proyeccion'!$F$26*(BX$14-BK$14))</f>
        <v>-3199160.5199999958</v>
      </c>
      <c r="BY18" s="29">
        <f>IF(BY$5="Real",INDEX('Informacion de Sam'!$13:$13,MATCH(BY$6,'Informacion de Sam'!$1:$1,0)),'Supuestos Proyeccion'!$F$26*(BY$14-BL$14))</f>
        <v>-7245626.0999999978</v>
      </c>
      <c r="BZ18" s="29">
        <f>IF(BZ$5="Real",INDEX('Informacion de Sam'!$13:$13,MATCH(BZ$6,'Informacion de Sam'!$1:$1,0)),'Supuestos Proyeccion'!$F$26*(BZ$14-BM$14))</f>
        <v>-10796070.09</v>
      </c>
      <c r="CA18" s="29">
        <f>SUM(BO18:BZ18)</f>
        <v>16853833.890000001</v>
      </c>
      <c r="CB18" s="29">
        <f>IF(CB$5="Real",INDEX('Informacion de Sam'!$13:$13,MATCH(CB$6,'Informacion de Sam'!$1:$1,0)),'Supuestos Proyeccion'!$F$26*(CB$14-BO$14))</f>
        <v>1184257.5699999998</v>
      </c>
      <c r="CC18" s="29">
        <f>IF(CC$5="Real",INDEX('Informacion de Sam'!$13:$13,MATCH(CC$6,'Informacion de Sam'!$1:$1,0)),'Supuestos Proyeccion'!$F$26*(CC$14-BP$14))</f>
        <v>16481579.5</v>
      </c>
      <c r="CD18" s="29">
        <f>IF(CD$5="Real",INDEX('Informacion de Sam'!$13:$13,MATCH(CD$6,'Informacion de Sam'!$1:$1,0)),'Supuestos Proyeccion'!$F$26*(CD$14-BQ$14))</f>
        <v>-1458432.3099999987</v>
      </c>
      <c r="CE18" s="29">
        <f>IF(CE$5="Real",INDEX('Informacion de Sam'!$13:$13,MATCH(CE$6,'Informacion de Sam'!$1:$1,0)),'Supuestos Proyeccion'!$F$26*(CE$14-BR$14))</f>
        <v>-2173653.2800000031</v>
      </c>
      <c r="CF18" s="29">
        <f>IF(CF$5="Real",INDEX('Informacion de Sam'!$13:$13,MATCH(CF$6,'Informacion de Sam'!$1:$1,0)),'Supuestos Proyeccion'!$F$26*(CF$14-BS$14))</f>
        <v>-4869557.6500000004</v>
      </c>
      <c r="CG18" s="29">
        <f>IF(CG$5="Real",INDEX('Informacion de Sam'!$13:$13,MATCH(CG$6,'Informacion de Sam'!$1:$1,0)),'Supuestos Proyeccion'!$F$26*(CG$14-BT$14))</f>
        <v>-8047144.2899999991</v>
      </c>
      <c r="CH18" s="29">
        <f>IF(CH$5="Real",INDEX('Informacion de Sam'!$13:$13,MATCH(CH$6,'Informacion de Sam'!$1:$1,0)),'Supuestos Proyeccion'!$F$26*(CH$14-BU$14))</f>
        <v>-2151335.5300000012</v>
      </c>
      <c r="CI18" s="29">
        <f>IF(CI$5="Real",INDEX('Informacion de Sam'!$13:$13,MATCH(CI$6,'Informacion de Sam'!$1:$1,0)),'Supuestos Proyeccion'!$F$26*(CI$14-BV$14))</f>
        <v>234537.21999999881</v>
      </c>
      <c r="CJ18" s="29">
        <f>IF(CJ$5="Real",INDEX('Informacion de Sam'!$13:$13,MATCH(CJ$6,'Informacion de Sam'!$1:$1,0)),'Supuestos Proyeccion'!$F$26*(CJ$14-BW$14))</f>
        <v>-5046235.2510916609</v>
      </c>
      <c r="CK18" s="29">
        <f>IF(CK$5="Real",INDEX('Informacion de Sam'!$13:$13,MATCH(CK$6,'Informacion de Sam'!$1:$1,0)),'Supuestos Proyeccion'!$F$26*(CK$14-BX$14))</f>
        <v>71500.851953256468</v>
      </c>
      <c r="CL18" s="29">
        <f>IF(CL$5="Real",INDEX('Informacion de Sam'!$13:$13,MATCH(CL$6,'Informacion de Sam'!$1:$1,0)),'Supuestos Proyeccion'!$F$26*(CL$14-BY$14))</f>
        <v>971106.4193059376</v>
      </c>
      <c r="CM18" s="29">
        <f>IF(CM$5="Real",INDEX('Informacion de Sam'!$13:$13,MATCH(CM$6,'Informacion de Sam'!$1:$1,0)),'Supuestos Proyeccion'!$F$26*(CM$14-BZ$14))</f>
        <v>4341137.7492976934</v>
      </c>
      <c r="CN18" s="29">
        <f>SUM(CB18:CM18)</f>
        <v>-462239.0005347766</v>
      </c>
      <c r="CO18" s="29">
        <f>IF(CO$5="Real",INDEX('Informacion de Sam'!$13:$13,MATCH(CO$6,'Informacion de Sam'!$1:$1,0)),'Supuestos Proyeccion'!$F$26*(CO$14-CB$14))</f>
        <v>-875043.67517800676</v>
      </c>
      <c r="CP18" s="29">
        <f>IF(CP$5="Real",INDEX('Informacion de Sam'!$13:$13,MATCH(CP$6,'Informacion de Sam'!$1:$1,0)),'Supuestos Proyeccion'!$F$26*(CP$14-CC$14))</f>
        <v>-1629237.0217342193</v>
      </c>
      <c r="CQ18" s="29">
        <f>IF(CQ$5="Real",INDEX('Informacion de Sam'!$13:$13,MATCH(CQ$6,'Informacion de Sam'!$1:$1,0)),'Supuestos Proyeccion'!$F$26*(CQ$14-CD$14))</f>
        <v>1063357.7569056985</v>
      </c>
      <c r="CR18" s="29">
        <f>IF(CR$5="Real",INDEX('Informacion de Sam'!$13:$13,MATCH(CR$6,'Informacion de Sam'!$1:$1,0)),'Supuestos Proyeccion'!$F$26*(CR$14-CE$14))</f>
        <v>2957104.5404392122</v>
      </c>
      <c r="CS18" s="29">
        <f>IF(CS$5="Real",INDEX('Informacion de Sam'!$13:$13,MATCH(CS$6,'Informacion de Sam'!$1:$1,0)),'Supuestos Proyeccion'!$F$26*(CS$14-CF$14))</f>
        <v>1922899.7943897585</v>
      </c>
      <c r="CT18" s="29">
        <f>IF(CT$5="Real",INDEX('Informacion de Sam'!$13:$13,MATCH(CT$6,'Informacion de Sam'!$1:$1,0)),'Supuestos Proyeccion'!$F$26*(CT$14-CG$14))</f>
        <v>5709300.1902676215</v>
      </c>
      <c r="CU18" s="29">
        <f>IF(CU$5="Real",INDEX('Informacion de Sam'!$13:$13,MATCH(CU$6,'Informacion de Sam'!$1:$1,0)),'Supuestos Proyeccion'!$F$26*(CU$14-CH$14))</f>
        <v>6195649.758261919</v>
      </c>
      <c r="CV18" s="29">
        <f>IF(CV$5="Real",INDEX('Informacion de Sam'!$13:$13,MATCH(CV$6,'Informacion de Sam'!$1:$1,0)),'Supuestos Proyeccion'!$F$26*(CV$14-CI$14))</f>
        <v>12550824.907463508</v>
      </c>
      <c r="CW18" s="29">
        <f>IF(CW$5="Real",INDEX('Informacion de Sam'!$13:$13,MATCH(CW$6,'Informacion de Sam'!$1:$1,0)),'Supuestos Proyeccion'!$F$26*(CW$14-CJ$14))</f>
        <v>3120496.4074581172</v>
      </c>
      <c r="CX18" s="29">
        <f>IF(CX$5="Real",INDEX('Informacion de Sam'!$13:$13,MATCH(CX$6,'Informacion de Sam'!$1:$1,0)),'Supuestos Proyeccion'!$F$26*(CX$14-CK$14))</f>
        <v>3012335.7611740013</v>
      </c>
      <c r="CY18" s="29">
        <f>IF(CY$5="Real",INDEX('Informacion de Sam'!$13:$13,MATCH(CY$6,'Informacion de Sam'!$1:$1,0)),'Supuestos Proyeccion'!$F$26*(CY$14-CL$14))</f>
        <v>3105041.679727199</v>
      </c>
      <c r="CZ18" s="29">
        <f>IF(CZ$5="Real",INDEX('Informacion de Sam'!$13:$13,MATCH(CZ$6,'Informacion de Sam'!$1:$1,0)),'Supuestos Proyeccion'!$F$26*(CZ$14-CM$14))</f>
        <v>2873984.9224351463</v>
      </c>
      <c r="DA18" s="29">
        <f>SUM(CO18:CZ18)</f>
        <v>40006715.021609955</v>
      </c>
      <c r="DB18" s="29">
        <f>IF(DB$5="Real",INDEX('Informacion de Sam'!$13:$13,MATCH(DB$6,'Informacion de Sam'!$1:$1,0)),'Supuestos Proyeccion'!$F$26*(DB$14-CO$14))</f>
        <v>3762558.4018446696</v>
      </c>
      <c r="DC18" s="29">
        <f>IF(DC$5="Real",INDEX('Informacion de Sam'!$13:$13,MATCH(DC$6,'Informacion de Sam'!$1:$1,0)),'Supuestos Proyeccion'!$F$26*(DC$14-CP$14))</f>
        <v>5333514.8350326763</v>
      </c>
      <c r="DD18" s="29">
        <f>IF(DD$5="Real",INDEX('Informacion de Sam'!$13:$13,MATCH(DD$6,'Informacion de Sam'!$1:$1,0)),'Supuestos Proyeccion'!$F$26*(DD$14-CQ$14))</f>
        <v>3827703.1104184231</v>
      </c>
      <c r="DE18" s="29">
        <f>IF(DE$5="Real",INDEX('Informacion de Sam'!$13:$13,MATCH(DE$6,'Informacion de Sam'!$1:$1,0)),'Supuestos Proyeccion'!$F$26*(DE$14-CR$14))</f>
        <v>3915832.7654439765</v>
      </c>
      <c r="DF18" s="29">
        <f>IF(DF$5="Real",INDEX('Informacion de Sam'!$13:$13,MATCH(DF$6,'Informacion de Sam'!$1:$1,0)),'Supuestos Proyeccion'!$F$26*(DF$14-CS$14))</f>
        <v>3445236.2765269158</v>
      </c>
      <c r="DG18" s="29">
        <f>IF(DG$5="Real",INDEX('Informacion de Sam'!$13:$13,MATCH(DG$6,'Informacion de Sam'!$1:$1,0)),'Supuestos Proyeccion'!$F$26*(DG$14-CT$14))</f>
        <v>3940011.6653273008</v>
      </c>
      <c r="DH18" s="29">
        <f>IF(DH$5="Real",INDEX('Informacion de Sam'!$13:$13,MATCH(DH$6,'Informacion de Sam'!$1:$1,0)),'Supuestos Proyeccion'!$F$26*(DH$14-CU$14))</f>
        <v>4252897.4965145579</v>
      </c>
      <c r="DI18" s="29">
        <f>IF(DI$5="Real",INDEX('Informacion de Sam'!$13:$13,MATCH(DI$6,'Informacion de Sam'!$1:$1,0)),'Supuestos Proyeccion'!$F$26*(DI$14-CV$14))</f>
        <v>6390815.7624108335</v>
      </c>
      <c r="DJ18" s="29">
        <f>IF(DJ$5="Real",INDEX('Informacion de Sam'!$13:$13,MATCH(DJ$6,'Informacion de Sam'!$1:$1,0)),'Supuestos Proyeccion'!$F$26*(DJ$14-CW$14))</f>
        <v>3900620.5093226428</v>
      </c>
      <c r="DK18" s="29">
        <f>IF(DK$5="Real",INDEX('Informacion de Sam'!$13:$13,MATCH(DK$6,'Informacion de Sam'!$1:$1,0)),'Supuestos Proyeccion'!$F$26*(DK$14-CX$14))</f>
        <v>3765419.7014675029</v>
      </c>
      <c r="DL18" s="29">
        <f>IF(DL$5="Real",INDEX('Informacion de Sam'!$13:$13,MATCH(DL$6,'Informacion de Sam'!$1:$1,0)),'Supuestos Proyeccion'!$F$26*(DL$14-CY$14))</f>
        <v>3881302.0996589991</v>
      </c>
      <c r="DM18" s="29">
        <f>IF(DM$5="Real",INDEX('Informacion de Sam'!$13:$13,MATCH(DM$6,'Informacion de Sam'!$1:$1,0)),'Supuestos Proyeccion'!$F$26*(DM$14-CZ$14))</f>
        <v>3592481.1530439332</v>
      </c>
      <c r="DN18" s="29">
        <f>SUM(DB18:DM18)</f>
        <v>50008393.77701243</v>
      </c>
      <c r="DO18" s="29">
        <f>IF(DO$5="Real",INDEX('Informacion de Sam'!$13:$13,MATCH(DO$6,'Informacion de Sam'!$1:$1,0)),'Supuestos Proyeccion'!$F$26*(DO$14-DB$14))</f>
        <v>4703198.0023058383</v>
      </c>
      <c r="DP18" s="29">
        <f>IF(DP$5="Real",INDEX('Informacion de Sam'!$13:$13,MATCH(DP$6,'Informacion de Sam'!$1:$1,0)),'Supuestos Proyeccion'!$F$26*(DP$14-DC$14))</f>
        <v>6666893.5437908415</v>
      </c>
      <c r="DQ18" s="29">
        <f>IF(DQ$5="Real",INDEX('Informacion de Sam'!$13:$13,MATCH(DQ$6,'Informacion de Sam'!$1:$1,0)),'Supuestos Proyeccion'!$F$26*(DQ$14-DD$14))</f>
        <v>4784628.8880230244</v>
      </c>
      <c r="DR18" s="29">
        <f>IF(DR$5="Real",INDEX('Informacion de Sam'!$13:$13,MATCH(DR$6,'Informacion de Sam'!$1:$1,0)),'Supuestos Proyeccion'!$F$26*(DR$14-DE$14))</f>
        <v>4894790.9568049759</v>
      </c>
      <c r="DS18" s="29">
        <f>IF(DS$5="Real",INDEX('Informacion de Sam'!$13:$13,MATCH(DS$6,'Informacion de Sam'!$1:$1,0)),'Supuestos Proyeccion'!$F$26*(DS$14-DF$14))</f>
        <v>4306545.345658646</v>
      </c>
      <c r="DT18" s="29">
        <f>IF(DT$5="Real",INDEX('Informacion de Sam'!$13:$13,MATCH(DT$6,'Informacion de Sam'!$1:$1,0)),'Supuestos Proyeccion'!$F$26*(DT$14-DG$14))</f>
        <v>4925014.5816591354</v>
      </c>
      <c r="DU18" s="29">
        <f>IF(DU$5="Real",INDEX('Informacion de Sam'!$13:$13,MATCH(DU$6,'Informacion de Sam'!$1:$1,0)),'Supuestos Proyeccion'!$F$26*(DU$14-DH$14))</f>
        <v>5316121.8706431994</v>
      </c>
      <c r="DV18" s="29">
        <f>IF(DV$5="Real",INDEX('Informacion de Sam'!$13:$13,MATCH(DV$6,'Informacion de Sam'!$1:$1,0)),'Supuestos Proyeccion'!$F$26*(DV$14-DI$14))</f>
        <v>7988519.7030135449</v>
      </c>
      <c r="DW18" s="29">
        <f>IF(DW$5="Real",INDEX('Informacion de Sam'!$13:$13,MATCH(DW$6,'Informacion de Sam'!$1:$1,0)),'Supuestos Proyeccion'!$F$26*(DW$14-DJ$14))</f>
        <v>4875775.6366533106</v>
      </c>
      <c r="DX18" s="29">
        <f>IF(DX$5="Real",INDEX('Informacion de Sam'!$13:$13,MATCH(DX$6,'Informacion de Sam'!$1:$1,0)),'Supuestos Proyeccion'!$F$26*(DX$14-DK$14))</f>
        <v>4706774.6268343804</v>
      </c>
      <c r="DY18" s="29">
        <f>IF(DY$5="Real",INDEX('Informacion de Sam'!$13:$13,MATCH(DY$6,'Informacion de Sam'!$1:$1,0)),'Supuestos Proyeccion'!$F$26*(DY$14-DL$14))</f>
        <v>4851627.6245737486</v>
      </c>
      <c r="DZ18" s="29">
        <f>IF(DZ$5="Real",INDEX('Informacion de Sam'!$13:$13,MATCH(DZ$6,'Informacion de Sam'!$1:$1,0)),'Supuestos Proyeccion'!$F$26*(DZ$14-DM$14))</f>
        <v>4490601.4413049147</v>
      </c>
      <c r="EA18" s="29">
        <f>SUM(DO18:DZ18)</f>
        <v>62510492.221265562</v>
      </c>
      <c r="EB18" s="29">
        <f>IF(EB$5="Real",INDEX('Informacion de Sam'!$13:$13,MATCH(EB$6,'Informacion de Sam'!$1:$1,0)),'Supuestos Proyeccion'!$F$26*(EB$14-DO$14))</f>
        <v>5878997.5028822962</v>
      </c>
      <c r="EC18" s="29">
        <f>IF(EC$5="Real",INDEX('Informacion de Sam'!$13:$13,MATCH(EC$6,'Informacion de Sam'!$1:$1,0)),'Supuestos Proyeccion'!$F$26*(EC$14-DP$14))</f>
        <v>8333616.9297385588</v>
      </c>
      <c r="ED18" s="29">
        <f>IF(ED$5="Real",INDEX('Informacion de Sam'!$13:$13,MATCH(ED$6,'Informacion de Sam'!$1:$1,0)),'Supuestos Proyeccion'!$F$26*(ED$14-DQ$14))</f>
        <v>5980786.1100287884</v>
      </c>
      <c r="EE18" s="29">
        <f>IF(EE$5="Real",INDEX('Informacion de Sam'!$13:$13,MATCH(EE$6,'Informacion de Sam'!$1:$1,0)),'Supuestos Proyeccion'!$F$26*(EE$14-DR$14))</f>
        <v>6118488.696006217</v>
      </c>
      <c r="EF18" s="29">
        <f>IF(EF$5="Real",INDEX('Informacion de Sam'!$13:$13,MATCH(EF$6,'Informacion de Sam'!$1:$1,0)),'Supuestos Proyeccion'!$F$26*(EF$14-DS$14))</f>
        <v>5383181.6820733119</v>
      </c>
      <c r="EG18" s="29">
        <f>IF(EG$5="Real",INDEX('Informacion de Sam'!$13:$13,MATCH(EG$6,'Informacion de Sam'!$1:$1,0)),'Supuestos Proyeccion'!$F$26*(EG$14-DT$14))</f>
        <v>6156268.2270739181</v>
      </c>
      <c r="EH18" s="29">
        <f>IF(EH$5="Real",INDEX('Informacion de Sam'!$13:$13,MATCH(EH$6,'Informacion de Sam'!$1:$1,0)),'Supuestos Proyeccion'!$F$26*(EH$14-DU$14))</f>
        <v>6645152.3383040009</v>
      </c>
      <c r="EI18" s="29">
        <f>IF(EI$5="Real",INDEX('Informacion de Sam'!$13:$13,MATCH(EI$6,'Informacion de Sam'!$1:$1,0)),'Supuestos Proyeccion'!$F$26*(EI$14-DV$14))</f>
        <v>9985649.6287669372</v>
      </c>
      <c r="EJ18" s="29">
        <f>IF(EJ$5="Real",INDEX('Informacion de Sam'!$13:$13,MATCH(EJ$6,'Informacion de Sam'!$1:$1,0)),'Supuestos Proyeccion'!$F$26*(EJ$14-DW$14))</f>
        <v>6094719.5458166357</v>
      </c>
      <c r="EK18" s="29">
        <f>IF(EK$5="Real",INDEX('Informacion de Sam'!$13:$13,MATCH(EK$6,'Informacion de Sam'!$1:$1,0)),'Supuestos Proyeccion'!$F$26*(EK$14-DX$14))</f>
        <v>5883468.2835429739</v>
      </c>
      <c r="EL18" s="29">
        <f>IF(EL$5="Real",INDEX('Informacion de Sam'!$13:$13,MATCH(EL$6,'Informacion de Sam'!$1:$1,0)),'Supuestos Proyeccion'!$F$26*(EL$14-DY$14))</f>
        <v>6064534.5307171829</v>
      </c>
      <c r="EM18" s="29">
        <f>IF(EM$5="Real",INDEX('Informacion de Sam'!$13:$13,MATCH(EM$6,'Informacion de Sam'!$1:$1,0)),'Supuestos Proyeccion'!$F$26*(EM$14-DZ$14))</f>
        <v>5613251.8016311526</v>
      </c>
      <c r="EN18" s="29">
        <f>SUM(EB18:EM18)</f>
        <v>78138115.276581973</v>
      </c>
      <c r="EO18" s="29">
        <f>IF(EO$5="Real",INDEX('Informacion de Sam'!$13:$13,MATCH(EO$6,'Informacion de Sam'!$1:$1,0)),'Supuestos Proyeccion'!$F$26*(EO$14-EB$14))</f>
        <v>7348746.8786028689</v>
      </c>
      <c r="EP18" s="29">
        <f>IF(EP$5="Real",INDEX('Informacion de Sam'!$13:$13,MATCH(EP$6,'Informacion de Sam'!$1:$1,0)),'Supuestos Proyeccion'!$F$26*(EP$14-EC$14))</f>
        <v>10417021.162173195</v>
      </c>
      <c r="EQ18" s="29">
        <f>IF(EQ$5="Real",INDEX('Informacion de Sam'!$13:$13,MATCH(EQ$6,'Informacion de Sam'!$1:$1,0)),'Supuestos Proyeccion'!$F$26*(EQ$14-ED$14))</f>
        <v>7475982.637535979</v>
      </c>
      <c r="ER18" s="29">
        <f>IF(ER$5="Real",INDEX('Informacion de Sam'!$13:$13,MATCH(ER$6,'Informacion de Sam'!$1:$1,0)),'Supuestos Proyeccion'!$F$26*(ER$14-EE$14))</f>
        <v>7648110.8700077627</v>
      </c>
      <c r="ES18" s="29">
        <f>IF(ES$5="Real",INDEX('Informacion de Sam'!$13:$13,MATCH(ES$6,'Informacion de Sam'!$1:$1,0)),'Supuestos Proyeccion'!$F$26*(ES$14-EF$14))</f>
        <v>6728977.1025916291</v>
      </c>
      <c r="ET18" s="29">
        <f>IF(ET$5="Real",INDEX('Informacion de Sam'!$13:$13,MATCH(ET$6,'Informacion de Sam'!$1:$1,0)),'Supuestos Proyeccion'!$F$26*(ET$14-EG$14))</f>
        <v>7695335.2838423867</v>
      </c>
      <c r="EU18" s="29">
        <f>IF(EU$5="Real",INDEX('Informacion de Sam'!$13:$13,MATCH(EU$6,'Informacion de Sam'!$1:$1,0)),'Supuestos Proyeccion'!$F$26*(EU$14-EH$14))</f>
        <v>8306440.4228799995</v>
      </c>
      <c r="EV18" s="29">
        <f>IF(EV$5="Real",INDEX('Informacion de Sam'!$13:$13,MATCH(EV$6,'Informacion de Sam'!$1:$1,0)),'Supuestos Proyeccion'!$F$26*(EV$14-EI$14))</f>
        <v>12482062.035958651</v>
      </c>
      <c r="EW18" s="29">
        <f>IF(EW$5="Real",INDEX('Informacion de Sam'!$13:$13,MATCH(EW$6,'Informacion de Sam'!$1:$1,0)),'Supuestos Proyeccion'!$F$26*(EW$14-EJ$14))</f>
        <v>7618399.4322707951</v>
      </c>
      <c r="EX18" s="29">
        <f>IF(EX$5="Real",INDEX('Informacion de Sam'!$13:$13,MATCH(EX$6,'Informacion de Sam'!$1:$1,0)),'Supuestos Proyeccion'!$F$26*(EX$14-EK$14))</f>
        <v>7354335.3544287216</v>
      </c>
      <c r="EY18" s="29">
        <f>IF(EY$5="Real",INDEX('Informacion de Sam'!$13:$13,MATCH(EY$6,'Informacion de Sam'!$1:$1,0)),'Supuestos Proyeccion'!$F$26*(EY$14-EL$14))</f>
        <v>7580668.1633964842</v>
      </c>
      <c r="EZ18" s="29">
        <f>IF(EZ$5="Real",INDEX('Informacion de Sam'!$13:$13,MATCH(EZ$6,'Informacion de Sam'!$1:$1,0)),'Supuestos Proyeccion'!$F$26*(EZ$14-EM$14))</f>
        <v>7016564.7520389231</v>
      </c>
      <c r="FA18" s="29">
        <f>SUM(EO18:EZ18)</f>
        <v>97672644.095727384</v>
      </c>
      <c r="FB18" s="29">
        <f>IF(FB$5="Real",INDEX('Informacion de Sam'!$13:$13,MATCH(FB$6,'Informacion de Sam'!$1:$1,0)),'Supuestos Proyeccion'!$F$26*(FB$14-EO$14))</f>
        <v>9185933.5982535873</v>
      </c>
      <c r="FC18" s="29">
        <f>IF(FC$5="Real",INDEX('Informacion de Sam'!$13:$13,MATCH(FC$6,'Informacion de Sam'!$1:$1,0)),'Supuestos Proyeccion'!$F$26*(FC$14-EP$14))</f>
        <v>13021276.452716503</v>
      </c>
      <c r="FD18" s="29">
        <f>IF(FD$5="Real",INDEX('Informacion de Sam'!$13:$13,MATCH(FD$6,'Informacion de Sam'!$1:$1,0)),'Supuestos Proyeccion'!$F$26*(FD$14-EQ$14))</f>
        <v>9344978.2969199829</v>
      </c>
      <c r="FE18" s="29">
        <f>IF(FE$5="Real",INDEX('Informacion de Sam'!$13:$13,MATCH(FE$6,'Informacion de Sam'!$1:$1,0)),'Supuestos Proyeccion'!$F$26*(FE$14-ER$14))</f>
        <v>9560138.5875097178</v>
      </c>
      <c r="FF18" s="29">
        <f>IF(FF$5="Real",INDEX('Informacion de Sam'!$13:$13,MATCH(FF$6,'Informacion de Sam'!$1:$1,0)),'Supuestos Proyeccion'!$F$26*(FF$14-ES$14))</f>
        <v>8411221.3782395441</v>
      </c>
      <c r="FG18" s="29">
        <f>IF(FG$5="Real",INDEX('Informacion de Sam'!$13:$13,MATCH(FG$6,'Informacion de Sam'!$1:$1,0)),'Supuestos Proyeccion'!$F$26*(FG$14-ET$14))</f>
        <v>9619169.1048029941</v>
      </c>
      <c r="FH18" s="29">
        <f>IF(FH$5="Real",INDEX('Informacion de Sam'!$13:$13,MATCH(FH$6,'Informacion de Sam'!$1:$1,0)),'Supuestos Proyeccion'!$F$26*(FH$14-EU$14))</f>
        <v>10383050.528599996</v>
      </c>
      <c r="FI18" s="29">
        <f>IF(FI$5="Real",INDEX('Informacion de Sam'!$13:$13,MATCH(FI$6,'Informacion de Sam'!$1:$1,0)),'Supuestos Proyeccion'!$F$26*(FI$14-EV$14))</f>
        <v>15602577.544948351</v>
      </c>
      <c r="FJ18" s="29">
        <f>IF(FJ$5="Real",INDEX('Informacion de Sam'!$13:$13,MATCH(FJ$6,'Informacion de Sam'!$1:$1,0)),'Supuestos Proyeccion'!$F$26*(FJ$14-EW$14))</f>
        <v>9522999.290338492</v>
      </c>
      <c r="FK18" s="29">
        <f>IF(FK$5="Real",INDEX('Informacion de Sam'!$13:$13,MATCH(FK$6,'Informacion de Sam'!$1:$1,0)),'Supuestos Proyeccion'!$F$26*(FK$14-EX$14))</f>
        <v>9192919.193035895</v>
      </c>
      <c r="FL18" s="29">
        <f>IF(FL$5="Real",INDEX('Informacion de Sam'!$13:$13,MATCH(FL$6,'Informacion de Sam'!$1:$1,0)),'Supuestos Proyeccion'!$F$26*(FL$14-EY$14))</f>
        <v>9475835.2042456027</v>
      </c>
      <c r="FM18" s="29">
        <f>IF(FM$5="Real",INDEX('Informacion de Sam'!$13:$13,MATCH(FM$6,'Informacion de Sam'!$1:$1,0)),'Supuestos Proyeccion'!$F$26*(FM$14-EZ$14))</f>
        <v>8770705.9400486741</v>
      </c>
      <c r="FN18" s="29">
        <f>SUM(FB18:FM18)</f>
        <v>122090805.11965935</v>
      </c>
      <c r="FO18" s="29">
        <f>IF(FO$5="Real",INDEX('Informacion de Sam'!$13:$13,MATCH(FO$6,'Informacion de Sam'!$1:$1,0)),'Supuestos Proyeccion'!$F$26*(FO$14-FB$14))</f>
        <v>11482416.997816984</v>
      </c>
      <c r="FP18" s="29">
        <f>IF(FP$5="Real",INDEX('Informacion de Sam'!$13:$13,MATCH(FP$6,'Informacion de Sam'!$1:$1,0)),'Supuestos Proyeccion'!$F$26*(FP$14-FC$14))</f>
        <v>16276595.565895611</v>
      </c>
      <c r="FQ18" s="29">
        <f>IF(FQ$5="Real",INDEX('Informacion de Sam'!$13:$13,MATCH(FQ$6,'Informacion de Sam'!$1:$1,0)),'Supuestos Proyeccion'!$F$26*(FQ$14-FD$14))</f>
        <v>11681222.871149966</v>
      </c>
      <c r="FR18" s="29">
        <f>IF(FR$5="Real",INDEX('Informacion de Sam'!$13:$13,MATCH(FR$6,'Informacion de Sam'!$1:$1,0)),'Supuestos Proyeccion'!$F$26*(FR$14-FE$14))</f>
        <v>11950173.234387141</v>
      </c>
      <c r="FS18" s="29">
        <f>IF(FS$5="Real",INDEX('Informacion de Sam'!$13:$13,MATCH(FS$6,'Informacion de Sam'!$1:$1,0)),'Supuestos Proyeccion'!$F$26*(FS$14-FF$14))</f>
        <v>10514026.722799435</v>
      </c>
      <c r="FT18" s="29">
        <f>IF(FT$5="Real",INDEX('Informacion de Sam'!$13:$13,MATCH(FT$6,'Informacion de Sam'!$1:$1,0)),'Supuestos Proyeccion'!$F$26*(FT$14-FG$14))</f>
        <v>12023961.381003739</v>
      </c>
      <c r="FU18" s="29">
        <f>IF(FU$5="Real",INDEX('Informacion de Sam'!$13:$13,MATCH(FU$6,'Informacion de Sam'!$1:$1,0)),'Supuestos Proyeccion'!$F$26*(FU$14-FH$14))</f>
        <v>12978813.160750002</v>
      </c>
      <c r="FV18" s="29">
        <f>IF(FV$5="Real",INDEX('Informacion de Sam'!$13:$13,MATCH(FV$6,'Informacion de Sam'!$1:$1,0)),'Supuestos Proyeccion'!$F$26*(FV$14-FI$14))</f>
        <v>19503221.931185391</v>
      </c>
      <c r="FW18" s="29">
        <f>IF(FW$5="Real",INDEX('Informacion de Sam'!$13:$13,MATCH(FW$6,'Informacion de Sam'!$1:$1,0)),'Supuestos Proyeccion'!$F$26*(FW$14-FJ$14))</f>
        <v>11903749.112923112</v>
      </c>
      <c r="FX18" s="29">
        <f>IF(FX$5="Real",INDEX('Informacion de Sam'!$13:$13,MATCH(FX$6,'Informacion de Sam'!$1:$1,0)),'Supuestos Proyeccion'!$F$26*(FX$14-FK$14))</f>
        <v>11491148.991294872</v>
      </c>
      <c r="FY18" s="29">
        <f>IF(FY$5="Real",INDEX('Informacion de Sam'!$13:$13,MATCH(FY$6,'Informacion de Sam'!$1:$1,0)),'Supuestos Proyeccion'!$F$26*(FY$14-FL$14))</f>
        <v>11844794.005307002</v>
      </c>
      <c r="FZ18" s="29">
        <f>IF(FZ$5="Real",INDEX('Informacion de Sam'!$13:$13,MATCH(FZ$6,'Informacion de Sam'!$1:$1,0)),'Supuestos Proyeccion'!$F$26*(FZ$14-FM$14))</f>
        <v>10963382.425060825</v>
      </c>
      <c r="GA18" s="29">
        <f>SUM(FO18:FZ18)</f>
        <v>152613506.3995741</v>
      </c>
      <c r="GB18" s="29">
        <f>IF(GB$5="Real",INDEX('Informacion de Sam'!$13:$13,MATCH(GB$6,'Informacion de Sam'!$1:$1,0)),'Supuestos Proyeccion'!$F$26*(GB$14-FO$14))</f>
        <v>14353021.24727123</v>
      </c>
      <c r="GC18" s="29">
        <f>IF(GC$5="Real",INDEX('Informacion de Sam'!$13:$13,MATCH(GC$6,'Informacion de Sam'!$1:$1,0)),'Supuestos Proyeccion'!$F$26*(GC$14-FP$14))</f>
        <v>20345744.457369529</v>
      </c>
      <c r="GD18" s="29">
        <f>IF(GD$5="Real",INDEX('Informacion de Sam'!$13:$13,MATCH(GD$6,'Informacion de Sam'!$1:$1,0)),'Supuestos Proyeccion'!$F$26*(GD$14-FQ$14))</f>
        <v>14601528.588937461</v>
      </c>
      <c r="GE18" s="29">
        <f>IF(GE$5="Real",INDEX('Informacion de Sam'!$13:$13,MATCH(GE$6,'Informacion de Sam'!$1:$1,0)),'Supuestos Proyeccion'!$F$26*(GE$14-FR$14))</f>
        <v>14937716.54298394</v>
      </c>
      <c r="GF18" s="29">
        <f>IF(GF$5="Real",INDEX('Informacion de Sam'!$13:$13,MATCH(GF$6,'Informacion de Sam'!$1:$1,0)),'Supuestos Proyeccion'!$F$26*(GF$14-FS$14))</f>
        <v>13142533.403499287</v>
      </c>
      <c r="GG18" s="29">
        <f>IF(GG$5="Real",INDEX('Informacion de Sam'!$13:$13,MATCH(GG$6,'Informacion de Sam'!$1:$1,0)),'Supuestos Proyeccion'!$F$26*(GG$14-FT$14))</f>
        <v>15029951.726254679</v>
      </c>
      <c r="GH18" s="29">
        <f>IF(GH$5="Real",INDEX('Informacion de Sam'!$13:$13,MATCH(GH$6,'Informacion de Sam'!$1:$1,0)),'Supuestos Proyeccion'!$F$26*(GH$14-FU$14))</f>
        <v>16223516.45093751</v>
      </c>
      <c r="GI18" s="29">
        <f>IF(GI$5="Real",INDEX('Informacion de Sam'!$13:$13,MATCH(GI$6,'Informacion de Sam'!$1:$1,0)),'Supuestos Proyeccion'!$F$26*(GI$14-FV$14))</f>
        <v>24379027.413981762</v>
      </c>
      <c r="GJ18" s="29">
        <f>IF(GJ$5="Real",INDEX('Informacion de Sam'!$13:$13,MATCH(GJ$6,'Informacion de Sam'!$1:$1,0)),'Supuestos Proyeccion'!$F$26*(GJ$14-FW$14))</f>
        <v>14879686.391153906</v>
      </c>
      <c r="GK18" s="29">
        <f>IF(GK$5="Real",INDEX('Informacion de Sam'!$13:$13,MATCH(GK$6,'Informacion de Sam'!$1:$1,0)),'Supuestos Proyeccion'!$F$26*(GK$14-FX$14))</f>
        <v>14363936.239118593</v>
      </c>
      <c r="GL18" s="29">
        <f>IF(GL$5="Real",INDEX('Informacion de Sam'!$13:$13,MATCH(GL$6,'Informacion de Sam'!$1:$1,0)),'Supuestos Proyeccion'!$F$26*(GL$14-FY$14))</f>
        <v>14805992.506633747</v>
      </c>
      <c r="GM18" s="29">
        <f>IF(GM$5="Real",INDEX('Informacion de Sam'!$13:$13,MATCH(GM$6,'Informacion de Sam'!$1:$1,0)),'Supuestos Proyeccion'!$F$26*(GM$14-FZ$14))</f>
        <v>13704228.031326048</v>
      </c>
      <c r="GN18" s="29">
        <f>SUM(GB18:GM18)</f>
        <v>190766882.99946773</v>
      </c>
      <c r="GO18" s="29">
        <f>IF(GO$5="Real",INDEX('Informacion de Sam'!$13:$13,MATCH(GO$6,'Informacion de Sam'!$1:$1,0)),'Supuestos Proyeccion'!$F$26*(GO$14-GB$14))</f>
        <v>17941276.559089031</v>
      </c>
      <c r="GP18" s="29">
        <f>IF(GP$5="Real",INDEX('Informacion de Sam'!$13:$13,MATCH(GP$6,'Informacion de Sam'!$1:$1,0)),'Supuestos Proyeccion'!$F$26*(GP$14-GC$14))</f>
        <v>25432180.571711875</v>
      </c>
      <c r="GQ18" s="29">
        <f>IF(GQ$5="Real",INDEX('Informacion de Sam'!$13:$13,MATCH(GQ$6,'Informacion de Sam'!$1:$1,0)),'Supuestos Proyeccion'!$F$26*(GQ$14-GD$14))</f>
        <v>18251910.736171816</v>
      </c>
      <c r="GR18" s="29">
        <f>IF(GR$5="Real",INDEX('Informacion de Sam'!$13:$13,MATCH(GR$6,'Informacion de Sam'!$1:$1,0)),'Supuestos Proyeccion'!$F$26*(GR$14-GE$14))</f>
        <v>18672145.678729896</v>
      </c>
      <c r="GS18" s="29">
        <f>IF(GS$5="Real",INDEX('Informacion de Sam'!$13:$13,MATCH(GS$6,'Informacion de Sam'!$1:$1,0)),'Supuestos Proyeccion'!$F$26*(GS$14-GF$14))</f>
        <v>16428166.754374091</v>
      </c>
      <c r="GT18" s="29">
        <f>IF(GT$5="Real",INDEX('Informacion de Sam'!$13:$13,MATCH(GT$6,'Informacion de Sam'!$1:$1,0)),'Supuestos Proyeccion'!$F$26*(GT$14-GG$14))</f>
        <v>18787439.657818329</v>
      </c>
      <c r="GU18" s="29">
        <f>IF(GU$5="Real",INDEX('Informacion de Sam'!$13:$13,MATCH(GU$6,'Informacion de Sam'!$1:$1,0)),'Supuestos Proyeccion'!$F$26*(GU$14-GH$14))</f>
        <v>20279395.56367185</v>
      </c>
      <c r="GV18" s="29">
        <f>IF(GV$5="Real",INDEX('Informacion de Sam'!$13:$13,MATCH(GV$6,'Informacion de Sam'!$1:$1,0)),'Supuestos Proyeccion'!$F$26*(GV$14-GI$14))</f>
        <v>30473784.26747717</v>
      </c>
      <c r="GW18" s="29">
        <f>IF(GW$5="Real",INDEX('Informacion de Sam'!$13:$13,MATCH(GW$6,'Informacion de Sam'!$1:$1,0)),'Supuestos Proyeccion'!$F$26*(GW$14-GJ$14))</f>
        <v>18599607.988942355</v>
      </c>
      <c r="GX18" s="29">
        <f>IF(GX$5="Real",INDEX('Informacion de Sam'!$13:$13,MATCH(GX$6,'Informacion de Sam'!$1:$1,0)),'Supuestos Proyeccion'!$F$26*(GX$14-GK$14))</f>
        <v>17954920.298898242</v>
      </c>
      <c r="GY18" s="29">
        <f>IF(GY$5="Real",INDEX('Informacion de Sam'!$13:$13,MATCH(GY$6,'Informacion de Sam'!$1:$1,0)),'Supuestos Proyeccion'!$F$26*(GY$14-GL$14))</f>
        <v>18507490.633292198</v>
      </c>
      <c r="GZ18" s="29">
        <f>IF(GZ$5="Real",INDEX('Informacion de Sam'!$13:$13,MATCH(GZ$6,'Informacion de Sam'!$1:$1,0)),'Supuestos Proyeccion'!$F$26*(GZ$14-GM$14))</f>
        <v>17130285.039157543</v>
      </c>
      <c r="HA18" s="29">
        <f>SUM(GO18:GZ18)</f>
        <v>238458603.74933437</v>
      </c>
      <c r="HB18" s="29"/>
      <c r="HC18" s="52">
        <f t="shared" ref="HC18:HR19" si="4">SUMIFS($B18:$HA18,$B$4:$HA$4,HC$6,$B$5:$HA$5,"Acumulado")</f>
        <v>4532720</v>
      </c>
      <c r="HD18" s="52">
        <f t="shared" si="4"/>
        <v>2189502.1099999994</v>
      </c>
      <c r="HE18" s="52">
        <f t="shared" si="4"/>
        <v>36625807.230000004</v>
      </c>
      <c r="HF18" s="52">
        <f t="shared" si="4"/>
        <v>20731588.809999999</v>
      </c>
      <c r="HG18" s="52">
        <f t="shared" si="4"/>
        <v>20530144.429999996</v>
      </c>
      <c r="HH18" s="52">
        <f t="shared" si="4"/>
        <v>16853833.890000001</v>
      </c>
      <c r="HI18" s="52">
        <f t="shared" si="4"/>
        <v>-462239.0005347766</v>
      </c>
      <c r="HJ18" s="52">
        <f t="shared" si="4"/>
        <v>40006715.021609955</v>
      </c>
      <c r="HK18" s="52">
        <f t="shared" si="4"/>
        <v>50008393.77701243</v>
      </c>
      <c r="HL18" s="52">
        <f t="shared" si="4"/>
        <v>62510492.221265562</v>
      </c>
      <c r="HM18" s="52">
        <f t="shared" si="4"/>
        <v>78138115.276581973</v>
      </c>
      <c r="HN18" s="52">
        <f t="shared" si="4"/>
        <v>97672644.095727384</v>
      </c>
      <c r="HO18" s="52">
        <f t="shared" si="4"/>
        <v>122090805.11965935</v>
      </c>
      <c r="HP18" s="52">
        <f t="shared" si="4"/>
        <v>152613506.3995741</v>
      </c>
      <c r="HQ18" s="52">
        <f t="shared" si="4"/>
        <v>190766882.99946773</v>
      </c>
      <c r="HR18" s="52">
        <f t="shared" si="4"/>
        <v>238458603.74933437</v>
      </c>
    </row>
    <row r="19" spans="1:226" x14ac:dyDescent="0.35">
      <c r="A19" s="25" t="s">
        <v>61</v>
      </c>
      <c r="B19" s="23">
        <f>IF(B$5="Real",INDEX('Informacion de Sam'!$14:$14,MATCH(B$6,'Informacion de Sam'!$1:$1,0)),B$14-B$18)</f>
        <v>15760075.210000001</v>
      </c>
      <c r="C19" s="23">
        <f>IF(C$5="Real",INDEX('Informacion de Sam'!$14:$14,MATCH(C$6,'Informacion de Sam'!$1:$1,0)),C$14-C$18)</f>
        <v>17233320.610000007</v>
      </c>
      <c r="D19" s="23">
        <f>IF(D$5="Real",INDEX('Informacion de Sam'!$14:$14,MATCH(D$6,'Informacion de Sam'!$1:$1,0)),D$14-D$18)</f>
        <v>16737250.449999999</v>
      </c>
      <c r="E19" s="23">
        <f>IF(E$5="Real",INDEX('Informacion de Sam'!$14:$14,MATCH(E$6,'Informacion de Sam'!$1:$1,0)),E$14-E$18)</f>
        <v>13822376.659999995</v>
      </c>
      <c r="F19" s="23">
        <f>IF(F$5="Real",INDEX('Informacion de Sam'!$14:$14,MATCH(F$6,'Informacion de Sam'!$1:$1,0)),F$14-F$18)</f>
        <v>16114922.44999999</v>
      </c>
      <c r="G19" s="23">
        <f>IF(G$5="Real",INDEX('Informacion de Sam'!$14:$14,MATCH(G$6,'Informacion de Sam'!$1:$1,0)),G$14-G$18)</f>
        <v>15684507.000000006</v>
      </c>
      <c r="H19" s="23">
        <f>IF(H$5="Real",INDEX('Informacion de Sam'!$14:$14,MATCH(H$6,'Informacion de Sam'!$1:$1,0)),H$14-H$18)</f>
        <v>16778768.109999996</v>
      </c>
      <c r="I19" s="23">
        <f>IF(I$5="Real",INDEX('Informacion de Sam'!$14:$14,MATCH(I$6,'Informacion de Sam'!$1:$1,0)),I$14-I$18)</f>
        <v>20278137.670000017</v>
      </c>
      <c r="J19" s="23">
        <f>IF(J$5="Real",INDEX('Informacion de Sam'!$14:$14,MATCH(J$6,'Informacion de Sam'!$1:$1,0)),J$14-J$18)</f>
        <v>15192393.49000001</v>
      </c>
      <c r="K19" s="23">
        <f>IF(K$5="Real",INDEX('Informacion de Sam'!$14:$14,MATCH(K$6,'Informacion de Sam'!$1:$1,0)),K$14-K$18)</f>
        <v>14805807.139999971</v>
      </c>
      <c r="L19" s="23">
        <f>IF(L$5="Real",INDEX('Informacion de Sam'!$14:$14,MATCH(L$6,'Informacion de Sam'!$1:$1,0)),L$14-L$18)</f>
        <v>17523635.670000002</v>
      </c>
      <c r="M19" s="23">
        <f>IF(M$5="Real",INDEX('Informacion de Sam'!$14:$14,MATCH(M$6,'Informacion de Sam'!$1:$1,0)),M$14-M$18)</f>
        <v>15193890.110000025</v>
      </c>
      <c r="N19" s="23">
        <f>SUM(B19:M19)</f>
        <v>195125084.57000005</v>
      </c>
      <c r="O19" s="23">
        <f>IF(O$5="Real",INDEX('Informacion de Sam'!$14:$14,MATCH(O$6,'Informacion de Sam'!$1:$1,0)),O$14-O$18)</f>
        <v>15589995.250000002</v>
      </c>
      <c r="P19" s="23">
        <f>IF(P$5="Real",INDEX('Informacion de Sam'!$14:$14,MATCH(P$6,'Informacion de Sam'!$1:$1,0)),P$14-P$18)</f>
        <v>18698664.780000005</v>
      </c>
      <c r="Q19" s="23">
        <f>IF(Q$5="Real",INDEX('Informacion de Sam'!$14:$14,MATCH(Q$6,'Informacion de Sam'!$1:$1,0)),Q$14-Q$18)</f>
        <v>14180491.809999989</v>
      </c>
      <c r="R19" s="23">
        <f>IF(R$5="Real",INDEX('Informacion de Sam'!$14:$14,MATCH(R$6,'Informacion de Sam'!$1:$1,0)),R$14-R$18)</f>
        <v>15531884.010000017</v>
      </c>
      <c r="S19" s="23">
        <f>IF(S$5="Real",INDEX('Informacion de Sam'!$14:$14,MATCH(S$6,'Informacion de Sam'!$1:$1,0)),S$14-S$18)</f>
        <v>16908962.87999998</v>
      </c>
      <c r="T19" s="23">
        <f>IF(T$5="Real",INDEX('Informacion de Sam'!$14:$14,MATCH(T$6,'Informacion de Sam'!$1:$1,0)),T$14-T$18)</f>
        <v>16376818.480000012</v>
      </c>
      <c r="U19" s="23">
        <f>IF(U$5="Real",INDEX('Informacion de Sam'!$14:$14,MATCH(U$6,'Informacion de Sam'!$1:$1,0)),U$14-U$18)</f>
        <v>17665652.139999986</v>
      </c>
      <c r="V19" s="23">
        <f>IF(V$5="Real",INDEX('Informacion de Sam'!$14:$14,MATCH(V$6,'Informacion de Sam'!$1:$1,0)),V$14-V$18)</f>
        <v>23013472.47000004</v>
      </c>
      <c r="W19" s="23">
        <f>IF(W$5="Real",INDEX('Informacion de Sam'!$14:$14,MATCH(W$6,'Informacion de Sam'!$1:$1,0)),W$14-W$18)</f>
        <v>16335444.719999984</v>
      </c>
      <c r="X19" s="23">
        <f>IF(X$5="Real",INDEX('Informacion de Sam'!$14:$14,MATCH(X$6,'Informacion de Sam'!$1:$1,0)),X$14-X$18)</f>
        <v>16586535.64999998</v>
      </c>
      <c r="Y19" s="23">
        <f>IF(Y$5="Real",INDEX('Informacion de Sam'!$14:$14,MATCH(Y$6,'Informacion de Sam'!$1:$1,0)),Y$14-Y$18)</f>
        <v>17146624.180000022</v>
      </c>
      <c r="Z19" s="23">
        <f>IF(Z$5="Real",INDEX('Informacion de Sam'!$14:$14,MATCH(Z$6,'Informacion de Sam'!$1:$1,0)),Z$14-Z$18)</f>
        <v>14535425.379999999</v>
      </c>
      <c r="AA19" s="23">
        <f>SUM(O19:Z19)</f>
        <v>202569971.75</v>
      </c>
      <c r="AB19" s="23">
        <f>IF(AB$5="Real",INDEX('Informacion de Sam'!$14:$14,MATCH(AB$6,'Informacion de Sam'!$1:$1,0)),AB$14-AB$18)</f>
        <v>15167035.999999998</v>
      </c>
      <c r="AC19" s="23">
        <f>IF(AC$5="Real",INDEX('Informacion de Sam'!$14:$14,MATCH(AC$6,'Informacion de Sam'!$1:$1,0)),AC$14-AC$18)</f>
        <v>19082793.100000001</v>
      </c>
      <c r="AD19" s="23">
        <f>IF(AD$5="Real",INDEX('Informacion de Sam'!$14:$14,MATCH(AD$6,'Informacion de Sam'!$1:$1,0)),AD$14-AD$18)</f>
        <v>21522172.480000004</v>
      </c>
      <c r="AE19" s="23">
        <f>IF(AE$5="Real",INDEX('Informacion de Sam'!$14:$14,MATCH(AE$6,'Informacion de Sam'!$1:$1,0)),AE$14-AE$18)</f>
        <v>19550064.769999992</v>
      </c>
      <c r="AF19" s="23">
        <f>IF(AF$5="Real",INDEX('Informacion de Sam'!$14:$14,MATCH(AF$6,'Informacion de Sam'!$1:$1,0)),AF$14-AF$18)</f>
        <v>20372933.66</v>
      </c>
      <c r="AG19" s="23">
        <f>IF(AG$5="Real",INDEX('Informacion de Sam'!$14:$14,MATCH(AG$6,'Informacion de Sam'!$1:$1,0)),AG$14-AG$18)</f>
        <v>23770967.129999992</v>
      </c>
      <c r="AH19" s="23">
        <f>IF(AH$5="Real",INDEX('Informacion de Sam'!$14:$14,MATCH(AH$6,'Informacion de Sam'!$1:$1,0)),AH$14-AH$18)</f>
        <v>26601350.069999993</v>
      </c>
      <c r="AI19" s="23">
        <f>IF(AI$5="Real",INDEX('Informacion de Sam'!$14:$14,MATCH(AI$6,'Informacion de Sam'!$1:$1,0)),AI$14-AI$18)</f>
        <v>23871457.16</v>
      </c>
      <c r="AJ19" s="23">
        <f>IF(AJ$5="Real",INDEX('Informacion de Sam'!$14:$14,MATCH(AJ$6,'Informacion de Sam'!$1:$1,0)),AJ$14-AJ$18)</f>
        <v>22382793.859999996</v>
      </c>
      <c r="AK19" s="23">
        <f>IF(AK$5="Real",INDEX('Informacion de Sam'!$14:$14,MATCH(AK$6,'Informacion de Sam'!$1:$1,0)),AK$14-AK$18)</f>
        <v>20181505.44000005</v>
      </c>
      <c r="AL19" s="23">
        <f>IF(AL$5="Real",INDEX('Informacion de Sam'!$14:$14,MATCH(AL$6,'Informacion de Sam'!$1:$1,0)),AL$14-AL$18)</f>
        <v>23956645.899999991</v>
      </c>
      <c r="AM19" s="23">
        <f>IF(AM$5="Real",INDEX('Informacion de Sam'!$14:$14,MATCH(AM$6,'Informacion de Sam'!$1:$1,0)),AM$14-AM$18)</f>
        <v>20189602.459999956</v>
      </c>
      <c r="AN19" s="23">
        <f>SUM(AB19:AM19)</f>
        <v>256649322.02999994</v>
      </c>
      <c r="AO19" s="23">
        <f>IF(AO$5="Real",INDEX('Informacion de Sam'!$14:$14,MATCH(AO$6,'Informacion de Sam'!$1:$1,0)),AO$14-AO$18)</f>
        <v>19980426.050000004</v>
      </c>
      <c r="AP19" s="23">
        <f>IF(AP$5="Real",INDEX('Informacion de Sam'!$14:$14,MATCH(AP$6,'Informacion de Sam'!$1:$1,0)),AP$14-AP$18)</f>
        <v>26159970.609999992</v>
      </c>
      <c r="AQ19" s="23">
        <f>IF(AQ$5="Real",INDEX('Informacion de Sam'!$14:$14,MATCH(AQ$6,'Informacion de Sam'!$1:$1,0)),AQ$14-AQ$18)</f>
        <v>22055383.989999995</v>
      </c>
      <c r="AR19" s="23">
        <f>IF(AR$5="Real",INDEX('Informacion de Sam'!$14:$14,MATCH(AR$6,'Informacion de Sam'!$1:$1,0)),AR$14-AR$18)</f>
        <v>24970481.25</v>
      </c>
      <c r="AS19" s="23">
        <f>IF(AS$5="Real",INDEX('Informacion de Sam'!$14:$14,MATCH(AS$6,'Informacion de Sam'!$1:$1,0)),AS$14-AS$18)</f>
        <v>24563562.120000012</v>
      </c>
      <c r="AT19" s="23">
        <f>IF(AT$5="Real",INDEX('Informacion de Sam'!$14:$14,MATCH(AT$6,'Informacion de Sam'!$1:$1,0)),AT$14-AT$18)</f>
        <v>26503105.359999951</v>
      </c>
      <c r="AU19" s="23">
        <f>IF(AU$5="Real",INDEX('Informacion de Sam'!$14:$14,MATCH(AU$6,'Informacion de Sam'!$1:$1,0)),AU$14-AU$18)</f>
        <v>21695782.660000052</v>
      </c>
      <c r="AV19" s="23">
        <f>IF(AV$5="Real",INDEX('Informacion de Sam'!$14:$14,MATCH(AV$6,'Informacion de Sam'!$1:$1,0)),AV$14-AV$18)</f>
        <v>30369506.449999962</v>
      </c>
      <c r="AW19" s="23">
        <f>IF(AW$5="Real",INDEX('Informacion de Sam'!$14:$14,MATCH(AW$6,'Informacion de Sam'!$1:$1,0)),AW$14-AW$18)</f>
        <v>24754869.59</v>
      </c>
      <c r="AX19" s="23">
        <f>IF(AX$5="Real",INDEX('Informacion de Sam'!$14:$14,MATCH(AX$6,'Informacion de Sam'!$1:$1,0)),AX$14-AX$18)</f>
        <v>25970945.770000037</v>
      </c>
      <c r="AY19" s="23">
        <f>IF(AY$5="Real",INDEX('Informacion de Sam'!$14:$14,MATCH(AY$6,'Informacion de Sam'!$1:$1,0)),AY$14-AY$18)</f>
        <v>23958718.219999973</v>
      </c>
      <c r="AZ19" s="23">
        <f>IF(AZ$5="Real",INDEX('Informacion de Sam'!$14:$14,MATCH(AZ$6,'Informacion de Sam'!$1:$1,0)),AZ$14-AZ$18)</f>
        <v>32121144.020000067</v>
      </c>
      <c r="BA19" s="23">
        <f>SUM(AO19:AZ19)</f>
        <v>303103896.09000003</v>
      </c>
      <c r="BB19" s="23">
        <f>IF(BB$5="Real",INDEX('Informacion de Sam'!$14:$14,MATCH(BB$6,'Informacion de Sam'!$1:$1,0)),BB$14-BB$18)</f>
        <v>23878512.030000001</v>
      </c>
      <c r="BC19" s="23">
        <f>IF(BC$5="Real",INDEX('Informacion de Sam'!$14:$14,MATCH(BC$6,'Informacion de Sam'!$1:$1,0)),BC$14-BC$18)</f>
        <v>28494834.120000016</v>
      </c>
      <c r="BD19" s="23">
        <f>IF(BD$5="Real",INDEX('Informacion de Sam'!$14:$14,MATCH(BD$6,'Informacion de Sam'!$1:$1,0)),BD$14-BD$18)</f>
        <v>25435124.079999998</v>
      </c>
      <c r="BE19" s="23">
        <f>IF(BE$5="Real",INDEX('Informacion de Sam'!$14:$14,MATCH(BE$6,'Informacion de Sam'!$1:$1,0)),BE$14-BE$18)</f>
        <v>26968995.659999996</v>
      </c>
      <c r="BF19" s="23">
        <f>IF(BF$5="Real",INDEX('Informacion de Sam'!$14:$14,MATCH(BF$6,'Informacion de Sam'!$1:$1,0)),BF$14-BF$18)</f>
        <v>28971017.169999965</v>
      </c>
      <c r="BG19" s="23">
        <f>IF(BG$5="Real",INDEX('Informacion de Sam'!$14:$14,MATCH(BG$6,'Informacion de Sam'!$1:$1,0)),BG$14-BG$18)</f>
        <v>27397993.140000001</v>
      </c>
      <c r="BH19" s="23">
        <f>IF(BH$5="Real",INDEX('Informacion de Sam'!$14:$14,MATCH(BH$6,'Informacion de Sam'!$1:$1,0)),BH$14-BH$18)</f>
        <v>30552517.320000023</v>
      </c>
      <c r="BI19" s="23">
        <f>IF(BI$5="Real",INDEX('Informacion de Sam'!$14:$14,MATCH(BI$6,'Informacion de Sam'!$1:$1,0)),BI$14-BI$18)</f>
        <v>36887960.840000004</v>
      </c>
      <c r="BJ19" s="23">
        <f>IF(BJ$5="Real",INDEX('Informacion de Sam'!$14:$14,MATCH(BJ$6,'Informacion de Sam'!$1:$1,0)),BJ$14-BJ$18)</f>
        <v>29128348.519999966</v>
      </c>
      <c r="BK19" s="23">
        <f>IF(BK$5="Real",INDEX('Informacion de Sam'!$14:$14,MATCH(BK$6,'Informacion de Sam'!$1:$1,0)),BK$14-BK$18)</f>
        <v>34188988.210000023</v>
      </c>
      <c r="BL19" s="23">
        <f>IF(BL$5="Real",INDEX('Informacion de Sam'!$14:$14,MATCH(BL$6,'Informacion de Sam'!$1:$1,0)),BL$14-BL$18)</f>
        <v>32729395.019999955</v>
      </c>
      <c r="BM19" s="23">
        <f>IF(BM$5="Real",INDEX('Informacion de Sam'!$14:$14,MATCH(BM$6,'Informacion de Sam'!$1:$1,0)),BM$14-BM$18)</f>
        <v>25602214.180000074</v>
      </c>
      <c r="BN19" s="23">
        <f>SUM(BB19:BM19)</f>
        <v>350235900.29000008</v>
      </c>
      <c r="BO19" s="23">
        <f>IF(BO$5="Real",INDEX('Informacion de Sam'!$14:$14,MATCH(BO$6,'Informacion de Sam'!$1:$1,0)),BO$14-BO$18)</f>
        <v>32221359.470000003</v>
      </c>
      <c r="BP19" s="23">
        <f>IF(BP$5="Real",INDEX('Informacion de Sam'!$14:$14,MATCH(BP$6,'Informacion de Sam'!$1:$1,0)),BP$14-BP$18)</f>
        <v>27190654.559999995</v>
      </c>
      <c r="BQ19" s="23">
        <f>IF(BQ$5="Real",INDEX('Informacion de Sam'!$14:$14,MATCH(BQ$6,'Informacion de Sam'!$1:$1,0)),BQ$14-BQ$18)</f>
        <v>30509948.510000017</v>
      </c>
      <c r="BR19" s="23">
        <f>IF(BR$5="Real",INDEX('Informacion de Sam'!$14:$14,MATCH(BR$6,'Informacion de Sam'!$1:$1,0)),BR$14-BR$18)</f>
        <v>29799270.929999989</v>
      </c>
      <c r="BS19" s="23">
        <f>IF(BS$5="Real",INDEX('Informacion de Sam'!$14:$14,MATCH(BS$6,'Informacion de Sam'!$1:$1,0)),BS$14-BS$18)</f>
        <v>32241220.119999971</v>
      </c>
      <c r="BT19" s="23">
        <f>IF(BT$5="Real",INDEX('Informacion de Sam'!$14:$14,MATCH(BT$6,'Informacion de Sam'!$1:$1,0)),BT$14-BT$18)</f>
        <v>33976597.700000033</v>
      </c>
      <c r="BU19" s="23">
        <f>IF(BU$5="Real",INDEX('Informacion de Sam'!$14:$14,MATCH(BU$6,'Informacion de Sam'!$1:$1,0)),BU$14-BU$18)</f>
        <v>28268861.639999986</v>
      </c>
      <c r="BV19" s="23">
        <f>IF(BV$5="Real",INDEX('Informacion de Sam'!$14:$14,MATCH(BV$6,'Informacion de Sam'!$1:$1,0)),BV$14-BV$18)</f>
        <v>29524734.300000023</v>
      </c>
      <c r="BW19" s="23">
        <f>IF(BW$5="Real",INDEX('Informacion de Sam'!$14:$14,MATCH(BW$6,'Informacion de Sam'!$1:$1,0)),BW$14-BW$18)</f>
        <v>31810181.640000008</v>
      </c>
      <c r="BX19" s="23">
        <f>IF(BX$5="Real",INDEX('Informacion de Sam'!$14:$14,MATCH(BX$6,'Informacion de Sam'!$1:$1,0)),BX$14-BX$18)</f>
        <v>27972703.660000034</v>
      </c>
      <c r="BY19" s="23">
        <f>IF(BY$5="Real",INDEX('Informacion de Sam'!$14:$14,MATCH(BY$6,'Informacion de Sam'!$1:$1,0)),BY$14-BY$18)</f>
        <v>30925499.709999952</v>
      </c>
      <c r="BZ19" s="23">
        <f>IF(BZ$5="Real",INDEX('Informacion de Sam'!$14:$14,MATCH(BZ$6,'Informacion de Sam'!$1:$1,0)),BZ$14-BZ$18)</f>
        <v>25594210.830000039</v>
      </c>
      <c r="CA19" s="23">
        <f>SUM(BO19:BZ19)</f>
        <v>360035243.07000005</v>
      </c>
      <c r="CB19" s="23">
        <f>IF(CB$5="Real",INDEX('Informacion de Sam'!$14:$14,MATCH(CB$6,'Informacion de Sam'!$1:$1,0)),CB$14-CB$18)</f>
        <v>31753690.470000003</v>
      </c>
      <c r="CC19" s="23">
        <f>IF(CC$5="Real",INDEX('Informacion de Sam'!$14:$14,MATCH(CC$6,'Informacion de Sam'!$1:$1,0)),CC$14-CC$18)</f>
        <v>31012969.50999999</v>
      </c>
      <c r="CD19" s="23">
        <f>IF(CD$5="Real",INDEX('Informacion de Sam'!$14:$14,MATCH(CD$6,'Informacion de Sam'!$1:$1,0)),CD$14-CD$18)</f>
        <v>30926171.790000003</v>
      </c>
      <c r="CE19" s="23">
        <f>IF(CE$5="Real",INDEX('Informacion de Sam'!$14:$14,MATCH(CE$6,'Informacion de Sam'!$1:$1,0)),CE$14-CE$18)</f>
        <v>28453699.869999997</v>
      </c>
      <c r="CF19" s="23">
        <f>IF(CF$5="Real",INDEX('Informacion de Sam'!$14:$14,MATCH(CF$6,'Informacion de Sam'!$1:$1,0)),CF$14-CF$18)</f>
        <v>29395327.180000015</v>
      </c>
      <c r="CG19" s="23">
        <f>IF(CG$5="Real",INDEX('Informacion de Sam'!$14:$14,MATCH(CG$6,'Informacion de Sam'!$1:$1,0)),CG$14-CG$18)</f>
        <v>28834912.010000028</v>
      </c>
      <c r="CH19" s="23">
        <f>IF(CH$5="Real",INDEX('Informacion de Sam'!$14:$14,MATCH(CH$6,'Informacion de Sam'!$1:$1,0)),CH$14-CH$18)</f>
        <v>24521738.939999968</v>
      </c>
      <c r="CI19" s="23">
        <f>IF(CI$5="Real",INDEX('Informacion de Sam'!$14:$14,MATCH(CI$6,'Informacion de Sam'!$1:$1,0)),CI$14-CI$18)</f>
        <v>26678841.040000036</v>
      </c>
      <c r="CJ19" s="23">
        <f>IF(CJ$5="Real",INDEX('Informacion de Sam'!$14:$14,MATCH(CJ$6,'Informacion de Sam'!$1:$1,0)),CJ$14-CJ$18)</f>
        <v>30862488.671166778</v>
      </c>
      <c r="CK19" s="23">
        <f>IF(CK$5="Real",INDEX('Informacion de Sam'!$14:$14,MATCH(CK$6,'Informacion de Sam'!$1:$1,0)),CK$14-CK$18)</f>
        <v>24849926.139904838</v>
      </c>
      <c r="CL19" s="23">
        <f>IF(CL$5="Real",INDEX('Informacion de Sam'!$14:$14,MATCH(CL$6,'Informacion de Sam'!$1:$1,0)),CL$14-CL$18)</f>
        <v>24717288.123352733</v>
      </c>
      <c r="CM19" s="23">
        <f>IF(CM$5="Real",INDEX('Informacion de Sam'!$14:$14,MATCH(CM$6,'Informacion de Sam'!$1:$1,0)),CM$14-CM$18)</f>
        <v>19435695.611487553</v>
      </c>
      <c r="CN19" s="23">
        <f>SUM(CB19:CM19)</f>
        <v>331442749.35591191</v>
      </c>
      <c r="CO19" s="23">
        <f>IF(CO$5="Real",INDEX('Informacion de Sam'!$14:$14,MATCH(CO$6,'Informacion de Sam'!$1:$1,0)),CO$14-CO$18)</f>
        <v>32003155.528695192</v>
      </c>
      <c r="CP19" s="23">
        <f>IF(CP$5="Real",INDEX('Informacion de Sam'!$14:$14,MATCH(CP$6,'Informacion de Sam'!$1:$1,0)),CP$14-CP$18)</f>
        <v>45754066.094392516</v>
      </c>
      <c r="CQ19" s="23">
        <f>IF(CQ$5="Real",INDEX('Informacion de Sam'!$14:$14,MATCH(CQ$6,'Informacion de Sam'!$1:$1,0)),CQ$14-CQ$18)</f>
        <v>30603704.342315156</v>
      </c>
      <c r="CR19" s="23">
        <f>IF(CR$5="Real",INDEX('Informacion de Sam'!$14:$14,MATCH(CR$6,'Informacion de Sam'!$1:$1,0)),CR$14-CR$18)</f>
        <v>29439065.114401881</v>
      </c>
      <c r="CS19" s="23">
        <f>IF(CS$5="Real",INDEX('Informacion de Sam'!$14:$14,MATCH(CS$6,'Informacion de Sam'!$1:$1,0)),CS$14-CS$18)</f>
        <v>26579966.798975699</v>
      </c>
      <c r="CT19" s="23">
        <f>IF(CT$5="Real",INDEX('Informacion de Sam'!$14:$14,MATCH(CT$6,'Informacion de Sam'!$1:$1,0)),CT$14-CT$18)</f>
        <v>26886904.49916435</v>
      </c>
      <c r="CU19" s="23">
        <f>IF(CU$5="Real",INDEX('Informacion de Sam'!$14:$14,MATCH(CU$6,'Informacion de Sam'!$1:$1,0)),CU$14-CU$18)</f>
        <v>28989098.180306748</v>
      </c>
      <c r="CV19" s="23">
        <f>IF(CV$5="Real",INDEX('Informacion de Sam'!$14:$14,MATCH(CV$6,'Informacion de Sam'!$1:$1,0)),CV$14-CV$18)</f>
        <v>40321185.740933023</v>
      </c>
      <c r="CW19" s="23">
        <f>IF(CW$5="Real",INDEX('Informacion de Sam'!$14:$14,MATCH(CW$6,'Informacion de Sam'!$1:$1,0)),CW$14-CW$18)</f>
        <v>29149820.367635779</v>
      </c>
      <c r="CX19" s="23">
        <f>IF(CX$5="Real",INDEX('Informacion de Sam'!$14:$14,MATCH(CX$6,'Informacion de Sam'!$1:$1,0)),CX$14-CX$18)</f>
        <v>28139447.978648614</v>
      </c>
      <c r="CY19" s="23">
        <f>IF(CY$5="Real",INDEX('Informacion de Sam'!$14:$14,MATCH(CY$6,'Informacion de Sam'!$1:$1,0)),CY$14-CY$18)</f>
        <v>29005451.498596139</v>
      </c>
      <c r="CZ19" s="23">
        <f>IF(CZ$5="Real",INDEX('Informacion de Sam'!$14:$14,MATCH(CZ$6,'Informacion de Sam'!$1:$1,0)),CZ$14-CZ$18)</f>
        <v>26847056.778546412</v>
      </c>
      <c r="DA19" s="23">
        <f>SUM(CO19:CZ19)</f>
        <v>373718922.92261147</v>
      </c>
      <c r="DB19" s="23">
        <f>IF(DB$5="Real",INDEX('Informacion de Sam'!$14:$14,MATCH(DB$6,'Informacion de Sam'!$1:$1,0)),DB$14-DB$18)</f>
        <v>35147581.41505181</v>
      </c>
      <c r="DC19" s="23">
        <f>IF(DC$5="Real",INDEX('Informacion de Sam'!$14:$14,MATCH(DC$6,'Informacion de Sam'!$1:$1,0)),DC$14-DC$18)</f>
        <v>49822521.505790189</v>
      </c>
      <c r="DD19" s="23">
        <f>IF(DD$5="Real",INDEX('Informacion de Sam'!$14:$14,MATCH(DD$6,'Informacion de Sam'!$1:$1,0)),DD$14-DD$18)</f>
        <v>35756124.513607644</v>
      </c>
      <c r="DE19" s="23">
        <f>IF(DE$5="Real",INDEX('Informacion de Sam'!$14:$14,MATCH(DE$6,'Informacion de Sam'!$1:$1,0)),DE$14-DE$18)</f>
        <v>36579379.303107388</v>
      </c>
      <c r="DF19" s="23">
        <f>IF(DF$5="Real",INDEX('Informacion de Sam'!$14:$14,MATCH(DF$6,'Informacion de Sam'!$1:$1,0)),DF$14-DF$18)</f>
        <v>32183346.965179902</v>
      </c>
      <c r="DG19" s="23">
        <f>IF(DG$5="Real",INDEX('Informacion de Sam'!$14:$14,MATCH(DG$6,'Informacion de Sam'!$1:$1,0)),DG$14-DG$18)</f>
        <v>36805244.196462654</v>
      </c>
      <c r="DH19" s="23">
        <f>IF(DH$5="Real",INDEX('Informacion de Sam'!$14:$14,MATCH(DH$6,'Informacion de Sam'!$1:$1,0)),DH$14-DH$18)</f>
        <v>39728037.426696271</v>
      </c>
      <c r="DI19" s="23">
        <f>IF(DI$5="Real",INDEX('Informacion de Sam'!$14:$14,MATCH(DI$6,'Informacion de Sam'!$1:$1,0)),DI$14-DI$18)</f>
        <v>59699197.548084825</v>
      </c>
      <c r="DJ19" s="23">
        <f>IF(DJ$5="Real",INDEX('Informacion de Sam'!$14:$14,MATCH(DJ$6,'Informacion de Sam'!$1:$1,0)),DJ$14-DJ$18)</f>
        <v>36437275.459544718</v>
      </c>
      <c r="DK19" s="23">
        <f>IF(DK$5="Real",INDEX('Informacion de Sam'!$14:$14,MATCH(DK$6,'Informacion de Sam'!$1:$1,0)),DK$14-DK$18)</f>
        <v>35174309.973310769</v>
      </c>
      <c r="DL19" s="23">
        <f>IF(DL$5="Real",INDEX('Informacion de Sam'!$14:$14,MATCH(DL$6,'Informacion de Sam'!$1:$1,0)),DL$14-DL$18)</f>
        <v>36256814.37324518</v>
      </c>
      <c r="DM19" s="23">
        <f>IF(DM$5="Real",INDEX('Informacion de Sam'!$14:$14,MATCH(DM$6,'Informacion de Sam'!$1:$1,0)),DM$14-DM$18)</f>
        <v>33558820.973183013</v>
      </c>
      <c r="DN19" s="23">
        <f>SUM(DB19:DM19)</f>
        <v>467148653.65326434</v>
      </c>
      <c r="DO19" s="23">
        <f>IF(DO$5="Real",INDEX('Informacion de Sam'!$14:$14,MATCH(DO$6,'Informacion de Sam'!$1:$1,0)),DO$14-DO$18)</f>
        <v>43934476.768814772</v>
      </c>
      <c r="DP19" s="23">
        <f>IF(DP$5="Real",INDEX('Informacion de Sam'!$14:$14,MATCH(DP$6,'Informacion de Sam'!$1:$1,0)),DP$14-DP$18)</f>
        <v>62278151.88223774</v>
      </c>
      <c r="DQ19" s="23">
        <f>IF(DQ$5="Real",INDEX('Informacion de Sam'!$14:$14,MATCH(DQ$6,'Informacion de Sam'!$1:$1,0)),DQ$14-DQ$18)</f>
        <v>44695155.642009549</v>
      </c>
      <c r="DR19" s="23">
        <f>IF(DR$5="Real",INDEX('Informacion de Sam'!$14:$14,MATCH(DR$6,'Informacion de Sam'!$1:$1,0)),DR$14-DR$18)</f>
        <v>45724224.128884234</v>
      </c>
      <c r="DS19" s="23">
        <f>IF(DS$5="Real",INDEX('Informacion de Sam'!$14:$14,MATCH(DS$6,'Informacion de Sam'!$1:$1,0)),DS$14-DS$18)</f>
        <v>40229183.706474878</v>
      </c>
      <c r="DT19" s="23">
        <f>IF(DT$5="Real",INDEX('Informacion de Sam'!$14:$14,MATCH(DT$6,'Informacion de Sam'!$1:$1,0)),DT$14-DT$18)</f>
        <v>46006555.245578319</v>
      </c>
      <c r="DU19" s="23">
        <f>IF(DU$5="Real",INDEX('Informacion de Sam'!$14:$14,MATCH(DU$6,'Informacion de Sam'!$1:$1,0)),DU$14-DU$18)</f>
        <v>49660046.783370338</v>
      </c>
      <c r="DV19" s="23">
        <f>IF(DV$5="Real",INDEX('Informacion de Sam'!$14:$14,MATCH(DV$6,'Informacion de Sam'!$1:$1,0)),DV$14-DV$18)</f>
        <v>74623996.935106039</v>
      </c>
      <c r="DW19" s="23">
        <f>IF(DW$5="Real",INDEX('Informacion de Sam'!$14:$14,MATCH(DW$6,'Informacion de Sam'!$1:$1,0)),DW$14-DW$18)</f>
        <v>45546594.324430898</v>
      </c>
      <c r="DX19" s="23">
        <f>IF(DX$5="Real",INDEX('Informacion de Sam'!$14:$14,MATCH(DX$6,'Informacion de Sam'!$1:$1,0)),DX$14-DX$18)</f>
        <v>43967887.466638461</v>
      </c>
      <c r="DY19" s="23">
        <f>IF(DY$5="Real",INDEX('Informacion de Sam'!$14:$14,MATCH(DY$6,'Informacion de Sam'!$1:$1,0)),DY$14-DY$18)</f>
        <v>45321017.966556475</v>
      </c>
      <c r="DZ19" s="23">
        <f>IF(DZ$5="Real",INDEX('Informacion de Sam'!$14:$14,MATCH(DZ$6,'Informacion de Sam'!$1:$1,0)),DZ$14-DZ$18)</f>
        <v>41948526.216478765</v>
      </c>
      <c r="EA19" s="23">
        <f>SUM(DO19:DZ19)</f>
        <v>583935817.0665803</v>
      </c>
      <c r="EB19" s="23">
        <f>IF(EB$5="Real",INDEX('Informacion de Sam'!$14:$14,MATCH(EB$6,'Informacion de Sam'!$1:$1,0)),EB$14-EB$18)</f>
        <v>54918095.961018465</v>
      </c>
      <c r="EC19" s="23">
        <f>IF(EC$5="Real",INDEX('Informacion de Sam'!$14:$14,MATCH(EC$6,'Informacion de Sam'!$1:$1,0)),EC$14-EC$18)</f>
        <v>77847689.85279718</v>
      </c>
      <c r="ED19" s="23">
        <f>IF(ED$5="Real",INDEX('Informacion de Sam'!$14:$14,MATCH(ED$6,'Informacion de Sam'!$1:$1,0)),ED$14-ED$18)</f>
        <v>55868944.552511938</v>
      </c>
      <c r="EE19" s="23">
        <f>IF(EE$5="Real",INDEX('Informacion de Sam'!$14:$14,MATCH(EE$6,'Informacion de Sam'!$1:$1,0)),EE$14-EE$18)</f>
        <v>57155280.161105298</v>
      </c>
      <c r="EF19" s="23">
        <f>IF(EF$5="Real",INDEX('Informacion de Sam'!$14:$14,MATCH(EF$6,'Informacion de Sam'!$1:$1,0)),EF$14-EF$18)</f>
        <v>50286479.633093603</v>
      </c>
      <c r="EG19" s="23">
        <f>IF(EG$5="Real",INDEX('Informacion de Sam'!$14:$14,MATCH(EG$6,'Informacion de Sam'!$1:$1,0)),EG$14-EG$18)</f>
        <v>57508194.056972913</v>
      </c>
      <c r="EH19" s="23">
        <f>IF(EH$5="Real",INDEX('Informacion de Sam'!$14:$14,MATCH(EH$6,'Informacion de Sam'!$1:$1,0)),EH$14-EH$18)</f>
        <v>62075058.479212925</v>
      </c>
      <c r="EI19" s="23">
        <f>IF(EI$5="Real",INDEX('Informacion de Sam'!$14:$14,MATCH(EI$6,'Informacion de Sam'!$1:$1,0)),EI$14-EI$18)</f>
        <v>93279996.168882549</v>
      </c>
      <c r="EJ19" s="23">
        <f>IF(EJ$5="Real",INDEX('Informacion de Sam'!$14:$14,MATCH(EJ$6,'Informacion de Sam'!$1:$1,0)),EJ$14-EJ$18)</f>
        <v>56933242.905538626</v>
      </c>
      <c r="EK19" s="23">
        <f>IF(EK$5="Real",INDEX('Informacion de Sam'!$14:$14,MATCH(EK$6,'Informacion de Sam'!$1:$1,0)),EK$14-EK$18)</f>
        <v>54959859.333298072</v>
      </c>
      <c r="EL19" s="23">
        <f>IF(EL$5="Real",INDEX('Informacion de Sam'!$14:$14,MATCH(EL$6,'Informacion de Sam'!$1:$1,0)),EL$14-EL$18)</f>
        <v>56651272.458195582</v>
      </c>
      <c r="EM19" s="23">
        <f>IF(EM$5="Real",INDEX('Informacion de Sam'!$14:$14,MATCH(EM$6,'Informacion de Sam'!$1:$1,0)),EM$14-EM$18)</f>
        <v>52435657.770598464</v>
      </c>
      <c r="EN19" s="23">
        <f>SUM(EB19:EM19)</f>
        <v>729919771.33322561</v>
      </c>
      <c r="EO19" s="23">
        <f>IF(EO$5="Real",INDEX('Informacion de Sam'!$14:$14,MATCH(EO$6,'Informacion de Sam'!$1:$1,0)),EO$14-EO$18)</f>
        <v>68647619.951273084</v>
      </c>
      <c r="EP19" s="23">
        <f>IF(EP$5="Real",INDEX('Informacion de Sam'!$14:$14,MATCH(EP$6,'Informacion de Sam'!$1:$1,0)),EP$14-EP$18)</f>
        <v>97309612.315996468</v>
      </c>
      <c r="EQ19" s="23">
        <f>IF(EQ$5="Real",INDEX('Informacion de Sam'!$14:$14,MATCH(EQ$6,'Informacion de Sam'!$1:$1,0)),EQ$14-EQ$18)</f>
        <v>69836180.690639928</v>
      </c>
      <c r="ER19" s="23">
        <f>IF(ER$5="Real",INDEX('Informacion de Sam'!$14:$14,MATCH(ER$6,'Informacion de Sam'!$1:$1,0)),ER$14-ER$18)</f>
        <v>71444100.201381609</v>
      </c>
      <c r="ES19" s="23">
        <f>IF(ES$5="Real",INDEX('Informacion de Sam'!$14:$14,MATCH(ES$6,'Informacion de Sam'!$1:$1,0)),ES$14-ES$18)</f>
        <v>62858099.541367002</v>
      </c>
      <c r="ET19" s="23">
        <f>IF(ET$5="Real",INDEX('Informacion de Sam'!$14:$14,MATCH(ET$6,'Informacion de Sam'!$1:$1,0)),ET$14-ET$18)</f>
        <v>71885242.571216136</v>
      </c>
      <c r="EU19" s="23">
        <f>IF(EU$5="Real",INDEX('Informacion de Sam'!$14:$14,MATCH(EU$6,'Informacion de Sam'!$1:$1,0)),EU$14-EU$18)</f>
        <v>77593823.09901616</v>
      </c>
      <c r="EV19" s="23">
        <f>IF(EV$5="Real",INDEX('Informacion de Sam'!$14:$14,MATCH(EV$6,'Informacion de Sam'!$1:$1,0)),EV$14-EV$18)</f>
        <v>116599995.21110319</v>
      </c>
      <c r="EW19" s="23">
        <f>IF(EW$5="Real",INDEX('Informacion de Sam'!$14:$14,MATCH(EW$6,'Informacion de Sam'!$1:$1,0)),EW$14-EW$18)</f>
        <v>71166553.631923288</v>
      </c>
      <c r="EX19" s="23">
        <f>IF(EX$5="Real",INDEX('Informacion de Sam'!$14:$14,MATCH(EX$6,'Informacion de Sam'!$1:$1,0)),EX$14-EX$18)</f>
        <v>68699824.166622594</v>
      </c>
      <c r="EY19" s="23">
        <f>IF(EY$5="Real",INDEX('Informacion de Sam'!$14:$14,MATCH(EY$6,'Informacion de Sam'!$1:$1,0)),EY$14-EY$18)</f>
        <v>70814090.572744489</v>
      </c>
      <c r="EZ19" s="23">
        <f>IF(EZ$5="Real",INDEX('Informacion de Sam'!$14:$14,MATCH(EZ$6,'Informacion de Sam'!$1:$1,0)),EZ$14-EZ$18)</f>
        <v>65544572.213248074</v>
      </c>
      <c r="FA19" s="23">
        <f>SUM(EO19:EZ19)</f>
        <v>912399714.16653204</v>
      </c>
      <c r="FB19" s="23">
        <f>IF(FB$5="Real",INDEX('Informacion de Sam'!$14:$14,MATCH(FB$6,'Informacion de Sam'!$1:$1,0)),FB$14-FB$18)</f>
        <v>85809524.93909134</v>
      </c>
      <c r="FC19" s="23">
        <f>IF(FC$5="Real",INDEX('Informacion de Sam'!$14:$14,MATCH(FC$6,'Informacion de Sam'!$1:$1,0)),FC$14-FC$18)</f>
        <v>121637015.3949956</v>
      </c>
      <c r="FD19" s="23">
        <f>IF(FD$5="Real",INDEX('Informacion de Sam'!$14:$14,MATCH(FD$6,'Informacion de Sam'!$1:$1,0)),FD$14-FD$18)</f>
        <v>87295225.863299906</v>
      </c>
      <c r="FE19" s="23">
        <f>IF(FE$5="Real",INDEX('Informacion de Sam'!$14:$14,MATCH(FE$6,'Informacion de Sam'!$1:$1,0)),FE$14-FE$18)</f>
        <v>89305125.251727015</v>
      </c>
      <c r="FF19" s="23">
        <f>IF(FF$5="Real",INDEX('Informacion de Sam'!$14:$14,MATCH(FF$6,'Informacion de Sam'!$1:$1,0)),FF$14-FF$18)</f>
        <v>78572624.426708743</v>
      </c>
      <c r="FG19" s="23">
        <f>IF(FG$5="Real",INDEX('Informacion de Sam'!$14:$14,MATCH(FG$6,'Informacion de Sam'!$1:$1,0)),FG$14-FG$18)</f>
        <v>89856553.214020163</v>
      </c>
      <c r="FH19" s="23">
        <f>IF(FH$5="Real",INDEX('Informacion de Sam'!$14:$14,MATCH(FH$6,'Informacion de Sam'!$1:$1,0)),FH$14-FH$18)</f>
        <v>96992278.873770192</v>
      </c>
      <c r="FI19" s="23">
        <f>IF(FI$5="Real",INDEX('Informacion de Sam'!$14:$14,MATCH(FI$6,'Informacion de Sam'!$1:$1,0)),FI$14-FI$18)</f>
        <v>145749994.013879</v>
      </c>
      <c r="FJ19" s="23">
        <f>IF(FJ$5="Real",INDEX('Informacion de Sam'!$14:$14,MATCH(FJ$6,'Informacion de Sam'!$1:$1,0)),FJ$14-FJ$18)</f>
        <v>88958192.039904118</v>
      </c>
      <c r="FK19" s="23">
        <f>IF(FK$5="Real",INDEX('Informacion de Sam'!$14:$14,MATCH(FK$6,'Informacion de Sam'!$1:$1,0)),FK$14-FK$18)</f>
        <v>85874780.208278239</v>
      </c>
      <c r="FL19" s="23">
        <f>IF(FL$5="Real",INDEX('Informacion de Sam'!$14:$14,MATCH(FL$6,'Informacion de Sam'!$1:$1,0)),FL$14-FL$18)</f>
        <v>88517613.215930611</v>
      </c>
      <c r="FM19" s="23">
        <f>IF(FM$5="Real",INDEX('Informacion de Sam'!$14:$14,MATCH(FM$6,'Informacion de Sam'!$1:$1,0)),FM$14-FM$18)</f>
        <v>81930715.266560093</v>
      </c>
      <c r="FN19" s="23">
        <f>SUM(FB19:FM19)</f>
        <v>1140499642.7081652</v>
      </c>
      <c r="FO19" s="23">
        <f>IF(FO$5="Real",INDEX('Informacion de Sam'!$14:$14,MATCH(FO$6,'Informacion de Sam'!$1:$1,0)),FO$14-FO$18)</f>
        <v>107261906.17386419</v>
      </c>
      <c r="FP19" s="23">
        <f>IF(FP$5="Real",INDEX('Informacion de Sam'!$14:$14,MATCH(FP$6,'Informacion de Sam'!$1:$1,0)),FP$14-FP$18)</f>
        <v>152046269.24374449</v>
      </c>
      <c r="FQ19" s="23">
        <f>IF(FQ$5="Real",INDEX('Informacion de Sam'!$14:$14,MATCH(FQ$6,'Informacion de Sam'!$1:$1,0)),FQ$14-FQ$18)</f>
        <v>109119032.32912488</v>
      </c>
      <c r="FR19" s="23">
        <f>IF(FR$5="Real",INDEX('Informacion de Sam'!$14:$14,MATCH(FR$6,'Informacion de Sam'!$1:$1,0)),FR$14-FR$18)</f>
        <v>111631406.56465878</v>
      </c>
      <c r="FS19" s="23">
        <f>IF(FS$5="Real",INDEX('Informacion de Sam'!$14:$14,MATCH(FS$6,'Informacion de Sam'!$1:$1,0)),FS$14-FS$18)</f>
        <v>98215780.533385932</v>
      </c>
      <c r="FT19" s="23">
        <f>IF(FT$5="Real",INDEX('Informacion de Sam'!$14:$14,MATCH(FT$6,'Informacion de Sam'!$1:$1,0)),FT$14-FT$18)</f>
        <v>112320691.51752521</v>
      </c>
      <c r="FU19" s="23">
        <f>IF(FU$5="Real",INDEX('Informacion de Sam'!$14:$14,MATCH(FU$6,'Informacion de Sam'!$1:$1,0)),FU$14-FU$18)</f>
        <v>121240348.59221274</v>
      </c>
      <c r="FV19" s="23">
        <f>IF(FV$5="Real",INDEX('Informacion de Sam'!$14:$14,MATCH(FV$6,'Informacion de Sam'!$1:$1,0)),FV$14-FV$18)</f>
        <v>182187492.51734874</v>
      </c>
      <c r="FW19" s="23">
        <f>IF(FW$5="Real",INDEX('Informacion de Sam'!$14:$14,MATCH(FW$6,'Informacion de Sam'!$1:$1,0)),FW$14-FW$18)</f>
        <v>111197740.04988013</v>
      </c>
      <c r="FX19" s="23">
        <f>IF(FX$5="Real",INDEX('Informacion de Sam'!$14:$14,MATCH(FX$6,'Informacion de Sam'!$1:$1,0)),FX$14-FX$18)</f>
        <v>107343475.2603478</v>
      </c>
      <c r="FY19" s="23">
        <f>IF(FY$5="Real",INDEX('Informacion de Sam'!$14:$14,MATCH(FY$6,'Informacion de Sam'!$1:$1,0)),FY$14-FY$18)</f>
        <v>110647016.51991326</v>
      </c>
      <c r="FZ19" s="23">
        <f>IF(FZ$5="Real",INDEX('Informacion de Sam'!$14:$14,MATCH(FZ$6,'Informacion de Sam'!$1:$1,0)),FZ$14-FZ$18)</f>
        <v>102413394.08320013</v>
      </c>
      <c r="GA19" s="23">
        <f>SUM(FO19:FZ19)</f>
        <v>1425624553.3852062</v>
      </c>
      <c r="GB19" s="23">
        <f>IF(GB$5="Real",INDEX('Informacion de Sam'!$14:$14,MATCH(GB$6,'Informacion de Sam'!$1:$1,0)),GB$14-GB$18)</f>
        <v>134077382.71733023</v>
      </c>
      <c r="GC19" s="23">
        <f>IF(GC$5="Real",INDEX('Informacion de Sam'!$14:$14,MATCH(GC$6,'Informacion de Sam'!$1:$1,0)),GC$14-GC$18)</f>
        <v>190057836.55468062</v>
      </c>
      <c r="GD19" s="23">
        <f>IF(GD$5="Real",INDEX('Informacion de Sam'!$14:$14,MATCH(GD$6,'Informacion de Sam'!$1:$1,0)),GD$14-GD$18)</f>
        <v>136398790.4114061</v>
      </c>
      <c r="GE19" s="23">
        <f>IF(GE$5="Real",INDEX('Informacion de Sam'!$14:$14,MATCH(GE$6,'Informacion de Sam'!$1:$1,0)),GE$14-GE$18)</f>
        <v>139539258.20582348</v>
      </c>
      <c r="GF19" s="23">
        <f>IF(GF$5="Real",INDEX('Informacion de Sam'!$14:$14,MATCH(GF$6,'Informacion de Sam'!$1:$1,0)),GF$14-GF$18)</f>
        <v>122769725.66673242</v>
      </c>
      <c r="GG19" s="23">
        <f>IF(GG$5="Real",INDEX('Informacion de Sam'!$14:$14,MATCH(GG$6,'Informacion de Sam'!$1:$1,0)),GG$14-GG$18)</f>
        <v>140400864.39690652</v>
      </c>
      <c r="GH19" s="23">
        <f>IF(GH$5="Real",INDEX('Informacion de Sam'!$14:$14,MATCH(GH$6,'Informacion de Sam'!$1:$1,0)),GH$14-GH$18)</f>
        <v>151550435.74026594</v>
      </c>
      <c r="GI19" s="23">
        <f>IF(GI$5="Real",INDEX('Informacion de Sam'!$14:$14,MATCH(GI$6,'Informacion de Sam'!$1:$1,0)),GI$14-GI$18)</f>
        <v>227734365.6466859</v>
      </c>
      <c r="GJ19" s="23">
        <f>IF(GJ$5="Real",INDEX('Informacion de Sam'!$14:$14,MATCH(GJ$6,'Informacion de Sam'!$1:$1,0)),GJ$14-GJ$18)</f>
        <v>138997175.06235018</v>
      </c>
      <c r="GK19" s="23">
        <f>IF(GK$5="Real",INDEX('Informacion de Sam'!$14:$14,MATCH(GK$6,'Informacion de Sam'!$1:$1,0)),GK$14-GK$18)</f>
        <v>134179344.07543476</v>
      </c>
      <c r="GL19" s="23">
        <f>IF(GL$5="Real",INDEX('Informacion de Sam'!$14:$14,MATCH(GL$6,'Informacion de Sam'!$1:$1,0)),GL$14-GL$18)</f>
        <v>138308770.64989156</v>
      </c>
      <c r="GM19" s="23">
        <f>IF(GM$5="Real",INDEX('Informacion de Sam'!$14:$14,MATCH(GM$6,'Informacion de Sam'!$1:$1,0)),GM$14-GM$18)</f>
        <v>128016742.60400015</v>
      </c>
      <c r="GN19" s="23">
        <f>SUM(GB19:GM19)</f>
        <v>1782030691.731508</v>
      </c>
      <c r="GO19" s="23">
        <f>IF(GO$5="Real",INDEX('Informacion de Sam'!$14:$14,MATCH(GO$6,'Informacion de Sam'!$1:$1,0)),GO$14-GO$18)</f>
        <v>167596728.39666277</v>
      </c>
      <c r="GP19" s="23">
        <f>IF(GP$5="Real",INDEX('Informacion de Sam'!$14:$14,MATCH(GP$6,'Informacion de Sam'!$1:$1,0)),GP$14-GP$18)</f>
        <v>237572295.69335076</v>
      </c>
      <c r="GQ19" s="23">
        <f>IF(GQ$5="Real",INDEX('Informacion de Sam'!$14:$14,MATCH(GQ$6,'Informacion de Sam'!$1:$1,0)),GQ$14-GQ$18)</f>
        <v>170498488.01425761</v>
      </c>
      <c r="GR19" s="23">
        <f>IF(GR$5="Real",INDEX('Informacion de Sam'!$14:$14,MATCH(GR$6,'Informacion de Sam'!$1:$1,0)),GR$14-GR$18)</f>
        <v>174424072.75727937</v>
      </c>
      <c r="GS19" s="23">
        <f>IF(GS$5="Real",INDEX('Informacion de Sam'!$14:$14,MATCH(GS$6,'Informacion de Sam'!$1:$1,0)),GS$14-GS$18)</f>
        <v>153462157.08341551</v>
      </c>
      <c r="GT19" s="23">
        <f>IF(GT$5="Real",INDEX('Informacion de Sam'!$14:$14,MATCH(GT$6,'Informacion de Sam'!$1:$1,0)),GT$14-GT$18)</f>
        <v>175501080.49613315</v>
      </c>
      <c r="GU19" s="23">
        <f>IF(GU$5="Real",INDEX('Informacion de Sam'!$14:$14,MATCH(GU$6,'Informacion de Sam'!$1:$1,0)),GU$14-GU$18)</f>
        <v>189438044.6753324</v>
      </c>
      <c r="GV19" s="23">
        <f>IF(GV$5="Real",INDEX('Informacion de Sam'!$14:$14,MATCH(GV$6,'Informacion de Sam'!$1:$1,0)),GV$14-GV$18)</f>
        <v>284667957.05835736</v>
      </c>
      <c r="GW19" s="23">
        <f>IF(GW$5="Real",INDEX('Informacion de Sam'!$14:$14,MATCH(GW$6,'Informacion de Sam'!$1:$1,0)),GW$14-GW$18)</f>
        <v>173746468.82793772</v>
      </c>
      <c r="GX19" s="23">
        <f>IF(GX$5="Real",INDEX('Informacion de Sam'!$14:$14,MATCH(GX$6,'Informacion de Sam'!$1:$1,0)),GX$14-GX$18)</f>
        <v>167724180.09429345</v>
      </c>
      <c r="GY19" s="23">
        <f>IF(GY$5="Real",INDEX('Informacion de Sam'!$14:$14,MATCH(GY$6,'Informacion de Sam'!$1:$1,0)),GY$14-GY$18)</f>
        <v>172885963.31236446</v>
      </c>
      <c r="GZ19" s="23">
        <f>IF(GZ$5="Real",INDEX('Informacion de Sam'!$14:$14,MATCH(GZ$6,'Informacion de Sam'!$1:$1,0)),GZ$14-GZ$18)</f>
        <v>160020928.2550002</v>
      </c>
      <c r="HA19" s="23">
        <f>SUM(GO19:GZ19)</f>
        <v>2227538364.6643844</v>
      </c>
      <c r="HB19" s="23"/>
      <c r="HC19" s="51">
        <f t="shared" si="4"/>
        <v>195125084.57000005</v>
      </c>
      <c r="HD19" s="51">
        <f t="shared" si="4"/>
        <v>202569971.75</v>
      </c>
      <c r="HE19" s="51">
        <f t="shared" si="4"/>
        <v>256649322.02999994</v>
      </c>
      <c r="HF19" s="51">
        <f t="shared" si="4"/>
        <v>303103896.09000003</v>
      </c>
      <c r="HG19" s="51">
        <f t="shared" si="4"/>
        <v>350235900.29000008</v>
      </c>
      <c r="HH19" s="51">
        <f t="shared" si="4"/>
        <v>360035243.07000005</v>
      </c>
      <c r="HI19" s="51">
        <f t="shared" si="4"/>
        <v>331442749.35591191</v>
      </c>
      <c r="HJ19" s="51">
        <f t="shared" si="4"/>
        <v>373718922.92261147</v>
      </c>
      <c r="HK19" s="51">
        <f t="shared" si="4"/>
        <v>467148653.65326434</v>
      </c>
      <c r="HL19" s="51">
        <f t="shared" si="4"/>
        <v>583935817.0665803</v>
      </c>
      <c r="HM19" s="51">
        <f t="shared" si="4"/>
        <v>729919771.33322561</v>
      </c>
      <c r="HN19" s="51">
        <f t="shared" si="4"/>
        <v>912399714.16653204</v>
      </c>
      <c r="HO19" s="51">
        <f t="shared" si="4"/>
        <v>1140499642.7081652</v>
      </c>
      <c r="HP19" s="51">
        <f t="shared" si="4"/>
        <v>1425624553.3852062</v>
      </c>
      <c r="HQ19" s="51">
        <f t="shared" si="4"/>
        <v>1782030691.731508</v>
      </c>
      <c r="HR19" s="51">
        <f t="shared" si="4"/>
        <v>2227538364.6643844</v>
      </c>
    </row>
    <row r="20" spans="1:226" x14ac:dyDescent="0.3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51"/>
      <c r="HD20" s="51"/>
      <c r="HE20" s="51"/>
      <c r="HF20" s="51"/>
      <c r="HG20" s="51"/>
      <c r="HH20" s="51"/>
      <c r="HI20" s="51"/>
      <c r="HJ20" s="51"/>
      <c r="HK20" s="51"/>
      <c r="HL20" s="51"/>
      <c r="HM20" s="51"/>
      <c r="HN20" s="51"/>
      <c r="HO20" s="51"/>
      <c r="HP20" s="51"/>
      <c r="HQ20" s="51"/>
      <c r="HR20" s="51"/>
    </row>
    <row r="21" spans="1:226" x14ac:dyDescent="0.35">
      <c r="A21" t="s">
        <v>62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</row>
    <row r="22" spans="1:226" x14ac:dyDescent="0.35">
      <c r="A22" s="24" t="s">
        <v>63</v>
      </c>
      <c r="B22" s="29">
        <f>IF(B$5="Real",INDEX('Informacion de Sam'!$17:$17,MATCH(B$6,'Informacion de Sam'!$1:$1,0)),B$23+B$28)</f>
        <v>7113966.5</v>
      </c>
      <c r="C22" s="29">
        <f>IF(C$5="Real",INDEX('Informacion de Sam'!$17:$17,MATCH(C$6,'Informacion de Sam'!$1:$1,0)),C$23+C$28)</f>
        <v>9884370.9900000002</v>
      </c>
      <c r="D22" s="29">
        <f>IF(D$5="Real",INDEX('Informacion de Sam'!$17:$17,MATCH(D$6,'Informacion de Sam'!$1:$1,0)),D$23+D$28)</f>
        <v>8697480.3000000007</v>
      </c>
      <c r="E22" s="29">
        <f>IF(E$5="Real",INDEX('Informacion de Sam'!$17:$17,MATCH(E$6,'Informacion de Sam'!$1:$1,0)),E$23+E$28)</f>
        <v>3809018.7899999968</v>
      </c>
      <c r="F22" s="29">
        <f>IF(F$5="Real",INDEX('Informacion de Sam'!$17:$17,MATCH(F$6,'Informacion de Sam'!$1:$1,0)),F$23+F$28)</f>
        <v>7727115.8400000017</v>
      </c>
      <c r="G22" s="29">
        <f>IF(G$5="Real",INDEX('Informacion de Sam'!$17:$17,MATCH(G$6,'Informacion de Sam'!$1:$1,0)),G$23+G$28)</f>
        <v>4590399.37</v>
      </c>
      <c r="H22" s="29">
        <f>IF(H$5="Real",INDEX('Informacion de Sam'!$17:$17,MATCH(H$6,'Informacion de Sam'!$1:$1,0)),H$23+H$28)</f>
        <v>6983276.6599999964</v>
      </c>
      <c r="I22" s="29">
        <f>IF(I$5="Real",INDEX('Informacion de Sam'!$17:$17,MATCH(I$6,'Informacion de Sam'!$1:$1,0)),I$23+I$28)</f>
        <v>10972814.080000006</v>
      </c>
      <c r="J22" s="29">
        <f>IF(J$5="Real",INDEX('Informacion de Sam'!$17:$17,MATCH(J$6,'Informacion de Sam'!$1:$1,0)),J$23+J$28)</f>
        <v>11352546.730000006</v>
      </c>
      <c r="K22" s="29">
        <f>IF(K$5="Real",INDEX('Informacion de Sam'!$17:$17,MATCH(K$6,'Informacion de Sam'!$1:$1,0)),K$23+K$28)</f>
        <v>7555087.6799999941</v>
      </c>
      <c r="L22" s="29">
        <f>IF(L$5="Real",INDEX('Informacion de Sam'!$17:$17,MATCH(L$6,'Informacion de Sam'!$1:$1,0)),L$23+L$28)</f>
        <v>10053199.049999993</v>
      </c>
      <c r="M22" s="29">
        <f>IF(M$5="Real",INDEX('Informacion de Sam'!$17:$17,MATCH(M$6,'Informacion de Sam'!$1:$1,0)),M$23+M$28)</f>
        <v>6308006.8100000117</v>
      </c>
      <c r="N22" s="29">
        <f>SUM(B22:M22)</f>
        <v>95047282.800000012</v>
      </c>
      <c r="O22" s="29">
        <f>IF(O$5="Real",INDEX('Informacion de Sam'!$17:$17,MATCH(O$6,'Informacion de Sam'!$1:$1,0)),O$23+O$28)</f>
        <v>6824439.0299999993</v>
      </c>
      <c r="P22" s="29">
        <f>IF(P$5="Real",INDEX('Informacion de Sam'!$17:$17,MATCH(P$6,'Informacion de Sam'!$1:$1,0)),P$23+P$28)</f>
        <v>8900427.3999999985</v>
      </c>
      <c r="Q22" s="29">
        <f>IF(Q$5="Real",INDEX('Informacion de Sam'!$17:$17,MATCH(Q$6,'Informacion de Sam'!$1:$1,0)),Q$23+Q$28)</f>
        <v>9951874.2699999996</v>
      </c>
      <c r="R22" s="29">
        <f>IF(R$5="Real",INDEX('Informacion de Sam'!$17:$17,MATCH(R$6,'Informacion de Sam'!$1:$1,0)),R$23+R$28)</f>
        <v>7841328.9200000009</v>
      </c>
      <c r="S22" s="29">
        <f>IF(S$5="Real",INDEX('Informacion de Sam'!$17:$17,MATCH(S$6,'Informacion de Sam'!$1:$1,0)),S$23+S$28)</f>
        <v>10143573.879999997</v>
      </c>
      <c r="T22" s="29">
        <f>IF(T$5="Real",INDEX('Informacion de Sam'!$17:$17,MATCH(T$6,'Informacion de Sam'!$1:$1,0)),T$23+T$28)</f>
        <v>9170230.4300000053</v>
      </c>
      <c r="U22" s="29">
        <f>IF(U$5="Real",INDEX('Informacion de Sam'!$17:$17,MATCH(U$6,'Informacion de Sam'!$1:$1,0)),U$23+U$28)</f>
        <v>9322903.0599999987</v>
      </c>
      <c r="V22" s="29">
        <f>IF(V$5="Real",INDEX('Informacion de Sam'!$17:$17,MATCH(V$6,'Informacion de Sam'!$1:$1,0)),V$23+V$28)</f>
        <v>12742737.899999991</v>
      </c>
      <c r="W22" s="29">
        <f>IF(W$5="Real",INDEX('Informacion de Sam'!$17:$17,MATCH(W$6,'Informacion de Sam'!$1:$1,0)),W$23+W$28)</f>
        <v>10344680.31000001</v>
      </c>
      <c r="X22" s="29">
        <f>IF(X$5="Real",INDEX('Informacion de Sam'!$17:$17,MATCH(X$6,'Informacion de Sam'!$1:$1,0)),X$23+X$28)</f>
        <v>9185294.1300000008</v>
      </c>
      <c r="Y22" s="29">
        <f>IF(Y$5="Real",INDEX('Informacion de Sam'!$17:$17,MATCH(Y$6,'Informacion de Sam'!$1:$1,0)),Y$23+Y$28)</f>
        <v>9735815.1299999878</v>
      </c>
      <c r="Z22" s="29">
        <f>IF(Z$5="Real",INDEX('Informacion de Sam'!$17:$17,MATCH(Z$6,'Informacion de Sam'!$1:$1,0)),Z$23+Z$28)</f>
        <v>6996589.9799999967</v>
      </c>
      <c r="AA22" s="29">
        <f>SUM(O22:Z22)</f>
        <v>111159894.43999997</v>
      </c>
      <c r="AB22" s="29">
        <f>IF(AB$5="Real",INDEX('Informacion de Sam'!$17:$17,MATCH(AB$6,'Informacion de Sam'!$1:$1,0)),AB$23+AB$28)</f>
        <v>7710739.790000001</v>
      </c>
      <c r="AC22" s="29">
        <f>IF(AC$5="Real",INDEX('Informacion de Sam'!$17:$17,MATCH(AC$6,'Informacion de Sam'!$1:$1,0)),AC$23+AC$28)</f>
        <v>8832035.4199999999</v>
      </c>
      <c r="AD22" s="29">
        <f>IF(AD$5="Real",INDEX('Informacion de Sam'!$17:$17,MATCH(AD$6,'Informacion de Sam'!$1:$1,0)),AD$23+AD$28)</f>
        <v>9281109.9100000039</v>
      </c>
      <c r="AE22" s="29">
        <f>IF(AE$5="Real",INDEX('Informacion de Sam'!$17:$17,MATCH(AE$6,'Informacion de Sam'!$1:$1,0)),AE$23+AE$28)</f>
        <v>9373805.3799999934</v>
      </c>
      <c r="AF22" s="29">
        <f>IF(AF$5="Real",INDEX('Informacion de Sam'!$17:$17,MATCH(AF$6,'Informacion de Sam'!$1:$1,0)),AF$23+AF$28)</f>
        <v>11637365.660000008</v>
      </c>
      <c r="AG22" s="29">
        <f>IF(AG$5="Real",INDEX('Informacion de Sam'!$17:$17,MATCH(AG$6,'Informacion de Sam'!$1:$1,0)),AG$23+AG$28)</f>
        <v>9384408.709999999</v>
      </c>
      <c r="AH22" s="29">
        <f>IF(AH$5="Real",INDEX('Informacion de Sam'!$17:$17,MATCH(AH$6,'Informacion de Sam'!$1:$1,0)),AH$23+AH$28)</f>
        <v>13723421.579999996</v>
      </c>
      <c r="AI22" s="29">
        <f>IF(AI$5="Real",INDEX('Informacion de Sam'!$17:$17,MATCH(AI$6,'Informacion de Sam'!$1:$1,0)),AI$23+AI$28)</f>
        <v>11123792.119999997</v>
      </c>
      <c r="AJ22" s="29">
        <f>IF(AJ$5="Real",INDEX('Informacion de Sam'!$17:$17,MATCH(AJ$6,'Informacion de Sam'!$1:$1,0)),AJ$23+AJ$28)</f>
        <v>9254343.4299999923</v>
      </c>
      <c r="AK22" s="29">
        <f>IF(AK$5="Real",INDEX('Informacion de Sam'!$17:$17,MATCH(AK$6,'Informacion de Sam'!$1:$1,0)),AK$23+AK$28)</f>
        <v>6756314.0399999972</v>
      </c>
      <c r="AL22" s="29">
        <f>IF(AL$5="Real",INDEX('Informacion de Sam'!$17:$17,MATCH(AL$6,'Informacion de Sam'!$1:$1,0)),AL$23+AL$28)</f>
        <v>14090957.800000021</v>
      </c>
      <c r="AM22" s="29">
        <f>IF(AM$5="Real",INDEX('Informacion de Sam'!$17:$17,MATCH(AM$6,'Informacion de Sam'!$1:$1,0)),AM$23+AM$28)</f>
        <v>2297884.469999982</v>
      </c>
      <c r="AN22" s="29">
        <f>SUM(AB22:AM22)</f>
        <v>113466178.30999999</v>
      </c>
      <c r="AO22" s="29">
        <f>IF(AO$5="Real",INDEX('Informacion de Sam'!$17:$17,MATCH(AO$6,'Informacion de Sam'!$1:$1,0)),AO$23+AO$28)</f>
        <v>6765513.8399999999</v>
      </c>
      <c r="AP22" s="29">
        <f>IF(AP$5="Real",INDEX('Informacion de Sam'!$17:$17,MATCH(AP$6,'Informacion de Sam'!$1:$1,0)),AP$23+AP$28)</f>
        <v>11321924.489999998</v>
      </c>
      <c r="AQ22" s="29">
        <f>IF(AQ$5="Real",INDEX('Informacion de Sam'!$17:$17,MATCH(AQ$6,'Informacion de Sam'!$1:$1,0)),AQ$23+AQ$28)</f>
        <v>10321989.560000004</v>
      </c>
      <c r="AR22" s="29">
        <f>IF(AR$5="Real",INDEX('Informacion de Sam'!$17:$17,MATCH(AR$6,'Informacion de Sam'!$1:$1,0)),AR$23+AR$28)</f>
        <v>8254533.1900000013</v>
      </c>
      <c r="AS22" s="29">
        <f>IF(AS$5="Real",INDEX('Informacion de Sam'!$17:$17,MATCH(AS$6,'Informacion de Sam'!$1:$1,0)),AS$23+AS$28)</f>
        <v>10854006.389999989</v>
      </c>
      <c r="AT22" s="29">
        <f>IF(AT$5="Real",INDEX('Informacion de Sam'!$17:$17,MATCH(AT$6,'Informacion de Sam'!$1:$1,0)),AT$23+AT$28)</f>
        <v>12829760.420000006</v>
      </c>
      <c r="AU22" s="29">
        <f>IF(AU$5="Real",INDEX('Informacion de Sam'!$17:$17,MATCH(AU$6,'Informacion de Sam'!$1:$1,0)),AU$23+AU$28)</f>
        <v>11820768.959999997</v>
      </c>
      <c r="AV22" s="29">
        <f>IF(AV$5="Real",INDEX('Informacion de Sam'!$17:$17,MATCH(AV$6,'Informacion de Sam'!$1:$1,0)),AV$23+AV$28)</f>
        <v>18611648.470000006</v>
      </c>
      <c r="AW22" s="29">
        <f>IF(AW$5="Real",INDEX('Informacion de Sam'!$17:$17,MATCH(AW$6,'Informacion de Sam'!$1:$1,0)),AW$23+AW$28)</f>
        <v>12555129.970000003</v>
      </c>
      <c r="AX22" s="29">
        <f>IF(AX$5="Real",INDEX('Informacion de Sam'!$17:$17,MATCH(AX$6,'Informacion de Sam'!$1:$1,0)),AX$23+AX$28)</f>
        <v>15253615.689999994</v>
      </c>
      <c r="AY22" s="29">
        <f>IF(AY$5="Real",INDEX('Informacion de Sam'!$17:$17,MATCH(AY$6,'Informacion de Sam'!$1:$1,0)),AY$23+AY$28)</f>
        <v>14732271.990000004</v>
      </c>
      <c r="AZ22" s="29">
        <f>IF(AZ$5="Real",INDEX('Informacion de Sam'!$17:$17,MATCH(AZ$6,'Informacion de Sam'!$1:$1,0)),AZ$23+AZ$28)</f>
        <v>9039569.9099999592</v>
      </c>
      <c r="BA22" s="29">
        <f>SUM(AO22:AZ22)</f>
        <v>142360732.87999997</v>
      </c>
      <c r="BB22" s="29">
        <f>IF(BB$5="Real",INDEX('Informacion de Sam'!$17:$17,MATCH(BB$6,'Informacion de Sam'!$1:$1,0)),BB$23+BB$28)</f>
        <v>13932467.33</v>
      </c>
      <c r="BC22" s="29">
        <f>IF(BC$5="Real",INDEX('Informacion de Sam'!$17:$17,MATCH(BC$6,'Informacion de Sam'!$1:$1,0)),BC$23+BC$28)</f>
        <v>16630568.760000004</v>
      </c>
      <c r="BD22" s="29">
        <f>IF(BD$5="Real",INDEX('Informacion de Sam'!$17:$17,MATCH(BD$6,'Informacion de Sam'!$1:$1,0)),BD$23+BD$28)</f>
        <v>14694316.609999998</v>
      </c>
      <c r="BE22" s="29">
        <f>IF(BE$5="Real",INDEX('Informacion de Sam'!$17:$17,MATCH(BE$6,'Informacion de Sam'!$1:$1,0)),BE$23+BE$28)</f>
        <v>10081775.409999998</v>
      </c>
      <c r="BF22" s="29">
        <f>IF(BF$5="Real",INDEX('Informacion de Sam'!$17:$17,MATCH(BF$6,'Informacion de Sam'!$1:$1,0)),BF$23+BF$28)</f>
        <v>17196724.23</v>
      </c>
      <c r="BG22" s="29">
        <f>IF(BG$5="Real",INDEX('Informacion de Sam'!$17:$17,MATCH(BG$6,'Informacion de Sam'!$1:$1,0)),BG$23+BG$28)</f>
        <v>12580387.769999994</v>
      </c>
      <c r="BH22" s="29">
        <f>IF(BH$5="Real",INDEX('Informacion de Sam'!$17:$17,MATCH(BH$6,'Informacion de Sam'!$1:$1,0)),BH$23+BH$28)</f>
        <v>16360572.299999995</v>
      </c>
      <c r="BI22" s="29">
        <f>IF(BI$5="Real",INDEX('Informacion de Sam'!$17:$17,MATCH(BI$6,'Informacion de Sam'!$1:$1,0)),BI$23+BI$28)</f>
        <v>18734342.390000015</v>
      </c>
      <c r="BJ22" s="29">
        <f>IF(BJ$5="Real",INDEX('Informacion de Sam'!$17:$17,MATCH(BJ$6,'Informacion de Sam'!$1:$1,0)),BJ$23+BJ$28)</f>
        <v>17676141.999999978</v>
      </c>
      <c r="BK22" s="29">
        <f>IF(BK$5="Real",INDEX('Informacion de Sam'!$17:$17,MATCH(BK$6,'Informacion de Sam'!$1:$1,0)),BK$23+BK$28)</f>
        <v>13516190.73000003</v>
      </c>
      <c r="BL22" s="29">
        <f>IF(BL$5="Real",INDEX('Informacion de Sam'!$17:$17,MATCH(BL$6,'Informacion de Sam'!$1:$1,0)),BL$23+BL$28)</f>
        <v>25291570.989999939</v>
      </c>
      <c r="BM22" s="29">
        <f>IF(BM$5="Real",INDEX('Informacion de Sam'!$17:$17,MATCH(BM$6,'Informacion de Sam'!$1:$1,0)),BM$23+BM$28)</f>
        <v>-301999.36999996053</v>
      </c>
      <c r="BN22" s="29">
        <f>SUM(BB22:BM22)</f>
        <v>176393059.14999998</v>
      </c>
      <c r="BO22" s="29">
        <f>IF(BO$5="Real",INDEX('Informacion de Sam'!$17:$17,MATCH(BO$6,'Informacion de Sam'!$1:$1,0)),BO$23+BO$28)</f>
        <v>18337739.619999997</v>
      </c>
      <c r="BP22" s="29">
        <f>IF(BP$5="Real",INDEX('Informacion de Sam'!$17:$17,MATCH(BP$6,'Informacion de Sam'!$1:$1,0)),BP$23+BP$28)</f>
        <v>13878685.200000003</v>
      </c>
      <c r="BQ22" s="29">
        <f>IF(BQ$5="Real",INDEX('Informacion de Sam'!$17:$17,MATCH(BQ$6,'Informacion de Sam'!$1:$1,0)),BQ$23+BQ$28)</f>
        <v>18932472.740000002</v>
      </c>
      <c r="BR22" s="29">
        <f>IF(BR$5="Real",INDEX('Informacion de Sam'!$17:$17,MATCH(BR$6,'Informacion de Sam'!$1:$1,0)),BR$23+BR$28)</f>
        <v>16094575.399999993</v>
      </c>
      <c r="BS22" s="29">
        <f>IF(BS$5="Real",INDEX('Informacion de Sam'!$17:$17,MATCH(BS$6,'Informacion de Sam'!$1:$1,0)),BS$23+BS$28)</f>
        <v>16440400.010000002</v>
      </c>
      <c r="BT22" s="29">
        <f>IF(BT$5="Real",INDEX('Informacion de Sam'!$17:$17,MATCH(BT$6,'Informacion de Sam'!$1:$1,0)),BT$23+BT$28)</f>
        <v>17529443.11999999</v>
      </c>
      <c r="BU22" s="29">
        <f>IF(BU$5="Real",INDEX('Informacion de Sam'!$17:$17,MATCH(BU$6,'Informacion de Sam'!$1:$1,0)),BU$23+BU$28)</f>
        <v>19621431.069999989</v>
      </c>
      <c r="BV22" s="29">
        <f>IF(BV$5="Real",INDEX('Informacion de Sam'!$17:$17,MATCH(BV$6,'Informacion de Sam'!$1:$1,0)),BV$23+BV$28)</f>
        <v>15231022.500000013</v>
      </c>
      <c r="BW22" s="29">
        <f>IF(BW$5="Real",INDEX('Informacion de Sam'!$17:$17,MATCH(BW$6,'Informacion de Sam'!$1:$1,0)),BW$23+BW$28)</f>
        <v>14789919.210000014</v>
      </c>
      <c r="BX22" s="29">
        <f>IF(BX$5="Real",INDEX('Informacion de Sam'!$17:$17,MATCH(BX$6,'Informacion de Sam'!$1:$1,0)),BX$23+BX$28)</f>
        <v>15192432.679999996</v>
      </c>
      <c r="BY22" s="29">
        <f>IF(BY$5="Real",INDEX('Informacion de Sam'!$17:$17,MATCH(BY$6,'Informacion de Sam'!$1:$1,0)),BY$23+BY$28)</f>
        <v>13634829.42999999</v>
      </c>
      <c r="BZ22" s="29">
        <f>IF(BZ$5="Real",INDEX('Informacion de Sam'!$17:$17,MATCH(BZ$6,'Informacion de Sam'!$1:$1,0)),BZ$23+BZ$28)</f>
        <v>11775673.420000002</v>
      </c>
      <c r="CA22" s="29">
        <f>SUM(BO22:BZ22)</f>
        <v>191458624.39999998</v>
      </c>
      <c r="CB22" s="29">
        <f>IF(CB$5="Real",INDEX('Informacion de Sam'!$17:$17,MATCH(CB$6,'Informacion de Sam'!$1:$1,0)),CB$23+CB$28)</f>
        <v>15752667.720000001</v>
      </c>
      <c r="CC22" s="29">
        <f>IF(CC$5="Real",INDEX('Informacion de Sam'!$17:$17,MATCH(CC$6,'Informacion de Sam'!$1:$1,0)),CC$23+CC$28)</f>
        <v>14115381.499999998</v>
      </c>
      <c r="CD22" s="29">
        <f>IF(CD$5="Real",INDEX('Informacion de Sam'!$17:$17,MATCH(CD$6,'Informacion de Sam'!$1:$1,0)),CD$23+CD$28)</f>
        <v>12785418.779999997</v>
      </c>
      <c r="CE22" s="29">
        <f>IF(CE$5="Real",INDEX('Informacion de Sam'!$17:$17,MATCH(CE$6,'Informacion de Sam'!$1:$1,0)),CE$23+CE$28)</f>
        <v>15516204.929999996</v>
      </c>
      <c r="CF22" s="29">
        <f>IF(CF$5="Real",INDEX('Informacion de Sam'!$17:$17,MATCH(CF$6,'Informacion de Sam'!$1:$1,0)),CF$23+CF$28)</f>
        <v>13686700.810000006</v>
      </c>
      <c r="CG22" s="29">
        <f>IF(CG$5="Real",INDEX('Informacion de Sam'!$17:$17,MATCH(CG$6,'Informacion de Sam'!$1:$1,0)),CG$23+CG$28)</f>
        <v>13813409.599999998</v>
      </c>
      <c r="CH22" s="29">
        <f>IF(CH$5="Real",INDEX('Informacion de Sam'!$17:$17,MATCH(CH$6,'Informacion de Sam'!$1:$1,0)),CH$23+CH$28)</f>
        <v>9587218.3100000024</v>
      </c>
      <c r="CI22" s="29">
        <f>IF(CI$5="Real",INDEX('Informacion de Sam'!$17:$17,MATCH(CI$6,'Informacion de Sam'!$1:$1,0)),CI$23+CI$28)</f>
        <v>15275229.890000004</v>
      </c>
      <c r="CJ22" s="29">
        <f>IF(CJ$5="Real",INDEX('Informacion de Sam'!$17:$17,MATCH(CJ$6,'Informacion de Sam'!$1:$1,0)),CJ$23+CJ$28)</f>
        <v>14415682.000079315</v>
      </c>
      <c r="CK22" s="29">
        <f>IF(CK$5="Real",INDEX('Informacion de Sam'!$17:$17,MATCH(CK$6,'Informacion de Sam'!$1:$1,0)),CK$23+CK$28)</f>
        <v>13916014.870827619</v>
      </c>
      <c r="CL22" s="29">
        <f>IF(CL$5="Real",INDEX('Informacion de Sam'!$17:$17,MATCH(CL$6,'Informacion de Sam'!$1:$1,0)),CL$23+CL$28)</f>
        <v>14344286.167084854</v>
      </c>
      <c r="CM22" s="29">
        <f>IF(CM$5="Real",INDEX('Informacion de Sam'!$17:$17,MATCH(CM$6,'Informacion de Sam'!$1:$1,0)),CM$23+CM$28)</f>
        <v>13276878.837555196</v>
      </c>
      <c r="CN22" s="29">
        <f>SUM(CB22:CM22)</f>
        <v>166485093.41554698</v>
      </c>
      <c r="CO22" s="29">
        <f>IF(CO$5="Real",INDEX('Informacion de Sam'!$17:$17,MATCH(CO$6,'Informacion de Sam'!$1:$1,0)),CO$23+CO$28)</f>
        <v>17381800.311669614</v>
      </c>
      <c r="CP22" s="29">
        <f>IF(CP$5="Real",INDEX('Informacion de Sam'!$17:$17,MATCH(CP$6,'Informacion de Sam'!$1:$1,0)),CP$23+CP$28)</f>
        <v>24639109.861102611</v>
      </c>
      <c r="CQ22" s="29">
        <f>IF(CQ$5="Real",INDEX('Informacion de Sam'!$17:$17,MATCH(CQ$6,'Informacion de Sam'!$1:$1,0)),CQ$23+CQ$28)</f>
        <v>17682747.750847101</v>
      </c>
      <c r="CR22" s="29">
        <f>IF(CR$5="Real",INDEX('Informacion de Sam'!$17:$17,MATCH(CR$6,'Informacion de Sam'!$1:$1,0)),CR$23+CR$28)</f>
        <v>18089878.192846224</v>
      </c>
      <c r="CS22" s="29">
        <f>IF(CS$5="Real",INDEX('Informacion de Sam'!$17:$17,MATCH(CS$6,'Informacion de Sam'!$1:$1,0)),CS$23+CS$28)</f>
        <v>15915874.941835191</v>
      </c>
      <c r="CT22" s="29">
        <f>IF(CT$5="Real",INDEX('Informacion de Sam'!$17:$17,MATCH(CT$6,'Informacion de Sam'!$1:$1,0)),CT$23+CT$28)</f>
        <v>18201576.873542264</v>
      </c>
      <c r="CU22" s="29">
        <f>IF(CU$5="Real",INDEX('Informacion de Sam'!$17:$17,MATCH(CU$6,'Informacion de Sam'!$1:$1,0)),CU$23+CU$28)</f>
        <v>19647008.002367079</v>
      </c>
      <c r="CV22" s="29">
        <f>IF(CV$5="Real",INDEX('Informacion de Sam'!$17:$17,MATCH(CV$6,'Informacion de Sam'!$1:$1,0)),CV$23+CV$28)</f>
        <v>29523497.457590207</v>
      </c>
      <c r="CW22" s="29">
        <f>IF(CW$5="Real",INDEX('Informacion de Sam'!$17:$17,MATCH(CW$6,'Informacion de Sam'!$1:$1,0)),CW$23+CW$28)</f>
        <v>18019602.500099152</v>
      </c>
      <c r="CX22" s="29">
        <f>IF(CX$5="Real",INDEX('Informacion de Sam'!$17:$17,MATCH(CX$6,'Informacion de Sam'!$1:$1,0)),CX$23+CX$28)</f>
        <v>17395018.588534523</v>
      </c>
      <c r="CY22" s="29">
        <f>IF(CY$5="Real",INDEX('Informacion de Sam'!$17:$17,MATCH(CY$6,'Informacion de Sam'!$1:$1,0)),CY$23+CY$28)</f>
        <v>17930357.708856065</v>
      </c>
      <c r="CZ22" s="29">
        <f>IF(CZ$5="Real",INDEX('Informacion de Sam'!$17:$17,MATCH(CZ$6,'Informacion de Sam'!$1:$1,0)),CZ$23+CZ$28)</f>
        <v>16596098.546944</v>
      </c>
      <c r="DA22" s="29">
        <f>SUM(CO22:CZ22)</f>
        <v>231022570.73623404</v>
      </c>
      <c r="DB22" s="29">
        <f>IF(DB$5="Real",INDEX('Informacion de Sam'!$17:$17,MATCH(DB$6,'Informacion de Sam'!$1:$1,0)),DB$23+DB$28)</f>
        <v>21727250.389587022</v>
      </c>
      <c r="DC22" s="29">
        <f>IF(DC$5="Real",INDEX('Informacion de Sam'!$17:$17,MATCH(DC$6,'Informacion de Sam'!$1:$1,0)),DC$23+DC$28)</f>
        <v>30798887.326378271</v>
      </c>
      <c r="DD22" s="29">
        <f>IF(DD$5="Real",INDEX('Informacion de Sam'!$17:$17,MATCH(DD$6,'Informacion de Sam'!$1:$1,0)),DD$23+DD$28)</f>
        <v>22103434.688558877</v>
      </c>
      <c r="DE22" s="29">
        <f>IF(DE$5="Real",INDEX('Informacion de Sam'!$17:$17,MATCH(DE$6,'Informacion de Sam'!$1:$1,0)),DE$23+DE$28)</f>
        <v>22612347.741057783</v>
      </c>
      <c r="DF22" s="29">
        <f>IF(DF$5="Real",INDEX('Informacion de Sam'!$17:$17,MATCH(DF$6,'Informacion de Sam'!$1:$1,0)),DF$23+DF$28)</f>
        <v>19894843.67729399</v>
      </c>
      <c r="DG22" s="29">
        <f>IF(DG$5="Real",INDEX('Informacion de Sam'!$17:$17,MATCH(DG$6,'Informacion de Sam'!$1:$1,0)),DG$23+DG$28)</f>
        <v>22751971.091927826</v>
      </c>
      <c r="DH22" s="29">
        <f>IF(DH$5="Real",INDEX('Informacion de Sam'!$17:$17,MATCH(DH$6,'Informacion de Sam'!$1:$1,0)),DH$23+DH$28)</f>
        <v>24558760.002958849</v>
      </c>
      <c r="DI22" s="29">
        <f>IF(DI$5="Real",INDEX('Informacion de Sam'!$17:$17,MATCH(DI$6,'Informacion de Sam'!$1:$1,0)),DI$23+DI$28)</f>
        <v>36904371.821987748</v>
      </c>
      <c r="DJ22" s="29">
        <f>IF(DJ$5="Real",INDEX('Informacion de Sam'!$17:$17,MATCH(DJ$6,'Informacion de Sam'!$1:$1,0)),DJ$23+DJ$28)</f>
        <v>22524503.125123937</v>
      </c>
      <c r="DK22" s="29">
        <f>IF(DK$5="Real",INDEX('Informacion de Sam'!$17:$17,MATCH(DK$6,'Informacion de Sam'!$1:$1,0)),DK$23+DK$28)</f>
        <v>21743773.235668149</v>
      </c>
      <c r="DL22" s="29">
        <f>IF(DL$5="Real",INDEX('Informacion de Sam'!$17:$17,MATCH(DL$6,'Informacion de Sam'!$1:$1,0)),DL$23+DL$28)</f>
        <v>22412947.13607008</v>
      </c>
      <c r="DM22" s="29">
        <f>IF(DM$5="Real",INDEX('Informacion de Sam'!$17:$17,MATCH(DM$6,'Informacion de Sam'!$1:$1,0)),DM$23+DM$28)</f>
        <v>20745123.183680005</v>
      </c>
      <c r="DN22" s="29">
        <f>SUM(DB22:DM22)</f>
        <v>288778213.42029256</v>
      </c>
      <c r="DO22" s="29">
        <f>IF(DO$5="Real",INDEX('Informacion de Sam'!$17:$17,MATCH(DO$6,'Informacion de Sam'!$1:$1,0)),DO$23+DO$28)</f>
        <v>27159062.986983776</v>
      </c>
      <c r="DP22" s="29">
        <f>IF(DP$5="Real",INDEX('Informacion de Sam'!$17:$17,MATCH(DP$6,'Informacion de Sam'!$1:$1,0)),DP$23+DP$28)</f>
        <v>38498609.157972842</v>
      </c>
      <c r="DQ22" s="29">
        <f>IF(DQ$5="Real",INDEX('Informacion de Sam'!$17:$17,MATCH(DQ$6,'Informacion de Sam'!$1:$1,0)),DQ$23+DQ$28)</f>
        <v>27629293.360698599</v>
      </c>
      <c r="DR22" s="29">
        <f>IF(DR$5="Real",INDEX('Informacion de Sam'!$17:$17,MATCH(DR$6,'Informacion de Sam'!$1:$1,0)),DR$23+DR$28)</f>
        <v>28265434.676322225</v>
      </c>
      <c r="DS22" s="29">
        <f>IF(DS$5="Real",INDEX('Informacion de Sam'!$17:$17,MATCH(DS$6,'Informacion de Sam'!$1:$1,0)),DS$23+DS$28)</f>
        <v>24868554.59661749</v>
      </c>
      <c r="DT22" s="29">
        <f>IF(DT$5="Real",INDEX('Informacion de Sam'!$17:$17,MATCH(DT$6,'Informacion de Sam'!$1:$1,0)),DT$23+DT$28)</f>
        <v>28439963.86490979</v>
      </c>
      <c r="DU22" s="29">
        <f>IF(DU$5="Real",INDEX('Informacion de Sam'!$17:$17,MATCH(DU$6,'Informacion de Sam'!$1:$1,0)),DU$23+DU$28)</f>
        <v>30698450.003698558</v>
      </c>
      <c r="DV22" s="29">
        <f>IF(DV$5="Real",INDEX('Informacion de Sam'!$17:$17,MATCH(DV$6,'Informacion de Sam'!$1:$1,0)),DV$23+DV$28)</f>
        <v>46130464.777484685</v>
      </c>
      <c r="DW22" s="29">
        <f>IF(DW$5="Real",INDEX('Informacion de Sam'!$17:$17,MATCH(DW$6,'Informacion de Sam'!$1:$1,0)),DW$23+DW$28)</f>
        <v>28155628.90640492</v>
      </c>
      <c r="DX22" s="29">
        <f>IF(DX$5="Real",INDEX('Informacion de Sam'!$17:$17,MATCH(DX$6,'Informacion de Sam'!$1:$1,0)),DX$23+DX$28)</f>
        <v>27179716.544585191</v>
      </c>
      <c r="DY22" s="29">
        <f>IF(DY$5="Real",INDEX('Informacion de Sam'!$17:$17,MATCH(DY$6,'Informacion de Sam'!$1:$1,0)),DY$23+DY$28)</f>
        <v>28016183.920087598</v>
      </c>
      <c r="DZ22" s="29">
        <f>IF(DZ$5="Real",INDEX('Informacion de Sam'!$17:$17,MATCH(DZ$6,'Informacion de Sam'!$1:$1,0)),DZ$23+DZ$28)</f>
        <v>25931403.979599994</v>
      </c>
      <c r="EA22" s="29">
        <f>SUM(DO22:DZ22)</f>
        <v>360972766.77536565</v>
      </c>
      <c r="EB22" s="29">
        <f>IF(EB$5="Real",INDEX('Informacion de Sam'!$17:$17,MATCH(EB$6,'Informacion de Sam'!$1:$1,0)),EB$23+EB$28)</f>
        <v>33948828.733729728</v>
      </c>
      <c r="EC22" s="29">
        <f>IF(EC$5="Real",INDEX('Informacion de Sam'!$17:$17,MATCH(EC$6,'Informacion de Sam'!$1:$1,0)),EC$23+EC$28)</f>
        <v>48123261.447466046</v>
      </c>
      <c r="ED22" s="29">
        <f>IF(ED$5="Real",INDEX('Informacion de Sam'!$17:$17,MATCH(ED$6,'Informacion de Sam'!$1:$1,0)),ED$23+ED$28)</f>
        <v>34536616.700873248</v>
      </c>
      <c r="EE22" s="29">
        <f>IF(EE$5="Real",INDEX('Informacion de Sam'!$17:$17,MATCH(EE$6,'Informacion de Sam'!$1:$1,0)),EE$23+EE$28)</f>
        <v>35331793.345402792</v>
      </c>
      <c r="EF22" s="29">
        <f>IF(EF$5="Real",INDEX('Informacion de Sam'!$17:$17,MATCH(EF$6,'Informacion de Sam'!$1:$1,0)),EF$23+EF$28)</f>
        <v>31085693.245771863</v>
      </c>
      <c r="EG22" s="29">
        <f>IF(EG$5="Real",INDEX('Informacion de Sam'!$17:$17,MATCH(EG$6,'Informacion de Sam'!$1:$1,0)),EG$23+EG$28)</f>
        <v>35549954.83113724</v>
      </c>
      <c r="EH22" s="29">
        <f>IF(EH$5="Real",INDEX('Informacion de Sam'!$17:$17,MATCH(EH$6,'Informacion de Sam'!$1:$1,0)),EH$23+EH$28)</f>
        <v>38373062.504623204</v>
      </c>
      <c r="EI22" s="29">
        <f>IF(EI$5="Real",INDEX('Informacion de Sam'!$17:$17,MATCH(EI$6,'Informacion de Sam'!$1:$1,0)),EI$23+EI$28)</f>
        <v>57663080.971855864</v>
      </c>
      <c r="EJ22" s="29">
        <f>IF(EJ$5="Real",INDEX('Informacion de Sam'!$17:$17,MATCH(EJ$6,'Informacion de Sam'!$1:$1,0)),EJ$23+EJ$28)</f>
        <v>35194536.133006148</v>
      </c>
      <c r="EK22" s="29">
        <f>IF(EK$5="Real",INDEX('Informacion de Sam'!$17:$17,MATCH(EK$6,'Informacion de Sam'!$1:$1,0)),EK$23+EK$28)</f>
        <v>33974645.68073149</v>
      </c>
      <c r="EL22" s="29">
        <f>IF(EL$5="Real",INDEX('Informacion de Sam'!$17:$17,MATCH(EL$6,'Informacion de Sam'!$1:$1,0)),EL$23+EL$28)</f>
        <v>35020229.9001095</v>
      </c>
      <c r="EM22" s="29">
        <f>IF(EM$5="Real",INDEX('Informacion de Sam'!$17:$17,MATCH(EM$6,'Informacion de Sam'!$1:$1,0)),EM$23+EM$28)</f>
        <v>32414254.974500008</v>
      </c>
      <c r="EN22" s="29">
        <f>SUM(EB22:EM22)</f>
        <v>451215958.46920711</v>
      </c>
      <c r="EO22" s="29">
        <f>IF(EO$5="Real",INDEX('Informacion de Sam'!$17:$17,MATCH(EO$6,'Informacion de Sam'!$1:$1,0)),EO$23+EO$28)</f>
        <v>42436035.91716215</v>
      </c>
      <c r="EP22" s="29">
        <f>IF(EP$5="Real",INDEX('Informacion de Sam'!$17:$17,MATCH(EP$6,'Informacion de Sam'!$1:$1,0)),EP$23+EP$28)</f>
        <v>60154076.809332557</v>
      </c>
      <c r="EQ22" s="29">
        <f>IF(EQ$5="Real",INDEX('Informacion de Sam'!$17:$17,MATCH(EQ$6,'Informacion de Sam'!$1:$1,0)),EQ$23+EQ$28)</f>
        <v>43170770.876091555</v>
      </c>
      <c r="ER22" s="29">
        <f>IF(ER$5="Real",INDEX('Informacion de Sam'!$17:$17,MATCH(ER$6,'Informacion de Sam'!$1:$1,0)),ER$23+ER$28)</f>
        <v>44164741.681753471</v>
      </c>
      <c r="ES22" s="29">
        <f>IF(ES$5="Real",INDEX('Informacion de Sam'!$17:$17,MATCH(ES$6,'Informacion de Sam'!$1:$1,0)),ES$23+ES$28)</f>
        <v>38857116.557214826</v>
      </c>
      <c r="ET22" s="29">
        <f>IF(ET$5="Real",INDEX('Informacion de Sam'!$17:$17,MATCH(ET$6,'Informacion de Sam'!$1:$1,0)),ET$23+ET$28)</f>
        <v>44437443.53892155</v>
      </c>
      <c r="EU22" s="29">
        <f>IF(EU$5="Real",INDEX('Informacion de Sam'!$17:$17,MATCH(EU$6,'Informacion de Sam'!$1:$1,0)),EU$23+EU$28)</f>
        <v>47966328.130778998</v>
      </c>
      <c r="EV22" s="29">
        <f>IF(EV$5="Real",INDEX('Informacion de Sam'!$17:$17,MATCH(EV$6,'Informacion de Sam'!$1:$1,0)),EV$23+EV$28)</f>
        <v>72078851.214819834</v>
      </c>
      <c r="EW22" s="29">
        <f>IF(EW$5="Real",INDEX('Informacion de Sam'!$17:$17,MATCH(EW$6,'Informacion de Sam'!$1:$1,0)),EW$23+EW$28)</f>
        <v>43993170.166257702</v>
      </c>
      <c r="EX22" s="29">
        <f>IF(EX$5="Real",INDEX('Informacion de Sam'!$17:$17,MATCH(EX$6,'Informacion de Sam'!$1:$1,0)),EX$23+EX$28)</f>
        <v>42468307.100914367</v>
      </c>
      <c r="EY22" s="29">
        <f>IF(EY$5="Real",INDEX('Informacion de Sam'!$17:$17,MATCH(EY$6,'Informacion de Sam'!$1:$1,0)),EY$23+EY$28)</f>
        <v>43775287.375136867</v>
      </c>
      <c r="EZ22" s="29">
        <f>IF(EZ$5="Real",INDEX('Informacion de Sam'!$17:$17,MATCH(EZ$6,'Informacion de Sam'!$1:$1,0)),EZ$23+EZ$28)</f>
        <v>40517818.718125001</v>
      </c>
      <c r="FA22" s="29">
        <f>SUM(EO22:EZ22)</f>
        <v>564019948.08650887</v>
      </c>
      <c r="FB22" s="29">
        <f>IF(FB$5="Real",INDEX('Informacion de Sam'!$17:$17,MATCH(FB$6,'Informacion de Sam'!$1:$1,0)),FB$23+FB$28)</f>
        <v>53045044.896452695</v>
      </c>
      <c r="FC22" s="29">
        <f>IF(FC$5="Real",INDEX('Informacion de Sam'!$17:$17,MATCH(FC$6,'Informacion de Sam'!$1:$1,0)),FC$23+FC$28)</f>
        <v>75192596.011665702</v>
      </c>
      <c r="FD22" s="29">
        <f>IF(FD$5="Real",INDEX('Informacion de Sam'!$17:$17,MATCH(FD$6,'Informacion de Sam'!$1:$1,0)),FD$23+FD$28)</f>
        <v>53963463.595114447</v>
      </c>
      <c r="FE22" s="29">
        <f>IF(FE$5="Real",INDEX('Informacion de Sam'!$17:$17,MATCH(FE$6,'Informacion de Sam'!$1:$1,0)),FE$23+FE$28)</f>
        <v>55205927.102191865</v>
      </c>
      <c r="FF22" s="29">
        <f>IF(FF$5="Real",INDEX('Informacion de Sam'!$17:$17,MATCH(FF$6,'Informacion de Sam'!$1:$1,0)),FF$23+FF$28)</f>
        <v>48571395.696518525</v>
      </c>
      <c r="FG22" s="29">
        <f>IF(FG$5="Real",INDEX('Informacion de Sam'!$17:$17,MATCH(FG$6,'Informacion de Sam'!$1:$1,0)),FG$23+FG$28)</f>
        <v>55546804.423651934</v>
      </c>
      <c r="FH22" s="29">
        <f>IF(FH$5="Real",INDEX('Informacion de Sam'!$17:$17,MATCH(FH$6,'Informacion de Sam'!$1:$1,0)),FH$23+FH$28)</f>
        <v>59957910.163473733</v>
      </c>
      <c r="FI22" s="29">
        <f>IF(FI$5="Real",INDEX('Informacion de Sam'!$17:$17,MATCH(FI$6,'Informacion de Sam'!$1:$1,0)),FI$23+FI$28)</f>
        <v>90098564.018524781</v>
      </c>
      <c r="FJ22" s="29">
        <f>IF(FJ$5="Real",INDEX('Informacion de Sam'!$17:$17,MATCH(FJ$6,'Informacion de Sam'!$1:$1,0)),FJ$23+FJ$28)</f>
        <v>54991462.707822114</v>
      </c>
      <c r="FK22" s="29">
        <f>IF(FK$5="Real",INDEX('Informacion de Sam'!$17:$17,MATCH(FK$6,'Informacion de Sam'!$1:$1,0)),FK$23+FK$28)</f>
        <v>53085383.876142949</v>
      </c>
      <c r="FL22" s="29">
        <f>IF(FL$5="Real",INDEX('Informacion de Sam'!$17:$17,MATCH(FL$6,'Informacion de Sam'!$1:$1,0)),FL$23+FL$28)</f>
        <v>54719109.218921095</v>
      </c>
      <c r="FM22" s="29">
        <f>IF(FM$5="Real",INDEX('Informacion de Sam'!$17:$17,MATCH(FM$6,'Informacion de Sam'!$1:$1,0)),FM$23+FM$28)</f>
        <v>50647273.397656262</v>
      </c>
      <c r="FN22" s="29">
        <f>SUM(FB22:FM22)</f>
        <v>705024935.10813618</v>
      </c>
      <c r="FO22" s="29">
        <f>IF(FO$5="Real",INDEX('Informacion de Sam'!$17:$17,MATCH(FO$6,'Informacion de Sam'!$1:$1,0)),FO$23+FO$28)</f>
        <v>66306306.120565861</v>
      </c>
      <c r="FP22" s="29">
        <f>IF(FP$5="Real",INDEX('Informacion de Sam'!$17:$17,MATCH(FP$6,'Informacion de Sam'!$1:$1,0)),FP$23+FP$28)</f>
        <v>93990745.014582112</v>
      </c>
      <c r="FQ22" s="29">
        <f>IF(FQ$5="Real",INDEX('Informacion de Sam'!$17:$17,MATCH(FQ$6,'Informacion de Sam'!$1:$1,0)),FQ$23+FQ$28)</f>
        <v>67454329.493893057</v>
      </c>
      <c r="FR22" s="29">
        <f>IF(FR$5="Real",INDEX('Informacion de Sam'!$17:$17,MATCH(FR$6,'Informacion de Sam'!$1:$1,0)),FR$23+FR$28)</f>
        <v>69007408.877739832</v>
      </c>
      <c r="FS22" s="29">
        <f>IF(FS$5="Real",INDEX('Informacion de Sam'!$17:$17,MATCH(FS$6,'Informacion de Sam'!$1:$1,0)),FS$23+FS$28)</f>
        <v>60714244.620648175</v>
      </c>
      <c r="FT22" s="29">
        <f>IF(FT$5="Real",INDEX('Informacion de Sam'!$17:$17,MATCH(FT$6,'Informacion de Sam'!$1:$1,0)),FT$23+FT$28)</f>
        <v>69433505.529564917</v>
      </c>
      <c r="FU22" s="29">
        <f>IF(FU$5="Real",INDEX('Informacion de Sam'!$17:$17,MATCH(FU$6,'Informacion de Sam'!$1:$1,0)),FU$23+FU$28)</f>
        <v>74947387.704342186</v>
      </c>
      <c r="FV22" s="29">
        <f>IF(FV$5="Real",INDEX('Informacion de Sam'!$17:$17,MATCH(FV$6,'Informacion de Sam'!$1:$1,0)),FV$23+FV$28)</f>
        <v>112623205.023156</v>
      </c>
      <c r="FW22" s="29">
        <f>IF(FW$5="Real",INDEX('Informacion de Sam'!$17:$17,MATCH(FW$6,'Informacion de Sam'!$1:$1,0)),FW$23+FW$28)</f>
        <v>68739328.384777635</v>
      </c>
      <c r="FX22" s="29">
        <f>IF(FX$5="Real",INDEX('Informacion de Sam'!$17:$17,MATCH(FX$6,'Informacion de Sam'!$1:$1,0)),FX$23+FX$28)</f>
        <v>66356729.845178708</v>
      </c>
      <c r="FY22" s="29">
        <f>IF(FY$5="Real",INDEX('Informacion de Sam'!$17:$17,MATCH(FY$6,'Informacion de Sam'!$1:$1,0)),FY$23+FY$28)</f>
        <v>68398886.523651361</v>
      </c>
      <c r="FZ22" s="29">
        <f>IF(FZ$5="Real",INDEX('Informacion de Sam'!$17:$17,MATCH(FZ$6,'Informacion de Sam'!$1:$1,0)),FZ$23+FZ$28)</f>
        <v>63309091.74707032</v>
      </c>
      <c r="GA22" s="29">
        <f>SUM(FO22:FZ22)</f>
        <v>881281168.88517022</v>
      </c>
      <c r="GB22" s="29">
        <f>IF(GB$5="Real",INDEX('Informacion de Sam'!$17:$17,MATCH(GB$6,'Informacion de Sam'!$1:$1,0)),GB$23+GB$28)</f>
        <v>82882882.650707334</v>
      </c>
      <c r="GC22" s="29">
        <f>IF(GC$5="Real",INDEX('Informacion de Sam'!$17:$17,MATCH(GC$6,'Informacion de Sam'!$1:$1,0)),GC$23+GC$28)</f>
        <v>117488431.26822768</v>
      </c>
      <c r="GD22" s="29">
        <f>IF(GD$5="Real",INDEX('Informacion de Sam'!$17:$17,MATCH(GD$6,'Informacion de Sam'!$1:$1,0)),GD$23+GD$28)</f>
        <v>84317911.867366329</v>
      </c>
      <c r="GE22" s="29">
        <f>IF(GE$5="Real",INDEX('Informacion de Sam'!$17:$17,MATCH(GE$6,'Informacion de Sam'!$1:$1,0)),GE$23+GE$28)</f>
        <v>86259261.097174793</v>
      </c>
      <c r="GF22" s="29">
        <f>IF(GF$5="Real",INDEX('Informacion de Sam'!$17:$17,MATCH(GF$6,'Informacion de Sam'!$1:$1,0)),GF$23+GF$28)</f>
        <v>75892805.775810197</v>
      </c>
      <c r="GG22" s="29">
        <f>IF(GG$5="Real",INDEX('Informacion de Sam'!$17:$17,MATCH(GG$6,'Informacion de Sam'!$1:$1,0)),GG$23+GG$28)</f>
        <v>86791881.911956131</v>
      </c>
      <c r="GH22" s="29">
        <f>IF(GH$5="Real",INDEX('Informacion de Sam'!$17:$17,MATCH(GH$6,'Informacion de Sam'!$1:$1,0)),GH$23+GH$28)</f>
        <v>93684234.630427748</v>
      </c>
      <c r="GI22" s="29">
        <f>IF(GI$5="Real",INDEX('Informacion de Sam'!$17:$17,MATCH(GI$6,'Informacion de Sam'!$1:$1,0)),GI$23+GI$28)</f>
        <v>140779006.278945</v>
      </c>
      <c r="GJ22" s="29">
        <f>IF(GJ$5="Real",INDEX('Informacion de Sam'!$17:$17,MATCH(GJ$6,'Informacion de Sam'!$1:$1,0)),GJ$23+GJ$28)</f>
        <v>85924160.480972067</v>
      </c>
      <c r="GK22" s="29">
        <f>IF(GK$5="Real",INDEX('Informacion de Sam'!$17:$17,MATCH(GK$6,'Informacion de Sam'!$1:$1,0)),GK$23+GK$28)</f>
        <v>82945912.306473359</v>
      </c>
      <c r="GL22" s="29">
        <f>IF(GL$5="Real",INDEX('Informacion de Sam'!$17:$17,MATCH(GL$6,'Informacion de Sam'!$1:$1,0)),GL$23+GL$28)</f>
        <v>85498608.154564217</v>
      </c>
      <c r="GM22" s="29">
        <f>IF(GM$5="Real",INDEX('Informacion de Sam'!$17:$17,MATCH(GM$6,'Informacion de Sam'!$1:$1,0)),GM$23+GM$28)</f>
        <v>79136364.683837906</v>
      </c>
      <c r="GN22" s="29">
        <f>SUM(GB22:GM22)</f>
        <v>1101601461.1064627</v>
      </c>
      <c r="GO22" s="29">
        <f>IF(GO$5="Real",INDEX('Informacion de Sam'!$17:$17,MATCH(GO$6,'Informacion de Sam'!$1:$1,0)),GO$23+GO$28)</f>
        <v>103603603.31338415</v>
      </c>
      <c r="GP22" s="29">
        <f>IF(GP$5="Real",INDEX('Informacion de Sam'!$17:$17,MATCH(GP$6,'Informacion de Sam'!$1:$1,0)),GP$23+GP$28)</f>
        <v>146860539.08528456</v>
      </c>
      <c r="GQ22" s="29">
        <f>IF(GQ$5="Real",INDEX('Informacion de Sam'!$17:$17,MATCH(GQ$6,'Informacion de Sam'!$1:$1,0)),GQ$23+GQ$28)</f>
        <v>105397389.83420791</v>
      </c>
      <c r="GR22" s="29">
        <f>IF(GR$5="Real",INDEX('Informacion de Sam'!$17:$17,MATCH(GR$6,'Informacion de Sam'!$1:$1,0)),GR$23+GR$28)</f>
        <v>107824076.37146845</v>
      </c>
      <c r="GS22" s="29">
        <f>IF(GS$5="Real",INDEX('Informacion de Sam'!$17:$17,MATCH(GS$6,'Informacion de Sam'!$1:$1,0)),GS$23+GS$28)</f>
        <v>94866007.219762743</v>
      </c>
      <c r="GT22" s="29">
        <f>IF(GT$5="Real",INDEX('Informacion de Sam'!$17:$17,MATCH(GT$6,'Informacion de Sam'!$1:$1,0)),GT$23+GT$28)</f>
        <v>108489852.38994515</v>
      </c>
      <c r="GU22" s="29">
        <f>IF(GU$5="Real",INDEX('Informacion de Sam'!$17:$17,MATCH(GU$6,'Informacion de Sam'!$1:$1,0)),GU$23+GU$28)</f>
        <v>117105293.28803468</v>
      </c>
      <c r="GV22" s="29">
        <f>IF(GV$5="Real",INDEX('Informacion de Sam'!$17:$17,MATCH(GV$6,'Informacion de Sam'!$1:$1,0)),GV$23+GV$28)</f>
        <v>175973757.84868121</v>
      </c>
      <c r="GW22" s="29">
        <f>IF(GW$5="Real",INDEX('Informacion de Sam'!$17:$17,MATCH(GW$6,'Informacion de Sam'!$1:$1,0)),GW$23+GW$28)</f>
        <v>107405200.60121506</v>
      </c>
      <c r="GX22" s="29">
        <f>IF(GX$5="Real",INDEX('Informacion de Sam'!$17:$17,MATCH(GX$6,'Informacion de Sam'!$1:$1,0)),GX$23+GX$28)</f>
        <v>103682390.3830917</v>
      </c>
      <c r="GY22" s="29">
        <f>IF(GY$5="Real",INDEX('Informacion de Sam'!$17:$17,MATCH(GY$6,'Informacion de Sam'!$1:$1,0)),GY$23+GY$28)</f>
        <v>106873260.19320524</v>
      </c>
      <c r="GZ22" s="29">
        <f>IF(GZ$5="Real",INDEX('Informacion de Sam'!$17:$17,MATCH(GZ$6,'Informacion de Sam'!$1:$1,0)),GZ$23+GZ$28)</f>
        <v>98920455.854797363</v>
      </c>
      <c r="HA22" s="29">
        <f>SUM(GO22:GZ22)</f>
        <v>1377001826.3830781</v>
      </c>
      <c r="HB22" s="29"/>
      <c r="HC22" s="52">
        <f t="shared" ref="HC22:HR24" si="5">SUMIFS($B22:$HA22,$B$4:$HA$4,HC$6,$B$5:$HA$5,"Acumulado")</f>
        <v>95047282.800000012</v>
      </c>
      <c r="HD22" s="52">
        <f t="shared" si="5"/>
        <v>111159894.43999997</v>
      </c>
      <c r="HE22" s="52">
        <f t="shared" si="5"/>
        <v>113466178.30999999</v>
      </c>
      <c r="HF22" s="52">
        <f t="shared" si="5"/>
        <v>142360732.87999997</v>
      </c>
      <c r="HG22" s="52">
        <f t="shared" si="5"/>
        <v>176393059.14999998</v>
      </c>
      <c r="HH22" s="52">
        <f t="shared" si="5"/>
        <v>191458624.39999998</v>
      </c>
      <c r="HI22" s="52">
        <f t="shared" si="5"/>
        <v>166485093.41554698</v>
      </c>
      <c r="HJ22" s="52">
        <f t="shared" si="5"/>
        <v>231022570.73623404</v>
      </c>
      <c r="HK22" s="52">
        <f t="shared" si="5"/>
        <v>288778213.42029256</v>
      </c>
      <c r="HL22" s="52">
        <f t="shared" si="5"/>
        <v>360972766.77536565</v>
      </c>
      <c r="HM22" s="52">
        <f t="shared" si="5"/>
        <v>451215958.46920711</v>
      </c>
      <c r="HN22" s="52">
        <f t="shared" si="5"/>
        <v>564019948.08650887</v>
      </c>
      <c r="HO22" s="52">
        <f t="shared" si="5"/>
        <v>705024935.10813618</v>
      </c>
      <c r="HP22" s="52">
        <f t="shared" si="5"/>
        <v>881281168.88517022</v>
      </c>
      <c r="HQ22" s="52">
        <f t="shared" si="5"/>
        <v>1101601461.1064627</v>
      </c>
      <c r="HR22" s="52">
        <f t="shared" si="5"/>
        <v>1377001826.3830781</v>
      </c>
    </row>
    <row r="23" spans="1:226" x14ac:dyDescent="0.35">
      <c r="A23" s="24" t="s">
        <v>64</v>
      </c>
      <c r="B23" s="29">
        <f>IF(B$5="Real",INDEX('Informacion de Sam'!$18:$18,MATCH(B$6,'Informacion de Sam'!$1:$1,0)),B$24-B$26)</f>
        <v>120313.7200000002</v>
      </c>
      <c r="C23" s="29">
        <f>IF(C$5="Real",INDEX('Informacion de Sam'!$18:$18,MATCH(C$6,'Informacion de Sam'!$1:$1,0)),C$24-C$26)</f>
        <v>835532.51999999909</v>
      </c>
      <c r="D23" s="29">
        <f>IF(D$5="Real",INDEX('Informacion de Sam'!$18:$18,MATCH(D$6,'Informacion de Sam'!$1:$1,0)),D$24-D$26)</f>
        <v>791832.42000000086</v>
      </c>
      <c r="E23" s="29">
        <f>IF(E$5="Real",INDEX('Informacion de Sam'!$18:$18,MATCH(E$6,'Informacion de Sam'!$1:$1,0)),E$24-E$26)</f>
        <v>355082.01999999955</v>
      </c>
      <c r="F23" s="29">
        <f>IF(F$5="Real",INDEX('Informacion de Sam'!$18:$18,MATCH(F$6,'Informacion de Sam'!$1:$1,0)),F$24-F$26)</f>
        <v>573945.24000000022</v>
      </c>
      <c r="G23" s="29">
        <f>IF(G$5="Real",INDEX('Informacion de Sam'!$18:$18,MATCH(G$6,'Informacion de Sam'!$1:$1,0)),G$24-G$26)</f>
        <v>-1061358.5299999993</v>
      </c>
      <c r="H23" s="29">
        <f>IF(H$5="Real",INDEX('Informacion de Sam'!$18:$18,MATCH(H$6,'Informacion de Sam'!$1:$1,0)),H$24-H$26)</f>
        <v>-169681.6400000006</v>
      </c>
      <c r="I23" s="29">
        <f>IF(I$5="Real",INDEX('Informacion de Sam'!$18:$18,MATCH(I$6,'Informacion de Sam'!$1:$1,0)),I$24-I$26)</f>
        <v>3570095.9000000022</v>
      </c>
      <c r="J23" s="29">
        <f>IF(J$5="Real",INDEX('Informacion de Sam'!$18:$18,MATCH(J$6,'Informacion de Sam'!$1:$1,0)),J$24-J$26)</f>
        <v>313364.38999999687</v>
      </c>
      <c r="K23" s="29">
        <f>IF(K$5="Real",INDEX('Informacion de Sam'!$18:$18,MATCH(K$6,'Informacion de Sam'!$1:$1,0)),K$24-K$26)</f>
        <v>343585</v>
      </c>
      <c r="L23" s="29">
        <f>IF(L$5="Real",INDEX('Informacion de Sam'!$18:$18,MATCH(L$6,'Informacion de Sam'!$1:$1,0)),L$24-L$26)</f>
        <v>-321694.77000000328</v>
      </c>
      <c r="M23" s="29">
        <f>IF(M$5="Real",INDEX('Informacion de Sam'!$18:$18,MATCH(M$6,'Informacion de Sam'!$1:$1,0)),M$24-M$26)</f>
        <v>-2663435.8399999961</v>
      </c>
      <c r="N23" s="29">
        <f>SUM(B23:M23)</f>
        <v>2687580.4299999997</v>
      </c>
      <c r="O23" s="29">
        <f>IF(O$5="Real",INDEX('Informacion de Sam'!$18:$18,MATCH(O$6,'Informacion de Sam'!$1:$1,0)),O$24-O$26)</f>
        <v>53832.160000000149</v>
      </c>
      <c r="P23" s="29">
        <f>IF(P$5="Real",INDEX('Informacion de Sam'!$18:$18,MATCH(P$6,'Informacion de Sam'!$1:$1,0)),P$24-P$26)</f>
        <v>3772.6599999992177</v>
      </c>
      <c r="Q23" s="29">
        <f>IF(Q$5="Real",INDEX('Informacion de Sam'!$18:$18,MATCH(Q$6,'Informacion de Sam'!$1:$1,0)),Q$24-Q$26)</f>
        <v>502572.29000000004</v>
      </c>
      <c r="R23" s="29">
        <f>IF(R$5="Real",INDEX('Informacion de Sam'!$18:$18,MATCH(R$6,'Informacion de Sam'!$1:$1,0)),R$24-R$26)</f>
        <v>523176.08999999985</v>
      </c>
      <c r="S23" s="29">
        <f>IF(S$5="Real",INDEX('Informacion de Sam'!$18:$18,MATCH(S$6,'Informacion de Sam'!$1:$1,0)),S$24-S$26)</f>
        <v>230908.08000000007</v>
      </c>
      <c r="T23" s="29">
        <f>IF(T$5="Real",INDEX('Informacion de Sam'!$18:$18,MATCH(T$6,'Informacion de Sam'!$1:$1,0)),T$24-T$26)</f>
        <v>-284830.72999999858</v>
      </c>
      <c r="U23" s="29">
        <f>IF(U$5="Real",INDEX('Informacion de Sam'!$18:$18,MATCH(U$6,'Informacion de Sam'!$1:$1,0)),U$24-U$26)</f>
        <v>492714.77999999747</v>
      </c>
      <c r="V23" s="29">
        <f>IF(V$5="Real",INDEX('Informacion de Sam'!$18:$18,MATCH(V$6,'Informacion de Sam'!$1:$1,0)),V$24-V$26)</f>
        <v>4159186.3200000003</v>
      </c>
      <c r="W23" s="29">
        <f>IF(W$5="Real",INDEX('Informacion de Sam'!$18:$18,MATCH(W$6,'Informacion de Sam'!$1:$1,0)),W$24-W$26)</f>
        <v>-1974352.4100000001</v>
      </c>
      <c r="X23" s="29">
        <f>IF(X$5="Real",INDEX('Informacion de Sam'!$18:$18,MATCH(X$6,'Informacion de Sam'!$1:$1,0)),X$24-X$26)</f>
        <v>-58498.900000002235</v>
      </c>
      <c r="Y23" s="29">
        <f>IF(Y$5="Real",INDEX('Informacion de Sam'!$18:$18,MATCH(Y$6,'Informacion de Sam'!$1:$1,0)),Y$24-Y$26)</f>
        <v>-468636.26999999583</v>
      </c>
      <c r="Z23" s="29">
        <f>IF(Z$5="Real",INDEX('Informacion de Sam'!$18:$18,MATCH(Z$6,'Informacion de Sam'!$1:$1,0)),Z$24-Z$26)</f>
        <v>-3595350.1900000051</v>
      </c>
      <c r="AA23" s="29">
        <f>SUM(O23:Z23)</f>
        <v>-415506.12000000477</v>
      </c>
      <c r="AB23" s="29">
        <f>IF(AB$5="Real",INDEX('Informacion de Sam'!$18:$18,MATCH(AB$6,'Informacion de Sam'!$1:$1,0)),AB$24-AB$26)</f>
        <v>-8793.3100000000559</v>
      </c>
      <c r="AC23" s="29">
        <f>IF(AC$5="Real",INDEX('Informacion de Sam'!$18:$18,MATCH(AC$6,'Informacion de Sam'!$1:$1,0)),AC$24-AC$26)</f>
        <v>-118575.8900000006</v>
      </c>
      <c r="AD23" s="29">
        <f>IF(AD$5="Real",INDEX('Informacion de Sam'!$18:$18,MATCH(AD$6,'Informacion de Sam'!$1:$1,0)),AD$24-AD$26)</f>
        <v>-92167.779999999329</v>
      </c>
      <c r="AE23" s="29">
        <f>IF(AE$5="Real",INDEX('Informacion de Sam'!$18:$18,MATCH(AE$6,'Informacion de Sam'!$1:$1,0)),AE$24-AE$26)</f>
        <v>-322021.8200000003</v>
      </c>
      <c r="AF23" s="29">
        <f>IF(AF$5="Real",INDEX('Informacion de Sam'!$18:$18,MATCH(AF$6,'Informacion de Sam'!$1:$1,0)),AF$24-AF$26)</f>
        <v>563112.17000000179</v>
      </c>
      <c r="AG23" s="29">
        <f>IF(AG$5="Real",INDEX('Informacion de Sam'!$18:$18,MATCH(AG$6,'Informacion de Sam'!$1:$1,0)),AG$24-AG$26)</f>
        <v>-215711.46999999881</v>
      </c>
      <c r="AH23" s="29">
        <f>IF(AH$5="Real",INDEX('Informacion de Sam'!$18:$18,MATCH(AH$6,'Informacion de Sam'!$1:$1,0)),AH$24-AH$26)</f>
        <v>4283849.4899999984</v>
      </c>
      <c r="AI23" s="29">
        <f>IF(AI$5="Real",INDEX('Informacion de Sam'!$18:$18,MATCH(AI$6,'Informacion de Sam'!$1:$1,0)),AI$24-AI$26)</f>
        <v>-321241.16000000387</v>
      </c>
      <c r="AJ23" s="29">
        <f>IF(AJ$5="Real",INDEX('Informacion de Sam'!$18:$18,MATCH(AJ$6,'Informacion de Sam'!$1:$1,0)),AJ$24-AJ$26)</f>
        <v>-2727989.0399999991</v>
      </c>
      <c r="AK23" s="29">
        <f>IF(AK$5="Real",INDEX('Informacion de Sam'!$18:$18,MATCH(AK$6,'Informacion de Sam'!$1:$1,0)),AK$24-AK$26)</f>
        <v>-1446275.1000000015</v>
      </c>
      <c r="AL23" s="29">
        <f>IF(AL$5="Real",INDEX('Informacion de Sam'!$18:$18,MATCH(AL$6,'Informacion de Sam'!$1:$1,0)),AL$24-AL$26)</f>
        <v>284526.18000000715</v>
      </c>
      <c r="AM23" s="29">
        <f>IF(AM$5="Real",INDEX('Informacion de Sam'!$18:$18,MATCH(AM$6,'Informacion de Sam'!$1:$1,0)),AM$24-AM$26)</f>
        <v>-10221038.75</v>
      </c>
      <c r="AN23" s="29">
        <f>SUM(AB23:AM23)</f>
        <v>-10342326.479999997</v>
      </c>
      <c r="AO23" s="29">
        <f>IF(AO$5="Real",INDEX('Informacion de Sam'!$18:$18,MATCH(AO$6,'Informacion de Sam'!$1:$1,0)),AO$24-AO$26)</f>
        <v>-1008272.6699999999</v>
      </c>
      <c r="AP23" s="29">
        <f>IF(AP$5="Real",INDEX('Informacion de Sam'!$18:$18,MATCH(AP$6,'Informacion de Sam'!$1:$1,0)),AP$24-AP$26)</f>
        <v>-24332.860000001267</v>
      </c>
      <c r="AQ23" s="29">
        <f>IF(AQ$5="Real",INDEX('Informacion de Sam'!$18:$18,MATCH(AQ$6,'Informacion de Sam'!$1:$1,0)),AQ$24-AQ$26)</f>
        <v>-690419.25999999791</v>
      </c>
      <c r="AR23" s="29">
        <f>IF(AR$5="Real",INDEX('Informacion de Sam'!$18:$18,MATCH(AR$6,'Informacion de Sam'!$1:$1,0)),AR$24-AR$26)</f>
        <v>-1568306.379999999</v>
      </c>
      <c r="AS23" s="29">
        <f>IF(AS$5="Real",INDEX('Informacion de Sam'!$18:$18,MATCH(AS$6,'Informacion de Sam'!$1:$1,0)),AS$24-AS$26)</f>
        <v>-470607.80000000447</v>
      </c>
      <c r="AT23" s="29">
        <f>IF(AT$5="Real",INDEX('Informacion de Sam'!$18:$18,MATCH(AT$6,'Informacion de Sam'!$1:$1,0)),AT$24-AT$26)</f>
        <v>-436152.54999999702</v>
      </c>
      <c r="AU23" s="29">
        <f>IF(AU$5="Real",INDEX('Informacion de Sam'!$18:$18,MATCH(AU$6,'Informacion de Sam'!$1:$1,0)),AU$24-AU$26)</f>
        <v>2808892.8000000007</v>
      </c>
      <c r="AV23" s="29">
        <f>IF(AV$5="Real",INDEX('Informacion de Sam'!$18:$18,MATCH(AV$6,'Informacion de Sam'!$1:$1,0)),AV$24-AV$26)</f>
        <v>6237026.8599999994</v>
      </c>
      <c r="AW23" s="29">
        <f>IF(AW$5="Real",INDEX('Informacion de Sam'!$18:$18,MATCH(AW$6,'Informacion de Sam'!$1:$1,0)),AW$24-AW$26)</f>
        <v>1210060.1099999994</v>
      </c>
      <c r="AX23" s="29">
        <f>IF(AX$5="Real",INDEX('Informacion de Sam'!$18:$18,MATCH(AX$6,'Informacion de Sam'!$1:$1,0)),AX$24-AX$26)</f>
        <v>1824871.6400000006</v>
      </c>
      <c r="AY23" s="29">
        <f>IF(AY$5="Real",INDEX('Informacion de Sam'!$18:$18,MATCH(AY$6,'Informacion de Sam'!$1:$1,0)),AY$24-AY$26)</f>
        <v>2075392.6699999943</v>
      </c>
      <c r="AZ23" s="29">
        <f>IF(AZ$5="Real",INDEX('Informacion de Sam'!$18:$18,MATCH(AZ$6,'Informacion de Sam'!$1:$1,0)),AZ$24-AZ$26)</f>
        <v>-7634488.9699999914</v>
      </c>
      <c r="BA23" s="29">
        <f>SUM(AO23:AZ23)</f>
        <v>2323663.5900000036</v>
      </c>
      <c r="BB23" s="29">
        <f>IF(BB$5="Real",INDEX('Informacion de Sam'!$18:$18,MATCH(BB$6,'Informacion de Sam'!$1:$1,0)),BB$24-BB$26)</f>
        <v>2721926.09</v>
      </c>
      <c r="BC23" s="29">
        <f>IF(BC$5="Real",INDEX('Informacion de Sam'!$18:$18,MATCH(BC$6,'Informacion de Sam'!$1:$1,0)),BC$24-BC$26)</f>
        <v>1085733.4000000004</v>
      </c>
      <c r="BD23" s="29">
        <f>IF(BD$5="Real",INDEX('Informacion de Sam'!$18:$18,MATCH(BD$6,'Informacion de Sam'!$1:$1,0)),BD$24-BD$26)</f>
        <v>555719.42999999784</v>
      </c>
      <c r="BE23" s="29">
        <f>IF(BE$5="Real",INDEX('Informacion de Sam'!$18:$18,MATCH(BE$6,'Informacion de Sam'!$1:$1,0)),BE$24-BE$26)</f>
        <v>398073.6099999994</v>
      </c>
      <c r="BF23" s="29">
        <f>IF(BF$5="Real",INDEX('Informacion de Sam'!$18:$18,MATCH(BF$6,'Informacion de Sam'!$1:$1,0)),BF$24-BF$26)</f>
        <v>1431667.3800000027</v>
      </c>
      <c r="BG23" s="29">
        <f>IF(BG$5="Real",INDEX('Informacion de Sam'!$18:$18,MATCH(BG$6,'Informacion de Sam'!$1:$1,0)),BG$24-BG$26)</f>
        <v>-1328774.3600000031</v>
      </c>
      <c r="BH23" s="29">
        <f>IF(BH$5="Real",INDEX('Informacion de Sam'!$18:$18,MATCH(BH$6,'Informacion de Sam'!$1:$1,0)),BH$24-BH$26)</f>
        <v>-27025.94999999553</v>
      </c>
      <c r="BI23" s="29">
        <f>IF(BI$5="Real",INDEX('Informacion de Sam'!$18:$18,MATCH(BI$6,'Informacion de Sam'!$1:$1,0)),BI$24-BI$26)</f>
        <v>5727733.0599999949</v>
      </c>
      <c r="BJ23" s="29">
        <f>IF(BJ$5="Real",INDEX('Informacion de Sam'!$18:$18,MATCH(BJ$6,'Informacion de Sam'!$1:$1,0)),BJ$24-BJ$26)</f>
        <v>577340.10000000149</v>
      </c>
      <c r="BK23" s="29">
        <f>IF(BK$5="Real",INDEX('Informacion de Sam'!$18:$18,MATCH(BK$6,'Informacion de Sam'!$1:$1,0)),BK$24-BK$26)</f>
        <v>104109.8900000006</v>
      </c>
      <c r="BL23" s="29">
        <f>IF(BL$5="Real",INDEX('Informacion de Sam'!$18:$18,MATCH(BL$6,'Informacion de Sam'!$1:$1,0)),BL$24-BL$26)</f>
        <v>1493657.6699999943</v>
      </c>
      <c r="BM23" s="29">
        <f>IF(BM$5="Real",INDEX('Informacion de Sam'!$18:$18,MATCH(BM$6,'Informacion de Sam'!$1:$1,0)),BM$24-BM$26)</f>
        <v>-3315632.2900000066</v>
      </c>
      <c r="BN23" s="29">
        <f>SUM(BB23:BM23)</f>
        <v>9424528.0299999863</v>
      </c>
      <c r="BO23" s="29">
        <f>IF(BO$5="Real",INDEX('Informacion de Sam'!$18:$18,MATCH(BO$6,'Informacion de Sam'!$1:$1,0)),BO$24-BO$26)</f>
        <v>1094836.9099999992</v>
      </c>
      <c r="BP23" s="29">
        <f>IF(BP$5="Real",INDEX('Informacion de Sam'!$18:$18,MATCH(BP$6,'Informacion de Sam'!$1:$1,0)),BP$24-BP$26)</f>
        <v>1315905.3899999997</v>
      </c>
      <c r="BQ23" s="29">
        <f>IF(BQ$5="Real",INDEX('Informacion de Sam'!$18:$18,MATCH(BQ$6,'Informacion de Sam'!$1:$1,0)),BQ$24-BQ$26)</f>
        <v>2202353.5100000016</v>
      </c>
      <c r="BR23" s="29">
        <f>IF(BR$5="Real",INDEX('Informacion de Sam'!$18:$18,MATCH(BR$6,'Informacion de Sam'!$1:$1,0)),BR$24-BR$26)</f>
        <v>-1569898.1399999987</v>
      </c>
      <c r="BS23" s="29">
        <f>IF(BS$5="Real",INDEX('Informacion de Sam'!$18:$18,MATCH(BS$6,'Informacion de Sam'!$1:$1,0)),BS$24-BS$26)</f>
        <v>-696884.21000000462</v>
      </c>
      <c r="BT23" s="29">
        <f>IF(BT$5="Real",INDEX('Informacion de Sam'!$18:$18,MATCH(BT$6,'Informacion de Sam'!$1:$1,0)),BT$24-BT$26)</f>
        <v>111189.22000000253</v>
      </c>
      <c r="BU23" s="29">
        <f>IF(BU$5="Real",INDEX('Informacion de Sam'!$18:$18,MATCH(BU$6,'Informacion de Sam'!$1:$1,0)),BU$24-BU$26)</f>
        <v>620885.77999999374</v>
      </c>
      <c r="BV23" s="29">
        <f>IF(BV$5="Real",INDEX('Informacion de Sam'!$18:$18,MATCH(BV$6,'Informacion de Sam'!$1:$1,0)),BV$24-BV$26)</f>
        <v>232381.13000000268</v>
      </c>
      <c r="BW23" s="29">
        <f>IF(BW$5="Real",INDEX('Informacion de Sam'!$18:$18,MATCH(BW$6,'Informacion de Sam'!$1:$1,0)),BW$24-BW$26)</f>
        <v>810350.90000000596</v>
      </c>
      <c r="BX23" s="29">
        <f>IF(BX$5="Real",INDEX('Informacion de Sam'!$18:$18,MATCH(BX$6,'Informacion de Sam'!$1:$1,0)),BX$24-BX$26)</f>
        <v>-439432.1400000006</v>
      </c>
      <c r="BY23" s="29">
        <f>IF(BY$5="Real",INDEX('Informacion de Sam'!$18:$18,MATCH(BY$6,'Informacion de Sam'!$1:$1,0)),BY$24-BY$26)</f>
        <v>-266080.74000000209</v>
      </c>
      <c r="BZ23" s="29">
        <f>IF(BZ$5="Real",INDEX('Informacion de Sam'!$18:$18,MATCH(BZ$6,'Informacion de Sam'!$1:$1,0)),BZ$24-BZ$26)</f>
        <v>-3163330.2699999958</v>
      </c>
      <c r="CA23" s="29">
        <f>SUM(BO23:BZ23)</f>
        <v>252277.34000000358</v>
      </c>
      <c r="CB23" s="29">
        <f>IF(CB$5="Real",INDEX('Informacion de Sam'!$18:$18,MATCH(CB$6,'Informacion de Sam'!$1:$1,0)),CB$24-CB$26)</f>
        <v>707888.91999999993</v>
      </c>
      <c r="CC23" s="29">
        <f>IF(CC$5="Real",INDEX('Informacion de Sam'!$18:$18,MATCH(CC$6,'Informacion de Sam'!$1:$1,0)),CC$24-CC$26)</f>
        <v>1088468.6999999993</v>
      </c>
      <c r="CD23" s="29">
        <f>IF(CD$5="Real",INDEX('Informacion de Sam'!$18:$18,MATCH(CD$6,'Informacion de Sam'!$1:$1,0)),CD$24-CD$26)</f>
        <v>93216.230000000447</v>
      </c>
      <c r="CE23" s="29">
        <f>IF(CE$5="Real",INDEX('Informacion de Sam'!$18:$18,MATCH(CE$6,'Informacion de Sam'!$1:$1,0)),CE$24-CE$26)</f>
        <v>1006076.9500000011</v>
      </c>
      <c r="CF23" s="29">
        <f>IF(CF$5="Real",INDEX('Informacion de Sam'!$18:$18,MATCH(CF$6,'Informacion de Sam'!$1:$1,0)),CF$24-CF$26)</f>
        <v>679772.00999999791</v>
      </c>
      <c r="CG23" s="29">
        <f>IF(CG$5="Real",INDEX('Informacion de Sam'!$18:$18,MATCH(CG$6,'Informacion de Sam'!$1:$1,0)),CG$24-CG$26)</f>
        <v>-973590.80999999866</v>
      </c>
      <c r="CH23" s="29">
        <f>IF(CH$5="Real",INDEX('Informacion de Sam'!$18:$18,MATCH(CH$6,'Informacion de Sam'!$1:$1,0)),CH$24-CH$26)</f>
        <v>-1793446.4800000004</v>
      </c>
      <c r="CI23" s="29">
        <f>IF(CI$5="Real",INDEX('Informacion de Sam'!$18:$18,MATCH(CI$6,'Informacion de Sam'!$1:$1,0)),CI$24-CI$26)</f>
        <v>-589713.58000000194</v>
      </c>
      <c r="CJ23" s="29">
        <f>IF(CJ$5="Real",INDEX('Informacion de Sam'!$18:$18,MATCH(CJ$6,'Informacion de Sam'!$1:$1,0)),CJ$24-CJ$26)</f>
        <v>734947.36209334852</v>
      </c>
      <c r="CK23" s="29">
        <f>IF(CK$5="Real",INDEX('Informacion de Sam'!$18:$18,MATCH(CK$6,'Informacion de Sam'!$1:$1,0)),CK$24-CK$26)</f>
        <v>709473.08771865955</v>
      </c>
      <c r="CL23" s="29">
        <f>IF(CL$5="Real",INDEX('Informacion de Sam'!$18:$18,MATCH(CL$6,'Informacion de Sam'!$1:$1,0)),CL$24-CL$26)</f>
        <v>731307.42475819867</v>
      </c>
      <c r="CM23" s="29">
        <f>IF(CM$5="Real",INDEX('Informacion de Sam'!$18:$18,MATCH(CM$6,'Informacion de Sam'!$1:$1,0)),CM$24-CM$26)</f>
        <v>676888.34135218244</v>
      </c>
      <c r="CN23" s="29">
        <f>SUM(CB23:CM23)</f>
        <v>3071288.1559223868</v>
      </c>
      <c r="CO23" s="29">
        <f>IF(CO$5="Real",INDEX('Informacion de Sam'!$18:$18,MATCH(CO$6,'Informacion de Sam'!$1:$1,0)),CO$24-CO$26)</f>
        <v>886167.45898145065</v>
      </c>
      <c r="CP23" s="29">
        <f>IF(CP$5="Real",INDEX('Informacion de Sam'!$18:$18,MATCH(CP$6,'Informacion de Sam'!$1:$1,0)),CP$24-CP$26)</f>
        <v>1256163.1698483601</v>
      </c>
      <c r="CQ23" s="29">
        <f>IF(CQ$5="Real",INDEX('Informacion de Sam'!$18:$18,MATCH(CQ$6,'Informacion de Sam'!$1:$1,0)),CQ$24-CQ$26)</f>
        <v>901510.50876230933</v>
      </c>
      <c r="CR23" s="29">
        <f>IF(CR$5="Real",INDEX('Informacion de Sam'!$18:$18,MATCH(CR$6,'Informacion de Sam'!$1:$1,0)),CR$24-CR$26)</f>
        <v>922267.03241297696</v>
      </c>
      <c r="CS23" s="29">
        <f>IF(CS$5="Real",INDEX('Informacion de Sam'!$18:$18,MATCH(CS$6,'Informacion de Sam'!$1:$1,0)),CS$24-CS$26)</f>
        <v>811430.93360723695</v>
      </c>
      <c r="CT23" s="29">
        <f>IF(CT$5="Real",INDEX('Informacion de Sam'!$18:$18,MATCH(CT$6,'Informacion de Sam'!$1:$1,0)),CT$24-CT$26)</f>
        <v>927961.70927435718</v>
      </c>
      <c r="CU23" s="29">
        <f>IF(CU$5="Real",INDEX('Informacion de Sam'!$18:$18,MATCH(CU$6,'Informacion de Sam'!$1:$1,0)),CU$24-CU$26)</f>
        <v>1001653.3872131165</v>
      </c>
      <c r="CV23" s="29">
        <f>IF(CV$5="Real",INDEX('Informacion de Sam'!$18:$18,MATCH(CV$6,'Informacion de Sam'!$1:$1,0)),CV$24-CV$26)</f>
        <v>1505181.4111955445</v>
      </c>
      <c r="CW23" s="29">
        <f>IF(CW$5="Real",INDEX('Informacion de Sam'!$18:$18,MATCH(CW$6,'Informacion de Sam'!$1:$1,0)),CW$24-CW$26)</f>
        <v>918684.202616686</v>
      </c>
      <c r="CX23" s="29">
        <f>IF(CX$5="Real",INDEX('Informacion de Sam'!$18:$18,MATCH(CX$6,'Informacion de Sam'!$1:$1,0)),CX$24-CX$26)</f>
        <v>886841.35964832362</v>
      </c>
      <c r="CY23" s="29">
        <f>IF(CY$5="Real",INDEX('Informacion de Sam'!$18:$18,MATCH(CY$6,'Informacion de Sam'!$1:$1,0)),CY$24-CY$26)</f>
        <v>914134.28094774764</v>
      </c>
      <c r="CZ23" s="29">
        <f>IF(CZ$5="Real",INDEX('Informacion de Sam'!$18:$18,MATCH(CZ$6,'Informacion de Sam'!$1:$1,0)),CZ$24-CZ$26)</f>
        <v>846110.42669022735</v>
      </c>
      <c r="DA23" s="29">
        <f>SUM(CO23:CZ23)</f>
        <v>11778105.881198339</v>
      </c>
      <c r="DB23" s="29">
        <f>IF(DB$5="Real",INDEX('Informacion de Sam'!$18:$18,MATCH(DB$6,'Informacion de Sam'!$1:$1,0)),DB$24-DB$26)</f>
        <v>1107709.3237268133</v>
      </c>
      <c r="DC23" s="29">
        <f>IF(DC$5="Real",INDEX('Informacion de Sam'!$18:$18,MATCH(DC$6,'Informacion de Sam'!$1:$1,0)),DC$24-DC$26)</f>
        <v>1570203.9623104502</v>
      </c>
      <c r="DD23" s="29">
        <f>IF(DD$5="Real",INDEX('Informacion de Sam'!$18:$18,MATCH(DD$6,'Informacion de Sam'!$1:$1,0)),DD$24-DD$26)</f>
        <v>1126888.1359528871</v>
      </c>
      <c r="DE23" s="29">
        <f>IF(DE$5="Real",INDEX('Informacion de Sam'!$18:$18,MATCH(DE$6,'Informacion de Sam'!$1:$1,0)),DE$24-DE$26)</f>
        <v>1152833.7905162219</v>
      </c>
      <c r="DF23" s="29">
        <f>IF(DF$5="Real",INDEX('Informacion de Sam'!$18:$18,MATCH(DF$6,'Informacion de Sam'!$1:$1,0)),DF$24-DF$26)</f>
        <v>1014288.6670090454</v>
      </c>
      <c r="DG23" s="29">
        <f>IF(DG$5="Real",INDEX('Informacion de Sam'!$18:$18,MATCH(DG$6,'Informacion de Sam'!$1:$1,0)),DG$24-DG$26)</f>
        <v>1159952.1365929469</v>
      </c>
      <c r="DH23" s="29">
        <f>IF(DH$5="Real",INDEX('Informacion de Sam'!$18:$18,MATCH(DH$6,'Informacion de Sam'!$1:$1,0)),DH$24-DH$26)</f>
        <v>1252066.7340163952</v>
      </c>
      <c r="DI23" s="29">
        <f>IF(DI$5="Real",INDEX('Informacion de Sam'!$18:$18,MATCH(DI$6,'Informacion de Sam'!$1:$1,0)),DI$24-DI$26)</f>
        <v>1881476.7639944293</v>
      </c>
      <c r="DJ23" s="29">
        <f>IF(DJ$5="Real",INDEX('Informacion de Sam'!$18:$18,MATCH(DJ$6,'Informacion de Sam'!$1:$1,0)),DJ$24-DJ$26)</f>
        <v>1148355.253270857</v>
      </c>
      <c r="DK23" s="29">
        <f>IF(DK$5="Real",INDEX('Informacion de Sam'!$18:$18,MATCH(DK$6,'Informacion de Sam'!$1:$1,0)),DK$24-DK$26)</f>
        <v>1108551.6995604048</v>
      </c>
      <c r="DL23" s="29">
        <f>IF(DL$5="Real",INDEX('Informacion de Sam'!$18:$18,MATCH(DL$6,'Informacion de Sam'!$1:$1,0)),DL$24-DL$26)</f>
        <v>1142667.8511846848</v>
      </c>
      <c r="DM23" s="29">
        <f>IF(DM$5="Real",INDEX('Informacion de Sam'!$18:$18,MATCH(DM$6,'Informacion de Sam'!$1:$1,0)),DM$24-DM$26)</f>
        <v>1057638.0333627854</v>
      </c>
      <c r="DN23" s="29">
        <f>SUM(DB23:DM23)</f>
        <v>14722632.35149792</v>
      </c>
      <c r="DO23" s="29">
        <f>IF(DO$5="Real",INDEX('Informacion de Sam'!$18:$18,MATCH(DO$6,'Informacion de Sam'!$1:$1,0)),DO$24-DO$26)</f>
        <v>1384636.6546585169</v>
      </c>
      <c r="DP23" s="29">
        <f>IF(DP$5="Real",INDEX('Informacion de Sam'!$18:$18,MATCH(DP$6,'Informacion de Sam'!$1:$1,0)),DP$24-DP$26)</f>
        <v>1962754.9528880622</v>
      </c>
      <c r="DQ23" s="29">
        <f>IF(DQ$5="Real",INDEX('Informacion de Sam'!$18:$18,MATCH(DQ$6,'Informacion de Sam'!$1:$1,0)),DQ$24-DQ$26)</f>
        <v>1408610.1699411077</v>
      </c>
      <c r="DR23" s="29">
        <f>IF(DR$5="Real",INDEX('Informacion de Sam'!$18:$18,MATCH(DR$6,'Informacion de Sam'!$1:$1,0)),DR$24-DR$26)</f>
        <v>1441042.2381452778</v>
      </c>
      <c r="DS23" s="29">
        <f>IF(DS$5="Real",INDEX('Informacion de Sam'!$18:$18,MATCH(DS$6,'Informacion de Sam'!$1:$1,0)),DS$24-DS$26)</f>
        <v>1267860.8337613083</v>
      </c>
      <c r="DT23" s="29">
        <f>IF(DT$5="Real",INDEX('Informacion de Sam'!$18:$18,MATCH(DT$6,'Informacion de Sam'!$1:$1,0)),DT$24-DT$26)</f>
        <v>1449940.1707411828</v>
      </c>
      <c r="DU23" s="29">
        <f>IF(DU$5="Real",INDEX('Informacion de Sam'!$18:$18,MATCH(DU$6,'Informacion de Sam'!$1:$1,0)),DU$24-DU$26)</f>
        <v>1565083.4175204933</v>
      </c>
      <c r="DV23" s="29">
        <f>IF(DV$5="Real",INDEX('Informacion de Sam'!$18:$18,MATCH(DV$6,'Informacion de Sam'!$1:$1,0)),DV$24-DV$26)</f>
        <v>2351845.9549930375</v>
      </c>
      <c r="DW23" s="29">
        <f>IF(DW$5="Real",INDEX('Informacion de Sam'!$18:$18,MATCH(DW$6,'Informacion de Sam'!$1:$1,0)),DW$24-DW$26)</f>
        <v>1435444.0665885722</v>
      </c>
      <c r="DX23" s="29">
        <f>IF(DX$5="Real",INDEX('Informacion de Sam'!$18:$18,MATCH(DX$6,'Informacion de Sam'!$1:$1,0)),DX$24-DX$26)</f>
        <v>1385689.6244505057</v>
      </c>
      <c r="DY23" s="29">
        <f>IF(DY$5="Real",INDEX('Informacion de Sam'!$18:$18,MATCH(DY$6,'Informacion de Sam'!$1:$1,0)),DY$24-DY$26)</f>
        <v>1428334.8139808569</v>
      </c>
      <c r="DZ23" s="29">
        <f>IF(DZ$5="Real",INDEX('Informacion de Sam'!$18:$18,MATCH(DZ$6,'Informacion de Sam'!$1:$1,0)),DZ$24-DZ$26)</f>
        <v>1322047.5417034812</v>
      </c>
      <c r="EA23" s="29">
        <f>SUM(DO23:DZ23)</f>
        <v>18403290.439372402</v>
      </c>
      <c r="EB23" s="29">
        <f>IF(EB$5="Real",INDEX('Informacion de Sam'!$18:$18,MATCH(EB$6,'Informacion de Sam'!$1:$1,0)),EB$24-EB$26)</f>
        <v>1730795.8183231475</v>
      </c>
      <c r="EC23" s="29">
        <f>IF(EC$5="Real",INDEX('Informacion de Sam'!$18:$18,MATCH(EC$6,'Informacion de Sam'!$1:$1,0)),EC$24-EC$26)</f>
        <v>2453443.6911100782</v>
      </c>
      <c r="ED23" s="29">
        <f>IF(ED$5="Real",INDEX('Informacion de Sam'!$18:$18,MATCH(ED$6,'Informacion de Sam'!$1:$1,0)),ED$24-ED$26)</f>
        <v>1760762.7124263849</v>
      </c>
      <c r="EE23" s="29">
        <f>IF(EE$5="Real",INDEX('Informacion de Sam'!$18:$18,MATCH(EE$6,'Informacion de Sam'!$1:$1,0)),EE$24-EE$26)</f>
        <v>1801302.7976815961</v>
      </c>
      <c r="EF23" s="29">
        <f>IF(EF$5="Real",INDEX('Informacion de Sam'!$18:$18,MATCH(EF$6,'Informacion de Sam'!$1:$1,0)),EF$24-EF$26)</f>
        <v>1584826.0422016354</v>
      </c>
      <c r="EG23" s="29">
        <f>IF(EG$5="Real",INDEX('Informacion de Sam'!$18:$18,MATCH(EG$6,'Informacion de Sam'!$1:$1,0)),EG$24-EG$26)</f>
        <v>1812425.2134264801</v>
      </c>
      <c r="EH23" s="29">
        <f>IF(EH$5="Real",INDEX('Informacion de Sam'!$18:$18,MATCH(EH$6,'Informacion de Sam'!$1:$1,0)),EH$24-EH$26)</f>
        <v>1956354.2719006166</v>
      </c>
      <c r="EI23" s="29">
        <f>IF(EI$5="Real",INDEX('Informacion de Sam'!$18:$18,MATCH(EI$6,'Informacion de Sam'!$1:$1,0)),EI$24-EI$26)</f>
        <v>2939807.4437412992</v>
      </c>
      <c r="EJ23" s="29">
        <f>IF(EJ$5="Real",INDEX('Informacion de Sam'!$18:$18,MATCH(EJ$6,'Informacion de Sam'!$1:$1,0)),EJ$24-EJ$26)</f>
        <v>1794305.0832357146</v>
      </c>
      <c r="EK23" s="29">
        <f>IF(EK$5="Real",INDEX('Informacion de Sam'!$18:$18,MATCH(EK$6,'Informacion de Sam'!$1:$1,0)),EK$24-EK$26)</f>
        <v>1732112.0305631319</v>
      </c>
      <c r="EL23" s="29">
        <f>IF(EL$5="Real",INDEX('Informacion de Sam'!$18:$18,MATCH(EL$6,'Informacion de Sam'!$1:$1,0)),EL$24-EL$26)</f>
        <v>1785418.5174760707</v>
      </c>
      <c r="EM23" s="29">
        <f>IF(EM$5="Real",INDEX('Informacion de Sam'!$18:$18,MATCH(EM$6,'Informacion de Sam'!$1:$1,0)),EM$24-EM$26)</f>
        <v>1652559.4271293515</v>
      </c>
      <c r="EN23" s="29">
        <f>SUM(EB23:EM23)</f>
        <v>23004113.049215507</v>
      </c>
      <c r="EO23" s="29">
        <f>IF(EO$5="Real",INDEX('Informacion de Sam'!$18:$18,MATCH(EO$6,'Informacion de Sam'!$1:$1,0)),EO$24-EO$26)</f>
        <v>2163494.7729039323</v>
      </c>
      <c r="EP23" s="29">
        <f>IF(EP$5="Real",INDEX('Informacion de Sam'!$18:$18,MATCH(EP$6,'Informacion de Sam'!$1:$1,0)),EP$24-EP$26)</f>
        <v>3066804.6138875987</v>
      </c>
      <c r="EQ23" s="29">
        <f>IF(EQ$5="Real",INDEX('Informacion de Sam'!$18:$18,MATCH(EQ$6,'Informacion de Sam'!$1:$1,0)),EQ$24-EQ$26)</f>
        <v>2200953.3905329835</v>
      </c>
      <c r="ER23" s="29">
        <f>IF(ER$5="Real",INDEX('Informacion de Sam'!$18:$18,MATCH(ER$6,'Informacion de Sam'!$1:$1,0)),ER$24-ER$26)</f>
        <v>2251628.4971019961</v>
      </c>
      <c r="ES23" s="29">
        <f>IF(ES$5="Real",INDEX('Informacion de Sam'!$18:$18,MATCH(ES$6,'Informacion de Sam'!$1:$1,0)),ES$24-ES$26)</f>
        <v>1981032.5527520441</v>
      </c>
      <c r="ET23" s="29">
        <f>IF(ET$5="Real",INDEX('Informacion de Sam'!$18:$18,MATCH(ET$6,'Informacion de Sam'!$1:$1,0)),ET$24-ET$26)</f>
        <v>2265531.5167830996</v>
      </c>
      <c r="EU23" s="29">
        <f>IF(EU$5="Real",INDEX('Informacion de Sam'!$18:$18,MATCH(EU$6,'Informacion de Sam'!$1:$1,0)),EU$24-EU$26)</f>
        <v>2445442.8398757726</v>
      </c>
      <c r="EV23" s="29">
        <f>IF(EV$5="Real",INDEX('Informacion de Sam'!$18:$18,MATCH(EV$6,'Informacion de Sam'!$1:$1,0)),EV$24-EV$26)</f>
        <v>3674759.3046766222</v>
      </c>
      <c r="EW23" s="29">
        <f>IF(EW$5="Real",INDEX('Informacion de Sam'!$18:$18,MATCH(EW$6,'Informacion de Sam'!$1:$1,0)),EW$24-EW$26)</f>
        <v>2242881.3540446442</v>
      </c>
      <c r="EX23" s="29">
        <f>IF(EX$5="Real",INDEX('Informacion de Sam'!$18:$18,MATCH(EX$6,'Informacion de Sam'!$1:$1,0)),EX$24-EX$26)</f>
        <v>2165140.0382039156</v>
      </c>
      <c r="EY23" s="29">
        <f>IF(EY$5="Real",INDEX('Informacion de Sam'!$18:$18,MATCH(EY$6,'Informacion de Sam'!$1:$1,0)),EY$24-EY$26)</f>
        <v>2231773.1468450893</v>
      </c>
      <c r="EZ23" s="29">
        <f>IF(EZ$5="Real",INDEX('Informacion de Sam'!$18:$18,MATCH(EZ$6,'Informacion de Sam'!$1:$1,0)),EZ$24-EZ$26)</f>
        <v>2065699.2839116883</v>
      </c>
      <c r="FA23" s="29">
        <f>SUM(EO23:EZ23)</f>
        <v>28755141.311519392</v>
      </c>
      <c r="FB23" s="29">
        <f>IF(FB$5="Real",INDEX('Informacion de Sam'!$18:$18,MATCH(FB$6,'Informacion de Sam'!$1:$1,0)),FB$24-FB$26)</f>
        <v>2704368.4661299158</v>
      </c>
      <c r="FC23" s="29">
        <f>IF(FC$5="Real",INDEX('Informacion de Sam'!$18:$18,MATCH(FC$6,'Informacion de Sam'!$1:$1,0)),FC$24-FC$26)</f>
        <v>3833505.7673594952</v>
      </c>
      <c r="FD23" s="29">
        <f>IF(FD$5="Real",INDEX('Informacion de Sam'!$18:$18,MATCH(FD$6,'Informacion de Sam'!$1:$1,0)),FD$24-FD$26)</f>
        <v>2751191.7381662279</v>
      </c>
      <c r="FE23" s="29">
        <f>IF(FE$5="Real",INDEX('Informacion de Sam'!$18:$18,MATCH(FE$6,'Informacion de Sam'!$1:$1,0)),FE$24-FE$26)</f>
        <v>2814535.6213774942</v>
      </c>
      <c r="FF23" s="29">
        <f>IF(FF$5="Real",INDEX('Informacion de Sam'!$18:$18,MATCH(FF$6,'Informacion de Sam'!$1:$1,0)),FF$24-FF$26)</f>
        <v>2476290.6909400523</v>
      </c>
      <c r="FG23" s="29">
        <f>IF(FG$5="Real",INDEX('Informacion de Sam'!$18:$18,MATCH(FG$6,'Informacion de Sam'!$1:$1,0)),FG$24-FG$26)</f>
        <v>2831914.3959788736</v>
      </c>
      <c r="FH23" s="29">
        <f>IF(FH$5="Real",INDEX('Informacion de Sam'!$18:$18,MATCH(FH$6,'Informacion de Sam'!$1:$1,0)),FH$24-FH$26)</f>
        <v>3056803.5498447139</v>
      </c>
      <c r="FI23" s="29">
        <f>IF(FI$5="Real",INDEX('Informacion de Sam'!$18:$18,MATCH(FI$6,'Informacion de Sam'!$1:$1,0)),FI$24-FI$26)</f>
        <v>4593449.1308457814</v>
      </c>
      <c r="FJ23" s="29">
        <f>IF(FJ$5="Real",INDEX('Informacion de Sam'!$18:$18,MATCH(FJ$6,'Informacion de Sam'!$1:$1,0)),FJ$24-FJ$26)</f>
        <v>2803601.6925558057</v>
      </c>
      <c r="FK23" s="29">
        <f>IF(FK$5="Real",INDEX('Informacion de Sam'!$18:$18,MATCH(FK$6,'Informacion de Sam'!$1:$1,0)),FK$24-FK$26)</f>
        <v>2706425.0477548949</v>
      </c>
      <c r="FL23" s="29">
        <f>IF(FL$5="Real",INDEX('Informacion de Sam'!$18:$18,MATCH(FL$6,'Informacion de Sam'!$1:$1,0)),FL$24-FL$26)</f>
        <v>2789716.4335563611</v>
      </c>
      <c r="FM23" s="29">
        <f>IF(FM$5="Real",INDEX('Informacion de Sam'!$18:$18,MATCH(FM$6,'Informacion de Sam'!$1:$1,0)),FM$24-FM$26)</f>
        <v>2582124.1048896126</v>
      </c>
      <c r="FN23" s="29">
        <f>SUM(FB23:FM23)</f>
        <v>35943926.63939923</v>
      </c>
      <c r="FO23" s="29">
        <f>IF(FO$5="Real",INDEX('Informacion de Sam'!$18:$18,MATCH(FO$6,'Informacion de Sam'!$1:$1,0)),FO$24-FO$26)</f>
        <v>3380460.5826623943</v>
      </c>
      <c r="FP23" s="29">
        <f>IF(FP$5="Real",INDEX('Informacion de Sam'!$18:$18,MATCH(FP$6,'Informacion de Sam'!$1:$1,0)),FP$24-FP$26)</f>
        <v>4791882.209199369</v>
      </c>
      <c r="FQ23" s="29">
        <f>IF(FQ$5="Real",INDEX('Informacion de Sam'!$18:$18,MATCH(FQ$6,'Informacion de Sam'!$1:$1,0)),FQ$24-FQ$26)</f>
        <v>3438989.6727077831</v>
      </c>
      <c r="FR23" s="29">
        <f>IF(FR$5="Real",INDEX('Informacion de Sam'!$18:$18,MATCH(FR$6,'Informacion de Sam'!$1:$1,0)),FR$24-FR$26)</f>
        <v>3518169.5267218687</v>
      </c>
      <c r="FS23" s="29">
        <f>IF(FS$5="Real",INDEX('Informacion de Sam'!$18:$18,MATCH(FS$6,'Informacion de Sam'!$1:$1,0)),FS$24-FS$26)</f>
        <v>3095363.3636750691</v>
      </c>
      <c r="FT23" s="29">
        <f>IF(FT$5="Real",INDEX('Informacion de Sam'!$18:$18,MATCH(FT$6,'Informacion de Sam'!$1:$1,0)),FT$24-FT$26)</f>
        <v>3539892.9949735925</v>
      </c>
      <c r="FU23" s="29">
        <f>IF(FU$5="Real",INDEX('Informacion de Sam'!$18:$18,MATCH(FU$6,'Informacion de Sam'!$1:$1,0)),FU$24-FU$26)</f>
        <v>3821004.4373058937</v>
      </c>
      <c r="FV23" s="29">
        <f>IF(FV$5="Real",INDEX('Informacion de Sam'!$18:$18,MATCH(FV$6,'Informacion de Sam'!$1:$1,0)),FV$24-FV$26)</f>
        <v>5741811.4135572277</v>
      </c>
      <c r="FW23" s="29">
        <f>IF(FW$5="Real",INDEX('Informacion de Sam'!$18:$18,MATCH(FW$6,'Informacion de Sam'!$1:$1,0)),FW$24-FW$26)</f>
        <v>3504502.1156947538</v>
      </c>
      <c r="FX23" s="29">
        <f>IF(FX$5="Real",INDEX('Informacion de Sam'!$18:$18,MATCH(FX$6,'Informacion de Sam'!$1:$1,0)),FX$24-FX$26)</f>
        <v>3383031.3096936177</v>
      </c>
      <c r="FY23" s="29">
        <f>IF(FY$5="Real",INDEX('Informacion de Sam'!$18:$18,MATCH(FY$6,'Informacion de Sam'!$1:$1,0)),FY$24-FY$26)</f>
        <v>3487145.54194545</v>
      </c>
      <c r="FZ23" s="29">
        <f>IF(FZ$5="Real",INDEX('Informacion de Sam'!$18:$18,MATCH(FZ$6,'Informacion de Sam'!$1:$1,0)),FZ$24-FZ$26)</f>
        <v>3227655.1311120149</v>
      </c>
      <c r="GA23" s="29">
        <f>SUM(FO23:FZ23)</f>
        <v>44929908.299249038</v>
      </c>
      <c r="GB23" s="29">
        <f>IF(GB$5="Real",INDEX('Informacion de Sam'!$18:$18,MATCH(GB$6,'Informacion de Sam'!$1:$1,0)),GB$24-GB$26)</f>
        <v>4225575.7283279933</v>
      </c>
      <c r="GC23" s="29">
        <f>IF(GC$5="Real",INDEX('Informacion de Sam'!$18:$18,MATCH(GC$6,'Informacion de Sam'!$1:$1,0)),GC$24-GC$26)</f>
        <v>5989852.7614992149</v>
      </c>
      <c r="GD23" s="29">
        <f>IF(GD$5="Real",INDEX('Informacion de Sam'!$18:$18,MATCH(GD$6,'Informacion de Sam'!$1:$1,0)),GD$24-GD$26)</f>
        <v>4298737.0908847302</v>
      </c>
      <c r="GE23" s="29">
        <f>IF(GE$5="Real",INDEX('Informacion de Sam'!$18:$18,MATCH(GE$6,'Informacion de Sam'!$1:$1,0)),GE$24-GE$26)</f>
        <v>4397711.9084023349</v>
      </c>
      <c r="GF23" s="29">
        <f>IF(GF$5="Real",INDEX('Informacion de Sam'!$18:$18,MATCH(GF$6,'Informacion de Sam'!$1:$1,0)),GF$24-GF$26)</f>
        <v>3869204.2045938335</v>
      </c>
      <c r="GG23" s="29">
        <f>IF(GG$5="Real",INDEX('Informacion de Sam'!$18:$18,MATCH(GG$6,'Informacion de Sam'!$1:$1,0)),GG$24-GG$26)</f>
        <v>4424866.2437169924</v>
      </c>
      <c r="GH23" s="29">
        <f>IF(GH$5="Real",INDEX('Informacion de Sam'!$18:$18,MATCH(GH$6,'Informacion de Sam'!$1:$1,0)),GH$24-GH$26)</f>
        <v>4776255.5466323681</v>
      </c>
      <c r="GI23" s="29">
        <f>IF(GI$5="Real",INDEX('Informacion de Sam'!$18:$18,MATCH(GI$6,'Informacion de Sam'!$1:$1,0)),GI$24-GI$26)</f>
        <v>7177264.2669465318</v>
      </c>
      <c r="GJ23" s="29">
        <f>IF(GJ$5="Real",INDEX('Informacion de Sam'!$18:$18,MATCH(GJ$6,'Informacion de Sam'!$1:$1,0)),GJ$24-GJ$26)</f>
        <v>4380627.6446184479</v>
      </c>
      <c r="GK23" s="29">
        <f>IF(GK$5="Real",INDEX('Informacion de Sam'!$18:$18,MATCH(GK$6,'Informacion de Sam'!$1:$1,0)),GK$24-GK$26)</f>
        <v>4228789.1371170245</v>
      </c>
      <c r="GL23" s="29">
        <f>IF(GL$5="Real",INDEX('Informacion de Sam'!$18:$18,MATCH(GL$6,'Informacion de Sam'!$1:$1,0)),GL$24-GL$26)</f>
        <v>4358931.9274318106</v>
      </c>
      <c r="GM23" s="29">
        <f>IF(GM$5="Real",INDEX('Informacion de Sam'!$18:$18,MATCH(GM$6,'Informacion de Sam'!$1:$1,0)),GM$24-GM$26)</f>
        <v>4034568.9138900191</v>
      </c>
      <c r="GN23" s="29">
        <f>SUM(GB23:GM23)</f>
        <v>56162385.374061301</v>
      </c>
      <c r="GO23" s="29">
        <f>IF(GO$5="Real",INDEX('Informacion de Sam'!$18:$18,MATCH(GO$6,'Informacion de Sam'!$1:$1,0)),GO$24-GO$26)</f>
        <v>5281969.6604099907</v>
      </c>
      <c r="GP23" s="29">
        <f>IF(GP$5="Real",INDEX('Informacion de Sam'!$18:$18,MATCH(GP$6,'Informacion de Sam'!$1:$1,0)),GP$24-GP$26)</f>
        <v>7487315.9518740177</v>
      </c>
      <c r="GQ23" s="29">
        <f>IF(GQ$5="Real",INDEX('Informacion de Sam'!$18:$18,MATCH(GQ$6,'Informacion de Sam'!$1:$1,0)),GQ$24-GQ$26)</f>
        <v>5373421.3636059128</v>
      </c>
      <c r="GR23" s="29">
        <f>IF(GR$5="Real",INDEX('Informacion de Sam'!$18:$18,MATCH(GR$6,'Informacion de Sam'!$1:$1,0)),GR$24-GR$26)</f>
        <v>5497139.8855029196</v>
      </c>
      <c r="GS23" s="29">
        <f>IF(GS$5="Real",INDEX('Informacion de Sam'!$18:$18,MATCH(GS$6,'Informacion de Sam'!$1:$1,0)),GS$24-GS$26)</f>
        <v>4836505.2557422929</v>
      </c>
      <c r="GT23" s="29">
        <f>IF(GT$5="Real",INDEX('Informacion de Sam'!$18:$18,MATCH(GT$6,'Informacion de Sam'!$1:$1,0)),GT$24-GT$26)</f>
        <v>5531082.8046462387</v>
      </c>
      <c r="GU23" s="29">
        <f>IF(GU$5="Real",INDEX('Informacion de Sam'!$18:$18,MATCH(GU$6,'Informacion de Sam'!$1:$1,0)),GU$24-GU$26)</f>
        <v>5970319.4332904592</v>
      </c>
      <c r="GV23" s="29">
        <f>IF(GV$5="Real",INDEX('Informacion de Sam'!$18:$18,MATCH(GV$6,'Informacion de Sam'!$1:$1,0)),GV$24-GV$26)</f>
        <v>8971580.3336831629</v>
      </c>
      <c r="GW23" s="29">
        <f>IF(GW$5="Real",INDEX('Informacion de Sam'!$18:$18,MATCH(GW$6,'Informacion de Sam'!$1:$1,0)),GW$24-GW$26)</f>
        <v>5475784.5557730533</v>
      </c>
      <c r="GX23" s="29">
        <f>IF(GX$5="Real",INDEX('Informacion de Sam'!$18:$18,MATCH(GX$6,'Informacion de Sam'!$1:$1,0)),GX$24-GX$26)</f>
        <v>5285986.4213962816</v>
      </c>
      <c r="GY23" s="29">
        <f>IF(GY$5="Real",INDEX('Informacion de Sam'!$18:$18,MATCH(GY$6,'Informacion de Sam'!$1:$1,0)),GY$24-GY$26)</f>
        <v>5448664.9092897661</v>
      </c>
      <c r="GZ23" s="29">
        <f>IF(GZ$5="Real",INDEX('Informacion de Sam'!$18:$18,MATCH(GZ$6,'Informacion de Sam'!$1:$1,0)),GZ$24-GZ$26)</f>
        <v>5043211.1423625238</v>
      </c>
      <c r="HA23" s="29">
        <f>SUM(GO23:GZ23)</f>
        <v>70202981.717576623</v>
      </c>
      <c r="HB23" s="29"/>
      <c r="HC23" s="52">
        <f t="shared" si="5"/>
        <v>2687580.4299999997</v>
      </c>
      <c r="HD23" s="52">
        <f t="shared" si="5"/>
        <v>-415506.12000000477</v>
      </c>
      <c r="HE23" s="52">
        <f t="shared" si="5"/>
        <v>-10342326.479999997</v>
      </c>
      <c r="HF23" s="52">
        <f t="shared" si="5"/>
        <v>2323663.5900000036</v>
      </c>
      <c r="HG23" s="52">
        <f t="shared" si="5"/>
        <v>9424528.0299999863</v>
      </c>
      <c r="HH23" s="52">
        <f t="shared" si="5"/>
        <v>252277.34000000358</v>
      </c>
      <c r="HI23" s="52">
        <f t="shared" si="5"/>
        <v>3071288.1559223868</v>
      </c>
      <c r="HJ23" s="52">
        <f t="shared" si="5"/>
        <v>11778105.881198339</v>
      </c>
      <c r="HK23" s="52">
        <f t="shared" si="5"/>
        <v>14722632.35149792</v>
      </c>
      <c r="HL23" s="52">
        <f t="shared" si="5"/>
        <v>18403290.439372402</v>
      </c>
      <c r="HM23" s="52">
        <f t="shared" si="5"/>
        <v>23004113.049215507</v>
      </c>
      <c r="HN23" s="52">
        <f t="shared" si="5"/>
        <v>28755141.311519392</v>
      </c>
      <c r="HO23" s="52">
        <f t="shared" si="5"/>
        <v>35943926.63939923</v>
      </c>
      <c r="HP23" s="52">
        <f t="shared" si="5"/>
        <v>44929908.299249038</v>
      </c>
      <c r="HQ23" s="52">
        <f t="shared" si="5"/>
        <v>56162385.374061301</v>
      </c>
      <c r="HR23" s="52">
        <f t="shared" si="5"/>
        <v>70202981.717576623</v>
      </c>
    </row>
    <row r="24" spans="1:226" x14ac:dyDescent="0.35">
      <c r="A24" t="s">
        <v>65</v>
      </c>
      <c r="B24" s="23">
        <f>IF(B$5="Real",INDEX('Informacion de Sam'!$19:$19,MATCH(B$6,'Informacion de Sam'!$1:$1,0)),B$10*'Supuestos Proyeccion'!$F$27)</f>
        <v>3024484.45</v>
      </c>
      <c r="C24" s="23">
        <f>IF(C$5="Real",INDEX('Informacion de Sam'!$19:$19,MATCH(C$6,'Informacion de Sam'!$1:$1,0)),C$10*'Supuestos Proyeccion'!$F$27)</f>
        <v>3498757.3199999994</v>
      </c>
      <c r="D24" s="23">
        <f>IF(D$5="Real",INDEX('Informacion de Sam'!$19:$19,MATCH(D$6,'Informacion de Sam'!$1:$1,0)),D$10*'Supuestos Proyeccion'!$F$27)</f>
        <v>3751273.3800000008</v>
      </c>
      <c r="E24" s="23">
        <f>IF(E$5="Real",INDEX('Informacion de Sam'!$19:$19,MATCH(E$6,'Informacion de Sam'!$1:$1,0)),E$10*'Supuestos Proyeccion'!$F$27)</f>
        <v>3425475.1399999987</v>
      </c>
      <c r="F24" s="23">
        <f>IF(F$5="Real",INDEX('Informacion de Sam'!$19:$19,MATCH(F$6,'Informacion de Sam'!$1:$1,0)),F$10*'Supuestos Proyeccion'!$F$27)</f>
        <v>3044231.6500000004</v>
      </c>
      <c r="G24" s="23">
        <f>IF(G$5="Real",INDEX('Informacion de Sam'!$19:$19,MATCH(G$6,'Informacion de Sam'!$1:$1,0)),G$10*'Supuestos Proyeccion'!$F$27)</f>
        <v>2587761.2500000019</v>
      </c>
      <c r="H24" s="23">
        <f>IF(H$5="Real",INDEX('Informacion de Sam'!$19:$19,MATCH(H$6,'Informacion de Sam'!$1:$1,0)),H$10*'Supuestos Proyeccion'!$F$27)</f>
        <v>3276083.5700000003</v>
      </c>
      <c r="I24" s="23">
        <f>IF(I$5="Real",INDEX('Informacion de Sam'!$19:$19,MATCH(I$6,'Informacion de Sam'!$1:$1,0)),I$10*'Supuestos Proyeccion'!$F$27)</f>
        <v>6923983.2899999991</v>
      </c>
      <c r="J24" s="23">
        <f>IF(J$5="Real",INDEX('Informacion de Sam'!$19:$19,MATCH(J$6,'Informacion de Sam'!$1:$1,0)),J$10*'Supuestos Proyeccion'!$F$27)</f>
        <v>3564924.0799999982</v>
      </c>
      <c r="K24" s="23">
        <f>IF(K$5="Real",INDEX('Informacion de Sam'!$19:$19,MATCH(K$6,'Informacion de Sam'!$1:$1,0)),K$10*'Supuestos Proyeccion'!$F$27)</f>
        <v>3698943.129999999</v>
      </c>
      <c r="L24" s="23">
        <f>IF(L$5="Real",INDEX('Informacion de Sam'!$19:$19,MATCH(L$6,'Informacion de Sam'!$1:$1,0)),L$10*'Supuestos Proyeccion'!$F$27)</f>
        <v>3926752.3200000003</v>
      </c>
      <c r="M24" s="23">
        <f>IF(M$5="Real",INDEX('Informacion de Sam'!$19:$19,MATCH(M$6,'Informacion de Sam'!$1:$1,0)),M$10*'Supuestos Proyeccion'!$F$27)</f>
        <v>3300743.5</v>
      </c>
      <c r="N24" s="23">
        <f>SUM(B24:M24)</f>
        <v>44023413.079999998</v>
      </c>
      <c r="O24" s="23">
        <f>IF(O$5="Real",INDEX('Informacion de Sam'!$19:$19,MATCH(O$6,'Informacion de Sam'!$1:$1,0)),O$10*'Supuestos Proyeccion'!$F$27)</f>
        <v>3277858.04</v>
      </c>
      <c r="P24" s="23">
        <f>IF(P$5="Real",INDEX('Informacion de Sam'!$19:$19,MATCH(P$6,'Informacion de Sam'!$1:$1,0)),P$10*'Supuestos Proyeccion'!$F$27)</f>
        <v>3554252.5199999996</v>
      </c>
      <c r="Q24" s="23">
        <f>IF(Q$5="Real",INDEX('Informacion de Sam'!$19:$19,MATCH(Q$6,'Informacion de Sam'!$1:$1,0)),Q$10*'Supuestos Proyeccion'!$F$27)</f>
        <v>4027396.4300000006</v>
      </c>
      <c r="R24" s="23">
        <f>IF(R$5="Real",INDEX('Informacion de Sam'!$19:$19,MATCH(R$6,'Informacion de Sam'!$1:$1,0)),R$10*'Supuestos Proyeccion'!$F$27)</f>
        <v>3316764.4499999993</v>
      </c>
      <c r="S24" s="23">
        <f>IF(S$5="Real",INDEX('Informacion de Sam'!$19:$19,MATCH(S$6,'Informacion de Sam'!$1:$1,0)),S$10*'Supuestos Proyeccion'!$F$27)</f>
        <v>3364876.6500000004</v>
      </c>
      <c r="T24" s="23">
        <f>IF(T$5="Real",INDEX('Informacion de Sam'!$19:$19,MATCH(T$6,'Informacion de Sam'!$1:$1,0)),T$10*'Supuestos Proyeccion'!$F$27)</f>
        <v>3613173.3900000006</v>
      </c>
      <c r="U24" s="23">
        <f>IF(U$5="Real",INDEX('Informacion de Sam'!$19:$19,MATCH(U$6,'Informacion de Sam'!$1:$1,0)),U$10*'Supuestos Proyeccion'!$F$27)</f>
        <v>3858499.7699999996</v>
      </c>
      <c r="V24" s="23">
        <f>IF(V$5="Real",INDEX('Informacion de Sam'!$19:$19,MATCH(V$6,'Informacion de Sam'!$1:$1,0)),V$10*'Supuestos Proyeccion'!$F$27)</f>
        <v>7592182.8200000003</v>
      </c>
      <c r="W24" s="23">
        <f>IF(W$5="Real",INDEX('Informacion de Sam'!$19:$19,MATCH(W$6,'Informacion de Sam'!$1:$1,0)),W$10*'Supuestos Proyeccion'!$F$27)</f>
        <v>2019611.8599999994</v>
      </c>
      <c r="X24" s="23">
        <f>IF(X$5="Real",INDEX('Informacion de Sam'!$19:$19,MATCH(X$6,'Informacion de Sam'!$1:$1,0)),X$10*'Supuestos Proyeccion'!$F$27)</f>
        <v>3785578.6799999997</v>
      </c>
      <c r="Y24" s="23">
        <f>IF(Y$5="Real",INDEX('Informacion de Sam'!$19:$19,MATCH(Y$6,'Informacion de Sam'!$1:$1,0)),Y$10*'Supuestos Proyeccion'!$F$27)</f>
        <v>3905050.5600000024</v>
      </c>
      <c r="Z24" s="23">
        <f>IF(Z$5="Real",INDEX('Informacion de Sam'!$19:$19,MATCH(Z$6,'Informacion de Sam'!$1:$1,0)),Z$10*'Supuestos Proyeccion'!$F$27)</f>
        <v>2221386.4799999967</v>
      </c>
      <c r="AA24" s="23">
        <f>SUM(O24:Z24)</f>
        <v>44536631.649999999</v>
      </c>
      <c r="AB24" s="23">
        <f>IF(AB$5="Real",INDEX('Informacion de Sam'!$19:$19,MATCH(AB$6,'Informacion de Sam'!$1:$1,0)),AB$10*'Supuestos Proyeccion'!$F$27)</f>
        <v>3830851.75</v>
      </c>
      <c r="AC24" s="23">
        <f>IF(AC$5="Real",INDEX('Informacion de Sam'!$19:$19,MATCH(AC$6,'Informacion de Sam'!$1:$1,0)),AC$10*'Supuestos Proyeccion'!$F$27)</f>
        <v>4798084.5399999991</v>
      </c>
      <c r="AD24" s="23">
        <f>IF(AD$5="Real",INDEX('Informacion de Sam'!$19:$19,MATCH(AD$6,'Informacion de Sam'!$1:$1,0)),AD$10*'Supuestos Proyeccion'!$F$27)</f>
        <v>4301116.790000001</v>
      </c>
      <c r="AE24" s="23">
        <f>IF(AE$5="Real",INDEX('Informacion de Sam'!$19:$19,MATCH(AE$6,'Informacion de Sam'!$1:$1,0)),AE$10*'Supuestos Proyeccion'!$F$27)</f>
        <v>3992240.33</v>
      </c>
      <c r="AF24" s="23">
        <f>IF(AF$5="Real",INDEX('Informacion de Sam'!$19:$19,MATCH(AF$6,'Informacion de Sam'!$1:$1,0)),AF$10*'Supuestos Proyeccion'!$F$27)</f>
        <v>4204417.0199999996</v>
      </c>
      <c r="AG24" s="23">
        <f>IF(AG$5="Real",INDEX('Informacion de Sam'!$19:$19,MATCH(AG$6,'Informacion de Sam'!$1:$1,0)),AG$10*'Supuestos Proyeccion'!$F$27)</f>
        <v>4483427.5100000016</v>
      </c>
      <c r="AH24" s="23">
        <f>IF(AH$5="Real",INDEX('Informacion de Sam'!$19:$19,MATCH(AH$6,'Informacion de Sam'!$1:$1,0)),AH$10*'Supuestos Proyeccion'!$F$27)</f>
        <v>9109704.0599999987</v>
      </c>
      <c r="AI24" s="23">
        <f>IF(AI$5="Real",INDEX('Informacion de Sam'!$19:$19,MATCH(AI$6,'Informacion de Sam'!$1:$1,0)),AI$10*'Supuestos Proyeccion'!$F$27)</f>
        <v>5942813.3599999994</v>
      </c>
      <c r="AJ24" s="23">
        <f>IF(AJ$5="Real",INDEX('Informacion de Sam'!$19:$19,MATCH(AJ$6,'Informacion de Sam'!$1:$1,0)),AJ$10*'Supuestos Proyeccion'!$F$27)</f>
        <v>3999655.7599999979</v>
      </c>
      <c r="AK24" s="23">
        <f>IF(AK$5="Real",INDEX('Informacion de Sam'!$19:$19,MATCH(AK$6,'Informacion de Sam'!$1:$1,0)),AK$10*'Supuestos Proyeccion'!$F$27)</f>
        <v>4138935.9299999997</v>
      </c>
      <c r="AL24" s="23">
        <f>IF(AL$5="Real",INDEX('Informacion de Sam'!$19:$19,MATCH(AL$6,'Informacion de Sam'!$1:$1,0)),AL$10*'Supuestos Proyeccion'!$F$27)</f>
        <v>5269448.2700000033</v>
      </c>
      <c r="AM24" s="23">
        <f>IF(AM$5="Real",INDEX('Informacion de Sam'!$19:$19,MATCH(AM$6,'Informacion de Sam'!$1:$1,0)),AM$10*'Supuestos Proyeccion'!$F$27)</f>
        <v>793401.27000000328</v>
      </c>
      <c r="AN24" s="23">
        <f>SUM(AB24:AM24)</f>
        <v>54864096.590000004</v>
      </c>
      <c r="AO24" s="23">
        <f>IF(AO$5="Real",INDEX('Informacion de Sam'!$19:$19,MATCH(AO$6,'Informacion de Sam'!$1:$1,0)),AO$10*'Supuestos Proyeccion'!$F$27)</f>
        <v>4240265.3499999996</v>
      </c>
      <c r="AP24" s="23">
        <f>IF(AP$5="Real",INDEX('Informacion de Sam'!$19:$19,MATCH(AP$6,'Informacion de Sam'!$1:$1,0)),AP$10*'Supuestos Proyeccion'!$F$27)</f>
        <v>4963076.1899999995</v>
      </c>
      <c r="AQ24" s="23">
        <f>IF(AQ$5="Real",INDEX('Informacion de Sam'!$19:$19,MATCH(AQ$6,'Informacion de Sam'!$1:$1,0)),AQ$10*'Supuestos Proyeccion'!$F$27)</f>
        <v>4741762.3600000013</v>
      </c>
      <c r="AR24" s="23">
        <f>IF(AR$5="Real",INDEX('Informacion de Sam'!$19:$19,MATCH(AR$6,'Informacion de Sam'!$1:$1,0)),AR$10*'Supuestos Proyeccion'!$F$27)</f>
        <v>3228950.0200000014</v>
      </c>
      <c r="AS24" s="23">
        <f>IF(AS$5="Real",INDEX('Informacion de Sam'!$19:$19,MATCH(AS$6,'Informacion de Sam'!$1:$1,0)),AS$10*'Supuestos Proyeccion'!$F$27)</f>
        <v>4863788.5299999975</v>
      </c>
      <c r="AT24" s="23">
        <f>IF(AT$5="Real",INDEX('Informacion de Sam'!$19:$19,MATCH(AT$6,'Informacion de Sam'!$1:$1,0)),AT$10*'Supuestos Proyeccion'!$F$27)</f>
        <v>5259635.120000001</v>
      </c>
      <c r="AU24" s="23">
        <f>IF(AU$5="Real",INDEX('Informacion de Sam'!$19:$19,MATCH(AU$6,'Informacion de Sam'!$1:$1,0)),AU$10*'Supuestos Proyeccion'!$F$27)</f>
        <v>7478272.6700000018</v>
      </c>
      <c r="AV24" s="23">
        <f>IF(AV$5="Real",INDEX('Informacion de Sam'!$19:$19,MATCH(AV$6,'Informacion de Sam'!$1:$1,0)),AV$10*'Supuestos Proyeccion'!$F$27)</f>
        <v>11192491.079999998</v>
      </c>
      <c r="AW24" s="23">
        <f>IF(AW$5="Real",INDEX('Informacion de Sam'!$19:$19,MATCH(AW$6,'Informacion de Sam'!$1:$1,0)),AW$10*'Supuestos Proyeccion'!$F$27)</f>
        <v>6454812.8800000027</v>
      </c>
      <c r="AX24" s="23">
        <f>IF(AX$5="Real",INDEX('Informacion de Sam'!$19:$19,MATCH(AX$6,'Informacion de Sam'!$1:$1,0)),AX$10*'Supuestos Proyeccion'!$F$27)</f>
        <v>6090431.599999994</v>
      </c>
      <c r="AY24" s="23">
        <f>IF(AY$5="Real",INDEX('Informacion de Sam'!$19:$19,MATCH(AY$6,'Informacion de Sam'!$1:$1,0)),AY$10*'Supuestos Proyeccion'!$F$27)</f>
        <v>6737528.8599999994</v>
      </c>
      <c r="AZ24" s="23">
        <f>IF(AZ$5="Real",INDEX('Informacion de Sam'!$19:$19,MATCH(AZ$6,'Informacion de Sam'!$1:$1,0)),AZ$10*'Supuestos Proyeccion'!$F$27)</f>
        <v>5083506.0300000012</v>
      </c>
      <c r="BA24" s="23">
        <f>SUM(AO24:AZ24)</f>
        <v>70334520.689999998</v>
      </c>
      <c r="BB24" s="23">
        <f>IF(BB$5="Real",INDEX('Informacion de Sam'!$19:$19,MATCH(BB$6,'Informacion de Sam'!$1:$1,0)),BB$10*'Supuestos Proyeccion'!$F$27)</f>
        <v>7924344.0099999998</v>
      </c>
      <c r="BC24" s="23">
        <f>IF(BC$5="Real",INDEX('Informacion de Sam'!$19:$19,MATCH(BC$6,'Informacion de Sam'!$1:$1,0)),BC$10*'Supuestos Proyeccion'!$F$27)</f>
        <v>6512949.6799999997</v>
      </c>
      <c r="BD24" s="23">
        <f>IF(BD$5="Real",INDEX('Informacion de Sam'!$19:$19,MATCH(BD$6,'Informacion de Sam'!$1:$1,0)),BD$10*'Supuestos Proyeccion'!$F$27)</f>
        <v>5290897.3899999987</v>
      </c>
      <c r="BE24" s="23">
        <f>IF(BE$5="Real",INDEX('Informacion de Sam'!$19:$19,MATCH(BE$6,'Informacion de Sam'!$1:$1,0)),BE$10*'Supuestos Proyeccion'!$F$27)</f>
        <v>5516307.3900000006</v>
      </c>
      <c r="BF24" s="23">
        <f>IF(BF$5="Real",INDEX('Informacion de Sam'!$19:$19,MATCH(BF$6,'Informacion de Sam'!$1:$1,0)),BF$10*'Supuestos Proyeccion'!$F$27)</f>
        <v>6240834.6500000022</v>
      </c>
      <c r="BG24" s="23">
        <f>IF(BG$5="Real",INDEX('Informacion de Sam'!$19:$19,MATCH(BG$6,'Informacion de Sam'!$1:$1,0)),BG$10*'Supuestos Proyeccion'!$F$27)</f>
        <v>4524763.2799999975</v>
      </c>
      <c r="BH24" s="23">
        <f>IF(BH$5="Real",INDEX('Informacion de Sam'!$19:$19,MATCH(BH$6,'Informacion de Sam'!$1:$1,0)),BH$10*'Supuestos Proyeccion'!$F$27)</f>
        <v>4608769.3100000024</v>
      </c>
      <c r="BI24" s="23">
        <f>IF(BI$5="Real",INDEX('Informacion de Sam'!$19:$19,MATCH(BI$6,'Informacion de Sam'!$1:$1,0)),BI$10*'Supuestos Proyeccion'!$F$27)</f>
        <v>12529886.949999996</v>
      </c>
      <c r="BJ24" s="23">
        <f>IF(BJ$5="Real",INDEX('Informacion de Sam'!$19:$19,MATCH(BJ$6,'Informacion de Sam'!$1:$1,0)),BJ$10*'Supuestos Proyeccion'!$F$27)</f>
        <v>5625694.6400000006</v>
      </c>
      <c r="BK24" s="23">
        <f>IF(BK$5="Real",INDEX('Informacion de Sam'!$19:$19,MATCH(BK$6,'Informacion de Sam'!$1:$1,0)),BK$10*'Supuestos Proyeccion'!$F$27)</f>
        <v>5829959.0300000012</v>
      </c>
      <c r="BL24" s="23">
        <f>IF(BL$5="Real",INDEX('Informacion de Sam'!$19:$19,MATCH(BL$6,'Informacion de Sam'!$1:$1,0)),BL$10*'Supuestos Proyeccion'!$F$27)</f>
        <v>7402726.2399999946</v>
      </c>
      <c r="BM24" s="23">
        <f>IF(BM$5="Real",INDEX('Informacion de Sam'!$19:$19,MATCH(BM$6,'Informacion de Sam'!$1:$1,0)),BM$10*'Supuestos Proyeccion'!$F$27)</f>
        <v>4799851.8900000006</v>
      </c>
      <c r="BN24" s="23">
        <f>SUM(BB24:BM24)</f>
        <v>76806984.459999993</v>
      </c>
      <c r="BO24" s="23">
        <f>IF(BO$5="Real",INDEX('Informacion de Sam'!$19:$19,MATCH(BO$6,'Informacion de Sam'!$1:$1,0)),BO$10*'Supuestos Proyeccion'!$F$27)</f>
        <v>6580103.0999999996</v>
      </c>
      <c r="BP24" s="23">
        <f>IF(BP$5="Real",INDEX('Informacion de Sam'!$19:$19,MATCH(BP$6,'Informacion de Sam'!$1:$1,0)),BP$10*'Supuestos Proyeccion'!$F$27)</f>
        <v>6094848.6799999997</v>
      </c>
      <c r="BQ24" s="23">
        <f>IF(BQ$5="Real",INDEX('Informacion de Sam'!$19:$19,MATCH(BQ$6,'Informacion de Sam'!$1:$1,0)),BQ$10*'Supuestos Proyeccion'!$F$27)</f>
        <v>7072791.5600000005</v>
      </c>
      <c r="BR24" s="23">
        <f>IF(BR$5="Real",INDEX('Informacion de Sam'!$19:$19,MATCH(BR$6,'Informacion de Sam'!$1:$1,0)),BR$10*'Supuestos Proyeccion'!$F$27)</f>
        <v>2982831.3200000003</v>
      </c>
      <c r="BS24" s="23">
        <f>IF(BS$5="Real",INDEX('Informacion de Sam'!$19:$19,MATCH(BS$6,'Informacion de Sam'!$1:$1,0)),BS$10*'Supuestos Proyeccion'!$F$27)</f>
        <v>4745091.9899999984</v>
      </c>
      <c r="BT24" s="23">
        <f>IF(BT$5="Real",INDEX('Informacion de Sam'!$19:$19,MATCH(BT$6,'Informacion de Sam'!$1:$1,0)),BT$10*'Supuestos Proyeccion'!$F$27)</f>
        <v>5170294.2100000009</v>
      </c>
      <c r="BU24" s="23">
        <f>IF(BU$5="Real",INDEX('Informacion de Sam'!$19:$19,MATCH(BU$6,'Informacion de Sam'!$1:$1,0)),BU$10*'Supuestos Proyeccion'!$F$27)</f>
        <v>5789330.299999997</v>
      </c>
      <c r="BV24" s="23">
        <f>IF(BV$5="Real",INDEX('Informacion de Sam'!$19:$19,MATCH(BV$6,'Informacion de Sam'!$1:$1,0)),BV$10*'Supuestos Proyeccion'!$F$27)</f>
        <v>5605692.3500000015</v>
      </c>
      <c r="BW24" s="23">
        <f>IF(BW$5="Real",INDEX('Informacion de Sam'!$19:$19,MATCH(BW$6,'Informacion de Sam'!$1:$1,0)),BW$10*'Supuestos Proyeccion'!$F$27)</f>
        <v>5699791.0600000024</v>
      </c>
      <c r="BX24" s="23">
        <f>IF(BX$5="Real",INDEX('Informacion de Sam'!$19:$19,MATCH(BX$6,'Informacion de Sam'!$1:$1,0)),BX$10*'Supuestos Proyeccion'!$F$27)</f>
        <v>4546605.9200000018</v>
      </c>
      <c r="BY24" s="23">
        <f>IF(BY$5="Real",INDEX('Informacion de Sam'!$19:$19,MATCH(BY$6,'Informacion de Sam'!$1:$1,0)),BY$10*'Supuestos Proyeccion'!$F$27)</f>
        <v>4531253.8999999985</v>
      </c>
      <c r="BZ24" s="23">
        <f>IF(BZ$5="Real",INDEX('Informacion de Sam'!$19:$19,MATCH(BZ$6,'Informacion de Sam'!$1:$1,0)),BZ$10*'Supuestos Proyeccion'!$F$27)</f>
        <v>2897551.2800000012</v>
      </c>
      <c r="CA24" s="23">
        <f>SUM(BO24:BZ24)</f>
        <v>61716185.670000002</v>
      </c>
      <c r="CB24" s="23">
        <f>IF(CB$5="Real",INDEX('Informacion de Sam'!$19:$19,MATCH(CB$6,'Informacion de Sam'!$1:$1,0)),CB$10*'Supuestos Proyeccion'!$F$27)</f>
        <v>4980433.01</v>
      </c>
      <c r="CC24" s="23">
        <f>IF(CC$5="Real",INDEX('Informacion de Sam'!$19:$19,MATCH(CC$6,'Informacion de Sam'!$1:$1,0)),CC$10*'Supuestos Proyeccion'!$F$27)</f>
        <v>5846744.9900000002</v>
      </c>
      <c r="CD24" s="23">
        <f>IF(CD$5="Real",INDEX('Informacion de Sam'!$19:$19,MATCH(CD$6,'Informacion de Sam'!$1:$1,0)),CD$10*'Supuestos Proyeccion'!$F$27)</f>
        <v>5075350.07</v>
      </c>
      <c r="CE24" s="23">
        <f>IF(CE$5="Real",INDEX('Informacion de Sam'!$19:$19,MATCH(CE$6,'Informacion de Sam'!$1:$1,0)),CE$10*'Supuestos Proyeccion'!$F$27)</f>
        <v>4581437.3500000015</v>
      </c>
      <c r="CF24" s="23">
        <f>IF(CF$5="Real",INDEX('Informacion de Sam'!$19:$19,MATCH(CF$6,'Informacion de Sam'!$1:$1,0)),CF$10*'Supuestos Proyeccion'!$F$27)</f>
        <v>4315722.9099999964</v>
      </c>
      <c r="CG24" s="23">
        <f>IF(CG$5="Real",INDEX('Informacion de Sam'!$19:$19,MATCH(CG$6,'Informacion de Sam'!$1:$1,0)),CG$10*'Supuestos Proyeccion'!$F$27)</f>
        <v>4104502.0100000016</v>
      </c>
      <c r="CH24" s="23">
        <f>IF(CH$5="Real",INDEX('Informacion de Sam'!$19:$19,MATCH(CH$6,'Informacion de Sam'!$1:$1,0)),CH$10*'Supuestos Proyeccion'!$F$27)</f>
        <v>2903721.4899999984</v>
      </c>
      <c r="CI24" s="23">
        <f>IF(CI$5="Real",INDEX('Informacion de Sam'!$19:$19,MATCH(CI$6,'Informacion de Sam'!$1:$1,0)),CI$10*'Supuestos Proyeccion'!$F$27)</f>
        <v>4370450.3299999982</v>
      </c>
      <c r="CJ24" s="23">
        <f>IF(CJ$5="Real",INDEX('Informacion de Sam'!$19:$19,MATCH(CJ$6,'Informacion de Sam'!$1:$1,0)),CJ$10*'Supuestos Proyeccion'!$F$27)</f>
        <v>4282195.8054044452</v>
      </c>
      <c r="CK24" s="23">
        <f>IF(CK$5="Real",INDEX('Informacion de Sam'!$19:$19,MATCH(CK$6,'Informacion de Sam'!$1:$1,0)),CK$10*'Supuestos Proyeccion'!$F$27)</f>
        <v>4133769.0792205338</v>
      </c>
      <c r="CL24" s="23">
        <f>IF(CL$5="Real",INDEX('Informacion de Sam'!$19:$19,MATCH(CL$6,'Informacion de Sam'!$1:$1,0)),CL$10*'Supuestos Proyeccion'!$F$27)</f>
        <v>4260987.5867041033</v>
      </c>
      <c r="CM24" s="23">
        <f>IF(CM$5="Real",INDEX('Informacion de Sam'!$19:$19,MATCH(CM$6,'Informacion de Sam'!$1:$1,0)),CM$10*'Supuestos Proyeccion'!$F$27)</f>
        <v>3943912.9461047421</v>
      </c>
      <c r="CN24" s="23">
        <f>SUM(CB24:CM24)</f>
        <v>52799227.577433825</v>
      </c>
      <c r="CO24" s="23">
        <f>IF(CO$5="Real",INDEX('Informacion de Sam'!$19:$19,MATCH(CO$6,'Informacion de Sam'!$1:$1,0)),CO$10*'Supuestos Proyeccion'!$F$27)</f>
        <v>5163284.8438665448</v>
      </c>
      <c r="CP24" s="23">
        <f>IF(CP$5="Real",INDEX('Informacion de Sam'!$19:$19,MATCH(CP$6,'Informacion de Sam'!$1:$1,0)),CP$10*'Supuestos Proyeccion'!$F$27)</f>
        <v>7319077.4391064104</v>
      </c>
      <c r="CQ24" s="23">
        <f>IF(CQ$5="Real",INDEX('Informacion de Sam'!$19:$19,MATCH(CQ$6,'Informacion de Sam'!$1:$1,0)),CQ$10*'Supuestos Proyeccion'!$F$27)</f>
        <v>5252681.6453280337</v>
      </c>
      <c r="CR24" s="23">
        <f>IF(CR$5="Real",INDEX('Informacion de Sam'!$19:$19,MATCH(CR$6,'Informacion de Sam'!$1:$1,0)),CR$10*'Supuestos Proyeccion'!$F$27)</f>
        <v>5373620.2364381524</v>
      </c>
      <c r="CS24" s="23">
        <f>IF(CS$5="Real",INDEX('Informacion de Sam'!$19:$19,MATCH(CS$6,'Informacion de Sam'!$1:$1,0)),CS$10*'Supuestos Proyeccion'!$F$27)</f>
        <v>4727829.9365158975</v>
      </c>
      <c r="CT24" s="23">
        <f>IF(CT$5="Real",INDEX('Informacion de Sam'!$19:$19,MATCH(CT$6,'Informacion de Sam'!$1:$1,0)),CT$10*'Supuestos Proyeccion'!$F$27)</f>
        <v>5406800.4648826448</v>
      </c>
      <c r="CU24" s="23">
        <f>IF(CU$5="Real",INDEX('Informacion de Sam'!$19:$19,MATCH(CU$6,'Informacion de Sam'!$1:$1,0)),CU$10*'Supuestos Proyeccion'!$F$27)</f>
        <v>5836167.5331088016</v>
      </c>
      <c r="CV24" s="23">
        <f>IF(CV$5="Real",INDEX('Informacion de Sam'!$19:$19,MATCH(CV$6,'Informacion de Sam'!$1:$1,0)),CV$10*'Supuestos Proyeccion'!$F$27)</f>
        <v>8769990.6929873955</v>
      </c>
      <c r="CW24" s="23">
        <f>IF(CW$5="Real",INDEX('Informacion de Sam'!$19:$19,MATCH(CW$6,'Informacion de Sam'!$1:$1,0)),CW$10*'Supuestos Proyeccion'!$F$27)</f>
        <v>5352744.7567555569</v>
      </c>
      <c r="CX24" s="23">
        <f>IF(CX$5="Real",INDEX('Informacion de Sam'!$19:$19,MATCH(CX$6,'Informacion de Sam'!$1:$1,0)),CX$10*'Supuestos Proyeccion'!$F$27)</f>
        <v>5167211.3490256667</v>
      </c>
      <c r="CY24" s="23">
        <f>IF(CY$5="Real",INDEX('Informacion de Sam'!$19:$19,MATCH(CY$6,'Informacion de Sam'!$1:$1,0)),CY$10*'Supuestos Proyeccion'!$F$27)</f>
        <v>5326234.4833801286</v>
      </c>
      <c r="CZ24" s="23">
        <f>IF(CZ$5="Real",INDEX('Informacion de Sam'!$19:$19,MATCH(CZ$6,'Informacion de Sam'!$1:$1,0)),CZ$10*'Supuestos Proyeccion'!$F$27)</f>
        <v>4929891.1826309273</v>
      </c>
      <c r="DA24" s="23">
        <f>SUM(CO24:CZ24)</f>
        <v>68625534.564026177</v>
      </c>
      <c r="DB24" s="23">
        <f>IF(DB$5="Real",INDEX('Informacion de Sam'!$19:$19,MATCH(DB$6,'Informacion de Sam'!$1:$1,0)),DB$10*'Supuestos Proyeccion'!$F$27)</f>
        <v>6454106.0548331812</v>
      </c>
      <c r="DC24" s="23">
        <f>IF(DC$5="Real",INDEX('Informacion de Sam'!$19:$19,MATCH(DC$6,'Informacion de Sam'!$1:$1,0)),DC$10*'Supuestos Proyeccion'!$F$27)</f>
        <v>9148846.7988830134</v>
      </c>
      <c r="DD24" s="23">
        <f>IF(DD$5="Real",INDEX('Informacion de Sam'!$19:$19,MATCH(DD$6,'Informacion de Sam'!$1:$1,0)),DD$10*'Supuestos Proyeccion'!$F$27)</f>
        <v>6565852.0566600421</v>
      </c>
      <c r="DE24" s="23">
        <f>IF(DE$5="Real",INDEX('Informacion de Sam'!$19:$19,MATCH(DE$6,'Informacion de Sam'!$1:$1,0)),DE$10*'Supuestos Proyeccion'!$F$27)</f>
        <v>6717025.2955476912</v>
      </c>
      <c r="DF24" s="23">
        <f>IF(DF$5="Real",INDEX('Informacion de Sam'!$19:$19,MATCH(DF$6,'Informacion de Sam'!$1:$1,0)),DF$10*'Supuestos Proyeccion'!$F$27)</f>
        <v>5909787.4206448719</v>
      </c>
      <c r="DG24" s="23">
        <f>IF(DG$5="Real",INDEX('Informacion de Sam'!$19:$19,MATCH(DG$6,'Informacion de Sam'!$1:$1,0)),DG$10*'Supuestos Proyeccion'!$F$27)</f>
        <v>6758500.5811033063</v>
      </c>
      <c r="DH24" s="23">
        <f>IF(DH$5="Real",INDEX('Informacion de Sam'!$19:$19,MATCH(DH$6,'Informacion de Sam'!$1:$1,0)),DH$10*'Supuestos Proyeccion'!$F$27)</f>
        <v>7295209.4163860017</v>
      </c>
      <c r="DI24" s="23">
        <f>IF(DI$5="Real",INDEX('Informacion de Sam'!$19:$19,MATCH(DI$6,'Informacion de Sam'!$1:$1,0)),DI$10*'Supuestos Proyeccion'!$F$27)</f>
        <v>10962488.366234245</v>
      </c>
      <c r="DJ24" s="23">
        <f>IF(DJ$5="Real",INDEX('Informacion de Sam'!$19:$19,MATCH(DJ$6,'Informacion de Sam'!$1:$1,0)),DJ$10*'Supuestos Proyeccion'!$F$27)</f>
        <v>6690930.9459444461</v>
      </c>
      <c r="DK24" s="23">
        <f>IF(DK$5="Real",INDEX('Informacion de Sam'!$19:$19,MATCH(DK$6,'Informacion de Sam'!$1:$1,0)),DK$10*'Supuestos Proyeccion'!$F$27)</f>
        <v>6459014.1862820834</v>
      </c>
      <c r="DL24" s="23">
        <f>IF(DL$5="Real",INDEX('Informacion de Sam'!$19:$19,MATCH(DL$6,'Informacion de Sam'!$1:$1,0)),DL$10*'Supuestos Proyeccion'!$F$27)</f>
        <v>6657793.1042251606</v>
      </c>
      <c r="DM24" s="23">
        <f>IF(DM$5="Real",INDEX('Informacion de Sam'!$19:$19,MATCH(DM$6,'Informacion de Sam'!$1:$1,0)),DM$10*'Supuestos Proyeccion'!$F$27)</f>
        <v>6162363.9782886598</v>
      </c>
      <c r="DN24" s="23">
        <f>SUM(DB24:DM24)</f>
        <v>85781918.205032691</v>
      </c>
      <c r="DO24" s="23">
        <f>IF(DO$5="Real",INDEX('Informacion de Sam'!$19:$19,MATCH(DO$6,'Informacion de Sam'!$1:$1,0)),DO$10*'Supuestos Proyeccion'!$F$27)</f>
        <v>8067632.5685414765</v>
      </c>
      <c r="DP24" s="23">
        <f>IF(DP$5="Real",INDEX('Informacion de Sam'!$19:$19,MATCH(DP$6,'Informacion de Sam'!$1:$1,0)),DP$10*'Supuestos Proyeccion'!$F$27)</f>
        <v>11436058.498603767</v>
      </c>
      <c r="DQ24" s="23">
        <f>IF(DQ$5="Real",INDEX('Informacion de Sam'!$19:$19,MATCH(DQ$6,'Informacion de Sam'!$1:$1,0)),DQ$10*'Supuestos Proyeccion'!$F$27)</f>
        <v>8207315.0708250515</v>
      </c>
      <c r="DR24" s="23">
        <f>IF(DR$5="Real",INDEX('Informacion de Sam'!$19:$19,MATCH(DR$6,'Informacion de Sam'!$1:$1,0)),DR$10*'Supuestos Proyeccion'!$F$27)</f>
        <v>8396281.6194346137</v>
      </c>
      <c r="DS24" s="23">
        <f>IF(DS$5="Real",INDEX('Informacion de Sam'!$19:$19,MATCH(DS$6,'Informacion de Sam'!$1:$1,0)),DS$10*'Supuestos Proyeccion'!$F$27)</f>
        <v>7387234.2758060899</v>
      </c>
      <c r="DT24" s="23">
        <f>IF(DT$5="Real",INDEX('Informacion de Sam'!$19:$19,MATCH(DT$6,'Informacion de Sam'!$1:$1,0)),DT$10*'Supuestos Proyeccion'!$F$27)</f>
        <v>8448125.7263791338</v>
      </c>
      <c r="DU24" s="23">
        <f>IF(DU$5="Real",INDEX('Informacion de Sam'!$19:$19,MATCH(DU$6,'Informacion de Sam'!$1:$1,0)),DU$10*'Supuestos Proyeccion'!$F$27)</f>
        <v>9119011.7704825029</v>
      </c>
      <c r="DV24" s="23">
        <f>IF(DV$5="Real",INDEX('Informacion de Sam'!$19:$19,MATCH(DV$6,'Informacion de Sam'!$1:$1,0)),DV$10*'Supuestos Proyeccion'!$F$27)</f>
        <v>13703110.457792806</v>
      </c>
      <c r="DW24" s="23">
        <f>IF(DW$5="Real",INDEX('Informacion de Sam'!$19:$19,MATCH(DW$6,'Informacion de Sam'!$1:$1,0)),DW$10*'Supuestos Proyeccion'!$F$27)</f>
        <v>8363663.6824305579</v>
      </c>
      <c r="DX24" s="23">
        <f>IF(DX$5="Real",INDEX('Informacion de Sam'!$19:$19,MATCH(DX$6,'Informacion de Sam'!$1:$1,0)),DX$10*'Supuestos Proyeccion'!$F$27)</f>
        <v>8073767.7328526052</v>
      </c>
      <c r="DY24" s="23">
        <f>IF(DY$5="Real",INDEX('Informacion de Sam'!$19:$19,MATCH(DY$6,'Informacion de Sam'!$1:$1,0)),DY$10*'Supuestos Proyeccion'!$F$27)</f>
        <v>8322241.3802814512</v>
      </c>
      <c r="DZ24" s="23">
        <f>IF(DZ$5="Real",INDEX('Informacion de Sam'!$19:$19,MATCH(DZ$6,'Informacion de Sam'!$1:$1,0)),DZ$10*'Supuestos Proyeccion'!$F$27)</f>
        <v>7702954.9728608243</v>
      </c>
      <c r="EA24" s="23">
        <f>SUM(DO24:DZ24)</f>
        <v>107227397.7562909</v>
      </c>
      <c r="EB24" s="23">
        <f>IF(EB$5="Real",INDEX('Informacion de Sam'!$19:$19,MATCH(EB$6,'Informacion de Sam'!$1:$1,0)),EB$10*'Supuestos Proyeccion'!$F$27)</f>
        <v>10084540.710676847</v>
      </c>
      <c r="EC24" s="23">
        <f>IF(EC$5="Real",INDEX('Informacion de Sam'!$19:$19,MATCH(EC$6,'Informacion de Sam'!$1:$1,0)),EC$10*'Supuestos Proyeccion'!$F$27)</f>
        <v>14295073.123254709</v>
      </c>
      <c r="ED24" s="23">
        <f>IF(ED$5="Real",INDEX('Informacion de Sam'!$19:$19,MATCH(ED$6,'Informacion de Sam'!$1:$1,0)),ED$10*'Supuestos Proyeccion'!$F$27)</f>
        <v>10259143.838531315</v>
      </c>
      <c r="EE24" s="23">
        <f>IF(EE$5="Real",INDEX('Informacion de Sam'!$19:$19,MATCH(EE$6,'Informacion de Sam'!$1:$1,0)),EE$10*'Supuestos Proyeccion'!$F$27)</f>
        <v>10495352.024293268</v>
      </c>
      <c r="EF24" s="23">
        <f>IF(EF$5="Real",INDEX('Informacion de Sam'!$19:$19,MATCH(EF$6,'Informacion de Sam'!$1:$1,0)),EF$10*'Supuestos Proyeccion'!$F$27)</f>
        <v>9234042.8447576128</v>
      </c>
      <c r="EG24" s="23">
        <f>IF(EG$5="Real",INDEX('Informacion de Sam'!$19:$19,MATCH(EG$6,'Informacion de Sam'!$1:$1,0)),EG$10*'Supuestos Proyeccion'!$F$27)</f>
        <v>10560157.157973917</v>
      </c>
      <c r="EH24" s="23">
        <f>IF(EH$5="Real",INDEX('Informacion de Sam'!$19:$19,MATCH(EH$6,'Informacion de Sam'!$1:$1,0)),EH$10*'Supuestos Proyeccion'!$F$27)</f>
        <v>11398764.713103129</v>
      </c>
      <c r="EI24" s="23">
        <f>IF(EI$5="Real",INDEX('Informacion de Sam'!$19:$19,MATCH(EI$6,'Informacion de Sam'!$1:$1,0)),EI$10*'Supuestos Proyeccion'!$F$27)</f>
        <v>17128888.072241008</v>
      </c>
      <c r="EJ24" s="23">
        <f>IF(EJ$5="Real",INDEX('Informacion de Sam'!$19:$19,MATCH(EJ$6,'Informacion de Sam'!$1:$1,0)),EJ$10*'Supuestos Proyeccion'!$F$27)</f>
        <v>10454579.603038197</v>
      </c>
      <c r="EK24" s="23">
        <f>IF(EK$5="Real",INDEX('Informacion de Sam'!$19:$19,MATCH(EK$6,'Informacion de Sam'!$1:$1,0)),EK$10*'Supuestos Proyeccion'!$F$27)</f>
        <v>10092209.666065756</v>
      </c>
      <c r="EL24" s="23">
        <f>IF(EL$5="Real",INDEX('Informacion de Sam'!$19:$19,MATCH(EL$6,'Informacion de Sam'!$1:$1,0)),EL$10*'Supuestos Proyeccion'!$F$27)</f>
        <v>10402801.725351814</v>
      </c>
      <c r="EM24" s="23">
        <f>IF(EM$5="Real",INDEX('Informacion de Sam'!$19:$19,MATCH(EM$6,'Informacion de Sam'!$1:$1,0)),EM$10*'Supuestos Proyeccion'!$F$27)</f>
        <v>9628693.7160760313</v>
      </c>
      <c r="EN24" s="23">
        <f>SUM(EB24:EM24)</f>
        <v>134034247.1953636</v>
      </c>
      <c r="EO24" s="23">
        <f>IF(EO$5="Real",INDEX('Informacion de Sam'!$19:$19,MATCH(EO$6,'Informacion de Sam'!$1:$1,0)),EO$10*'Supuestos Proyeccion'!$F$27)</f>
        <v>12605675.888346057</v>
      </c>
      <c r="EP24" s="23">
        <f>IF(EP$5="Real",INDEX('Informacion de Sam'!$19:$19,MATCH(EP$6,'Informacion de Sam'!$1:$1,0)),EP$10*'Supuestos Proyeccion'!$F$27)</f>
        <v>17868841.404068384</v>
      </c>
      <c r="EQ24" s="23">
        <f>IF(EQ$5="Real",INDEX('Informacion de Sam'!$19:$19,MATCH(EQ$6,'Informacion de Sam'!$1:$1,0)),EQ$10*'Supuestos Proyeccion'!$F$27)</f>
        <v>12823929.798164144</v>
      </c>
      <c r="ER24" s="23">
        <f>IF(ER$5="Real",INDEX('Informacion de Sam'!$19:$19,MATCH(ER$6,'Informacion de Sam'!$1:$1,0)),ER$10*'Supuestos Proyeccion'!$F$27)</f>
        <v>13119190.030366585</v>
      </c>
      <c r="ES24" s="23">
        <f>IF(ES$5="Real",INDEX('Informacion de Sam'!$19:$19,MATCH(ES$6,'Informacion de Sam'!$1:$1,0)),ES$10*'Supuestos Proyeccion'!$F$27)</f>
        <v>11542553.555947015</v>
      </c>
      <c r="ET24" s="23">
        <f>IF(ET$5="Real",INDEX('Informacion de Sam'!$19:$19,MATCH(ET$6,'Informacion de Sam'!$1:$1,0)),ET$10*'Supuestos Proyeccion'!$F$27)</f>
        <v>13200196.447467396</v>
      </c>
      <c r="EU24" s="23">
        <f>IF(EU$5="Real",INDEX('Informacion de Sam'!$19:$19,MATCH(EU$6,'Informacion de Sam'!$1:$1,0)),EU$10*'Supuestos Proyeccion'!$F$27)</f>
        <v>14248455.891378909</v>
      </c>
      <c r="EV24" s="23">
        <f>IF(EV$5="Real",INDEX('Informacion de Sam'!$19:$19,MATCH(EV$6,'Informacion de Sam'!$1:$1,0)),EV$10*'Supuestos Proyeccion'!$F$27)</f>
        <v>21411110.09030126</v>
      </c>
      <c r="EW24" s="23">
        <f>IF(EW$5="Real",INDEX('Informacion de Sam'!$19:$19,MATCH(EW$6,'Informacion de Sam'!$1:$1,0)),EW$10*'Supuestos Proyeccion'!$F$27)</f>
        <v>13068224.503797747</v>
      </c>
      <c r="EX24" s="23">
        <f>IF(EX$5="Real",INDEX('Informacion de Sam'!$19:$19,MATCH(EX$6,'Informacion de Sam'!$1:$1,0)),EX$10*'Supuestos Proyeccion'!$F$27)</f>
        <v>12615262.082582194</v>
      </c>
      <c r="EY24" s="23">
        <f>IF(EY$5="Real",INDEX('Informacion de Sam'!$19:$19,MATCH(EY$6,'Informacion de Sam'!$1:$1,0)),EY$10*'Supuestos Proyeccion'!$F$27)</f>
        <v>13003502.156689767</v>
      </c>
      <c r="EZ24" s="23">
        <f>IF(EZ$5="Real",INDEX('Informacion de Sam'!$19:$19,MATCH(EZ$6,'Informacion de Sam'!$1:$1,0)),EZ$10*'Supuestos Proyeccion'!$F$27)</f>
        <v>12035867.145095037</v>
      </c>
      <c r="FA24" s="23">
        <f>SUM(EO24:EZ24)</f>
        <v>167542808.99420452</v>
      </c>
      <c r="FB24" s="23">
        <f>IF(FB$5="Real",INDEX('Informacion de Sam'!$19:$19,MATCH(FB$6,'Informacion de Sam'!$1:$1,0)),FB$10*'Supuestos Proyeccion'!$F$27)</f>
        <v>15757094.860432573</v>
      </c>
      <c r="FC24" s="23">
        <f>IF(FC$5="Real",INDEX('Informacion de Sam'!$19:$19,MATCH(FC$6,'Informacion de Sam'!$1:$1,0)),FC$10*'Supuestos Proyeccion'!$F$27)</f>
        <v>22336051.755085483</v>
      </c>
      <c r="FD24" s="23">
        <f>IF(FD$5="Real",INDEX('Informacion de Sam'!$19:$19,MATCH(FD$6,'Informacion de Sam'!$1:$1,0)),FD$10*'Supuestos Proyeccion'!$F$27)</f>
        <v>16029912.247705182</v>
      </c>
      <c r="FE24" s="23">
        <f>IF(FE$5="Real",INDEX('Informacion de Sam'!$19:$19,MATCH(FE$6,'Informacion de Sam'!$1:$1,0)),FE$10*'Supuestos Proyeccion'!$F$27)</f>
        <v>16398987.537958233</v>
      </c>
      <c r="FF24" s="23">
        <f>IF(FF$5="Real",INDEX('Informacion de Sam'!$19:$19,MATCH(FF$6,'Informacion de Sam'!$1:$1,0)),FF$10*'Supuestos Proyeccion'!$F$27)</f>
        <v>14428191.944933768</v>
      </c>
      <c r="FG24" s="23">
        <f>IF(FG$5="Real",INDEX('Informacion de Sam'!$19:$19,MATCH(FG$6,'Informacion de Sam'!$1:$1,0)),FG$10*'Supuestos Proyeccion'!$F$27)</f>
        <v>16500245.559334246</v>
      </c>
      <c r="FH24" s="23">
        <f>IF(FH$5="Real",INDEX('Informacion de Sam'!$19:$19,MATCH(FH$6,'Informacion de Sam'!$1:$1,0)),FH$10*'Supuestos Proyeccion'!$F$27)</f>
        <v>17810569.864223637</v>
      </c>
      <c r="FI24" s="23">
        <f>IF(FI$5="Real",INDEX('Informacion de Sam'!$19:$19,MATCH(FI$6,'Informacion de Sam'!$1:$1,0)),FI$10*'Supuestos Proyeccion'!$F$27)</f>
        <v>26763887.612876579</v>
      </c>
      <c r="FJ24" s="23">
        <f>IF(FJ$5="Real",INDEX('Informacion de Sam'!$19:$19,MATCH(FJ$6,'Informacion de Sam'!$1:$1,0)),FJ$10*'Supuestos Proyeccion'!$F$27)</f>
        <v>16335280.629747184</v>
      </c>
      <c r="FK24" s="23">
        <f>IF(FK$5="Real",INDEX('Informacion de Sam'!$19:$19,MATCH(FK$6,'Informacion de Sam'!$1:$1,0)),FK$10*'Supuestos Proyeccion'!$F$27)</f>
        <v>15769077.603227744</v>
      </c>
      <c r="FL24" s="23">
        <f>IF(FL$5="Real",INDEX('Informacion de Sam'!$19:$19,MATCH(FL$6,'Informacion de Sam'!$1:$1,0)),FL$10*'Supuestos Proyeccion'!$F$27)</f>
        <v>16254377.695862209</v>
      </c>
      <c r="FM24" s="23">
        <f>IF(FM$5="Real",INDEX('Informacion de Sam'!$19:$19,MATCH(FM$6,'Informacion de Sam'!$1:$1,0)),FM$10*'Supuestos Proyeccion'!$F$27)</f>
        <v>15044833.9313688</v>
      </c>
      <c r="FN24" s="23">
        <f>SUM(FB24:FM24)</f>
        <v>209428511.24275562</v>
      </c>
      <c r="FO24" s="23">
        <f>IF(FO$5="Real",INDEX('Informacion de Sam'!$19:$19,MATCH(FO$6,'Informacion de Sam'!$1:$1,0)),FO$10*'Supuestos Proyeccion'!$F$27)</f>
        <v>19696368.575540714</v>
      </c>
      <c r="FP24" s="23">
        <f>IF(FP$5="Real",INDEX('Informacion de Sam'!$19:$19,MATCH(FP$6,'Informacion de Sam'!$1:$1,0)),FP$10*'Supuestos Proyeccion'!$F$27)</f>
        <v>27920064.69385685</v>
      </c>
      <c r="FQ24" s="23">
        <f>IF(FQ$5="Real",INDEX('Informacion de Sam'!$19:$19,MATCH(FQ$6,'Informacion de Sam'!$1:$1,0)),FQ$10*'Supuestos Proyeccion'!$F$27)</f>
        <v>20037390.309631474</v>
      </c>
      <c r="FR24" s="23">
        <f>IF(FR$5="Real",INDEX('Informacion de Sam'!$19:$19,MATCH(FR$6,'Informacion de Sam'!$1:$1,0)),FR$10*'Supuestos Proyeccion'!$F$27)</f>
        <v>20498734.422447789</v>
      </c>
      <c r="FS24" s="23">
        <f>IF(FS$5="Real",INDEX('Informacion de Sam'!$19:$19,MATCH(FS$6,'Informacion de Sam'!$1:$1,0)),FS$10*'Supuestos Proyeccion'!$F$27)</f>
        <v>18035239.931167215</v>
      </c>
      <c r="FT24" s="23">
        <f>IF(FT$5="Real",INDEX('Informacion de Sam'!$19:$19,MATCH(FT$6,'Informacion de Sam'!$1:$1,0)),FT$10*'Supuestos Proyeccion'!$F$27)</f>
        <v>20625306.949167807</v>
      </c>
      <c r="FU24" s="23">
        <f>IF(FU$5="Real",INDEX('Informacion de Sam'!$19:$19,MATCH(FU$6,'Informacion de Sam'!$1:$1,0)),FU$10*'Supuestos Proyeccion'!$F$27)</f>
        <v>22263212.330279548</v>
      </c>
      <c r="FV24" s="23">
        <f>IF(FV$5="Real",INDEX('Informacion de Sam'!$19:$19,MATCH(FV$6,'Informacion de Sam'!$1:$1,0)),FV$10*'Supuestos Proyeccion'!$F$27)</f>
        <v>33454859.51609572</v>
      </c>
      <c r="FW24" s="23">
        <f>IF(FW$5="Real",INDEX('Informacion de Sam'!$19:$19,MATCH(FW$6,'Informacion de Sam'!$1:$1,0)),FW$10*'Supuestos Proyeccion'!$F$27)</f>
        <v>20419100.787183978</v>
      </c>
      <c r="FX24" s="23">
        <f>IF(FX$5="Real",INDEX('Informacion de Sam'!$19:$19,MATCH(FX$6,'Informacion de Sam'!$1:$1,0)),FX$10*'Supuestos Proyeccion'!$F$27)</f>
        <v>19711347.004034679</v>
      </c>
      <c r="FY24" s="23">
        <f>IF(FY$5="Real",INDEX('Informacion de Sam'!$19:$19,MATCH(FY$6,'Informacion de Sam'!$1:$1,0)),FY$10*'Supuestos Proyeccion'!$F$27)</f>
        <v>20317972.119827762</v>
      </c>
      <c r="FZ24" s="23">
        <f>IF(FZ$5="Real",INDEX('Informacion de Sam'!$19:$19,MATCH(FZ$6,'Informacion de Sam'!$1:$1,0)),FZ$10*'Supuestos Proyeccion'!$F$27)</f>
        <v>18806042.414210998</v>
      </c>
      <c r="GA24" s="23">
        <f>SUM(FO24:FZ24)</f>
        <v>261785639.05344453</v>
      </c>
      <c r="GB24" s="23">
        <f>IF(GB$5="Real",INDEX('Informacion de Sam'!$19:$19,MATCH(GB$6,'Informacion de Sam'!$1:$1,0)),GB$10*'Supuestos Proyeccion'!$F$27)</f>
        <v>24620460.719425894</v>
      </c>
      <c r="GC24" s="23">
        <f>IF(GC$5="Real",INDEX('Informacion de Sam'!$19:$19,MATCH(GC$6,'Informacion de Sam'!$1:$1,0)),GC$10*'Supuestos Proyeccion'!$F$27)</f>
        <v>34900080.867321067</v>
      </c>
      <c r="GD24" s="23">
        <f>IF(GD$5="Real",INDEX('Informacion de Sam'!$19:$19,MATCH(GD$6,'Informacion de Sam'!$1:$1,0)),GD$10*'Supuestos Proyeccion'!$F$27)</f>
        <v>25046737.887039345</v>
      </c>
      <c r="GE24" s="23">
        <f>IF(GE$5="Real",INDEX('Informacion de Sam'!$19:$19,MATCH(GE$6,'Informacion de Sam'!$1:$1,0)),GE$10*'Supuestos Proyeccion'!$F$27)</f>
        <v>25623418.02805974</v>
      </c>
      <c r="GF24" s="23">
        <f>IF(GF$5="Real",INDEX('Informacion de Sam'!$19:$19,MATCH(GF$6,'Informacion de Sam'!$1:$1,0)),GF$10*'Supuestos Proyeccion'!$F$27)</f>
        <v>22544049.913959015</v>
      </c>
      <c r="GG24" s="23">
        <f>IF(GG$5="Real",INDEX('Informacion de Sam'!$19:$19,MATCH(GG$6,'Informacion de Sam'!$1:$1,0)),GG$10*'Supuestos Proyeccion'!$F$27)</f>
        <v>25781633.686459757</v>
      </c>
      <c r="GH24" s="23">
        <f>IF(GH$5="Real",INDEX('Informacion de Sam'!$19:$19,MATCH(GH$6,'Informacion de Sam'!$1:$1,0)),GH$10*'Supuestos Proyeccion'!$F$27)</f>
        <v>27829015.412849437</v>
      </c>
      <c r="GI24" s="23">
        <f>IF(GI$5="Real",INDEX('Informacion de Sam'!$19:$19,MATCH(GI$6,'Informacion de Sam'!$1:$1,0)),GI$10*'Supuestos Proyeccion'!$F$27)</f>
        <v>41818574.395119652</v>
      </c>
      <c r="GJ24" s="23">
        <f>IF(GJ$5="Real",INDEX('Informacion de Sam'!$19:$19,MATCH(GJ$6,'Informacion de Sam'!$1:$1,0)),GJ$10*'Supuestos Proyeccion'!$F$27)</f>
        <v>25523875.983979978</v>
      </c>
      <c r="GK24" s="23">
        <f>IF(GK$5="Real",INDEX('Informacion de Sam'!$19:$19,MATCH(GK$6,'Informacion de Sam'!$1:$1,0)),GK$10*'Supuestos Proyeccion'!$F$27)</f>
        <v>24639183.75504335</v>
      </c>
      <c r="GL24" s="23">
        <f>IF(GL$5="Real",INDEX('Informacion de Sam'!$19:$19,MATCH(GL$6,'Informacion de Sam'!$1:$1,0)),GL$10*'Supuestos Proyeccion'!$F$27)</f>
        <v>25397465.149784703</v>
      </c>
      <c r="GM24" s="23">
        <f>IF(GM$5="Real",INDEX('Informacion de Sam'!$19:$19,MATCH(GM$6,'Informacion de Sam'!$1:$1,0)),GM$10*'Supuestos Proyeccion'!$F$27)</f>
        <v>23507553.017763749</v>
      </c>
      <c r="GN24" s="23">
        <f>SUM(GB24:GM24)</f>
        <v>327232048.81680566</v>
      </c>
      <c r="GO24" s="23">
        <f>IF(GO$5="Real",INDEX('Informacion de Sam'!$19:$19,MATCH(GO$6,'Informacion de Sam'!$1:$1,0)),GO$10*'Supuestos Proyeccion'!$F$27)</f>
        <v>30775575.899282366</v>
      </c>
      <c r="GP24" s="23">
        <f>IF(GP$5="Real",INDEX('Informacion de Sam'!$19:$19,MATCH(GP$6,'Informacion de Sam'!$1:$1,0)),GP$10*'Supuestos Proyeccion'!$F$27)</f>
        <v>43625101.084151328</v>
      </c>
      <c r="GQ24" s="23">
        <f>IF(GQ$5="Real",INDEX('Informacion de Sam'!$19:$19,MATCH(GQ$6,'Informacion de Sam'!$1:$1,0)),GQ$10*'Supuestos Proyeccion'!$F$27)</f>
        <v>31308422.358799178</v>
      </c>
      <c r="GR24" s="23">
        <f>IF(GR$5="Real",INDEX('Informacion de Sam'!$19:$19,MATCH(GR$6,'Informacion de Sam'!$1:$1,0)),GR$10*'Supuestos Proyeccion'!$F$27)</f>
        <v>32029272.53507467</v>
      </c>
      <c r="GS24" s="23">
        <f>IF(GS$5="Real",INDEX('Informacion de Sam'!$19:$19,MATCH(GS$6,'Informacion de Sam'!$1:$1,0)),GS$10*'Supuestos Proyeccion'!$F$27)</f>
        <v>28180062.392448764</v>
      </c>
      <c r="GT24" s="23">
        <f>IF(GT$5="Real",INDEX('Informacion de Sam'!$19:$19,MATCH(GT$6,'Informacion de Sam'!$1:$1,0)),GT$10*'Supuestos Proyeccion'!$F$27)</f>
        <v>32227042.108074691</v>
      </c>
      <c r="GU24" s="23">
        <f>IF(GU$5="Real",INDEX('Informacion de Sam'!$19:$19,MATCH(GU$6,'Informacion de Sam'!$1:$1,0)),GU$10*'Supuestos Proyeccion'!$F$27)</f>
        <v>34786269.26606179</v>
      </c>
      <c r="GV24" s="23">
        <f>IF(GV$5="Real",INDEX('Informacion de Sam'!$19:$19,MATCH(GV$6,'Informacion de Sam'!$1:$1,0)),GV$10*'Supuestos Proyeccion'!$F$27)</f>
        <v>52273217.993899561</v>
      </c>
      <c r="GW24" s="23">
        <f>IF(GW$5="Real",INDEX('Informacion de Sam'!$19:$19,MATCH(GW$6,'Informacion de Sam'!$1:$1,0)),GW$10*'Supuestos Proyeccion'!$F$27)</f>
        <v>31904844.979974966</v>
      </c>
      <c r="GX24" s="23">
        <f>IF(GX$5="Real",INDEX('Informacion de Sam'!$19:$19,MATCH(GX$6,'Informacion de Sam'!$1:$1,0)),GX$10*'Supuestos Proyeccion'!$F$27)</f>
        <v>30798979.693804186</v>
      </c>
      <c r="GY24" s="23">
        <f>IF(GY$5="Real",INDEX('Informacion de Sam'!$19:$19,MATCH(GY$6,'Informacion de Sam'!$1:$1,0)),GY$10*'Supuestos Proyeccion'!$F$27)</f>
        <v>31746831.437230878</v>
      </c>
      <c r="GZ24" s="23">
        <f>IF(GZ$5="Real",INDEX('Informacion de Sam'!$19:$19,MATCH(GZ$6,'Informacion de Sam'!$1:$1,0)),GZ$10*'Supuestos Proyeccion'!$F$27)</f>
        <v>29384441.272204682</v>
      </c>
      <c r="HA24" s="23">
        <f>SUM(GO24:GZ24)</f>
        <v>409040061.02100712</v>
      </c>
      <c r="HB24" s="23"/>
      <c r="HC24" s="51">
        <f t="shared" si="5"/>
        <v>44023413.079999998</v>
      </c>
      <c r="HD24" s="51">
        <f t="shared" si="5"/>
        <v>44536631.649999999</v>
      </c>
      <c r="HE24" s="51">
        <f t="shared" si="5"/>
        <v>54864096.590000004</v>
      </c>
      <c r="HF24" s="51">
        <f t="shared" si="5"/>
        <v>70334520.689999998</v>
      </c>
      <c r="HG24" s="51">
        <f t="shared" si="5"/>
        <v>76806984.459999993</v>
      </c>
      <c r="HH24" s="51">
        <f t="shared" si="5"/>
        <v>61716185.670000002</v>
      </c>
      <c r="HI24" s="51">
        <f t="shared" si="5"/>
        <v>52799227.577433825</v>
      </c>
      <c r="HJ24" s="51">
        <f t="shared" si="5"/>
        <v>68625534.564026177</v>
      </c>
      <c r="HK24" s="51">
        <f t="shared" si="5"/>
        <v>85781918.205032691</v>
      </c>
      <c r="HL24" s="51">
        <f t="shared" si="5"/>
        <v>107227397.7562909</v>
      </c>
      <c r="HM24" s="51">
        <f t="shared" si="5"/>
        <v>134034247.1953636</v>
      </c>
      <c r="HN24" s="51">
        <f t="shared" si="5"/>
        <v>167542808.99420452</v>
      </c>
      <c r="HO24" s="51">
        <f t="shared" si="5"/>
        <v>209428511.24275562</v>
      </c>
      <c r="HP24" s="51">
        <f t="shared" si="5"/>
        <v>261785639.05344453</v>
      </c>
      <c r="HQ24" s="51">
        <f t="shared" si="5"/>
        <v>327232048.81680566</v>
      </c>
      <c r="HR24" s="51">
        <f t="shared" si="5"/>
        <v>409040061.02100712</v>
      </c>
    </row>
    <row r="25" spans="1:226" x14ac:dyDescent="0.35">
      <c r="A25" t="s">
        <v>62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51"/>
      <c r="HD25" s="51"/>
      <c r="HE25" s="51"/>
      <c r="HF25" s="51"/>
      <c r="HG25" s="51"/>
      <c r="HH25" s="51"/>
      <c r="HI25" s="51"/>
      <c r="HJ25" s="51"/>
      <c r="HK25" s="51"/>
      <c r="HL25" s="51"/>
      <c r="HM25" s="51"/>
      <c r="HN25" s="51"/>
      <c r="HO25" s="51"/>
      <c r="HP25" s="51"/>
      <c r="HQ25" s="51"/>
      <c r="HR25" s="51"/>
    </row>
    <row r="26" spans="1:226" x14ac:dyDescent="0.35">
      <c r="A26" t="s">
        <v>66</v>
      </c>
      <c r="B26" s="23">
        <f>IF(B$5="Real",INDEX('Informacion de Sam'!$21:$21,MATCH(B$6,'Informacion de Sam'!$1:$1,0)),B$12*'Supuestos Proyeccion'!$F$28)</f>
        <v>2904170.73</v>
      </c>
      <c r="C26" s="23">
        <f>IF(C$5="Real",INDEX('Informacion de Sam'!$21:$21,MATCH(C$6,'Informacion de Sam'!$1:$1,0)),C$12*'Supuestos Proyeccion'!$F$28)</f>
        <v>2663224.8000000003</v>
      </c>
      <c r="D26" s="23">
        <f>IF(D$5="Real",INDEX('Informacion de Sam'!$21:$21,MATCH(D$6,'Informacion de Sam'!$1:$1,0)),D$12*'Supuestos Proyeccion'!$F$28)</f>
        <v>2959440.96</v>
      </c>
      <c r="E26" s="23">
        <f>IF(E$5="Real",INDEX('Informacion de Sam'!$21:$21,MATCH(E$6,'Informacion de Sam'!$1:$1,0)),E$12*'Supuestos Proyeccion'!$F$28)</f>
        <v>3070393.1199999992</v>
      </c>
      <c r="F26" s="23">
        <f>IF(F$5="Real",INDEX('Informacion de Sam'!$21:$21,MATCH(F$6,'Informacion de Sam'!$1:$1,0)),F$12*'Supuestos Proyeccion'!$F$28)</f>
        <v>2470286.41</v>
      </c>
      <c r="G26" s="23">
        <f>IF(G$5="Real",INDEX('Informacion de Sam'!$21:$21,MATCH(G$6,'Informacion de Sam'!$1:$1,0)),G$12*'Supuestos Proyeccion'!$F$28)</f>
        <v>3649119.7800000012</v>
      </c>
      <c r="H26" s="23">
        <f>IF(H$5="Real",INDEX('Informacion de Sam'!$21:$21,MATCH(H$6,'Informacion de Sam'!$1:$1,0)),H$12*'Supuestos Proyeccion'!$F$28)</f>
        <v>3445765.2100000009</v>
      </c>
      <c r="I26" s="23">
        <f>IF(I$5="Real",INDEX('Informacion de Sam'!$21:$21,MATCH(I$6,'Informacion de Sam'!$1:$1,0)),I$12*'Supuestos Proyeccion'!$F$28)</f>
        <v>3353887.3899999969</v>
      </c>
      <c r="J26" s="23">
        <f>IF(J$5="Real",INDEX('Informacion de Sam'!$21:$21,MATCH(J$6,'Informacion de Sam'!$1:$1,0)),J$12*'Supuestos Proyeccion'!$F$28)</f>
        <v>3251559.6900000013</v>
      </c>
      <c r="K26" s="23">
        <f>IF(K$5="Real",INDEX('Informacion de Sam'!$21:$21,MATCH(K$6,'Informacion de Sam'!$1:$1,0)),K$12*'Supuestos Proyeccion'!$F$28)</f>
        <v>3355358.129999999</v>
      </c>
      <c r="L26" s="23">
        <f>IF(L$5="Real",INDEX('Informacion de Sam'!$21:$21,MATCH(L$6,'Informacion de Sam'!$1:$1,0)),L$12*'Supuestos Proyeccion'!$F$28)</f>
        <v>4248447.0900000036</v>
      </c>
      <c r="M26" s="23">
        <f>IF(M$5="Real",INDEX('Informacion de Sam'!$21:$21,MATCH(M$6,'Informacion de Sam'!$1:$1,0)),M$12*'Supuestos Proyeccion'!$F$28)</f>
        <v>5964179.3399999961</v>
      </c>
      <c r="N26" s="23">
        <f>SUM(B26:M26)</f>
        <v>41335832.649999999</v>
      </c>
      <c r="O26" s="23">
        <f>IF(O$5="Real",INDEX('Informacion de Sam'!$21:$21,MATCH(O$6,'Informacion de Sam'!$1:$1,0)),O$12*'Supuestos Proyeccion'!$F$28)</f>
        <v>3224025.88</v>
      </c>
      <c r="P26" s="23">
        <f>IF(P$5="Real",INDEX('Informacion de Sam'!$21:$21,MATCH(P$6,'Informacion de Sam'!$1:$1,0)),P$12*'Supuestos Proyeccion'!$F$28)</f>
        <v>3550479.8600000003</v>
      </c>
      <c r="Q26" s="23">
        <f>IF(Q$5="Real",INDEX('Informacion de Sam'!$21:$21,MATCH(Q$6,'Informacion de Sam'!$1:$1,0)),Q$12*'Supuestos Proyeccion'!$F$28)</f>
        <v>3524824.1400000006</v>
      </c>
      <c r="R26" s="23">
        <f>IF(R$5="Real",INDEX('Informacion de Sam'!$21:$21,MATCH(R$6,'Informacion de Sam'!$1:$1,0)),R$12*'Supuestos Proyeccion'!$F$28)</f>
        <v>2793588.3599999994</v>
      </c>
      <c r="S26" s="23">
        <f>IF(S$5="Real",INDEX('Informacion de Sam'!$21:$21,MATCH(S$6,'Informacion de Sam'!$1:$1,0)),S$12*'Supuestos Proyeccion'!$F$28)</f>
        <v>3133968.5700000003</v>
      </c>
      <c r="T26" s="23">
        <f>IF(T$5="Real",INDEX('Informacion de Sam'!$21:$21,MATCH(T$6,'Informacion de Sam'!$1:$1,0)),T$12*'Supuestos Proyeccion'!$F$28)</f>
        <v>3898004.1199999992</v>
      </c>
      <c r="U26" s="23">
        <f>IF(U$5="Real",INDEX('Informacion de Sam'!$21:$21,MATCH(U$6,'Informacion de Sam'!$1:$1,0)),U$12*'Supuestos Proyeccion'!$F$28)</f>
        <v>3365784.9900000021</v>
      </c>
      <c r="V26" s="23">
        <f>IF(V$5="Real",INDEX('Informacion de Sam'!$21:$21,MATCH(V$6,'Informacion de Sam'!$1:$1,0)),V$12*'Supuestos Proyeccion'!$F$28)</f>
        <v>3432996.5</v>
      </c>
      <c r="W26" s="23">
        <f>IF(W$5="Real",INDEX('Informacion de Sam'!$21:$21,MATCH(W$6,'Informacion de Sam'!$1:$1,0)),W$12*'Supuestos Proyeccion'!$F$28)</f>
        <v>3993964.2699999996</v>
      </c>
      <c r="X26" s="23">
        <f>IF(X$5="Real",INDEX('Informacion de Sam'!$21:$21,MATCH(X$6,'Informacion de Sam'!$1:$1,0)),X$12*'Supuestos Proyeccion'!$F$28)</f>
        <v>3844077.5800000019</v>
      </c>
      <c r="Y26" s="23">
        <f>IF(Y$5="Real",INDEX('Informacion de Sam'!$21:$21,MATCH(Y$6,'Informacion de Sam'!$1:$1,0)),Y$12*'Supuestos Proyeccion'!$F$28)</f>
        <v>4373686.8299999982</v>
      </c>
      <c r="Z26" s="23">
        <f>IF(Z$5="Real",INDEX('Informacion de Sam'!$21:$21,MATCH(Z$6,'Informacion de Sam'!$1:$1,0)),Z$12*'Supuestos Proyeccion'!$F$28)</f>
        <v>5816736.6700000018</v>
      </c>
      <c r="AA26" s="23">
        <f>SUM(O26:Z26)</f>
        <v>44952137.770000003</v>
      </c>
      <c r="AB26" s="23">
        <f>IF(AB$5="Real",INDEX('Informacion de Sam'!$21:$21,MATCH(AB$6,'Informacion de Sam'!$1:$1,0)),AB$12*'Supuestos Proyeccion'!$F$28)</f>
        <v>3839645.06</v>
      </c>
      <c r="AC26" s="23">
        <f>IF(AC$5="Real",INDEX('Informacion de Sam'!$21:$21,MATCH(AC$6,'Informacion de Sam'!$1:$1,0)),AC$12*'Supuestos Proyeccion'!$F$28)</f>
        <v>4916660.43</v>
      </c>
      <c r="AD26" s="23">
        <f>IF(AD$5="Real",INDEX('Informacion de Sam'!$21:$21,MATCH(AD$6,'Informacion de Sam'!$1:$1,0)),AD$12*'Supuestos Proyeccion'!$F$28)</f>
        <v>4393284.57</v>
      </c>
      <c r="AE26" s="23">
        <f>IF(AE$5="Real",INDEX('Informacion de Sam'!$21:$21,MATCH(AE$6,'Informacion de Sam'!$1:$1,0)),AE$12*'Supuestos Proyeccion'!$F$28)</f>
        <v>4314262.1500000004</v>
      </c>
      <c r="AF26" s="23">
        <f>IF(AF$5="Real",INDEX('Informacion de Sam'!$21:$21,MATCH(AF$6,'Informacion de Sam'!$1:$1,0)),AF$12*'Supuestos Proyeccion'!$F$28)</f>
        <v>3641304.8499999978</v>
      </c>
      <c r="AG26" s="23">
        <f>IF(AG$5="Real",INDEX('Informacion de Sam'!$21:$21,MATCH(AG$6,'Informacion de Sam'!$1:$1,0)),AG$12*'Supuestos Proyeccion'!$F$28)</f>
        <v>4699138.9800000004</v>
      </c>
      <c r="AH26" s="23">
        <f>IF(AH$5="Real",INDEX('Informacion de Sam'!$21:$21,MATCH(AH$6,'Informacion de Sam'!$1:$1,0)),AH$12*'Supuestos Proyeccion'!$F$28)</f>
        <v>4825854.57</v>
      </c>
      <c r="AI26" s="23">
        <f>IF(AI$5="Real",INDEX('Informacion de Sam'!$21:$21,MATCH(AI$6,'Informacion de Sam'!$1:$1,0)),AI$12*'Supuestos Proyeccion'!$F$28)</f>
        <v>6264054.5200000033</v>
      </c>
      <c r="AJ26" s="23">
        <f>IF(AJ$5="Real",INDEX('Informacion de Sam'!$21:$21,MATCH(AJ$6,'Informacion de Sam'!$1:$1,0)),AJ$12*'Supuestos Proyeccion'!$F$28)</f>
        <v>6727644.799999997</v>
      </c>
      <c r="AK26" s="23">
        <f>IF(AK$5="Real",INDEX('Informacion de Sam'!$21:$21,MATCH(AK$6,'Informacion de Sam'!$1:$1,0)),AK$12*'Supuestos Proyeccion'!$F$28)</f>
        <v>5585211.0300000012</v>
      </c>
      <c r="AL26" s="23">
        <f>IF(AL$5="Real",INDEX('Informacion de Sam'!$21:$21,MATCH(AL$6,'Informacion de Sam'!$1:$1,0)),AL$12*'Supuestos Proyeccion'!$F$28)</f>
        <v>4984922.0899999961</v>
      </c>
      <c r="AM26" s="23">
        <f>IF(AM$5="Real",INDEX('Informacion de Sam'!$21:$21,MATCH(AM$6,'Informacion de Sam'!$1:$1,0)),AM$12*'Supuestos Proyeccion'!$F$28)</f>
        <v>11014440.020000003</v>
      </c>
      <c r="AN26" s="23">
        <f>SUM(AB26:AM26)</f>
        <v>65206423.07</v>
      </c>
      <c r="AO26" s="23">
        <f>IF(AO$5="Real",INDEX('Informacion de Sam'!$21:$21,MATCH(AO$6,'Informacion de Sam'!$1:$1,0)),AO$12*'Supuestos Proyeccion'!$F$28)</f>
        <v>5248538.0199999996</v>
      </c>
      <c r="AP26" s="23">
        <f>IF(AP$5="Real",INDEX('Informacion de Sam'!$21:$21,MATCH(AP$6,'Informacion de Sam'!$1:$1,0)),AP$12*'Supuestos Proyeccion'!$F$28)</f>
        <v>4987409.0500000007</v>
      </c>
      <c r="AQ26" s="23">
        <f>IF(AQ$5="Real",INDEX('Informacion de Sam'!$21:$21,MATCH(AQ$6,'Informacion de Sam'!$1:$1,0)),AQ$12*'Supuestos Proyeccion'!$F$28)</f>
        <v>5432181.6199999992</v>
      </c>
      <c r="AR26" s="23">
        <f>IF(AR$5="Real",INDEX('Informacion de Sam'!$21:$21,MATCH(AR$6,'Informacion de Sam'!$1:$1,0)),AR$12*'Supuestos Proyeccion'!$F$28)</f>
        <v>4797256.4000000004</v>
      </c>
      <c r="AS26" s="23">
        <f>IF(AS$5="Real",INDEX('Informacion de Sam'!$21:$21,MATCH(AS$6,'Informacion de Sam'!$1:$1,0)),AS$12*'Supuestos Proyeccion'!$F$28)</f>
        <v>5334396.3300000019</v>
      </c>
      <c r="AT26" s="23">
        <f>IF(AT$5="Real",INDEX('Informacion de Sam'!$21:$21,MATCH(AT$6,'Informacion de Sam'!$1:$1,0)),AT$12*'Supuestos Proyeccion'!$F$28)</f>
        <v>5695787.6699999981</v>
      </c>
      <c r="AU26" s="23">
        <f>IF(AU$5="Real",INDEX('Informacion de Sam'!$21:$21,MATCH(AU$6,'Informacion de Sam'!$1:$1,0)),AU$12*'Supuestos Proyeccion'!$F$28)</f>
        <v>4669379.870000001</v>
      </c>
      <c r="AV26" s="23">
        <f>IF(AV$5="Real",INDEX('Informacion de Sam'!$21:$21,MATCH(AV$6,'Informacion de Sam'!$1:$1,0)),AV$12*'Supuestos Proyeccion'!$F$28)</f>
        <v>4955464.2199999988</v>
      </c>
      <c r="AW26" s="23">
        <f>IF(AW$5="Real",INDEX('Informacion de Sam'!$21:$21,MATCH(AW$6,'Informacion de Sam'!$1:$1,0)),AW$12*'Supuestos Proyeccion'!$F$28)</f>
        <v>5244752.7700000033</v>
      </c>
      <c r="AX26" s="23">
        <f>IF(AX$5="Real",INDEX('Informacion de Sam'!$21:$21,MATCH(AX$6,'Informacion de Sam'!$1:$1,0)),AX$12*'Supuestos Proyeccion'!$F$28)</f>
        <v>4265559.9599999934</v>
      </c>
      <c r="AY26" s="23">
        <f>IF(AY$5="Real",INDEX('Informacion de Sam'!$21:$21,MATCH(AY$6,'Informacion de Sam'!$1:$1,0)),AY$12*'Supuestos Proyeccion'!$F$28)</f>
        <v>4662136.1900000051</v>
      </c>
      <c r="AZ26" s="23">
        <f>IF(AZ$5="Real",INDEX('Informacion de Sam'!$21:$21,MATCH(AZ$6,'Informacion de Sam'!$1:$1,0)),AZ$12*'Supuestos Proyeccion'!$F$28)</f>
        <v>12717994.999999993</v>
      </c>
      <c r="BA26" s="23">
        <f>SUM(AO26:AZ26)</f>
        <v>68010857.099999994</v>
      </c>
      <c r="BB26" s="23">
        <f>IF(BB$5="Real",INDEX('Informacion de Sam'!$21:$21,MATCH(BB$6,'Informacion de Sam'!$1:$1,0)),BB$12*'Supuestos Proyeccion'!$F$28)</f>
        <v>5202417.92</v>
      </c>
      <c r="BC26" s="23">
        <f>IF(BC$5="Real",INDEX('Informacion de Sam'!$21:$21,MATCH(BC$6,'Informacion de Sam'!$1:$1,0)),BC$12*'Supuestos Proyeccion'!$F$28)</f>
        <v>5427216.2799999993</v>
      </c>
      <c r="BD26" s="23">
        <f>IF(BD$5="Real",INDEX('Informacion de Sam'!$21:$21,MATCH(BD$6,'Informacion de Sam'!$1:$1,0)),BD$12*'Supuestos Proyeccion'!$F$28)</f>
        <v>4735177.9600000009</v>
      </c>
      <c r="BE26" s="23">
        <f>IF(BE$5="Real",INDEX('Informacion de Sam'!$21:$21,MATCH(BE$6,'Informacion de Sam'!$1:$1,0)),BE$12*'Supuestos Proyeccion'!$F$28)</f>
        <v>5118233.7800000012</v>
      </c>
      <c r="BF26" s="23">
        <f>IF(BF$5="Real",INDEX('Informacion de Sam'!$21:$21,MATCH(BF$6,'Informacion de Sam'!$1:$1,0)),BF$12*'Supuestos Proyeccion'!$F$28)</f>
        <v>4809167.2699999996</v>
      </c>
      <c r="BG26" s="23">
        <f>IF(BG$5="Real",INDEX('Informacion de Sam'!$21:$21,MATCH(BG$6,'Informacion de Sam'!$1:$1,0)),BG$12*'Supuestos Proyeccion'!$F$28)</f>
        <v>5853537.6400000006</v>
      </c>
      <c r="BH26" s="23">
        <f>IF(BH$5="Real",INDEX('Informacion de Sam'!$21:$21,MATCH(BH$6,'Informacion de Sam'!$1:$1,0)),BH$12*'Supuestos Proyeccion'!$F$28)</f>
        <v>4635795.2599999979</v>
      </c>
      <c r="BI26" s="23">
        <f>IF(BI$5="Real",INDEX('Informacion de Sam'!$21:$21,MATCH(BI$6,'Informacion de Sam'!$1:$1,0)),BI$12*'Supuestos Proyeccion'!$F$28)</f>
        <v>6802153.8900000006</v>
      </c>
      <c r="BJ26" s="23">
        <f>IF(BJ$5="Real",INDEX('Informacion de Sam'!$21:$21,MATCH(BJ$6,'Informacion de Sam'!$1:$1,0)),BJ$12*'Supuestos Proyeccion'!$F$28)</f>
        <v>5048354.5399999991</v>
      </c>
      <c r="BK26" s="23">
        <f>IF(BK$5="Real",INDEX('Informacion de Sam'!$21:$21,MATCH(BK$6,'Informacion de Sam'!$1:$1,0)),BK$12*'Supuestos Proyeccion'!$F$28)</f>
        <v>5725849.1400000006</v>
      </c>
      <c r="BL26" s="23">
        <f>IF(BL$5="Real",INDEX('Informacion de Sam'!$21:$21,MATCH(BL$6,'Informacion de Sam'!$1:$1,0)),BL$12*'Supuestos Proyeccion'!$F$28)</f>
        <v>5909068.5700000003</v>
      </c>
      <c r="BM26" s="23">
        <f>IF(BM$5="Real",INDEX('Informacion de Sam'!$21:$21,MATCH(BM$6,'Informacion de Sam'!$1:$1,0)),BM$12*'Supuestos Proyeccion'!$F$28)</f>
        <v>8115484.1800000072</v>
      </c>
      <c r="BN26" s="23">
        <f>SUM(BB26:BM26)</f>
        <v>67382456.430000007</v>
      </c>
      <c r="BO26" s="23">
        <f>IF(BO$5="Real",INDEX('Informacion de Sam'!$21:$21,MATCH(BO$6,'Informacion de Sam'!$1:$1,0)),BO$12*'Supuestos Proyeccion'!$F$28)</f>
        <v>5485266.1900000004</v>
      </c>
      <c r="BP26" s="23">
        <f>IF(BP$5="Real",INDEX('Informacion de Sam'!$21:$21,MATCH(BP$6,'Informacion de Sam'!$1:$1,0)),BP$12*'Supuestos Proyeccion'!$F$28)</f>
        <v>4778943.29</v>
      </c>
      <c r="BQ26" s="23">
        <f>IF(BQ$5="Real",INDEX('Informacion de Sam'!$21:$21,MATCH(BQ$6,'Informacion de Sam'!$1:$1,0)),BQ$12*'Supuestos Proyeccion'!$F$28)</f>
        <v>4870438.0499999989</v>
      </c>
      <c r="BR26" s="23">
        <f>IF(BR$5="Real",INDEX('Informacion de Sam'!$21:$21,MATCH(BR$6,'Informacion de Sam'!$1:$1,0)),BR$12*'Supuestos Proyeccion'!$F$28)</f>
        <v>4552729.459999999</v>
      </c>
      <c r="BS26" s="23">
        <f>IF(BS$5="Real",INDEX('Informacion de Sam'!$21:$21,MATCH(BS$6,'Informacion de Sam'!$1:$1,0)),BS$12*'Supuestos Proyeccion'!$F$28)</f>
        <v>5441976.200000003</v>
      </c>
      <c r="BT26" s="23">
        <f>IF(BT$5="Real",INDEX('Informacion de Sam'!$21:$21,MATCH(BT$6,'Informacion de Sam'!$1:$1,0)),BT$12*'Supuestos Proyeccion'!$F$28)</f>
        <v>5059104.9899999984</v>
      </c>
      <c r="BU26" s="23">
        <f>IF(BU$5="Real",INDEX('Informacion de Sam'!$21:$21,MATCH(BU$6,'Informacion de Sam'!$1:$1,0)),BU$12*'Supuestos Proyeccion'!$F$28)</f>
        <v>5168444.5200000033</v>
      </c>
      <c r="BV26" s="23">
        <f>IF(BV$5="Real",INDEX('Informacion de Sam'!$21:$21,MATCH(BV$6,'Informacion de Sam'!$1:$1,0)),BV$12*'Supuestos Proyeccion'!$F$28)</f>
        <v>5373311.2199999988</v>
      </c>
      <c r="BW26" s="23">
        <f>IF(BW$5="Real",INDEX('Informacion de Sam'!$21:$21,MATCH(BW$6,'Informacion de Sam'!$1:$1,0)),BW$12*'Supuestos Proyeccion'!$F$28)</f>
        <v>4889440.1599999964</v>
      </c>
      <c r="BX26" s="23">
        <f>IF(BX$5="Real",INDEX('Informacion de Sam'!$21:$21,MATCH(BX$6,'Informacion de Sam'!$1:$1,0)),BX$12*'Supuestos Proyeccion'!$F$28)</f>
        <v>4986038.0600000024</v>
      </c>
      <c r="BY26" s="23">
        <f>IF(BY$5="Real",INDEX('Informacion de Sam'!$21:$21,MATCH(BY$6,'Informacion de Sam'!$1:$1,0)),BY$12*'Supuestos Proyeccion'!$F$28)</f>
        <v>4797334.6400000006</v>
      </c>
      <c r="BZ26" s="23">
        <f>IF(BZ$5="Real",INDEX('Informacion de Sam'!$21:$21,MATCH(BZ$6,'Informacion de Sam'!$1:$1,0)),BZ$12*'Supuestos Proyeccion'!$F$28)</f>
        <v>6060881.549999997</v>
      </c>
      <c r="CA26" s="23">
        <f>SUM(BO26:BZ26)</f>
        <v>61463908.329999998</v>
      </c>
      <c r="CB26" s="23">
        <f>IF(CB$5="Real",INDEX('Informacion de Sam'!$21:$21,MATCH(CB$6,'Informacion de Sam'!$1:$1,0)),CB$12*'Supuestos Proyeccion'!$F$28)</f>
        <v>4272544.09</v>
      </c>
      <c r="CC26" s="23">
        <f>IF(CC$5="Real",INDEX('Informacion de Sam'!$21:$21,MATCH(CC$6,'Informacion de Sam'!$1:$1,0)),CC$12*'Supuestos Proyeccion'!$F$28)</f>
        <v>4758276.290000001</v>
      </c>
      <c r="CD26" s="23">
        <f>IF(CD$5="Real",INDEX('Informacion de Sam'!$21:$21,MATCH(CD$6,'Informacion de Sam'!$1:$1,0)),CD$12*'Supuestos Proyeccion'!$F$28)</f>
        <v>4982133.84</v>
      </c>
      <c r="CE26" s="23">
        <f>IF(CE$5="Real",INDEX('Informacion de Sam'!$21:$21,MATCH(CE$6,'Informacion de Sam'!$1:$1,0)),CE$12*'Supuestos Proyeccion'!$F$28)</f>
        <v>3575360.4000000004</v>
      </c>
      <c r="CF26" s="23">
        <f>IF(CF$5="Real",INDEX('Informacion de Sam'!$21:$21,MATCH(CF$6,'Informacion de Sam'!$1:$1,0)),CF$12*'Supuestos Proyeccion'!$F$28)</f>
        <v>3635950.8999999985</v>
      </c>
      <c r="CG26" s="23">
        <f>IF(CG$5="Real",INDEX('Informacion de Sam'!$21:$21,MATCH(CG$6,'Informacion de Sam'!$1:$1,0)),CG$12*'Supuestos Proyeccion'!$F$28)</f>
        <v>5078092.82</v>
      </c>
      <c r="CH26" s="23">
        <f>IF(CH$5="Real",INDEX('Informacion de Sam'!$21:$21,MATCH(CH$6,'Informacion de Sam'!$1:$1,0)),CH$12*'Supuestos Proyeccion'!$F$28)</f>
        <v>4697167.9699999988</v>
      </c>
      <c r="CI26" s="23">
        <f>IF(CI$5="Real",INDEX('Informacion de Sam'!$21:$21,MATCH(CI$6,'Informacion de Sam'!$1:$1,0)),CI$12*'Supuestos Proyeccion'!$F$28)</f>
        <v>4960163.91</v>
      </c>
      <c r="CJ26" s="23">
        <f>IF(CJ$5="Real",INDEX('Informacion de Sam'!$21:$21,MATCH(CJ$6,'Informacion de Sam'!$1:$1,0)),CJ$12*'Supuestos Proyeccion'!$F$28)</f>
        <v>3547248.4433110966</v>
      </c>
      <c r="CK26" s="23">
        <f>IF(CK$5="Real",INDEX('Informacion de Sam'!$21:$21,MATCH(CK$6,'Informacion de Sam'!$1:$1,0)),CK$12*'Supuestos Proyeccion'!$F$28)</f>
        <v>3424295.9915018743</v>
      </c>
      <c r="CL26" s="23">
        <f>IF(CL$5="Real",INDEX('Informacion de Sam'!$21:$21,MATCH(CL$6,'Informacion de Sam'!$1:$1,0)),CL$12*'Supuestos Proyeccion'!$F$28)</f>
        <v>3529680.1619459046</v>
      </c>
      <c r="CM26" s="23">
        <f>IF(CM$5="Real",INDEX('Informacion de Sam'!$21:$21,MATCH(CM$6,'Informacion de Sam'!$1:$1,0)),CM$12*'Supuestos Proyeccion'!$F$28)</f>
        <v>3267024.6047525597</v>
      </c>
      <c r="CN26" s="23">
        <f>SUM(CB26:CM26)</f>
        <v>49727939.421511434</v>
      </c>
      <c r="CO26" s="23">
        <f>IF(CO$5="Real",INDEX('Informacion de Sam'!$21:$21,MATCH(CO$6,'Informacion de Sam'!$1:$1,0)),CO$12*'Supuestos Proyeccion'!$F$28)</f>
        <v>4277117.3848850941</v>
      </c>
      <c r="CP26" s="23">
        <f>IF(CP$5="Real",INDEX('Informacion de Sam'!$21:$21,MATCH(CP$6,'Informacion de Sam'!$1:$1,0)),CP$12*'Supuestos Proyeccion'!$F$28)</f>
        <v>6062914.2692580502</v>
      </c>
      <c r="CQ26" s="23">
        <f>IF(CQ$5="Real",INDEX('Informacion de Sam'!$21:$21,MATCH(CQ$6,'Informacion de Sam'!$1:$1,0)),CQ$12*'Supuestos Proyeccion'!$F$28)</f>
        <v>4351171.1365657244</v>
      </c>
      <c r="CR26" s="23">
        <f>IF(CR$5="Real",INDEX('Informacion de Sam'!$21:$21,MATCH(CR$6,'Informacion de Sam'!$1:$1,0)),CR$12*'Supuestos Proyeccion'!$F$28)</f>
        <v>4451353.2040251754</v>
      </c>
      <c r="CS26" s="23">
        <f>IF(CS$5="Real",INDEX('Informacion de Sam'!$21:$21,MATCH(CS$6,'Informacion de Sam'!$1:$1,0)),CS$12*'Supuestos Proyeccion'!$F$28)</f>
        <v>3916399.0029086606</v>
      </c>
      <c r="CT26" s="23">
        <f>IF(CT$5="Real",INDEX('Informacion de Sam'!$21:$21,MATCH(CT$6,'Informacion de Sam'!$1:$1,0)),CT$12*'Supuestos Proyeccion'!$F$28)</f>
        <v>4478838.7556082876</v>
      </c>
      <c r="CU26" s="23">
        <f>IF(CU$5="Real",INDEX('Informacion de Sam'!$21:$21,MATCH(CU$6,'Informacion de Sam'!$1:$1,0)),CU$12*'Supuestos Proyeccion'!$F$28)</f>
        <v>4834514.1458956851</v>
      </c>
      <c r="CV26" s="23">
        <f>IF(CV$5="Real",INDEX('Informacion de Sam'!$21:$21,MATCH(CV$6,'Informacion de Sam'!$1:$1,0)),CV$12*'Supuestos Proyeccion'!$F$28)</f>
        <v>7264809.2817918509</v>
      </c>
      <c r="CW26" s="23">
        <f>IF(CW$5="Real",INDEX('Informacion de Sam'!$21:$21,MATCH(CW$6,'Informacion de Sam'!$1:$1,0)),CW$12*'Supuestos Proyeccion'!$F$28)</f>
        <v>4434060.5541388709</v>
      </c>
      <c r="CX26" s="23">
        <f>IF(CX$5="Real",INDEX('Informacion de Sam'!$21:$21,MATCH(CX$6,'Informacion de Sam'!$1:$1,0)),CX$12*'Supuestos Proyeccion'!$F$28)</f>
        <v>4280369.9893773431</v>
      </c>
      <c r="CY26" s="23">
        <f>IF(CY$5="Real",INDEX('Informacion de Sam'!$21:$21,MATCH(CY$6,'Informacion de Sam'!$1:$1,0)),CY$12*'Supuestos Proyeccion'!$F$28)</f>
        <v>4412100.202432381</v>
      </c>
      <c r="CZ26" s="23">
        <f>IF(CZ$5="Real",INDEX('Informacion de Sam'!$21:$21,MATCH(CZ$6,'Informacion de Sam'!$1:$1,0)),CZ$12*'Supuestos Proyeccion'!$F$28)</f>
        <v>4083780.7559406999</v>
      </c>
      <c r="DA26" s="23">
        <f>SUM(CO26:CZ26)</f>
        <v>56847428.682827815</v>
      </c>
      <c r="DB26" s="23">
        <f>IF(DB$5="Real",INDEX('Informacion de Sam'!$21:$21,MATCH(DB$6,'Informacion de Sam'!$1:$1,0)),DB$12*'Supuestos Proyeccion'!$F$28)</f>
        <v>5346396.7311063679</v>
      </c>
      <c r="DC26" s="23">
        <f>IF(DC$5="Real",INDEX('Informacion de Sam'!$21:$21,MATCH(DC$6,'Informacion de Sam'!$1:$1,0)),DC$12*'Supuestos Proyeccion'!$F$28)</f>
        <v>7578642.8365725633</v>
      </c>
      <c r="DD26" s="23">
        <f>IF(DD$5="Real",INDEX('Informacion de Sam'!$21:$21,MATCH(DD$6,'Informacion de Sam'!$1:$1,0)),DD$12*'Supuestos Proyeccion'!$F$28)</f>
        <v>5438963.920707155</v>
      </c>
      <c r="DE26" s="23">
        <f>IF(DE$5="Real",INDEX('Informacion de Sam'!$21:$21,MATCH(DE$6,'Informacion de Sam'!$1:$1,0)),DE$12*'Supuestos Proyeccion'!$F$28)</f>
        <v>5564191.5050314693</v>
      </c>
      <c r="DF26" s="23">
        <f>IF(DF$5="Real",INDEX('Informacion de Sam'!$21:$21,MATCH(DF$6,'Informacion de Sam'!$1:$1,0)),DF$12*'Supuestos Proyeccion'!$F$28)</f>
        <v>4895498.7536358265</v>
      </c>
      <c r="DG26" s="23">
        <f>IF(DG$5="Real",INDEX('Informacion de Sam'!$21:$21,MATCH(DG$6,'Informacion de Sam'!$1:$1,0)),DG$12*'Supuestos Proyeccion'!$F$28)</f>
        <v>5598548.4445103593</v>
      </c>
      <c r="DH26" s="23">
        <f>IF(DH$5="Real",INDEX('Informacion de Sam'!$21:$21,MATCH(DH$6,'Informacion de Sam'!$1:$1,0)),DH$12*'Supuestos Proyeccion'!$F$28)</f>
        <v>6043142.6823696066</v>
      </c>
      <c r="DI26" s="23">
        <f>IF(DI$5="Real",INDEX('Informacion de Sam'!$21:$21,MATCH(DI$6,'Informacion de Sam'!$1:$1,0)),DI$12*'Supuestos Proyeccion'!$F$28)</f>
        <v>9081011.6022398155</v>
      </c>
      <c r="DJ26" s="23">
        <f>IF(DJ$5="Real",INDEX('Informacion de Sam'!$21:$21,MATCH(DJ$6,'Informacion de Sam'!$1:$1,0)),DJ$12*'Supuestos Proyeccion'!$F$28)</f>
        <v>5542575.6926735891</v>
      </c>
      <c r="DK26" s="23">
        <f>IF(DK$5="Real",INDEX('Informacion de Sam'!$21:$21,MATCH(DK$6,'Informacion de Sam'!$1:$1,0)),DK$12*'Supuestos Proyeccion'!$F$28)</f>
        <v>5350462.4867216786</v>
      </c>
      <c r="DL26" s="23">
        <f>IF(DL$5="Real",INDEX('Informacion de Sam'!$21:$21,MATCH(DL$6,'Informacion de Sam'!$1:$1,0)),DL$12*'Supuestos Proyeccion'!$F$28)</f>
        <v>5515125.2530404758</v>
      </c>
      <c r="DM26" s="23">
        <f>IF(DM$5="Real",INDEX('Informacion de Sam'!$21:$21,MATCH(DM$6,'Informacion de Sam'!$1:$1,0)),DM$12*'Supuestos Proyeccion'!$F$28)</f>
        <v>5104725.9449258745</v>
      </c>
      <c r="DN26" s="23">
        <f>SUM(DB26:DM26)</f>
        <v>71059285.853534788</v>
      </c>
      <c r="DO26" s="23">
        <f>IF(DO$5="Real",INDEX('Informacion de Sam'!$21:$21,MATCH(DO$6,'Informacion de Sam'!$1:$1,0)),DO$12*'Supuestos Proyeccion'!$F$28)</f>
        <v>6682995.9138829596</v>
      </c>
      <c r="DP26" s="23">
        <f>IF(DP$5="Real",INDEX('Informacion de Sam'!$21:$21,MATCH(DP$6,'Informacion de Sam'!$1:$1,0)),DP$12*'Supuestos Proyeccion'!$F$28)</f>
        <v>9473303.5457157046</v>
      </c>
      <c r="DQ26" s="23">
        <f>IF(DQ$5="Real",INDEX('Informacion de Sam'!$21:$21,MATCH(DQ$6,'Informacion de Sam'!$1:$1,0)),DQ$12*'Supuestos Proyeccion'!$F$28)</f>
        <v>6798704.9008839438</v>
      </c>
      <c r="DR26" s="23">
        <f>IF(DR$5="Real",INDEX('Informacion de Sam'!$21:$21,MATCH(DR$6,'Informacion de Sam'!$1:$1,0)),DR$12*'Supuestos Proyeccion'!$F$28)</f>
        <v>6955239.3812893359</v>
      </c>
      <c r="DS26" s="23">
        <f>IF(DS$5="Real",INDEX('Informacion de Sam'!$21:$21,MATCH(DS$6,'Informacion de Sam'!$1:$1,0)),DS$12*'Supuestos Proyeccion'!$F$28)</f>
        <v>6119373.4420447815</v>
      </c>
      <c r="DT26" s="23">
        <f>IF(DT$5="Real",INDEX('Informacion de Sam'!$21:$21,MATCH(DT$6,'Informacion de Sam'!$1:$1,0)),DT$12*'Supuestos Proyeccion'!$F$28)</f>
        <v>6998185.555637951</v>
      </c>
      <c r="DU26" s="23">
        <f>IF(DU$5="Real",INDEX('Informacion de Sam'!$21:$21,MATCH(DU$6,'Informacion de Sam'!$1:$1,0)),DU$12*'Supuestos Proyeccion'!$F$28)</f>
        <v>7553928.3529620096</v>
      </c>
      <c r="DV26" s="23">
        <f>IF(DV$5="Real",INDEX('Informacion de Sam'!$21:$21,MATCH(DV$6,'Informacion de Sam'!$1:$1,0)),DV$12*'Supuestos Proyeccion'!$F$28)</f>
        <v>11351264.502799768</v>
      </c>
      <c r="DW26" s="23">
        <f>IF(DW$5="Real",INDEX('Informacion de Sam'!$21:$21,MATCH(DW$6,'Informacion de Sam'!$1:$1,0)),DW$12*'Supuestos Proyeccion'!$F$28)</f>
        <v>6928219.6158419857</v>
      </c>
      <c r="DX26" s="23">
        <f>IF(DX$5="Real",INDEX('Informacion de Sam'!$21:$21,MATCH(DX$6,'Informacion de Sam'!$1:$1,0)),DX$12*'Supuestos Proyeccion'!$F$28)</f>
        <v>6688078.1084020995</v>
      </c>
      <c r="DY26" s="23">
        <f>IF(DY$5="Real",INDEX('Informacion de Sam'!$21:$21,MATCH(DY$6,'Informacion de Sam'!$1:$1,0)),DY$12*'Supuestos Proyeccion'!$F$28)</f>
        <v>6893906.5663005942</v>
      </c>
      <c r="DZ26" s="23">
        <f>IF(DZ$5="Real",INDEX('Informacion de Sam'!$21:$21,MATCH(DZ$6,'Informacion de Sam'!$1:$1,0)),DZ$12*'Supuestos Proyeccion'!$F$28)</f>
        <v>6380907.4311573431</v>
      </c>
      <c r="EA26" s="23">
        <f>SUM(DO26:DZ26)</f>
        <v>88824107.316918492</v>
      </c>
      <c r="EB26" s="23">
        <f>IF(EB$5="Real",INDEX('Informacion de Sam'!$21:$21,MATCH(EB$6,'Informacion de Sam'!$1:$1,0)),EB$12*'Supuestos Proyeccion'!$F$28)</f>
        <v>8353744.8923536995</v>
      </c>
      <c r="EC26" s="23">
        <f>IF(EC$5="Real",INDEX('Informacion de Sam'!$21:$21,MATCH(EC$6,'Informacion de Sam'!$1:$1,0)),EC$12*'Supuestos Proyeccion'!$F$28)</f>
        <v>11841629.432144631</v>
      </c>
      <c r="ED26" s="23">
        <f>IF(ED$5="Real",INDEX('Informacion de Sam'!$21:$21,MATCH(ED$6,'Informacion de Sam'!$1:$1,0)),ED$12*'Supuestos Proyeccion'!$F$28)</f>
        <v>8498381.1261049304</v>
      </c>
      <c r="EE26" s="23">
        <f>IF(EE$5="Real",INDEX('Informacion de Sam'!$21:$21,MATCH(EE$6,'Informacion de Sam'!$1:$1,0)),EE$12*'Supuestos Proyeccion'!$F$28)</f>
        <v>8694049.226611672</v>
      </c>
      <c r="EF26" s="23">
        <f>IF(EF$5="Real",INDEX('Informacion de Sam'!$21:$21,MATCH(EF$6,'Informacion de Sam'!$1:$1,0)),EF$12*'Supuestos Proyeccion'!$F$28)</f>
        <v>7649216.8025559774</v>
      </c>
      <c r="EG26" s="23">
        <f>IF(EG$5="Real",INDEX('Informacion de Sam'!$21:$21,MATCH(EG$6,'Informacion de Sam'!$1:$1,0)),EG$12*'Supuestos Proyeccion'!$F$28)</f>
        <v>8747731.9445474371</v>
      </c>
      <c r="EH26" s="23">
        <f>IF(EH$5="Real",INDEX('Informacion de Sam'!$21:$21,MATCH(EH$6,'Informacion de Sam'!$1:$1,0)),EH$12*'Supuestos Proyeccion'!$F$28)</f>
        <v>9442410.441202512</v>
      </c>
      <c r="EI26" s="23">
        <f>IF(EI$5="Real",INDEX('Informacion de Sam'!$21:$21,MATCH(EI$6,'Informacion de Sam'!$1:$1,0)),EI$12*'Supuestos Proyeccion'!$F$28)</f>
        <v>14189080.628499709</v>
      </c>
      <c r="EJ26" s="23">
        <f>IF(EJ$5="Real",INDEX('Informacion de Sam'!$21:$21,MATCH(EJ$6,'Informacion de Sam'!$1:$1,0)),EJ$12*'Supuestos Proyeccion'!$F$28)</f>
        <v>8660274.5198024828</v>
      </c>
      <c r="EK26" s="23">
        <f>IF(EK$5="Real",INDEX('Informacion de Sam'!$21:$21,MATCH(EK$6,'Informacion de Sam'!$1:$1,0)),EK$12*'Supuestos Proyeccion'!$F$28)</f>
        <v>8360097.6355026243</v>
      </c>
      <c r="EL26" s="23">
        <f>IF(EL$5="Real",INDEX('Informacion de Sam'!$21:$21,MATCH(EL$6,'Informacion de Sam'!$1:$1,0)),EL$12*'Supuestos Proyeccion'!$F$28)</f>
        <v>8617383.2078757435</v>
      </c>
      <c r="EM26" s="23">
        <f>IF(EM$5="Real",INDEX('Informacion de Sam'!$21:$21,MATCH(EM$6,'Informacion de Sam'!$1:$1,0)),EM$12*'Supuestos Proyeccion'!$F$28)</f>
        <v>7976134.2889466798</v>
      </c>
      <c r="EN26" s="23">
        <f>SUM(EB26:EM26)</f>
        <v>111030134.1461481</v>
      </c>
      <c r="EO26" s="23">
        <f>IF(EO$5="Real",INDEX('Informacion de Sam'!$21:$21,MATCH(EO$6,'Informacion de Sam'!$1:$1,0)),EO$12*'Supuestos Proyeccion'!$F$28)</f>
        <v>10442181.115442125</v>
      </c>
      <c r="EP26" s="23">
        <f>IF(EP$5="Real",INDEX('Informacion de Sam'!$21:$21,MATCH(EP$6,'Informacion de Sam'!$1:$1,0)),EP$12*'Supuestos Proyeccion'!$F$28)</f>
        <v>14802036.790180786</v>
      </c>
      <c r="EQ26" s="23">
        <f>IF(EQ$5="Real",INDEX('Informacion de Sam'!$21:$21,MATCH(EQ$6,'Informacion de Sam'!$1:$1,0)),EQ$12*'Supuestos Proyeccion'!$F$28)</f>
        <v>10622976.407631161</v>
      </c>
      <c r="ER26" s="23">
        <f>IF(ER$5="Real",INDEX('Informacion de Sam'!$21:$21,MATCH(ER$6,'Informacion de Sam'!$1:$1,0)),ER$12*'Supuestos Proyeccion'!$F$28)</f>
        <v>10867561.533264589</v>
      </c>
      <c r="ES26" s="23">
        <f>IF(ES$5="Real",INDEX('Informacion de Sam'!$21:$21,MATCH(ES$6,'Informacion de Sam'!$1:$1,0)),ES$12*'Supuestos Proyeccion'!$F$28)</f>
        <v>9561521.003194971</v>
      </c>
      <c r="ET26" s="23">
        <f>IF(ET$5="Real",INDEX('Informacion de Sam'!$21:$21,MATCH(ET$6,'Informacion de Sam'!$1:$1,0)),ET$12*'Supuestos Proyeccion'!$F$28)</f>
        <v>10934664.930684296</v>
      </c>
      <c r="EU26" s="23">
        <f>IF(EU$5="Real",INDEX('Informacion de Sam'!$21:$21,MATCH(EU$6,'Informacion de Sam'!$1:$1,0)),EU$12*'Supuestos Proyeccion'!$F$28)</f>
        <v>11803013.051503137</v>
      </c>
      <c r="EV26" s="23">
        <f>IF(EV$5="Real",INDEX('Informacion de Sam'!$21:$21,MATCH(EV$6,'Informacion de Sam'!$1:$1,0)),EV$12*'Supuestos Proyeccion'!$F$28)</f>
        <v>17736350.785624638</v>
      </c>
      <c r="EW26" s="23">
        <f>IF(EW$5="Real",INDEX('Informacion de Sam'!$21:$21,MATCH(EW$6,'Informacion de Sam'!$1:$1,0)),EW$12*'Supuestos Proyeccion'!$F$28)</f>
        <v>10825343.149753103</v>
      </c>
      <c r="EX26" s="23">
        <f>IF(EX$5="Real",INDEX('Informacion de Sam'!$21:$21,MATCH(EX$6,'Informacion de Sam'!$1:$1,0)),EX$12*'Supuestos Proyeccion'!$F$28)</f>
        <v>10450122.044378279</v>
      </c>
      <c r="EY26" s="23">
        <f>IF(EY$5="Real",INDEX('Informacion de Sam'!$21:$21,MATCH(EY$6,'Informacion de Sam'!$1:$1,0)),EY$12*'Supuestos Proyeccion'!$F$28)</f>
        <v>10771729.009844678</v>
      </c>
      <c r="EZ26" s="23">
        <f>IF(EZ$5="Real",INDEX('Informacion de Sam'!$21:$21,MATCH(EZ$6,'Informacion de Sam'!$1:$1,0)),EZ$12*'Supuestos Proyeccion'!$F$28)</f>
        <v>9970167.861183349</v>
      </c>
      <c r="FA26" s="23">
        <f>SUM(EO26:EZ26)</f>
        <v>138787667.68268514</v>
      </c>
      <c r="FB26" s="23">
        <f>IF(FB$5="Real",INDEX('Informacion de Sam'!$21:$21,MATCH(FB$6,'Informacion de Sam'!$1:$1,0)),FB$12*'Supuestos Proyeccion'!$F$28)</f>
        <v>13052726.394302657</v>
      </c>
      <c r="FC26" s="23">
        <f>IF(FC$5="Real",INDEX('Informacion de Sam'!$21:$21,MATCH(FC$6,'Informacion de Sam'!$1:$1,0)),FC$12*'Supuestos Proyeccion'!$F$28)</f>
        <v>18502545.987725988</v>
      </c>
      <c r="FD26" s="23">
        <f>IF(FD$5="Real",INDEX('Informacion de Sam'!$21:$21,MATCH(FD$6,'Informacion de Sam'!$1:$1,0)),FD$12*'Supuestos Proyeccion'!$F$28)</f>
        <v>13278720.509538954</v>
      </c>
      <c r="FE26" s="23">
        <f>IF(FE$5="Real",INDEX('Informacion de Sam'!$21:$21,MATCH(FE$6,'Informacion de Sam'!$1:$1,0)),FE$12*'Supuestos Proyeccion'!$F$28)</f>
        <v>13584451.916580738</v>
      </c>
      <c r="FF26" s="23">
        <f>IF(FF$5="Real",INDEX('Informacion de Sam'!$21:$21,MATCH(FF$6,'Informacion de Sam'!$1:$1,0)),FF$12*'Supuestos Proyeccion'!$F$28)</f>
        <v>11951901.253993716</v>
      </c>
      <c r="FG26" s="23">
        <f>IF(FG$5="Real",INDEX('Informacion de Sam'!$21:$21,MATCH(FG$6,'Informacion de Sam'!$1:$1,0)),FG$12*'Supuestos Proyeccion'!$F$28)</f>
        <v>13668331.163355373</v>
      </c>
      <c r="FH26" s="23">
        <f>IF(FH$5="Real",INDEX('Informacion de Sam'!$21:$21,MATCH(FH$6,'Informacion de Sam'!$1:$1,0)),FH$12*'Supuestos Proyeccion'!$F$28)</f>
        <v>14753766.314378923</v>
      </c>
      <c r="FI26" s="23">
        <f>IF(FI$5="Real",INDEX('Informacion de Sam'!$21:$21,MATCH(FI$6,'Informacion de Sam'!$1:$1,0)),FI$12*'Supuestos Proyeccion'!$F$28)</f>
        <v>22170438.482030798</v>
      </c>
      <c r="FJ26" s="23">
        <f>IF(FJ$5="Real",INDEX('Informacion de Sam'!$21:$21,MATCH(FJ$6,'Informacion de Sam'!$1:$1,0)),FJ$12*'Supuestos Proyeccion'!$F$28)</f>
        <v>13531678.937191378</v>
      </c>
      <c r="FK26" s="23">
        <f>IF(FK$5="Real",INDEX('Informacion de Sam'!$21:$21,MATCH(FK$6,'Informacion de Sam'!$1:$1,0)),FK$12*'Supuestos Proyeccion'!$F$28)</f>
        <v>13062652.555472849</v>
      </c>
      <c r="FL26" s="23">
        <f>IF(FL$5="Real",INDEX('Informacion de Sam'!$21:$21,MATCH(FL$6,'Informacion de Sam'!$1:$1,0)),FL$12*'Supuestos Proyeccion'!$F$28)</f>
        <v>13464661.262305848</v>
      </c>
      <c r="FM26" s="23">
        <f>IF(FM$5="Real",INDEX('Informacion de Sam'!$21:$21,MATCH(FM$6,'Informacion de Sam'!$1:$1,0)),FM$12*'Supuestos Proyeccion'!$F$28)</f>
        <v>12462709.826479187</v>
      </c>
      <c r="FN26" s="23">
        <f>SUM(FB26:FM26)</f>
        <v>173484584.60335642</v>
      </c>
      <c r="FO26" s="23">
        <f>IF(FO$5="Real",INDEX('Informacion de Sam'!$21:$21,MATCH(FO$6,'Informacion de Sam'!$1:$1,0)),FO$12*'Supuestos Proyeccion'!$F$28)</f>
        <v>16315907.99287832</v>
      </c>
      <c r="FP26" s="23">
        <f>IF(FP$5="Real",INDEX('Informacion de Sam'!$21:$21,MATCH(FP$6,'Informacion de Sam'!$1:$1,0)),FP$12*'Supuestos Proyeccion'!$F$28)</f>
        <v>23128182.484657481</v>
      </c>
      <c r="FQ26" s="23">
        <f>IF(FQ$5="Real",INDEX('Informacion de Sam'!$21:$21,MATCH(FQ$6,'Informacion de Sam'!$1:$1,0)),FQ$12*'Supuestos Proyeccion'!$F$28)</f>
        <v>16598400.636923691</v>
      </c>
      <c r="FR26" s="23">
        <f>IF(FR$5="Real",INDEX('Informacion de Sam'!$21:$21,MATCH(FR$6,'Informacion de Sam'!$1:$1,0)),FR$12*'Supuestos Proyeccion'!$F$28)</f>
        <v>16980564.895725921</v>
      </c>
      <c r="FS26" s="23">
        <f>IF(FS$5="Real",INDEX('Informacion de Sam'!$21:$21,MATCH(FS$6,'Informacion de Sam'!$1:$1,0)),FS$12*'Supuestos Proyeccion'!$F$28)</f>
        <v>14939876.567492146</v>
      </c>
      <c r="FT26" s="23">
        <f>IF(FT$5="Real",INDEX('Informacion de Sam'!$21:$21,MATCH(FT$6,'Informacion de Sam'!$1:$1,0)),FT$12*'Supuestos Proyeccion'!$F$28)</f>
        <v>17085413.954194214</v>
      </c>
      <c r="FU26" s="23">
        <f>IF(FU$5="Real",INDEX('Informacion de Sam'!$21:$21,MATCH(FU$6,'Informacion de Sam'!$1:$1,0)),FU$12*'Supuestos Proyeccion'!$F$28)</f>
        <v>18442207.892973654</v>
      </c>
      <c r="FV26" s="23">
        <f>IF(FV$5="Real",INDEX('Informacion de Sam'!$21:$21,MATCH(FV$6,'Informacion de Sam'!$1:$1,0)),FV$12*'Supuestos Proyeccion'!$F$28)</f>
        <v>27713048.102538493</v>
      </c>
      <c r="FW26" s="23">
        <f>IF(FW$5="Real",INDEX('Informacion de Sam'!$21:$21,MATCH(FW$6,'Informacion de Sam'!$1:$1,0)),FW$12*'Supuestos Proyeccion'!$F$28)</f>
        <v>16914598.671489224</v>
      </c>
      <c r="FX26" s="23">
        <f>IF(FX$5="Real",INDEX('Informacion de Sam'!$21:$21,MATCH(FX$6,'Informacion de Sam'!$1:$1,0)),FX$12*'Supuestos Proyeccion'!$F$28)</f>
        <v>16328315.694341062</v>
      </c>
      <c r="FY26" s="23">
        <f>IF(FY$5="Real",INDEX('Informacion de Sam'!$21:$21,MATCH(FY$6,'Informacion de Sam'!$1:$1,0)),FY$12*'Supuestos Proyeccion'!$F$28)</f>
        <v>16830826.577882312</v>
      </c>
      <c r="FZ26" s="23">
        <f>IF(FZ$5="Real",INDEX('Informacion de Sam'!$21:$21,MATCH(FZ$6,'Informacion de Sam'!$1:$1,0)),FZ$12*'Supuestos Proyeccion'!$F$28)</f>
        <v>15578387.283098983</v>
      </c>
      <c r="GA26" s="23">
        <f>SUM(FO26:FZ26)</f>
        <v>216855730.75419554</v>
      </c>
      <c r="GB26" s="23">
        <f>IF(GB$5="Real",INDEX('Informacion de Sam'!$21:$21,MATCH(GB$6,'Informacion de Sam'!$1:$1,0)),GB$12*'Supuestos Proyeccion'!$F$28)</f>
        <v>20394884.991097901</v>
      </c>
      <c r="GC26" s="23">
        <f>IF(GC$5="Real",INDEX('Informacion de Sam'!$21:$21,MATCH(GC$6,'Informacion de Sam'!$1:$1,0)),GC$12*'Supuestos Proyeccion'!$F$28)</f>
        <v>28910228.105821852</v>
      </c>
      <c r="GD26" s="23">
        <f>IF(GD$5="Real",INDEX('Informacion de Sam'!$21:$21,MATCH(GD$6,'Informacion de Sam'!$1:$1,0)),GD$12*'Supuestos Proyeccion'!$F$28)</f>
        <v>20748000.796154615</v>
      </c>
      <c r="GE26" s="23">
        <f>IF(GE$5="Real",INDEX('Informacion de Sam'!$21:$21,MATCH(GE$6,'Informacion de Sam'!$1:$1,0)),GE$12*'Supuestos Proyeccion'!$F$28)</f>
        <v>21225706.119657405</v>
      </c>
      <c r="GF26" s="23">
        <f>IF(GF$5="Real",INDEX('Informacion de Sam'!$21:$21,MATCH(GF$6,'Informacion de Sam'!$1:$1,0)),GF$12*'Supuestos Proyeccion'!$F$28)</f>
        <v>18674845.709365182</v>
      </c>
      <c r="GG26" s="23">
        <f>IF(GG$5="Real",INDEX('Informacion de Sam'!$21:$21,MATCH(GG$6,'Informacion de Sam'!$1:$1,0)),GG$12*'Supuestos Proyeccion'!$F$28)</f>
        <v>21356767.442742765</v>
      </c>
      <c r="GH26" s="23">
        <f>IF(GH$5="Real",INDEX('Informacion de Sam'!$21:$21,MATCH(GH$6,'Informacion de Sam'!$1:$1,0)),GH$12*'Supuestos Proyeccion'!$F$28)</f>
        <v>23052759.866217069</v>
      </c>
      <c r="GI26" s="23">
        <f>IF(GI$5="Real",INDEX('Informacion de Sam'!$21:$21,MATCH(GI$6,'Informacion de Sam'!$1:$1,0)),GI$12*'Supuestos Proyeccion'!$F$28)</f>
        <v>34641310.12817312</v>
      </c>
      <c r="GJ26" s="23">
        <f>IF(GJ$5="Real",INDEX('Informacion de Sam'!$21:$21,MATCH(GJ$6,'Informacion de Sam'!$1:$1,0)),GJ$12*'Supuestos Proyeccion'!$F$28)</f>
        <v>21143248.33936153</v>
      </c>
      <c r="GK26" s="23">
        <f>IF(GK$5="Real",INDEX('Informacion de Sam'!$21:$21,MATCH(GK$6,'Informacion de Sam'!$1:$1,0)),GK$12*'Supuestos Proyeccion'!$F$28)</f>
        <v>20410394.617926326</v>
      </c>
      <c r="GL26" s="23">
        <f>IF(GL$5="Real",INDEX('Informacion de Sam'!$21:$21,MATCH(GL$6,'Informacion de Sam'!$1:$1,0)),GL$12*'Supuestos Proyeccion'!$F$28)</f>
        <v>21038533.222352892</v>
      </c>
      <c r="GM26" s="23">
        <f>IF(GM$5="Real",INDEX('Informacion de Sam'!$21:$21,MATCH(GM$6,'Informacion de Sam'!$1:$1,0)),GM$12*'Supuestos Proyeccion'!$F$28)</f>
        <v>19472984.10387373</v>
      </c>
      <c r="GN26" s="23">
        <f>SUM(GB26:GM26)</f>
        <v>271069663.44274437</v>
      </c>
      <c r="GO26" s="23">
        <f>IF(GO$5="Real",INDEX('Informacion de Sam'!$21:$21,MATCH(GO$6,'Informacion de Sam'!$1:$1,0)),GO$12*'Supuestos Proyeccion'!$F$28)</f>
        <v>25493606.238872375</v>
      </c>
      <c r="GP26" s="23">
        <f>IF(GP$5="Real",INDEX('Informacion de Sam'!$21:$21,MATCH(GP$6,'Informacion de Sam'!$1:$1,0)),GP$12*'Supuestos Proyeccion'!$F$28)</f>
        <v>36137785.13227731</v>
      </c>
      <c r="GQ26" s="23">
        <f>IF(GQ$5="Real",INDEX('Informacion de Sam'!$21:$21,MATCH(GQ$6,'Informacion de Sam'!$1:$1,0)),GQ$12*'Supuestos Proyeccion'!$F$28)</f>
        <v>25935000.995193265</v>
      </c>
      <c r="GR26" s="23">
        <f>IF(GR$5="Real",INDEX('Informacion de Sam'!$21:$21,MATCH(GR$6,'Informacion de Sam'!$1:$1,0)),GR$12*'Supuestos Proyeccion'!$F$28)</f>
        <v>26532132.64957175</v>
      </c>
      <c r="GS26" s="23">
        <f>IF(GS$5="Real",INDEX('Informacion de Sam'!$21:$21,MATCH(GS$6,'Informacion de Sam'!$1:$1,0)),GS$12*'Supuestos Proyeccion'!$F$28)</f>
        <v>23343557.136706471</v>
      </c>
      <c r="GT26" s="23">
        <f>IF(GT$5="Real",INDEX('Informacion de Sam'!$21:$21,MATCH(GT$6,'Informacion de Sam'!$1:$1,0)),GT$12*'Supuestos Proyeccion'!$F$28)</f>
        <v>26695959.303428452</v>
      </c>
      <c r="GU26" s="23">
        <f>IF(GU$5="Real",INDEX('Informacion de Sam'!$21:$21,MATCH(GU$6,'Informacion de Sam'!$1:$1,0)),GU$12*'Supuestos Proyeccion'!$F$28)</f>
        <v>28815949.832771331</v>
      </c>
      <c r="GV26" s="23">
        <f>IF(GV$5="Real",INDEX('Informacion de Sam'!$21:$21,MATCH(GV$6,'Informacion de Sam'!$1:$1,0)),GV$12*'Supuestos Proyeccion'!$F$28)</f>
        <v>43301637.660216399</v>
      </c>
      <c r="GW26" s="23">
        <f>IF(GW$5="Real",INDEX('Informacion de Sam'!$21:$21,MATCH(GW$6,'Informacion de Sam'!$1:$1,0)),GW$12*'Supuestos Proyeccion'!$F$28)</f>
        <v>26429060.424201913</v>
      </c>
      <c r="GX26" s="23">
        <f>IF(GX$5="Real",INDEX('Informacion de Sam'!$21:$21,MATCH(GX$6,'Informacion de Sam'!$1:$1,0)),GX$12*'Supuestos Proyeccion'!$F$28)</f>
        <v>25512993.272407904</v>
      </c>
      <c r="GY26" s="23">
        <f>IF(GY$5="Real",INDEX('Informacion de Sam'!$21:$21,MATCH(GY$6,'Informacion de Sam'!$1:$1,0)),GY$12*'Supuestos Proyeccion'!$F$28)</f>
        <v>26298166.527941111</v>
      </c>
      <c r="GZ26" s="23">
        <f>IF(GZ$5="Real",INDEX('Informacion de Sam'!$21:$21,MATCH(GZ$6,'Informacion de Sam'!$1:$1,0)),GZ$12*'Supuestos Proyeccion'!$F$28)</f>
        <v>24341230.129842158</v>
      </c>
      <c r="HA26" s="23">
        <f>SUM(GO26:GZ26)</f>
        <v>338837079.30343044</v>
      </c>
      <c r="HB26" s="23"/>
      <c r="HC26" s="51">
        <f t="shared" ref="HC26:HR26" si="6">SUMIFS($B26:$HA26,$B$4:$HA$4,HC$6,$B$5:$HA$5,"Acumulado")</f>
        <v>41335832.649999999</v>
      </c>
      <c r="HD26" s="51">
        <f t="shared" si="6"/>
        <v>44952137.770000003</v>
      </c>
      <c r="HE26" s="51">
        <f t="shared" si="6"/>
        <v>65206423.07</v>
      </c>
      <c r="HF26" s="51">
        <f t="shared" si="6"/>
        <v>68010857.099999994</v>
      </c>
      <c r="HG26" s="51">
        <f t="shared" si="6"/>
        <v>67382456.430000007</v>
      </c>
      <c r="HH26" s="51">
        <f t="shared" si="6"/>
        <v>61463908.329999998</v>
      </c>
      <c r="HI26" s="51">
        <f t="shared" si="6"/>
        <v>49727939.421511434</v>
      </c>
      <c r="HJ26" s="51">
        <f t="shared" si="6"/>
        <v>56847428.682827815</v>
      </c>
      <c r="HK26" s="51">
        <f t="shared" si="6"/>
        <v>71059285.853534788</v>
      </c>
      <c r="HL26" s="51">
        <f t="shared" si="6"/>
        <v>88824107.316918492</v>
      </c>
      <c r="HM26" s="51">
        <f t="shared" si="6"/>
        <v>111030134.1461481</v>
      </c>
      <c r="HN26" s="51">
        <f t="shared" si="6"/>
        <v>138787667.68268514</v>
      </c>
      <c r="HO26" s="51">
        <f t="shared" si="6"/>
        <v>173484584.60335642</v>
      </c>
      <c r="HP26" s="51">
        <f t="shared" si="6"/>
        <v>216855730.75419554</v>
      </c>
      <c r="HQ26" s="51">
        <f t="shared" si="6"/>
        <v>271069663.44274437</v>
      </c>
      <c r="HR26" s="51">
        <f t="shared" si="6"/>
        <v>338837079.30343044</v>
      </c>
    </row>
    <row r="27" spans="1:226" x14ac:dyDescent="0.35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/>
      <c r="HP27" s="51"/>
      <c r="HQ27" s="51"/>
      <c r="HR27" s="51"/>
    </row>
    <row r="28" spans="1:226" x14ac:dyDescent="0.35">
      <c r="A28" s="24" t="s">
        <v>22</v>
      </c>
      <c r="B28" s="29">
        <f>IF(B$5="Real",INDEX('Informacion de Sam'!$23:$23,MATCH(B$6,'Informacion de Sam'!$1:$1,0)),B$29+B$30-B$32-B$33)</f>
        <v>6993652.7800000003</v>
      </c>
      <c r="C28" s="29">
        <f>IF(C$5="Real",INDEX('Informacion de Sam'!$23:$23,MATCH(C$6,'Informacion de Sam'!$1:$1,0)),C$29+C$30-C$32-C$33)</f>
        <v>9048838.4700000007</v>
      </c>
      <c r="D28" s="29">
        <f>IF(D$5="Real",INDEX('Informacion de Sam'!$23:$23,MATCH(D$6,'Informacion de Sam'!$1:$1,0)),D$29+D$30-D$32-D$33)</f>
        <v>7905647.879999999</v>
      </c>
      <c r="E28" s="29">
        <f>IF(E$5="Real",INDEX('Informacion de Sam'!$23:$23,MATCH(E$6,'Informacion de Sam'!$1:$1,0)),E$29+E$30-E$32-E$33)</f>
        <v>3453936.7699999972</v>
      </c>
      <c r="F28" s="29">
        <f>IF(F$5="Real",INDEX('Informacion de Sam'!$23:$23,MATCH(F$6,'Informacion de Sam'!$1:$1,0)),F$29+F$30-F$32-F$33)</f>
        <v>7153170.6000000015</v>
      </c>
      <c r="G28" s="29">
        <f>IF(G$5="Real",INDEX('Informacion de Sam'!$23:$23,MATCH(G$6,'Informacion de Sam'!$1:$1,0)),G$29+G$30-G$32-G$33)</f>
        <v>5651757.8999999994</v>
      </c>
      <c r="H28" s="29">
        <f>IF(H$5="Real",INDEX('Informacion de Sam'!$23:$23,MATCH(H$6,'Informacion de Sam'!$1:$1,0)),H$29+H$30-H$32-H$33)</f>
        <v>7152958.299999997</v>
      </c>
      <c r="I28" s="29">
        <f>IF(I$5="Real",INDEX('Informacion de Sam'!$23:$23,MATCH(I$6,'Informacion de Sam'!$1:$1,0)),I$29+I$30-I$32-I$33)</f>
        <v>7402718.1800000034</v>
      </c>
      <c r="J28" s="29">
        <f>IF(J$5="Real",INDEX('Informacion de Sam'!$23:$23,MATCH(J$6,'Informacion de Sam'!$1:$1,0)),J$29+J$30-J$32-J$33)</f>
        <v>11039182.340000009</v>
      </c>
      <c r="K28" s="29">
        <f>IF(K$5="Real",INDEX('Informacion de Sam'!$23:$23,MATCH(K$6,'Informacion de Sam'!$1:$1,0)),K$29+K$30-K$32-K$33)</f>
        <v>7211502.6799999941</v>
      </c>
      <c r="L28" s="29">
        <f>IF(L$5="Real",INDEX('Informacion de Sam'!$23:$23,MATCH(L$6,'Informacion de Sam'!$1:$1,0)),L$29+L$30-L$32-L$33)</f>
        <v>10374893.819999997</v>
      </c>
      <c r="M28" s="29">
        <f>IF(M$5="Real",INDEX('Informacion de Sam'!$23:$23,MATCH(M$6,'Informacion de Sam'!$1:$1,0)),M$29+M$30-M$32-M$33)</f>
        <v>8971442.6500000078</v>
      </c>
      <c r="N28" s="29">
        <f>SUM(B28:M28)</f>
        <v>92359702.370000005</v>
      </c>
      <c r="O28" s="29">
        <f>IF(O$5="Real",INDEX('Informacion de Sam'!$23:$23,MATCH(O$6,'Informacion de Sam'!$1:$1,0)),O$29+O$30-O$32-O$33)</f>
        <v>6770606.8699999992</v>
      </c>
      <c r="P28" s="29">
        <f>IF(P$5="Real",INDEX('Informacion de Sam'!$23:$23,MATCH(P$6,'Informacion de Sam'!$1:$1,0)),P$29+P$30-P$32-P$33)</f>
        <v>8896654.7399999984</v>
      </c>
      <c r="Q28" s="29">
        <f>IF(Q$5="Real",INDEX('Informacion de Sam'!$23:$23,MATCH(Q$6,'Informacion de Sam'!$1:$1,0)),Q$29+Q$30-Q$32-Q$33)</f>
        <v>9449301.9800000004</v>
      </c>
      <c r="R28" s="29">
        <f>IF(R$5="Real",INDEX('Informacion de Sam'!$23:$23,MATCH(R$6,'Informacion de Sam'!$1:$1,0)),R$29+R$30-R$32-R$33)</f>
        <v>7318152.830000001</v>
      </c>
      <c r="S28" s="29">
        <f>IF(S$5="Real",INDEX('Informacion de Sam'!$23:$23,MATCH(S$6,'Informacion de Sam'!$1:$1,0)),S$29+S$30-S$32-S$33)</f>
        <v>9912665.799999997</v>
      </c>
      <c r="T28" s="29">
        <f>IF(T$5="Real",INDEX('Informacion de Sam'!$23:$23,MATCH(T$6,'Informacion de Sam'!$1:$1,0)),T$29+T$30-T$32-T$33)</f>
        <v>9455061.1600000039</v>
      </c>
      <c r="U28" s="29">
        <f>IF(U$5="Real",INDEX('Informacion de Sam'!$23:$23,MATCH(U$6,'Informacion de Sam'!$1:$1,0)),U$29+U$30-U$32-U$33)</f>
        <v>8830188.2800000012</v>
      </c>
      <c r="V28" s="29">
        <f>IF(V$5="Real",INDEX('Informacion de Sam'!$23:$23,MATCH(V$6,'Informacion de Sam'!$1:$1,0)),V$29+V$30-V$32-V$33)</f>
        <v>8583551.5799999908</v>
      </c>
      <c r="W28" s="29">
        <f>IF(W$5="Real",INDEX('Informacion de Sam'!$23:$23,MATCH(W$6,'Informacion de Sam'!$1:$1,0)),W$29+W$30-W$32-W$33)</f>
        <v>12319032.72000001</v>
      </c>
      <c r="X28" s="29">
        <f>IF(X$5="Real",INDEX('Informacion de Sam'!$23:$23,MATCH(X$6,'Informacion de Sam'!$1:$1,0)),X$29+X$30-X$32-X$33)</f>
        <v>9243793.0300000031</v>
      </c>
      <c r="Y28" s="29">
        <f>IF(Y$5="Real",INDEX('Informacion de Sam'!$23:$23,MATCH(Y$6,'Informacion de Sam'!$1:$1,0)),Y$29+Y$30-Y$32-Y$33)</f>
        <v>10204451.399999984</v>
      </c>
      <c r="Z28" s="29">
        <f>IF(Z$5="Real",INDEX('Informacion de Sam'!$23:$23,MATCH(Z$6,'Informacion de Sam'!$1:$1,0)),Z$29+Z$30-Z$32-Z$33)</f>
        <v>10591940.170000002</v>
      </c>
      <c r="AA28" s="29">
        <f>SUM(O28:Z28)</f>
        <v>111575400.55999999</v>
      </c>
      <c r="AB28" s="29">
        <f>IF(AB$5="Real",INDEX('Informacion de Sam'!$23:$23,MATCH(AB$6,'Informacion de Sam'!$1:$1,0)),AB$29+AB$30-AB$32-AB$33)</f>
        <v>7719533.1000000006</v>
      </c>
      <c r="AC28" s="29">
        <f>IF(AC$5="Real",INDEX('Informacion de Sam'!$23:$23,MATCH(AC$6,'Informacion de Sam'!$1:$1,0)),AC$29+AC$30-AC$32-AC$33)</f>
        <v>8950611.3100000005</v>
      </c>
      <c r="AD28" s="29">
        <f>IF(AD$5="Real",INDEX('Informacion de Sam'!$23:$23,MATCH(AD$6,'Informacion de Sam'!$1:$1,0)),AD$29+AD$30-AD$32-AD$33)</f>
        <v>9373277.6900000032</v>
      </c>
      <c r="AE28" s="29">
        <f>IF(AE$5="Real",INDEX('Informacion de Sam'!$23:$23,MATCH(AE$6,'Informacion de Sam'!$1:$1,0)),AE$29+AE$30-AE$32-AE$33)</f>
        <v>9695827.1999999937</v>
      </c>
      <c r="AF28" s="29">
        <f>IF(AF$5="Real",INDEX('Informacion de Sam'!$23:$23,MATCH(AF$6,'Informacion de Sam'!$1:$1,0)),AF$29+AF$30-AF$32-AF$33)</f>
        <v>11074253.490000006</v>
      </c>
      <c r="AG28" s="29">
        <f>IF(AG$5="Real",INDEX('Informacion de Sam'!$23:$23,MATCH(AG$6,'Informacion de Sam'!$1:$1,0)),AG$29+AG$30-AG$32-AG$33)</f>
        <v>9600120.1799999978</v>
      </c>
      <c r="AH28" s="29">
        <f>IF(AH$5="Real",INDEX('Informacion de Sam'!$23:$23,MATCH(AH$6,'Informacion de Sam'!$1:$1,0)),AH$29+AH$30-AH$32-AH$33)</f>
        <v>9439572.089999998</v>
      </c>
      <c r="AI28" s="29">
        <f>IF(AI$5="Real",INDEX('Informacion de Sam'!$23:$23,MATCH(AI$6,'Informacion de Sam'!$1:$1,0)),AI$29+AI$30-AI$32-AI$33)</f>
        <v>11445033.280000001</v>
      </c>
      <c r="AJ28" s="29">
        <f>IF(AJ$5="Real",INDEX('Informacion de Sam'!$23:$23,MATCH(AJ$6,'Informacion de Sam'!$1:$1,0)),AJ$29+AJ$30-AJ$32-AJ$33)</f>
        <v>11982332.469999991</v>
      </c>
      <c r="AK28" s="29">
        <f>IF(AK$5="Real",INDEX('Informacion de Sam'!$23:$23,MATCH(AK$6,'Informacion de Sam'!$1:$1,0)),AK$29+AK$30-AK$32-AK$33)</f>
        <v>8202589.1399999987</v>
      </c>
      <c r="AL28" s="29">
        <f>IF(AL$5="Real",INDEX('Informacion de Sam'!$23:$23,MATCH(AL$6,'Informacion de Sam'!$1:$1,0)),AL$29+AL$30-AL$32-AL$33)</f>
        <v>13806431.620000014</v>
      </c>
      <c r="AM28" s="29">
        <f>IF(AM$5="Real",INDEX('Informacion de Sam'!$23:$23,MATCH(AM$6,'Informacion de Sam'!$1:$1,0)),AM$29+AM$30-AM$32-AM$33)</f>
        <v>12518923.219999982</v>
      </c>
      <c r="AN28" s="29">
        <f>SUM(AB28:AM28)</f>
        <v>123808504.79000001</v>
      </c>
      <c r="AO28" s="29">
        <f>IF(AO$5="Real",INDEX('Informacion de Sam'!$23:$23,MATCH(AO$6,'Informacion de Sam'!$1:$1,0)),AO$29+AO$30-AO$32-AO$33)</f>
        <v>7773786.5099999998</v>
      </c>
      <c r="AP28" s="29">
        <f>IF(AP$5="Real",INDEX('Informacion de Sam'!$23:$23,MATCH(AP$6,'Informacion de Sam'!$1:$1,0)),AP$29+AP$30-AP$32-AP$33)</f>
        <v>11346257.35</v>
      </c>
      <c r="AQ28" s="29">
        <f>IF(AQ$5="Real",INDEX('Informacion de Sam'!$23:$23,MATCH(AQ$6,'Informacion de Sam'!$1:$1,0)),AQ$29+AQ$30-AQ$32-AQ$33)</f>
        <v>11012408.820000002</v>
      </c>
      <c r="AR28" s="29">
        <f>IF(AR$5="Real",INDEX('Informacion de Sam'!$23:$23,MATCH(AR$6,'Informacion de Sam'!$1:$1,0)),AR$29+AR$30-AR$32-AR$33)</f>
        <v>9822839.5700000003</v>
      </c>
      <c r="AS28" s="29">
        <f>IF(AS$5="Real",INDEX('Informacion de Sam'!$23:$23,MATCH(AS$6,'Informacion de Sam'!$1:$1,0)),AS$29+AS$30-AS$32-AS$33)</f>
        <v>11324614.189999994</v>
      </c>
      <c r="AT28" s="29">
        <f>IF(AT$5="Real",INDEX('Informacion de Sam'!$23:$23,MATCH(AT$6,'Informacion de Sam'!$1:$1,0)),AT$29+AT$30-AT$32-AT$33)</f>
        <v>13265912.970000003</v>
      </c>
      <c r="AU28" s="29">
        <f>IF(AU$5="Real",INDEX('Informacion de Sam'!$23:$23,MATCH(AU$6,'Informacion de Sam'!$1:$1,0)),AU$29+AU$30-AU$32-AU$33)</f>
        <v>9011876.1599999964</v>
      </c>
      <c r="AV28" s="29">
        <f>IF(AV$5="Real",INDEX('Informacion de Sam'!$23:$23,MATCH(AV$6,'Informacion de Sam'!$1:$1,0)),AV$29+AV$30-AV$32-AV$33)</f>
        <v>12374621.610000007</v>
      </c>
      <c r="AW28" s="29">
        <f>IF(AW$5="Real",INDEX('Informacion de Sam'!$23:$23,MATCH(AW$6,'Informacion de Sam'!$1:$1,0)),AW$29+AW$30-AW$32-AW$33)</f>
        <v>11345069.860000003</v>
      </c>
      <c r="AX28" s="29">
        <f>IF(AX$5="Real",INDEX('Informacion de Sam'!$23:$23,MATCH(AX$6,'Informacion de Sam'!$1:$1,0)),AX$29+AX$30-AX$32-AX$33)</f>
        <v>13428744.049999993</v>
      </c>
      <c r="AY28" s="29">
        <f>IF(AY$5="Real",INDEX('Informacion de Sam'!$23:$23,MATCH(AY$6,'Informacion de Sam'!$1:$1,0)),AY$29+AY$30-AY$32-AY$33)</f>
        <v>12656879.32000001</v>
      </c>
      <c r="AZ28" s="29">
        <f>IF(AZ$5="Real",INDEX('Informacion de Sam'!$23:$23,MATCH(AZ$6,'Informacion de Sam'!$1:$1,0)),AZ$29+AZ$30-AZ$32-AZ$33)</f>
        <v>16674058.879999951</v>
      </c>
      <c r="BA28" s="29">
        <f>SUM(AO28:AZ28)</f>
        <v>140037069.28999996</v>
      </c>
      <c r="BB28" s="29">
        <f>IF(BB$5="Real",INDEX('Informacion de Sam'!$23:$23,MATCH(BB$6,'Informacion de Sam'!$1:$1,0)),BB$29+BB$30-BB$32-BB$33)</f>
        <v>11210541.24</v>
      </c>
      <c r="BC28" s="29">
        <f>IF(BC$5="Real",INDEX('Informacion de Sam'!$23:$23,MATCH(BC$6,'Informacion de Sam'!$1:$1,0)),BC$29+BC$30-BC$32-BC$33)</f>
        <v>15544835.360000003</v>
      </c>
      <c r="BD28" s="29">
        <f>IF(BD$5="Real",INDEX('Informacion de Sam'!$23:$23,MATCH(BD$6,'Informacion de Sam'!$1:$1,0)),BD$29+BD$30-BD$32-BD$33)</f>
        <v>14138597.18</v>
      </c>
      <c r="BE28" s="29">
        <f>IF(BE$5="Real",INDEX('Informacion de Sam'!$23:$23,MATCH(BE$6,'Informacion de Sam'!$1:$1,0)),BE$29+BE$30-BE$32-BE$33)</f>
        <v>9683701.7999999989</v>
      </c>
      <c r="BF28" s="29">
        <f>IF(BF$5="Real",INDEX('Informacion de Sam'!$23:$23,MATCH(BF$6,'Informacion de Sam'!$1:$1,0)),BF$29+BF$30-BF$32-BF$33)</f>
        <v>15765056.849999998</v>
      </c>
      <c r="BG28" s="29">
        <f>IF(BG$5="Real",INDEX('Informacion de Sam'!$23:$23,MATCH(BG$6,'Informacion de Sam'!$1:$1,0)),BG$29+BG$30-BG$32-BG$33)</f>
        <v>13909162.129999997</v>
      </c>
      <c r="BH28" s="29">
        <f>IF(BH$5="Real",INDEX('Informacion de Sam'!$23:$23,MATCH(BH$6,'Informacion de Sam'!$1:$1,0)),BH$29+BH$30-BH$32-BH$33)</f>
        <v>16387598.249999991</v>
      </c>
      <c r="BI28" s="29">
        <f>IF(BI$5="Real",INDEX('Informacion de Sam'!$23:$23,MATCH(BI$6,'Informacion de Sam'!$1:$1,0)),BI$29+BI$30-BI$32-BI$33)</f>
        <v>13006609.330000022</v>
      </c>
      <c r="BJ28" s="29">
        <f>IF(BJ$5="Real",INDEX('Informacion de Sam'!$23:$23,MATCH(BJ$6,'Informacion de Sam'!$1:$1,0)),BJ$29+BJ$30-BJ$32-BJ$33)</f>
        <v>17098801.899999976</v>
      </c>
      <c r="BK28" s="29">
        <f>IF(BK$5="Real",INDEX('Informacion de Sam'!$23:$23,MATCH(BK$6,'Informacion de Sam'!$1:$1,0)),BK$29+BK$30-BK$32-BK$33)</f>
        <v>13412080.84000003</v>
      </c>
      <c r="BL28" s="29">
        <f>IF(BL$5="Real",INDEX('Informacion de Sam'!$23:$23,MATCH(BL$6,'Informacion de Sam'!$1:$1,0)),BL$29+BL$30-BL$32-BL$33)</f>
        <v>23797913.319999944</v>
      </c>
      <c r="BM28" s="29">
        <f>IF(BM$5="Real",INDEX('Informacion de Sam'!$23:$23,MATCH(BM$6,'Informacion de Sam'!$1:$1,0)),BM$29+BM$30-BM$32-BM$33)</f>
        <v>3013632.920000046</v>
      </c>
      <c r="BN28" s="29">
        <f>SUM(BB28:BM28)</f>
        <v>166968531.11999997</v>
      </c>
      <c r="BO28" s="29">
        <f>IF(BO$5="Real",INDEX('Informacion de Sam'!$23:$23,MATCH(BO$6,'Informacion de Sam'!$1:$1,0)),BO$29+BO$30-BO$32-BO$33)</f>
        <v>17242902.709999997</v>
      </c>
      <c r="BP28" s="29">
        <f>IF(BP$5="Real",INDEX('Informacion de Sam'!$23:$23,MATCH(BP$6,'Informacion de Sam'!$1:$1,0)),BP$29+BP$30-BP$32-BP$33)</f>
        <v>12562779.810000002</v>
      </c>
      <c r="BQ28" s="29">
        <f>IF(BQ$5="Real",INDEX('Informacion de Sam'!$23:$23,MATCH(BQ$6,'Informacion de Sam'!$1:$1,0)),BQ$29+BQ$30-BQ$32-BQ$33)</f>
        <v>16730119.229999999</v>
      </c>
      <c r="BR28" s="29">
        <f>IF(BR$5="Real",INDEX('Informacion de Sam'!$23:$23,MATCH(BR$6,'Informacion de Sam'!$1:$1,0)),BR$29+BR$30-BR$32-BR$33)</f>
        <v>17664473.539999992</v>
      </c>
      <c r="BS28" s="29">
        <f>IF(BS$5="Real",INDEX('Informacion de Sam'!$23:$23,MATCH(BS$6,'Informacion de Sam'!$1:$1,0)),BS$29+BS$30-BS$32-BS$33)</f>
        <v>17137284.220000006</v>
      </c>
      <c r="BT28" s="29">
        <f>IF(BT$5="Real",INDEX('Informacion de Sam'!$23:$23,MATCH(BT$6,'Informacion de Sam'!$1:$1,0)),BT$29+BT$30-BT$32-BT$33)</f>
        <v>17418253.899999987</v>
      </c>
      <c r="BU28" s="29">
        <f>IF(BU$5="Real",INDEX('Informacion de Sam'!$23:$23,MATCH(BU$6,'Informacion de Sam'!$1:$1,0)),BU$29+BU$30-BU$32-BU$33)</f>
        <v>19000545.289999995</v>
      </c>
      <c r="BV28" s="29">
        <f>IF(BV$5="Real",INDEX('Informacion de Sam'!$23:$23,MATCH(BV$6,'Informacion de Sam'!$1:$1,0)),BV$29+BV$30-BV$32-BV$33)</f>
        <v>14998641.37000001</v>
      </c>
      <c r="BW28" s="29">
        <f>IF(BW$5="Real",INDEX('Informacion de Sam'!$23:$23,MATCH(BW$6,'Informacion de Sam'!$1:$1,0)),BW$29+BW$30-BW$32-BW$33)</f>
        <v>13979568.310000008</v>
      </c>
      <c r="BX28" s="29">
        <f>IF(BX$5="Real",INDEX('Informacion de Sam'!$23:$23,MATCH(BX$6,'Informacion de Sam'!$1:$1,0)),BX$29+BX$30-BX$32-BX$33)</f>
        <v>15631864.819999997</v>
      </c>
      <c r="BY28" s="29">
        <f>IF(BY$5="Real",INDEX('Informacion de Sam'!$23:$23,MATCH(BY$6,'Informacion de Sam'!$1:$1,0)),BY$29+BY$30-BY$32-BY$33)</f>
        <v>13900910.169999992</v>
      </c>
      <c r="BZ28" s="29">
        <f>IF(BZ$5="Real",INDEX('Informacion de Sam'!$23:$23,MATCH(BZ$6,'Informacion de Sam'!$1:$1,0)),BZ$29+BZ$30-BZ$32-BZ$33)</f>
        <v>14939003.689999998</v>
      </c>
      <c r="CA28" s="29">
        <f>SUM(BO28:BZ28)</f>
        <v>191206347.05999997</v>
      </c>
      <c r="CB28" s="29">
        <f>IF(CB$5="Real",INDEX('Informacion de Sam'!$23:$23,MATCH(CB$6,'Informacion de Sam'!$1:$1,0)),CB$29+CB$30-CB$32-CB$33)</f>
        <v>15044778.800000001</v>
      </c>
      <c r="CC28" s="29">
        <f>IF(CC$5="Real",INDEX('Informacion de Sam'!$23:$23,MATCH(CC$6,'Informacion de Sam'!$1:$1,0)),CC$29+CC$30-CC$32-CC$33)</f>
        <v>13026912.799999999</v>
      </c>
      <c r="CD28" s="29">
        <f>IF(CD$5="Real",INDEX('Informacion de Sam'!$23:$23,MATCH(CD$6,'Informacion de Sam'!$1:$1,0)),CD$29+CD$30-CD$32-CD$33)</f>
        <v>12692202.549999997</v>
      </c>
      <c r="CE28" s="29">
        <f>IF(CE$5="Real",INDEX('Informacion de Sam'!$23:$23,MATCH(CE$6,'Informacion de Sam'!$1:$1,0)),CE$29+CE$30-CE$32-CE$33)</f>
        <v>14510127.979999995</v>
      </c>
      <c r="CF28" s="29">
        <f>IF(CF$5="Real",INDEX('Informacion de Sam'!$23:$23,MATCH(CF$6,'Informacion de Sam'!$1:$1,0)),CF$29+CF$30-CF$32-CF$33)</f>
        <v>13006928.800000008</v>
      </c>
      <c r="CG28" s="29">
        <f>IF(CG$5="Real",INDEX('Informacion de Sam'!$23:$23,MATCH(CG$6,'Informacion de Sam'!$1:$1,0)),CG$29+CG$30-CG$32-CG$33)</f>
        <v>14787000.409999996</v>
      </c>
      <c r="CH28" s="29">
        <f>IF(CH$5="Real",INDEX('Informacion de Sam'!$23:$23,MATCH(CH$6,'Informacion de Sam'!$1:$1,0)),CH$29+CH$30-CH$32-CH$33)</f>
        <v>11380664.790000003</v>
      </c>
      <c r="CI28" s="29">
        <f>IF(CI$5="Real",INDEX('Informacion de Sam'!$23:$23,MATCH(CI$6,'Informacion de Sam'!$1:$1,0)),CI$29+CI$30-CI$32-CI$33)</f>
        <v>15864943.470000006</v>
      </c>
      <c r="CJ28" s="29">
        <f>IF(CJ$5="Real",INDEX('Informacion de Sam'!$23:$23,MATCH(CJ$6,'Informacion de Sam'!$1:$1,0)),CJ$29+CJ$30-CJ$32-CJ$33)</f>
        <v>13680734.637985967</v>
      </c>
      <c r="CK28" s="29">
        <f>IF(CK$5="Real",INDEX('Informacion de Sam'!$23:$23,MATCH(CK$6,'Informacion de Sam'!$1:$1,0)),CK$29+CK$30-CK$32-CK$33)</f>
        <v>13206541.783108959</v>
      </c>
      <c r="CL28" s="29">
        <f>IF(CL$5="Real",INDEX('Informacion de Sam'!$23:$23,MATCH(CL$6,'Informacion de Sam'!$1:$1,0)),CL$29+CL$30-CL$32-CL$33)</f>
        <v>13612978.742326654</v>
      </c>
      <c r="CM28" s="29">
        <f>IF(CM$5="Real",INDEX('Informacion de Sam'!$23:$23,MATCH(CM$6,'Informacion de Sam'!$1:$1,0)),CM$29+CM$30-CM$32-CM$33)</f>
        <v>12599990.496203015</v>
      </c>
      <c r="CN28" s="29">
        <f>SUM(CB28:CM28)</f>
        <v>163413805.2596246</v>
      </c>
      <c r="CO28" s="29">
        <f>IF(CO$5="Real",INDEX('Informacion de Sam'!$23:$23,MATCH(CO$6,'Informacion de Sam'!$1:$1,0)),CO$29+CO$30-CO$32-CO$33)</f>
        <v>16495632.852688164</v>
      </c>
      <c r="CP28" s="29">
        <f>IF(CP$5="Real",INDEX('Informacion de Sam'!$23:$23,MATCH(CP$6,'Informacion de Sam'!$1:$1,0)),CP$29+CP$30-CP$32-CP$33)</f>
        <v>23382946.691254251</v>
      </c>
      <c r="CQ28" s="29">
        <f>IF(CQ$5="Real",INDEX('Informacion de Sam'!$23:$23,MATCH(CQ$6,'Informacion de Sam'!$1:$1,0)),CQ$29+CQ$30-CQ$32-CQ$33)</f>
        <v>16781237.242084794</v>
      </c>
      <c r="CR28" s="29">
        <f>IF(CR$5="Real",INDEX('Informacion de Sam'!$23:$23,MATCH(CR$6,'Informacion de Sam'!$1:$1,0)),CR$29+CR$30-CR$32-CR$33)</f>
        <v>17167611.160433248</v>
      </c>
      <c r="CS28" s="29">
        <f>IF(CS$5="Real",INDEX('Informacion de Sam'!$23:$23,MATCH(CS$6,'Informacion de Sam'!$1:$1,0)),CS$29+CS$30-CS$32-CS$33)</f>
        <v>15104444.008227954</v>
      </c>
      <c r="CT28" s="29">
        <f>IF(CT$5="Real",INDEX('Informacion de Sam'!$23:$23,MATCH(CT$6,'Informacion de Sam'!$1:$1,0)),CT$29+CT$30-CT$32-CT$33)</f>
        <v>17273615.164267909</v>
      </c>
      <c r="CU28" s="29">
        <f>IF(CU$5="Real",INDEX('Informacion de Sam'!$23:$23,MATCH(CU$6,'Informacion de Sam'!$1:$1,0)),CU$29+CU$30-CU$32-CU$33)</f>
        <v>18645354.615153961</v>
      </c>
      <c r="CV28" s="29">
        <f>IF(CV$5="Real",INDEX('Informacion de Sam'!$23:$23,MATCH(CV$6,'Informacion de Sam'!$1:$1,0)),CV$29+CV$30-CV$32-CV$33)</f>
        <v>28018316.046394661</v>
      </c>
      <c r="CW28" s="29">
        <f>IF(CW$5="Real",INDEX('Informacion de Sam'!$23:$23,MATCH(CW$6,'Informacion de Sam'!$1:$1,0)),CW$29+CW$30-CW$32-CW$33)</f>
        <v>17100918.297482464</v>
      </c>
      <c r="CX28" s="29">
        <f>IF(CX$5="Real",INDEX('Informacion de Sam'!$23:$23,MATCH(CX$6,'Informacion de Sam'!$1:$1,0)),CX$29+CX$30-CX$32-CX$33)</f>
        <v>16508177.228886198</v>
      </c>
      <c r="CY28" s="29">
        <f>IF(CY$5="Real",INDEX('Informacion de Sam'!$23:$23,MATCH(CY$6,'Informacion de Sam'!$1:$1,0)),CY$29+CY$30-CY$32-CY$33)</f>
        <v>17016223.427908316</v>
      </c>
      <c r="CZ28" s="29">
        <f>IF(CZ$5="Real",INDEX('Informacion de Sam'!$23:$23,MATCH(CZ$6,'Informacion de Sam'!$1:$1,0)),CZ$29+CZ$30-CZ$32-CZ$33)</f>
        <v>15749988.120253772</v>
      </c>
      <c r="DA28" s="29">
        <f>SUM(CO28:CZ28)</f>
        <v>219244464.85503569</v>
      </c>
      <c r="DB28" s="29">
        <f>IF(DB$5="Real",INDEX('Informacion de Sam'!$23:$23,MATCH(DB$6,'Informacion de Sam'!$1:$1,0)),DB$29+DB$30-DB$32-DB$33)</f>
        <v>20619541.065860208</v>
      </c>
      <c r="DC28" s="29">
        <f>IF(DC$5="Real",INDEX('Informacion de Sam'!$23:$23,MATCH(DC$6,'Informacion de Sam'!$1:$1,0)),DC$29+DC$30-DC$32-DC$33)</f>
        <v>29228683.364067819</v>
      </c>
      <c r="DD28" s="29">
        <f>IF(DD$5="Real",INDEX('Informacion de Sam'!$23:$23,MATCH(DD$6,'Informacion de Sam'!$1:$1,0)),DD$29+DD$30-DD$32-DD$33)</f>
        <v>20976546.55260599</v>
      </c>
      <c r="DE28" s="29">
        <f>IF(DE$5="Real",INDEX('Informacion de Sam'!$23:$23,MATCH(DE$6,'Informacion de Sam'!$1:$1,0)),DE$29+DE$30-DE$32-DE$33)</f>
        <v>21459513.95054156</v>
      </c>
      <c r="DF28" s="29">
        <f>IF(DF$5="Real",INDEX('Informacion de Sam'!$23:$23,MATCH(DF$6,'Informacion de Sam'!$1:$1,0)),DF$29+DF$30-DF$32-DF$33)</f>
        <v>18880555.010284945</v>
      </c>
      <c r="DG28" s="29">
        <f>IF(DG$5="Real",INDEX('Informacion de Sam'!$23:$23,MATCH(DG$6,'Informacion de Sam'!$1:$1,0)),DG$29+DG$30-DG$32-DG$33)</f>
        <v>21592018.955334879</v>
      </c>
      <c r="DH28" s="29">
        <f>IF(DH$5="Real",INDEX('Informacion de Sam'!$23:$23,MATCH(DH$6,'Informacion de Sam'!$1:$1,0)),DH$29+DH$30-DH$32-DH$33)</f>
        <v>23306693.268942453</v>
      </c>
      <c r="DI28" s="29">
        <f>IF(DI$5="Real",INDEX('Informacion de Sam'!$23:$23,MATCH(DI$6,'Informacion de Sam'!$1:$1,0)),DI$29+DI$30-DI$32-DI$33)</f>
        <v>35022895.057993315</v>
      </c>
      <c r="DJ28" s="29">
        <f>IF(DJ$5="Real",INDEX('Informacion de Sam'!$23:$23,MATCH(DJ$6,'Informacion de Sam'!$1:$1,0)),DJ$29+DJ$30-DJ$32-DJ$33)</f>
        <v>21376147.87185308</v>
      </c>
      <c r="DK28" s="29">
        <f>IF(DK$5="Real",INDEX('Informacion de Sam'!$23:$23,MATCH(DK$6,'Informacion de Sam'!$1:$1,0)),DK$29+DK$30-DK$32-DK$33)</f>
        <v>20635221.536107745</v>
      </c>
      <c r="DL28" s="29">
        <f>IF(DL$5="Real",INDEX('Informacion de Sam'!$23:$23,MATCH(DL$6,'Informacion de Sam'!$1:$1,0)),DL$29+DL$30-DL$32-DL$33)</f>
        <v>21270279.284885395</v>
      </c>
      <c r="DM28" s="29">
        <f>IF(DM$5="Real",INDEX('Informacion de Sam'!$23:$23,MATCH(DM$6,'Informacion de Sam'!$1:$1,0)),DM$29+DM$30-DM$32-DM$33)</f>
        <v>19687485.150317218</v>
      </c>
      <c r="DN28" s="29">
        <f>SUM(DB28:DM28)</f>
        <v>274055581.06879461</v>
      </c>
      <c r="DO28" s="29">
        <f>IF(DO$5="Real",INDEX('Informacion de Sam'!$23:$23,MATCH(DO$6,'Informacion de Sam'!$1:$1,0)),DO$29+DO$30-DO$32-DO$33)</f>
        <v>25774426.332325257</v>
      </c>
      <c r="DP28" s="29">
        <f>IF(DP$5="Real",INDEX('Informacion de Sam'!$23:$23,MATCH(DP$6,'Informacion de Sam'!$1:$1,0)),DP$29+DP$30-DP$32-DP$33)</f>
        <v>36535854.205084778</v>
      </c>
      <c r="DQ28" s="29">
        <f>IF(DQ$5="Real",INDEX('Informacion de Sam'!$23:$23,MATCH(DQ$6,'Informacion de Sam'!$1:$1,0)),DQ$29+DQ$30-DQ$32-DQ$33)</f>
        <v>26220683.190757491</v>
      </c>
      <c r="DR28" s="29">
        <f>IF(DR$5="Real",INDEX('Informacion de Sam'!$23:$23,MATCH(DR$6,'Informacion de Sam'!$1:$1,0)),DR$29+DR$30-DR$32-DR$33)</f>
        <v>26824392.438176949</v>
      </c>
      <c r="DS28" s="29">
        <f>IF(DS$5="Real",INDEX('Informacion de Sam'!$23:$23,MATCH(DS$6,'Informacion de Sam'!$1:$1,0)),DS$29+DS$30-DS$32-DS$33)</f>
        <v>23600693.762856182</v>
      </c>
      <c r="DT28" s="29">
        <f>IF(DT$5="Real",INDEX('Informacion de Sam'!$23:$23,MATCH(DT$6,'Informacion de Sam'!$1:$1,0)),DT$29+DT$30-DT$32-DT$33)</f>
        <v>26990023.694168609</v>
      </c>
      <c r="DU28" s="29">
        <f>IF(DU$5="Real",INDEX('Informacion de Sam'!$23:$23,MATCH(DU$6,'Informacion de Sam'!$1:$1,0)),DU$29+DU$30-DU$32-DU$33)</f>
        <v>29133366.586178064</v>
      </c>
      <c r="DV28" s="29">
        <f>IF(DV$5="Real",INDEX('Informacion de Sam'!$23:$23,MATCH(DV$6,'Informacion de Sam'!$1:$1,0)),DV$29+DV$30-DV$32-DV$33)</f>
        <v>43778618.822491646</v>
      </c>
      <c r="DW28" s="29">
        <f>IF(DW$5="Real",INDEX('Informacion de Sam'!$23:$23,MATCH(DW$6,'Informacion de Sam'!$1:$1,0)),DW$29+DW$30-DW$32-DW$33)</f>
        <v>26720184.839816347</v>
      </c>
      <c r="DX28" s="29">
        <f>IF(DX$5="Real",INDEX('Informacion de Sam'!$23:$23,MATCH(DX$6,'Informacion de Sam'!$1:$1,0)),DX$29+DX$30-DX$32-DX$33)</f>
        <v>25794026.920134686</v>
      </c>
      <c r="DY28" s="29">
        <f>IF(DY$5="Real",INDEX('Informacion de Sam'!$23:$23,MATCH(DY$6,'Informacion de Sam'!$1:$1,0)),DY$29+DY$30-DY$32-DY$33)</f>
        <v>26587849.106106739</v>
      </c>
      <c r="DZ28" s="29">
        <f>IF(DZ$5="Real",INDEX('Informacion de Sam'!$23:$23,MATCH(DZ$6,'Informacion de Sam'!$1:$1,0)),DZ$29+DZ$30-DZ$32-DZ$33)</f>
        <v>24609356.437896512</v>
      </c>
      <c r="EA28" s="29">
        <f>SUM(DO28:DZ28)</f>
        <v>342569476.33599323</v>
      </c>
      <c r="EB28" s="29">
        <f>IF(EB$5="Real",INDEX('Informacion de Sam'!$23:$23,MATCH(EB$6,'Informacion de Sam'!$1:$1,0)),EB$29+EB$30-EB$32-EB$33)</f>
        <v>32218032.915406577</v>
      </c>
      <c r="EC28" s="29">
        <f>IF(EC$5="Real",INDEX('Informacion de Sam'!$23:$23,MATCH(EC$6,'Informacion de Sam'!$1:$1,0)),EC$29+EC$30-EC$32-EC$33)</f>
        <v>45669817.756355964</v>
      </c>
      <c r="ED28" s="29">
        <f>IF(ED$5="Real",INDEX('Informacion de Sam'!$23:$23,MATCH(ED$6,'Informacion de Sam'!$1:$1,0)),ED$29+ED$30-ED$32-ED$33)</f>
        <v>32775853.988446865</v>
      </c>
      <c r="EE28" s="29">
        <f>IF(EE$5="Real",INDEX('Informacion de Sam'!$23:$23,MATCH(EE$6,'Informacion de Sam'!$1:$1,0)),EE$29+EE$30-EE$32-EE$33)</f>
        <v>33530490.547721192</v>
      </c>
      <c r="EF28" s="29">
        <f>IF(EF$5="Real",INDEX('Informacion de Sam'!$23:$23,MATCH(EF$6,'Informacion de Sam'!$1:$1,0)),EF$29+EF$30-EF$32-EF$33)</f>
        <v>29500867.203570228</v>
      </c>
      <c r="EG28" s="29">
        <f>IF(EG$5="Real",INDEX('Informacion de Sam'!$23:$23,MATCH(EG$6,'Informacion de Sam'!$1:$1,0)),EG$29+EG$30-EG$32-EG$33)</f>
        <v>33737529.617710762</v>
      </c>
      <c r="EH28" s="29">
        <f>IF(EH$5="Real",INDEX('Informacion de Sam'!$23:$23,MATCH(EH$6,'Informacion de Sam'!$1:$1,0)),EH$29+EH$30-EH$32-EH$33)</f>
        <v>36416708.232722588</v>
      </c>
      <c r="EI28" s="29">
        <f>IF(EI$5="Real",INDEX('Informacion de Sam'!$23:$23,MATCH(EI$6,'Informacion de Sam'!$1:$1,0)),EI$29+EI$30-EI$32-EI$33)</f>
        <v>54723273.528114565</v>
      </c>
      <c r="EJ28" s="29">
        <f>IF(EJ$5="Real",INDEX('Informacion de Sam'!$23:$23,MATCH(EJ$6,'Informacion de Sam'!$1:$1,0)),EJ$29+EJ$30-EJ$32-EJ$33)</f>
        <v>33400231.049770433</v>
      </c>
      <c r="EK28" s="29">
        <f>IF(EK$5="Real",INDEX('Informacion de Sam'!$23:$23,MATCH(EK$6,'Informacion de Sam'!$1:$1,0)),EK$29+EK$30-EK$32-EK$33)</f>
        <v>32242533.650168356</v>
      </c>
      <c r="EL28" s="29">
        <f>IF(EL$5="Real",INDEX('Informacion de Sam'!$23:$23,MATCH(EL$6,'Informacion de Sam'!$1:$1,0)),EL$29+EL$30-EL$32-EL$33)</f>
        <v>33234811.382633429</v>
      </c>
      <c r="EM28" s="29">
        <f>IF(EM$5="Real",INDEX('Informacion de Sam'!$23:$23,MATCH(EM$6,'Informacion de Sam'!$1:$1,0)),EM$29+EM$30-EM$32-EM$33)</f>
        <v>30761695.547370657</v>
      </c>
      <c r="EN28" s="29">
        <f>SUM(EB28:EM28)</f>
        <v>428211845.41999161</v>
      </c>
      <c r="EO28" s="29">
        <f>IF(EO$5="Real",INDEX('Informacion de Sam'!$23:$23,MATCH(EO$6,'Informacion de Sam'!$1:$1,0)),EO$29+EO$30-EO$32-EO$33)</f>
        <v>40272541.144258216</v>
      </c>
      <c r="EP28" s="29">
        <f>IF(EP$5="Real",INDEX('Informacion de Sam'!$23:$23,MATCH(EP$6,'Informacion de Sam'!$1:$1,0)),EP$29+EP$30-EP$32-EP$33)</f>
        <v>57087272.195444956</v>
      </c>
      <c r="EQ28" s="29">
        <f>IF(EQ$5="Real",INDEX('Informacion de Sam'!$23:$23,MATCH(EQ$6,'Informacion de Sam'!$1:$1,0)),EQ$29+EQ$30-EQ$32-EQ$33)</f>
        <v>40969817.485558569</v>
      </c>
      <c r="ER28" s="29">
        <f>IF(ER$5="Real",INDEX('Informacion de Sam'!$23:$23,MATCH(ER$6,'Informacion de Sam'!$1:$1,0)),ER$29+ER$30-ER$32-ER$33)</f>
        <v>41913113.184651479</v>
      </c>
      <c r="ES28" s="29">
        <f>IF(ES$5="Real",INDEX('Informacion de Sam'!$23:$23,MATCH(ES$6,'Informacion de Sam'!$1:$1,0)),ES$29+ES$30-ES$32-ES$33)</f>
        <v>36876084.004462779</v>
      </c>
      <c r="ET28" s="29">
        <f>IF(ET$5="Real",INDEX('Informacion de Sam'!$23:$23,MATCH(ET$6,'Informacion de Sam'!$1:$1,0)),ET$29+ET$30-ET$32-ET$33)</f>
        <v>42171912.022138447</v>
      </c>
      <c r="EU28" s="29">
        <f>IF(EU$5="Real",INDEX('Informacion de Sam'!$23:$23,MATCH(EU$6,'Informacion de Sam'!$1:$1,0)),EU$29+EU$30-EU$32-EU$33)</f>
        <v>45520885.290903226</v>
      </c>
      <c r="EV28" s="29">
        <f>IF(EV$5="Real",INDEX('Informacion de Sam'!$23:$23,MATCH(EV$6,'Informacion de Sam'!$1:$1,0)),EV$29+EV$30-EV$32-EV$33)</f>
        <v>68404091.910143211</v>
      </c>
      <c r="EW28" s="29">
        <f>IF(EW$5="Real",INDEX('Informacion de Sam'!$23:$23,MATCH(EW$6,'Informacion de Sam'!$1:$1,0)),EW$29+EW$30-EW$32-EW$33)</f>
        <v>41750288.812213056</v>
      </c>
      <c r="EX28" s="29">
        <f>IF(EX$5="Real",INDEX('Informacion de Sam'!$23:$23,MATCH(EX$6,'Informacion de Sam'!$1:$1,0)),EX$29+EX$30-EX$32-EX$33)</f>
        <v>40303167.062710449</v>
      </c>
      <c r="EY28" s="29">
        <f>IF(EY$5="Real",INDEX('Informacion de Sam'!$23:$23,MATCH(EY$6,'Informacion de Sam'!$1:$1,0)),EY$29+EY$30-EY$32-EY$33)</f>
        <v>41543514.22829178</v>
      </c>
      <c r="EZ28" s="29">
        <f>IF(EZ$5="Real",INDEX('Informacion de Sam'!$23:$23,MATCH(EZ$6,'Informacion de Sam'!$1:$1,0)),EZ$29+EZ$30-EZ$32-EZ$33)</f>
        <v>38452119.43421331</v>
      </c>
      <c r="FA28" s="29">
        <f>SUM(EO28:EZ28)</f>
        <v>535264806.77498949</v>
      </c>
      <c r="FB28" s="29">
        <f>IF(FB$5="Real",INDEX('Informacion de Sam'!$23:$23,MATCH(FB$6,'Informacion de Sam'!$1:$1,0)),FB$29+FB$30-FB$32-FB$33)</f>
        <v>50340676.430322781</v>
      </c>
      <c r="FC28" s="29">
        <f>IF(FC$5="Real",INDEX('Informacion de Sam'!$23:$23,MATCH(FC$6,'Informacion de Sam'!$1:$1,0)),FC$29+FC$30-FC$32-FC$33)</f>
        <v>71359090.244306207</v>
      </c>
      <c r="FD28" s="29">
        <f>IF(FD$5="Real",INDEX('Informacion de Sam'!$23:$23,MATCH(FD$6,'Informacion de Sam'!$1:$1,0)),FD$29+FD$30-FD$32-FD$33)</f>
        <v>51212271.856948219</v>
      </c>
      <c r="FE28" s="29">
        <f>IF(FE$5="Real",INDEX('Informacion de Sam'!$23:$23,MATCH(FE$6,'Informacion de Sam'!$1:$1,0)),FE$29+FE$30-FE$32-FE$33)</f>
        <v>52391391.480814368</v>
      </c>
      <c r="FF28" s="29">
        <f>IF(FF$5="Real",INDEX('Informacion de Sam'!$23:$23,MATCH(FF$6,'Informacion de Sam'!$1:$1,0)),FF$29+FF$30-FF$32-FF$33)</f>
        <v>46095105.005578473</v>
      </c>
      <c r="FG28" s="29">
        <f>IF(FG$5="Real",INDEX('Informacion de Sam'!$23:$23,MATCH(FG$6,'Informacion de Sam'!$1:$1,0)),FG$29+FG$30-FG$32-FG$33)</f>
        <v>52714890.027673058</v>
      </c>
      <c r="FH28" s="29">
        <f>IF(FH$5="Real",INDEX('Informacion de Sam'!$23:$23,MATCH(FH$6,'Informacion de Sam'!$1:$1,0)),FH$29+FH$30-FH$32-FH$33)</f>
        <v>56901106.613629021</v>
      </c>
      <c r="FI28" s="29">
        <f>IF(FI$5="Real",INDEX('Informacion de Sam'!$23:$23,MATCH(FI$6,'Informacion de Sam'!$1:$1,0)),FI$29+FI$30-FI$32-FI$33)</f>
        <v>85505114.887678996</v>
      </c>
      <c r="FJ28" s="29">
        <f>IF(FJ$5="Real",INDEX('Informacion de Sam'!$23:$23,MATCH(FJ$6,'Informacion de Sam'!$1:$1,0)),FJ$29+FJ$30-FJ$32-FJ$33)</f>
        <v>52187861.015266307</v>
      </c>
      <c r="FK28" s="29">
        <f>IF(FK$5="Real",INDEX('Informacion de Sam'!$23:$23,MATCH(FK$6,'Informacion de Sam'!$1:$1,0)),FK$29+FK$30-FK$32-FK$33)</f>
        <v>50378958.828388058</v>
      </c>
      <c r="FL28" s="29">
        <f>IF(FL$5="Real",INDEX('Informacion de Sam'!$23:$23,MATCH(FL$6,'Informacion de Sam'!$1:$1,0)),FL$29+FL$30-FL$32-FL$33)</f>
        <v>51929392.785364732</v>
      </c>
      <c r="FM28" s="29">
        <f>IF(FM$5="Real",INDEX('Informacion de Sam'!$23:$23,MATCH(FM$6,'Informacion de Sam'!$1:$1,0)),FM$29+FM$30-FM$32-FM$33)</f>
        <v>48065149.292766646</v>
      </c>
      <c r="FN28" s="29">
        <f>SUM(FB28:FM28)</f>
        <v>669081008.46873689</v>
      </c>
      <c r="FO28" s="29">
        <f>IF(FO$5="Real",INDEX('Informacion de Sam'!$23:$23,MATCH(FO$6,'Informacion de Sam'!$1:$1,0)),FO$29+FO$30-FO$32-FO$33)</f>
        <v>62925845.537903465</v>
      </c>
      <c r="FP28" s="29">
        <f>IF(FP$5="Real",INDEX('Informacion de Sam'!$23:$23,MATCH(FP$6,'Informacion de Sam'!$1:$1,0)),FP$29+FP$30-FP$32-FP$33)</f>
        <v>89198862.805382743</v>
      </c>
      <c r="FQ28" s="29">
        <f>IF(FQ$5="Real",INDEX('Informacion de Sam'!$23:$23,MATCH(FQ$6,'Informacion de Sam'!$1:$1,0)),FQ$29+FQ$30-FQ$32-FQ$33)</f>
        <v>64015339.821185276</v>
      </c>
      <c r="FR28" s="29">
        <f>IF(FR$5="Real",INDEX('Informacion de Sam'!$23:$23,MATCH(FR$6,'Informacion de Sam'!$1:$1,0)),FR$29+FR$30-FR$32-FR$33)</f>
        <v>65489239.351017959</v>
      </c>
      <c r="FS28" s="29">
        <f>IF(FS$5="Real",INDEX('Informacion de Sam'!$23:$23,MATCH(FS$6,'Informacion de Sam'!$1:$1,0)),FS$29+FS$30-FS$32-FS$33)</f>
        <v>57618881.256973103</v>
      </c>
      <c r="FT28" s="29">
        <f>IF(FT$5="Real",INDEX('Informacion de Sam'!$23:$23,MATCH(FT$6,'Informacion de Sam'!$1:$1,0)),FT$29+FT$30-FT$32-FT$33)</f>
        <v>65893612.534591317</v>
      </c>
      <c r="FU28" s="29">
        <f>IF(FU$5="Real",INDEX('Informacion de Sam'!$23:$23,MATCH(FU$6,'Informacion de Sam'!$1:$1,0)),FU$29+FU$30-FU$32-FU$33)</f>
        <v>71126383.267036289</v>
      </c>
      <c r="FV28" s="29">
        <f>IF(FV$5="Real",INDEX('Informacion de Sam'!$23:$23,MATCH(FV$6,'Informacion de Sam'!$1:$1,0)),FV$29+FV$30-FV$32-FV$33)</f>
        <v>106881393.60959877</v>
      </c>
      <c r="FW28" s="29">
        <f>IF(FW$5="Real",INDEX('Informacion de Sam'!$23:$23,MATCH(FW$6,'Informacion de Sam'!$1:$1,0)),FW$29+FW$30-FW$32-FW$33)</f>
        <v>65234826.269082882</v>
      </c>
      <c r="FX28" s="29">
        <f>IF(FX$5="Real",INDEX('Informacion de Sam'!$23:$23,MATCH(FX$6,'Informacion de Sam'!$1:$1,0)),FX$29+FX$30-FX$32-FX$33)</f>
        <v>62973698.535485089</v>
      </c>
      <c r="FY28" s="29">
        <f>IF(FY$5="Real",INDEX('Informacion de Sam'!$23:$23,MATCH(FY$6,'Informacion de Sam'!$1:$1,0)),FY$29+FY$30-FY$32-FY$33)</f>
        <v>64911740.981705911</v>
      </c>
      <c r="FZ28" s="29">
        <f>IF(FZ$5="Real",INDEX('Informacion de Sam'!$23:$23,MATCH(FZ$6,'Informacion de Sam'!$1:$1,0)),FZ$29+FZ$30-FZ$32-FZ$33)</f>
        <v>60081436.615958303</v>
      </c>
      <c r="GA28" s="29">
        <f>SUM(FO28:FZ28)</f>
        <v>836351260.58592117</v>
      </c>
      <c r="GB28" s="29">
        <f>IF(GB$5="Real",INDEX('Informacion de Sam'!$23:$23,MATCH(GB$6,'Informacion de Sam'!$1:$1,0)),GB$29+GB$30-GB$32-GB$33)</f>
        <v>78657306.922379345</v>
      </c>
      <c r="GC28" s="29">
        <f>IF(GC$5="Real",INDEX('Informacion de Sam'!$23:$23,MATCH(GC$6,'Informacion de Sam'!$1:$1,0)),GC$29+GC$30-GC$32-GC$33)</f>
        <v>111498578.50672847</v>
      </c>
      <c r="GD28" s="29">
        <f>IF(GD$5="Real",INDEX('Informacion de Sam'!$23:$23,MATCH(GD$6,'Informacion de Sam'!$1:$1,0)),GD$29+GD$30-GD$32-GD$33)</f>
        <v>80019174.776481599</v>
      </c>
      <c r="GE28" s="29">
        <f>IF(GE$5="Real",INDEX('Informacion de Sam'!$23:$23,MATCH(GE$6,'Informacion de Sam'!$1:$1,0)),GE$29+GE$30-GE$32-GE$33)</f>
        <v>81861549.188772455</v>
      </c>
      <c r="GF28" s="29">
        <f>IF(GF$5="Real",INDEX('Informacion de Sam'!$23:$23,MATCH(GF$6,'Informacion de Sam'!$1:$1,0)),GF$29+GF$30-GF$32-GF$33)</f>
        <v>72023601.57121636</v>
      </c>
      <c r="GG28" s="29">
        <f>IF(GG$5="Real",INDEX('Informacion de Sam'!$23:$23,MATCH(GG$6,'Informacion de Sam'!$1:$1,0)),GG$29+GG$30-GG$32-GG$33)</f>
        <v>82367015.668239146</v>
      </c>
      <c r="GH28" s="29">
        <f>IF(GH$5="Real",INDEX('Informacion de Sam'!$23:$23,MATCH(GH$6,'Informacion de Sam'!$1:$1,0)),GH$29+GH$30-GH$32-GH$33)</f>
        <v>88907979.083795384</v>
      </c>
      <c r="GI28" s="29">
        <f>IF(GI$5="Real",INDEX('Informacion de Sam'!$23:$23,MATCH(GI$6,'Informacion de Sam'!$1:$1,0)),GI$29+GI$30-GI$32-GI$33)</f>
        <v>133601742.01199846</v>
      </c>
      <c r="GJ28" s="29">
        <f>IF(GJ$5="Real",INDEX('Informacion de Sam'!$23:$23,MATCH(GJ$6,'Informacion de Sam'!$1:$1,0)),GJ$29+GJ$30-GJ$32-GJ$33)</f>
        <v>81543532.836353615</v>
      </c>
      <c r="GK28" s="29">
        <f>IF(GK$5="Real",INDEX('Informacion de Sam'!$23:$23,MATCH(GK$6,'Informacion de Sam'!$1:$1,0)),GK$29+GK$30-GK$32-GK$33)</f>
        <v>78717123.169356331</v>
      </c>
      <c r="GL28" s="29">
        <f>IF(GL$5="Real",INDEX('Informacion de Sam'!$23:$23,MATCH(GL$6,'Informacion de Sam'!$1:$1,0)),GL$29+GL$30-GL$32-GL$33)</f>
        <v>81139676.22713241</v>
      </c>
      <c r="GM28" s="29">
        <f>IF(GM$5="Real",INDEX('Informacion de Sam'!$23:$23,MATCH(GM$6,'Informacion de Sam'!$1:$1,0)),GM$29+GM$30-GM$32-GM$33)</f>
        <v>75101795.769947886</v>
      </c>
      <c r="GN28" s="29">
        <f>SUM(GB28:GM28)</f>
        <v>1045439075.7324015</v>
      </c>
      <c r="GO28" s="29">
        <f>IF(GO$5="Real",INDEX('Informacion de Sam'!$23:$23,MATCH(GO$6,'Informacion de Sam'!$1:$1,0)),GO$29+GO$30-GO$32-GO$33)</f>
        <v>98321633.652974159</v>
      </c>
      <c r="GP28" s="29">
        <f>IF(GP$5="Real",INDEX('Informacion de Sam'!$23:$23,MATCH(GP$6,'Informacion de Sam'!$1:$1,0)),GP$29+GP$30-GP$32-GP$33)</f>
        <v>139373223.13341054</v>
      </c>
      <c r="GQ28" s="29">
        <f>IF(GQ$5="Real",INDEX('Informacion de Sam'!$23:$23,MATCH(GQ$6,'Informacion de Sam'!$1:$1,0)),GQ$29+GQ$30-GQ$32-GQ$33)</f>
        <v>100023968.47060199</v>
      </c>
      <c r="GR28" s="29">
        <f>IF(GR$5="Real",INDEX('Informacion de Sam'!$23:$23,MATCH(GR$6,'Informacion de Sam'!$1:$1,0)),GR$29+GR$30-GR$32-GR$33)</f>
        <v>102326936.48596554</v>
      </c>
      <c r="GS28" s="29">
        <f>IF(GS$5="Real",INDEX('Informacion de Sam'!$23:$23,MATCH(GS$6,'Informacion de Sam'!$1:$1,0)),GS$29+GS$30-GS$32-GS$33)</f>
        <v>90029501.964020446</v>
      </c>
      <c r="GT28" s="29">
        <f>IF(GT$5="Real",INDEX('Informacion de Sam'!$23:$23,MATCH(GT$6,'Informacion de Sam'!$1:$1,0)),GT$29+GT$30-GT$32-GT$33)</f>
        <v>102958769.58529891</v>
      </c>
      <c r="GU28" s="29">
        <f>IF(GU$5="Real",INDEX('Informacion de Sam'!$23:$23,MATCH(GU$6,'Informacion de Sam'!$1:$1,0)),GU$29+GU$30-GU$32-GU$33)</f>
        <v>111134973.85474421</v>
      </c>
      <c r="GV28" s="29">
        <f>IF(GV$5="Real",INDEX('Informacion de Sam'!$23:$23,MATCH(GV$6,'Informacion de Sam'!$1:$1,0)),GV$29+GV$30-GV$32-GV$33)</f>
        <v>167002177.51499805</v>
      </c>
      <c r="GW28" s="29">
        <f>IF(GW$5="Real",INDEX('Informacion de Sam'!$23:$23,MATCH(GW$6,'Informacion de Sam'!$1:$1,0)),GW$29+GW$30-GW$32-GW$33)</f>
        <v>101929416.04544201</v>
      </c>
      <c r="GX28" s="29">
        <f>IF(GX$5="Real",INDEX('Informacion de Sam'!$23:$23,MATCH(GX$6,'Informacion de Sam'!$1:$1,0)),GX$29+GX$30-GX$32-GX$33)</f>
        <v>98396403.961695418</v>
      </c>
      <c r="GY28" s="29">
        <f>IF(GY$5="Real",INDEX('Informacion de Sam'!$23:$23,MATCH(GY$6,'Informacion de Sam'!$1:$1,0)),GY$29+GY$30-GY$32-GY$33)</f>
        <v>101424595.28391548</v>
      </c>
      <c r="GZ28" s="29">
        <f>IF(GZ$5="Real",INDEX('Informacion de Sam'!$23:$23,MATCH(GZ$6,'Informacion de Sam'!$1:$1,0)),GZ$29+GZ$30-GZ$32-GZ$33)</f>
        <v>93877244.712434843</v>
      </c>
      <c r="HA28" s="29">
        <f>SUM(GO28:GZ28)</f>
        <v>1306798844.6655016</v>
      </c>
      <c r="HB28" s="29"/>
      <c r="HC28" s="52">
        <f t="shared" ref="HC28:HR30" si="7">SUMIFS($B28:$HA28,$B$4:$HA$4,HC$6,$B$5:$HA$5,"Acumulado")</f>
        <v>92359702.370000005</v>
      </c>
      <c r="HD28" s="52">
        <f t="shared" si="7"/>
        <v>111575400.55999999</v>
      </c>
      <c r="HE28" s="52">
        <f t="shared" si="7"/>
        <v>123808504.79000001</v>
      </c>
      <c r="HF28" s="52">
        <f t="shared" si="7"/>
        <v>140037069.28999996</v>
      </c>
      <c r="HG28" s="52">
        <f t="shared" si="7"/>
        <v>166968531.11999997</v>
      </c>
      <c r="HH28" s="52">
        <f t="shared" si="7"/>
        <v>191206347.05999997</v>
      </c>
      <c r="HI28" s="52">
        <f t="shared" si="7"/>
        <v>163413805.2596246</v>
      </c>
      <c r="HJ28" s="52">
        <f t="shared" si="7"/>
        <v>219244464.85503569</v>
      </c>
      <c r="HK28" s="52">
        <f t="shared" si="7"/>
        <v>274055581.06879461</v>
      </c>
      <c r="HL28" s="52">
        <f t="shared" si="7"/>
        <v>342569476.33599323</v>
      </c>
      <c r="HM28" s="52">
        <f t="shared" si="7"/>
        <v>428211845.41999161</v>
      </c>
      <c r="HN28" s="52">
        <f t="shared" si="7"/>
        <v>535264806.77498949</v>
      </c>
      <c r="HO28" s="52">
        <f t="shared" si="7"/>
        <v>669081008.46873689</v>
      </c>
      <c r="HP28" s="52">
        <f t="shared" si="7"/>
        <v>836351260.58592117</v>
      </c>
      <c r="HQ28" s="52">
        <f t="shared" si="7"/>
        <v>1045439075.7324015</v>
      </c>
      <c r="HR28" s="52">
        <f t="shared" si="7"/>
        <v>1306798844.6655016</v>
      </c>
    </row>
    <row r="29" spans="1:226" x14ac:dyDescent="0.35">
      <c r="A29" t="s">
        <v>67</v>
      </c>
      <c r="B29" s="23">
        <f>IF(B$5="Real",INDEX('Informacion de Sam'!$24:$24,MATCH(B$6,'Informacion de Sam'!$1:$1,0)),B$10*'Supuestos Proyeccion'!$F$29)</f>
        <v>8807887.0099999998</v>
      </c>
      <c r="C29" s="23">
        <f>IF(C$5="Real",INDEX('Informacion de Sam'!$24:$24,MATCH(C$6,'Informacion de Sam'!$1:$1,0)),C$10*'Supuestos Proyeccion'!$F$29)</f>
        <v>13308891.340000002</v>
      </c>
      <c r="D29" s="23">
        <f>IF(D$5="Real",INDEX('Informacion de Sam'!$24:$24,MATCH(D$6,'Informacion de Sam'!$1:$1,0)),D$10*'Supuestos Proyeccion'!$F$29)</f>
        <v>11157094.349999998</v>
      </c>
      <c r="E29" s="23">
        <f>IF(E$5="Real",INDEX('Informacion de Sam'!$24:$24,MATCH(E$6,'Informacion de Sam'!$1:$1,0)),E$10*'Supuestos Proyeccion'!$F$29)</f>
        <v>3336605.0299999975</v>
      </c>
      <c r="F29" s="23">
        <f>IF(F$5="Real",INDEX('Informacion de Sam'!$24:$24,MATCH(F$6,'Informacion de Sam'!$1:$1,0)),F$10*'Supuestos Proyeccion'!$F$29)</f>
        <v>15816540.920000002</v>
      </c>
      <c r="G29" s="23">
        <f>IF(G$5="Real",INDEX('Informacion de Sam'!$24:$24,MATCH(G$6,'Informacion de Sam'!$1:$1,0)),G$10*'Supuestos Proyeccion'!$F$29)</f>
        <v>10023694.93</v>
      </c>
      <c r="H29" s="23">
        <f>IF(H$5="Real",INDEX('Informacion de Sam'!$24:$24,MATCH(H$6,'Informacion de Sam'!$1:$1,0)),H$10*'Supuestos Proyeccion'!$F$29)</f>
        <v>7229379.3799999952</v>
      </c>
      <c r="I29" s="23">
        <f>IF(I$5="Real",INDEX('Informacion de Sam'!$24:$24,MATCH(I$6,'Informacion de Sam'!$1:$1,0)),I$10*'Supuestos Proyeccion'!$F$29)</f>
        <v>10283221.840000004</v>
      </c>
      <c r="J29" s="23">
        <f>IF(J$5="Real",INDEX('Informacion de Sam'!$24:$24,MATCH(J$6,'Informacion de Sam'!$1:$1,0)),J$10*'Supuestos Proyeccion'!$F$29)</f>
        <v>18626218.74000001</v>
      </c>
      <c r="K29" s="23">
        <f>IF(K$5="Real",INDEX('Informacion de Sam'!$24:$24,MATCH(K$6,'Informacion de Sam'!$1:$1,0)),K$10*'Supuestos Proyeccion'!$F$29)</f>
        <v>10458916.969999999</v>
      </c>
      <c r="L29" s="23">
        <f>IF(L$5="Real",INDEX('Informacion de Sam'!$24:$24,MATCH(L$6,'Informacion de Sam'!$1:$1,0)),L$10*'Supuestos Proyeccion'!$F$29)</f>
        <v>7108287.5699999928</v>
      </c>
      <c r="M29" s="23">
        <f>IF(M$5="Real",INDEX('Informacion de Sam'!$24:$24,MATCH(M$6,'Informacion de Sam'!$1:$1,0)),M$10*'Supuestos Proyeccion'!$F$29)</f>
        <v>11607339.790000007</v>
      </c>
      <c r="N29" s="23">
        <f>SUM(B29:M29)</f>
        <v>127764077.87</v>
      </c>
      <c r="O29" s="23">
        <f>IF(O$5="Real",INDEX('Informacion de Sam'!$24:$24,MATCH(O$6,'Informacion de Sam'!$1:$1,0)),O$10*'Supuestos Proyeccion'!$F$29)</f>
        <v>-2363060.34</v>
      </c>
      <c r="P29" s="23">
        <f>IF(P$5="Real",INDEX('Informacion de Sam'!$24:$24,MATCH(P$6,'Informacion de Sam'!$1:$1,0)),P$10*'Supuestos Proyeccion'!$F$29)</f>
        <v>6859612.0599999996</v>
      </c>
      <c r="Q29" s="23">
        <f>IF(Q$5="Real",INDEX('Informacion de Sam'!$24:$24,MATCH(Q$6,'Informacion de Sam'!$1:$1,0)),Q$10*'Supuestos Proyeccion'!$F$29)</f>
        <v>14626037.57</v>
      </c>
      <c r="R29" s="23">
        <f>IF(R$5="Real",INDEX('Informacion de Sam'!$24:$24,MATCH(R$6,'Informacion de Sam'!$1:$1,0)),R$10*'Supuestos Proyeccion'!$F$29)</f>
        <v>929620.8200000003</v>
      </c>
      <c r="S29" s="23">
        <f>IF(S$5="Real",INDEX('Informacion de Sam'!$24:$24,MATCH(S$6,'Informacion de Sam'!$1:$1,0)),S$10*'Supuestos Proyeccion'!$F$29)</f>
        <v>18686186.869999997</v>
      </c>
      <c r="T29" s="23">
        <f>IF(T$5="Real",INDEX('Informacion de Sam'!$24:$24,MATCH(T$6,'Informacion de Sam'!$1:$1,0)),T$10*'Supuestos Proyeccion'!$F$29)</f>
        <v>19329577.700000003</v>
      </c>
      <c r="U29" s="23">
        <f>IF(U$5="Real",INDEX('Informacion de Sam'!$24:$24,MATCH(U$6,'Informacion de Sam'!$1:$1,0)),U$10*'Supuestos Proyeccion'!$F$29)</f>
        <v>13222828.740000002</v>
      </c>
      <c r="V29" s="23">
        <f>IF(V$5="Real",INDEX('Informacion de Sam'!$24:$24,MATCH(V$6,'Informacion de Sam'!$1:$1,0)),V$10*'Supuestos Proyeccion'!$F$29)</f>
        <v>9309938.2899999917</v>
      </c>
      <c r="W29" s="23">
        <f>IF(W$5="Real",INDEX('Informacion de Sam'!$24:$24,MATCH(W$6,'Informacion de Sam'!$1:$1,0)),W$10*'Supuestos Proyeccion'!$F$29)</f>
        <v>21724532.99000001</v>
      </c>
      <c r="X29" s="23">
        <f>IF(X$5="Real",INDEX('Informacion de Sam'!$24:$24,MATCH(X$6,'Informacion de Sam'!$1:$1,0)),X$10*'Supuestos Proyeccion'!$F$29)</f>
        <v>25805005.359999999</v>
      </c>
      <c r="Y29" s="23">
        <f>IF(Y$5="Real",INDEX('Informacion de Sam'!$24:$24,MATCH(Y$6,'Informacion de Sam'!$1:$1,0)),Y$10*'Supuestos Proyeccion'!$F$29)</f>
        <v>21819524.949999988</v>
      </c>
      <c r="Z29" s="23">
        <f>IF(Z$5="Real",INDEX('Informacion de Sam'!$24:$24,MATCH(Z$6,'Informacion de Sam'!$1:$1,0)),Z$10*'Supuestos Proyeccion'!$F$29)</f>
        <v>7345269.3700000048</v>
      </c>
      <c r="AA29" s="23">
        <f>SUM(O29:Z29)</f>
        <v>157295074.38</v>
      </c>
      <c r="AB29" s="23">
        <f>IF(AB$5="Real",INDEX('Informacion de Sam'!$24:$24,MATCH(AB$6,'Informacion de Sam'!$1:$1,0)),AB$10*'Supuestos Proyeccion'!$F$29)</f>
        <v>13452822.220000001</v>
      </c>
      <c r="AC29" s="23">
        <f>IF(AC$5="Real",INDEX('Informacion de Sam'!$24:$24,MATCH(AC$6,'Informacion de Sam'!$1:$1,0)),AC$10*'Supuestos Proyeccion'!$F$29)</f>
        <v>14749289.33</v>
      </c>
      <c r="AD29" s="23">
        <f>IF(AD$5="Real",INDEX('Informacion de Sam'!$24:$24,MATCH(AD$6,'Informacion de Sam'!$1:$1,0)),AD$10*'Supuestos Proyeccion'!$F$29)</f>
        <v>12607380.400000002</v>
      </c>
      <c r="AE29" s="23">
        <f>IF(AE$5="Real",INDEX('Informacion de Sam'!$24:$24,MATCH(AE$6,'Informacion de Sam'!$1:$1,0)),AE$10*'Supuestos Proyeccion'!$F$29)</f>
        <v>16197630.849999994</v>
      </c>
      <c r="AF29" s="23">
        <f>IF(AF$5="Real",INDEX('Informacion de Sam'!$24:$24,MATCH(AF$6,'Informacion de Sam'!$1:$1,0)),AF$10*'Supuestos Proyeccion'!$F$29)</f>
        <v>19325733.730000004</v>
      </c>
      <c r="AG29" s="23">
        <f>IF(AG$5="Real",INDEX('Informacion de Sam'!$24:$24,MATCH(AG$6,'Informacion de Sam'!$1:$1,0)),AG$10*'Supuestos Proyeccion'!$F$29)</f>
        <v>14509473.030000001</v>
      </c>
      <c r="AH29" s="23">
        <f>IF(AH$5="Real",INDEX('Informacion de Sam'!$24:$24,MATCH(AH$6,'Informacion de Sam'!$1:$1,0)),AH$10*'Supuestos Proyeccion'!$F$29)</f>
        <v>14400913.439999998</v>
      </c>
      <c r="AI29" s="23">
        <f>IF(AI$5="Real",INDEX('Informacion de Sam'!$24:$24,MATCH(AI$6,'Informacion de Sam'!$1:$1,0)),AI$10*'Supuestos Proyeccion'!$F$29)</f>
        <v>17705656.890000001</v>
      </c>
      <c r="AJ29" s="23">
        <f>IF(AJ$5="Real",INDEX('Informacion de Sam'!$24:$24,MATCH(AJ$6,'Informacion de Sam'!$1:$1,0)),AJ$10*'Supuestos Proyeccion'!$F$29)</f>
        <v>14774008.089999989</v>
      </c>
      <c r="AK29" s="23">
        <f>IF(AK$5="Real",INDEX('Informacion de Sam'!$24:$24,MATCH(AK$6,'Informacion de Sam'!$1:$1,0)),AK$10*'Supuestos Proyeccion'!$F$29)</f>
        <v>8181337.5900000036</v>
      </c>
      <c r="AL29" s="23">
        <f>IF(AL$5="Real",INDEX('Informacion de Sam'!$24:$24,MATCH(AL$6,'Informacion de Sam'!$1:$1,0)),AL$10*'Supuestos Proyeccion'!$F$29)</f>
        <v>16909082.800000012</v>
      </c>
      <c r="AM29" s="23">
        <f>IF(AM$5="Real",INDEX('Informacion de Sam'!$24:$24,MATCH(AM$6,'Informacion de Sam'!$1:$1,0)),AM$10*'Supuestos Proyeccion'!$F$29)</f>
        <v>30291024.549999982</v>
      </c>
      <c r="AN29" s="23">
        <f>SUM(AB29:AM29)</f>
        <v>193104352.91999999</v>
      </c>
      <c r="AO29" s="23">
        <f>IF(AO$5="Real",INDEX('Informacion de Sam'!$24:$24,MATCH(AO$6,'Informacion de Sam'!$1:$1,0)),AO$10*'Supuestos Proyeccion'!$F$29)</f>
        <v>11698822.32</v>
      </c>
      <c r="AP29" s="23">
        <f>IF(AP$5="Real",INDEX('Informacion de Sam'!$24:$24,MATCH(AP$6,'Informacion de Sam'!$1:$1,0)),AP$10*'Supuestos Proyeccion'!$F$29)</f>
        <v>15072244.59</v>
      </c>
      <c r="AQ29" s="23">
        <f>IF(AQ$5="Real",INDEX('Informacion de Sam'!$24:$24,MATCH(AQ$6,'Informacion de Sam'!$1:$1,0)),AQ$10*'Supuestos Proyeccion'!$F$29)</f>
        <v>6337585.4400000013</v>
      </c>
      <c r="AR29" s="23">
        <f>IF(AR$5="Real",INDEX('Informacion de Sam'!$24:$24,MATCH(AR$6,'Informacion de Sam'!$1:$1,0)),AR$10*'Supuestos Proyeccion'!$F$29)</f>
        <v>17730308.68</v>
      </c>
      <c r="AS29" s="23">
        <f>IF(AS$5="Real",INDEX('Informacion de Sam'!$24:$24,MATCH(AS$6,'Informacion de Sam'!$1:$1,0)),AS$10*'Supuestos Proyeccion'!$F$29)</f>
        <v>17229647.879999995</v>
      </c>
      <c r="AT29" s="23">
        <f>IF(AT$5="Real",INDEX('Informacion de Sam'!$24:$24,MATCH(AT$6,'Informacion de Sam'!$1:$1,0)),AT$10*'Supuestos Proyeccion'!$F$29)</f>
        <v>19099974.310000002</v>
      </c>
      <c r="AU29" s="23">
        <f>IF(AU$5="Real",INDEX('Informacion de Sam'!$24:$24,MATCH(AU$6,'Informacion de Sam'!$1:$1,0)),AU$10*'Supuestos Proyeccion'!$F$29)</f>
        <v>9926828.6899999976</v>
      </c>
      <c r="AV29" s="23">
        <f>IF(AV$5="Real",INDEX('Informacion de Sam'!$24:$24,MATCH(AV$6,'Informacion de Sam'!$1:$1,0)),AV$10*'Supuestos Proyeccion'!$F$29)</f>
        <v>15796761.38000001</v>
      </c>
      <c r="AW29" s="23">
        <f>IF(AW$5="Real",INDEX('Informacion de Sam'!$24:$24,MATCH(AW$6,'Informacion de Sam'!$1:$1,0)),AW$10*'Supuestos Proyeccion'!$F$29)</f>
        <v>15226314</v>
      </c>
      <c r="AX29" s="23">
        <f>IF(AX$5="Real",INDEX('Informacion de Sam'!$24:$24,MATCH(AX$6,'Informacion de Sam'!$1:$1,0)),AX$10*'Supuestos Proyeccion'!$F$29)</f>
        <v>16875390.709999993</v>
      </c>
      <c r="AY29" s="23">
        <f>IF(AY$5="Real",INDEX('Informacion de Sam'!$24:$24,MATCH(AY$6,'Informacion de Sam'!$1:$1,0)),AY$10*'Supuestos Proyeccion'!$F$29)</f>
        <v>15460557.710000008</v>
      </c>
      <c r="AZ29" s="23">
        <f>IF(AZ$5="Real",INDEX('Informacion de Sam'!$24:$24,MATCH(AZ$6,'Informacion de Sam'!$1:$1,0)),AZ$10*'Supuestos Proyeccion'!$F$29)</f>
        <v>125498134.49999997</v>
      </c>
      <c r="BA29" s="23">
        <f>SUM(AO29:AZ29)</f>
        <v>285952570.20999998</v>
      </c>
      <c r="BB29" s="23">
        <f>IF(BB$5="Real",INDEX('Informacion de Sam'!$24:$24,MATCH(BB$6,'Informacion de Sam'!$1:$1,0)),BB$10*'Supuestos Proyeccion'!$F$29)</f>
        <v>14362330.130000001</v>
      </c>
      <c r="BC29" s="23">
        <f>IF(BC$5="Real",INDEX('Informacion de Sam'!$24:$24,MATCH(BC$6,'Informacion de Sam'!$1:$1,0)),BC$10*'Supuestos Proyeccion'!$F$29)</f>
        <v>17790518.130000003</v>
      </c>
      <c r="BD29" s="23">
        <f>IF(BD$5="Real",INDEX('Informacion de Sam'!$24:$24,MATCH(BD$6,'Informacion de Sam'!$1:$1,0)),BD$10*'Supuestos Proyeccion'!$F$29)</f>
        <v>17791578.16</v>
      </c>
      <c r="BE29" s="23">
        <f>IF(BE$5="Real",INDEX('Informacion de Sam'!$24:$24,MATCH(BE$6,'Informacion de Sam'!$1:$1,0)),BE$10*'Supuestos Proyeccion'!$F$29)</f>
        <v>16659308.079999998</v>
      </c>
      <c r="BF29" s="23">
        <f>IF(BF$5="Real",INDEX('Informacion de Sam'!$24:$24,MATCH(BF$6,'Informacion de Sam'!$1:$1,0)),BF$10*'Supuestos Proyeccion'!$F$29)</f>
        <v>-8407518.7199999988</v>
      </c>
      <c r="BG29" s="23">
        <f>IF(BG$5="Real",INDEX('Informacion de Sam'!$24:$24,MATCH(BG$6,'Informacion de Sam'!$1:$1,0)),BG$10*'Supuestos Proyeccion'!$F$29)</f>
        <v>25468165.769999996</v>
      </c>
      <c r="BH29" s="23">
        <f>IF(BH$5="Real",INDEX('Informacion de Sam'!$24:$24,MATCH(BH$6,'Informacion de Sam'!$1:$1,0)),BH$10*'Supuestos Proyeccion'!$F$29)</f>
        <v>145725914.56999999</v>
      </c>
      <c r="BI29" s="23">
        <f>IF(BI$5="Real",INDEX('Informacion de Sam'!$24:$24,MATCH(BI$6,'Informacion de Sam'!$1:$1,0)),BI$10*'Supuestos Proyeccion'!$F$29)</f>
        <v>22577831.680000007</v>
      </c>
      <c r="BJ29" s="23">
        <f>IF(BJ$5="Real",INDEX('Informacion de Sam'!$24:$24,MATCH(BJ$6,'Informacion de Sam'!$1:$1,0)),BJ$10*'Supuestos Proyeccion'!$F$29)</f>
        <v>20705038.649999976</v>
      </c>
      <c r="BK29" s="23">
        <f>IF(BK$5="Real",INDEX('Informacion de Sam'!$24:$24,MATCH(BK$6,'Informacion de Sam'!$1:$1,0)),BK$10*'Supuestos Proyeccion'!$F$29)</f>
        <v>35030633.900000036</v>
      </c>
      <c r="BL29" s="23">
        <f>IF(BL$5="Real",INDEX('Informacion de Sam'!$24:$24,MATCH(BL$6,'Informacion de Sam'!$1:$1,0)),BL$10*'Supuestos Proyeccion'!$F$29)</f>
        <v>32925521.609999955</v>
      </c>
      <c r="BM29" s="23">
        <f>IF(BM$5="Real",INDEX('Informacion de Sam'!$24:$24,MATCH(BM$6,'Informacion de Sam'!$1:$1,0)),BM$10*'Supuestos Proyeccion'!$F$29)</f>
        <v>25394509.01000005</v>
      </c>
      <c r="BN29" s="23">
        <f>SUM(BB29:BM29)</f>
        <v>366023830.97000003</v>
      </c>
      <c r="BO29" s="23">
        <f>IF(BO$5="Real",INDEX('Informacion de Sam'!$24:$24,MATCH(BO$6,'Informacion de Sam'!$1:$1,0)),BO$10*'Supuestos Proyeccion'!$F$29)</f>
        <v>22034378.739999998</v>
      </c>
      <c r="BP29" s="23">
        <f>IF(BP$5="Real",INDEX('Informacion de Sam'!$24:$24,MATCH(BP$6,'Informacion de Sam'!$1:$1,0)),BP$10*'Supuestos Proyeccion'!$F$29)</f>
        <v>14666846.330000002</v>
      </c>
      <c r="BQ29" s="23">
        <f>IF(BQ$5="Real",INDEX('Informacion de Sam'!$24:$24,MATCH(BQ$6,'Informacion de Sam'!$1:$1,0)),BQ$10*'Supuestos Proyeccion'!$F$29)</f>
        <v>21620718.390000001</v>
      </c>
      <c r="BR29" s="23">
        <f>IF(BR$5="Real",INDEX('Informacion de Sam'!$24:$24,MATCH(BR$6,'Informacion de Sam'!$1:$1,0)),BR$10*'Supuestos Proyeccion'!$F$29)</f>
        <v>21406870.089999996</v>
      </c>
      <c r="BS29" s="23">
        <f>IF(BS$5="Real",INDEX('Informacion de Sam'!$24:$24,MATCH(BS$6,'Informacion de Sam'!$1:$1,0)),BS$10*'Supuestos Proyeccion'!$F$29)</f>
        <v>21652479.790000007</v>
      </c>
      <c r="BT29" s="23">
        <f>IF(BT$5="Real",INDEX('Informacion de Sam'!$24:$24,MATCH(BT$6,'Informacion de Sam'!$1:$1,0)),BT$10*'Supuestos Proyeccion'!$F$29)</f>
        <v>3943592.4799999893</v>
      </c>
      <c r="BU29" s="23">
        <f>IF(BU$5="Real",INDEX('Informacion de Sam'!$24:$24,MATCH(BU$6,'Informacion de Sam'!$1:$1,0)),BU$10*'Supuestos Proyeccion'!$F$29)</f>
        <v>34552417.599999994</v>
      </c>
      <c r="BV29" s="23">
        <f>IF(BV$5="Real",INDEX('Informacion de Sam'!$24:$24,MATCH(BV$6,'Informacion de Sam'!$1:$1,0)),BV$10*'Supuestos Proyeccion'!$F$29)</f>
        <v>10177572.770000011</v>
      </c>
      <c r="BW29" s="23">
        <f>IF(BW$5="Real",INDEX('Informacion de Sam'!$24:$24,MATCH(BW$6,'Informacion de Sam'!$1:$1,0)),BW$10*'Supuestos Proyeccion'!$F$29)</f>
        <v>22863188.930000007</v>
      </c>
      <c r="BX29" s="23">
        <f>IF(BX$5="Real",INDEX('Informacion de Sam'!$24:$24,MATCH(BX$6,'Informacion de Sam'!$1:$1,0)),BX$10*'Supuestos Proyeccion'!$F$29)</f>
        <v>28994761.379999995</v>
      </c>
      <c r="BY29" s="23">
        <f>IF(BY$5="Real",INDEX('Informacion de Sam'!$24:$24,MATCH(BY$6,'Informacion de Sam'!$1:$1,0)),BY$10*'Supuestos Proyeccion'!$F$29)</f>
        <v>12159721.789999992</v>
      </c>
      <c r="BZ29" s="23">
        <f>IF(BZ$5="Real",INDEX('Informacion de Sam'!$24:$24,MATCH(BZ$6,'Informacion de Sam'!$1:$1,0)),BZ$10*'Supuestos Proyeccion'!$F$29)</f>
        <v>12590910</v>
      </c>
      <c r="CA29" s="23">
        <f>SUM(BO29:BZ29)</f>
        <v>226663458.28999999</v>
      </c>
      <c r="CB29" s="23">
        <f>IF(CB$5="Real",INDEX('Informacion de Sam'!$24:$24,MATCH(CB$6,'Informacion de Sam'!$1:$1,0)),CB$10*'Supuestos Proyeccion'!$F$29)</f>
        <v>13837550.310000001</v>
      </c>
      <c r="CC29" s="23">
        <f>IF(CC$5="Real",INDEX('Informacion de Sam'!$24:$24,MATCH(CC$6,'Informacion de Sam'!$1:$1,0)),CC$10*'Supuestos Proyeccion'!$F$29)</f>
        <v>21843013.509999998</v>
      </c>
      <c r="CD29" s="23">
        <f>IF(CD$5="Real",INDEX('Informacion de Sam'!$24:$24,MATCH(CD$6,'Informacion de Sam'!$1:$1,0)),CD$10*'Supuestos Proyeccion'!$F$29)</f>
        <v>18092760.509999998</v>
      </c>
      <c r="CE29" s="23">
        <f>IF(CE$5="Real",INDEX('Informacion de Sam'!$24:$24,MATCH(CE$6,'Informacion de Sam'!$1:$1,0)),CE$10*'Supuestos Proyeccion'!$F$29)</f>
        <v>19922549.239999995</v>
      </c>
      <c r="CF29" s="23">
        <f>IF(CF$5="Real",INDEX('Informacion de Sam'!$24:$24,MATCH(CF$6,'Informacion de Sam'!$1:$1,0)),CF$10*'Supuestos Proyeccion'!$F$29)</f>
        <v>38130339.080000013</v>
      </c>
      <c r="CG29" s="23">
        <f>IF(CG$5="Real",INDEX('Informacion de Sam'!$24:$24,MATCH(CG$6,'Informacion de Sam'!$1:$1,0)),CG$10*'Supuestos Proyeccion'!$F$29)</f>
        <v>22021218.069999993</v>
      </c>
      <c r="CH29" s="23">
        <f>IF(CH$5="Real",INDEX('Informacion de Sam'!$24:$24,MATCH(CH$6,'Informacion de Sam'!$1:$1,0)),CH$10*'Supuestos Proyeccion'!$F$29)</f>
        <v>14759001.340000004</v>
      </c>
      <c r="CI29" s="23">
        <f>IF(CI$5="Real",INDEX('Informacion de Sam'!$24:$24,MATCH(CI$6,'Informacion de Sam'!$1:$1,0)),CI$10*'Supuestos Proyeccion'!$F$29)</f>
        <v>17157227.49000001</v>
      </c>
      <c r="CJ29" s="23">
        <f>IF(CJ$5="Real",INDEX('Informacion de Sam'!$24:$24,MATCH(CJ$6,'Informacion de Sam'!$1:$1,0)),CJ$10*'Supuestos Proyeccion'!$F$29)</f>
        <v>18876620.194865044</v>
      </c>
      <c r="CK29" s="23">
        <f>IF(CK$5="Real",INDEX('Informacion de Sam'!$24:$24,MATCH(CK$6,'Informacion de Sam'!$1:$1,0)),CK$10*'Supuestos Proyeccion'!$F$29)</f>
        <v>18222330.885299876</v>
      </c>
      <c r="CL29" s="23">
        <f>IF(CL$5="Real",INDEX('Informacion de Sam'!$24:$24,MATCH(CL$6,'Informacion de Sam'!$1:$1,0)),CL$10*'Supuestos Proyeccion'!$F$29)</f>
        <v>18783130.894606814</v>
      </c>
      <c r="CM29" s="23">
        <f>IF(CM$5="Real",INDEX('Informacion de Sam'!$24:$24,MATCH(CM$6,'Informacion de Sam'!$1:$1,0)),CM$10*'Supuestos Proyeccion'!$F$29)</f>
        <v>17385413.967122182</v>
      </c>
      <c r="CN29" s="23">
        <f>SUM(CB29:CM29)</f>
        <v>239031155.49189395</v>
      </c>
      <c r="CO29" s="23">
        <f>IF(CO$5="Real",INDEX('Informacion de Sam'!$24:$24,MATCH(CO$6,'Informacion de Sam'!$1:$1,0)),CO$10*'Supuestos Proyeccion'!$F$29)</f>
        <v>22760604.929032758</v>
      </c>
      <c r="CP29" s="23">
        <f>IF(CP$5="Real",INDEX('Informacion de Sam'!$24:$24,MATCH(CP$6,'Informacion de Sam'!$1:$1,0)),CP$10*'Supuestos Proyeccion'!$F$29)</f>
        <v>32263691.636998437</v>
      </c>
      <c r="CQ29" s="23">
        <f>IF(CQ$5="Real",INDEX('Informacion de Sam'!$24:$24,MATCH(CQ$6,'Informacion de Sam'!$1:$1,0)),CQ$10*'Supuestos Proyeccion'!$F$29)</f>
        <v>23154680.665993344</v>
      </c>
      <c r="CR29" s="23">
        <f>IF(CR$5="Real",INDEX('Informacion de Sam'!$24:$24,MATCH(CR$6,'Informacion de Sam'!$1:$1,0)),CR$10*'Supuestos Proyeccion'!$F$29)</f>
        <v>23687797.775773004</v>
      </c>
      <c r="CS29" s="23">
        <f>IF(CS$5="Real",INDEX('Informacion de Sam'!$24:$24,MATCH(CS$6,'Informacion de Sam'!$1:$1,0)),CS$10*'Supuestos Proyeccion'!$F$29)</f>
        <v>20841048.404393185</v>
      </c>
      <c r="CT29" s="23">
        <f>IF(CT$5="Real",INDEX('Informacion de Sam'!$24:$24,MATCH(CT$6,'Informacion de Sam'!$1:$1,0)),CT$10*'Supuestos Proyeccion'!$F$29)</f>
        <v>23834061.655050796</v>
      </c>
      <c r="CU29" s="23">
        <f>IF(CU$5="Real",INDEX('Informacion de Sam'!$24:$24,MATCH(CU$6,'Informacion de Sam'!$1:$1,0)),CU$10*'Supuestos Proyeccion'!$F$29)</f>
        <v>25726781.988123551</v>
      </c>
      <c r="CV29" s="23">
        <f>IF(CV$5="Real",INDEX('Informacion de Sam'!$24:$24,MATCH(CV$6,'Informacion de Sam'!$1:$1,0)),CV$10*'Supuestos Proyeccion'!$F$29)</f>
        <v>38659554.804824881</v>
      </c>
      <c r="CW29" s="23">
        <f>IF(CW$5="Real",INDEX('Informacion de Sam'!$24:$24,MATCH(CW$6,'Informacion de Sam'!$1:$1,0)),CW$10*'Supuestos Proyeccion'!$F$29)</f>
        <v>23595775.243581306</v>
      </c>
      <c r="CX29" s="23">
        <f>IF(CX$5="Real",INDEX('Informacion de Sam'!$24:$24,MATCH(CX$6,'Informacion de Sam'!$1:$1,0)),CX$10*'Supuestos Proyeccion'!$F$29)</f>
        <v>22777913.606624845</v>
      </c>
      <c r="CY29" s="23">
        <f>IF(CY$5="Real",INDEX('Informacion de Sam'!$24:$24,MATCH(CY$6,'Informacion de Sam'!$1:$1,0)),CY$10*'Supuestos Proyeccion'!$F$29)</f>
        <v>23478913.618258517</v>
      </c>
      <c r="CZ29" s="23">
        <f>IF(CZ$5="Real",INDEX('Informacion de Sam'!$24:$24,MATCH(CZ$6,'Informacion de Sam'!$1:$1,0)),CZ$10*'Supuestos Proyeccion'!$F$29)</f>
        <v>21731767.458902728</v>
      </c>
      <c r="DA29" s="23">
        <f>SUM(CO29:CZ29)</f>
        <v>302512591.78755736</v>
      </c>
      <c r="DB29" s="23">
        <f>IF(DB$5="Real",INDEX('Informacion de Sam'!$24:$24,MATCH(DB$6,'Informacion de Sam'!$1:$1,0)),DB$10*'Supuestos Proyeccion'!$F$29)</f>
        <v>28450756.161290951</v>
      </c>
      <c r="DC29" s="23">
        <f>IF(DC$5="Real",INDEX('Informacion de Sam'!$24:$24,MATCH(DC$6,'Informacion de Sam'!$1:$1,0)),DC$10*'Supuestos Proyeccion'!$F$29)</f>
        <v>40329614.546248049</v>
      </c>
      <c r="DD29" s="23">
        <f>IF(DD$5="Real",INDEX('Informacion de Sam'!$24:$24,MATCH(DD$6,'Informacion de Sam'!$1:$1,0)),DD$10*'Supuestos Proyeccion'!$F$29)</f>
        <v>28943350.832491681</v>
      </c>
      <c r="DE29" s="23">
        <f>IF(DE$5="Real",INDEX('Informacion de Sam'!$24:$24,MATCH(DE$6,'Informacion de Sam'!$1:$1,0)),DE$10*'Supuestos Proyeccion'!$F$29)</f>
        <v>29609747.219716255</v>
      </c>
      <c r="DF29" s="23">
        <f>IF(DF$5="Real",INDEX('Informacion de Sam'!$24:$24,MATCH(DF$6,'Informacion de Sam'!$1:$1,0)),DF$10*'Supuestos Proyeccion'!$F$29)</f>
        <v>26051310.505491484</v>
      </c>
      <c r="DG29" s="23">
        <f>IF(DG$5="Real",INDEX('Informacion de Sam'!$24:$24,MATCH(DG$6,'Informacion de Sam'!$1:$1,0)),DG$10*'Supuestos Proyeccion'!$F$29)</f>
        <v>29792577.068813492</v>
      </c>
      <c r="DH29" s="23">
        <f>IF(DH$5="Real",INDEX('Informacion de Sam'!$24:$24,MATCH(DH$6,'Informacion de Sam'!$1:$1,0)),DH$10*'Supuestos Proyeccion'!$F$29)</f>
        <v>32158477.485154439</v>
      </c>
      <c r="DI29" s="23">
        <f>IF(DI$5="Real",INDEX('Informacion de Sam'!$24:$24,MATCH(DI$6,'Informacion de Sam'!$1:$1,0)),DI$10*'Supuestos Proyeccion'!$F$29)</f>
        <v>48324443.506031103</v>
      </c>
      <c r="DJ29" s="23">
        <f>IF(DJ$5="Real",INDEX('Informacion de Sam'!$24:$24,MATCH(DJ$6,'Informacion de Sam'!$1:$1,0)),DJ$10*'Supuestos Proyeccion'!$F$29)</f>
        <v>29494719.054476634</v>
      </c>
      <c r="DK29" s="23">
        <f>IF(DK$5="Real",INDEX('Informacion de Sam'!$24:$24,MATCH(DK$6,'Informacion de Sam'!$1:$1,0)),DK$10*'Supuestos Proyeccion'!$F$29)</f>
        <v>28472392.008281056</v>
      </c>
      <c r="DL29" s="23">
        <f>IF(DL$5="Real",INDEX('Informacion de Sam'!$24:$24,MATCH(DL$6,'Informacion de Sam'!$1:$1,0)),DL$10*'Supuestos Proyeccion'!$F$29)</f>
        <v>29348642.022823144</v>
      </c>
      <c r="DM29" s="23">
        <f>IF(DM$5="Real",INDEX('Informacion de Sam'!$24:$24,MATCH(DM$6,'Informacion de Sam'!$1:$1,0)),DM$10*'Supuestos Proyeccion'!$F$29)</f>
        <v>27164709.323628411</v>
      </c>
      <c r="DN29" s="23">
        <f>SUM(DB29:DM29)</f>
        <v>378140739.7344467</v>
      </c>
      <c r="DO29" s="23">
        <f>IF(DO$5="Real",INDEX('Informacion de Sam'!$24:$24,MATCH(DO$6,'Informacion de Sam'!$1:$1,0)),DO$10*'Supuestos Proyeccion'!$F$29)</f>
        <v>35563445.201613687</v>
      </c>
      <c r="DP29" s="23">
        <f>IF(DP$5="Real",INDEX('Informacion de Sam'!$24:$24,MATCH(DP$6,'Informacion de Sam'!$1:$1,0)),DP$10*'Supuestos Proyeccion'!$F$29)</f>
        <v>50412018.182810061</v>
      </c>
      <c r="DQ29" s="23">
        <f>IF(DQ$5="Real",INDEX('Informacion de Sam'!$24:$24,MATCH(DQ$6,'Informacion de Sam'!$1:$1,0)),DQ$10*'Supuestos Proyeccion'!$F$29)</f>
        <v>36179188.540614597</v>
      </c>
      <c r="DR29" s="23">
        <f>IF(DR$5="Real",INDEX('Informacion de Sam'!$24:$24,MATCH(DR$6,'Informacion de Sam'!$1:$1,0)),DR$10*'Supuestos Proyeccion'!$F$29)</f>
        <v>37012184.024645321</v>
      </c>
      <c r="DS29" s="23">
        <f>IF(DS$5="Real",INDEX('Informacion de Sam'!$24:$24,MATCH(DS$6,'Informacion de Sam'!$1:$1,0)),DS$10*'Supuestos Proyeccion'!$F$29)</f>
        <v>32564138.131864354</v>
      </c>
      <c r="DT29" s="23">
        <f>IF(DT$5="Real",INDEX('Informacion de Sam'!$24:$24,MATCH(DT$6,'Informacion de Sam'!$1:$1,0)),DT$10*'Supuestos Proyeccion'!$F$29)</f>
        <v>37240721.336016871</v>
      </c>
      <c r="DU29" s="23">
        <f>IF(DU$5="Real",INDEX('Informacion de Sam'!$24:$24,MATCH(DU$6,'Informacion de Sam'!$1:$1,0)),DU$10*'Supuestos Proyeccion'!$F$29)</f>
        <v>40198096.856443048</v>
      </c>
      <c r="DV29" s="23">
        <f>IF(DV$5="Real",INDEX('Informacion de Sam'!$24:$24,MATCH(DV$6,'Informacion de Sam'!$1:$1,0)),DV$10*'Supuestos Proyeccion'!$F$29)</f>
        <v>60405554.38253887</v>
      </c>
      <c r="DW29" s="23">
        <f>IF(DW$5="Real",INDEX('Informacion de Sam'!$24:$24,MATCH(DW$6,'Informacion de Sam'!$1:$1,0)),DW$10*'Supuestos Proyeccion'!$F$29)</f>
        <v>36868398.818095788</v>
      </c>
      <c r="DX29" s="23">
        <f>IF(DX$5="Real",INDEX('Informacion de Sam'!$24:$24,MATCH(DX$6,'Informacion de Sam'!$1:$1,0)),DX$10*'Supuestos Proyeccion'!$F$29)</f>
        <v>35590490.010351323</v>
      </c>
      <c r="DY29" s="23">
        <f>IF(DY$5="Real",INDEX('Informacion de Sam'!$24:$24,MATCH(DY$6,'Informacion de Sam'!$1:$1,0)),DY$10*'Supuestos Proyeccion'!$F$29)</f>
        <v>36685802.528528929</v>
      </c>
      <c r="DZ29" s="23">
        <f>IF(DZ$5="Real",INDEX('Informacion de Sam'!$24:$24,MATCH(DZ$6,'Informacion de Sam'!$1:$1,0)),DZ$10*'Supuestos Proyeccion'!$F$29)</f>
        <v>33955886.65453551</v>
      </c>
      <c r="EA29" s="23">
        <f>SUM(DO29:DZ29)</f>
        <v>472675924.66805834</v>
      </c>
      <c r="EB29" s="23">
        <f>IF(EB$5="Real",INDEX('Informacion de Sam'!$24:$24,MATCH(EB$6,'Informacion de Sam'!$1:$1,0)),EB$10*'Supuestos Proyeccion'!$F$29)</f>
        <v>44454306.502017111</v>
      </c>
      <c r="EC29" s="23">
        <f>IF(EC$5="Real",INDEX('Informacion de Sam'!$24:$24,MATCH(EC$6,'Informacion de Sam'!$1:$1,0)),EC$10*'Supuestos Proyeccion'!$F$29)</f>
        <v>63015022.728512578</v>
      </c>
      <c r="ED29" s="23">
        <f>IF(ED$5="Real",INDEX('Informacion de Sam'!$24:$24,MATCH(ED$6,'Informacion de Sam'!$1:$1,0)),ED$10*'Supuestos Proyeccion'!$F$29)</f>
        <v>45223985.675768249</v>
      </c>
      <c r="EE29" s="23">
        <f>IF(EE$5="Real",INDEX('Informacion de Sam'!$24:$24,MATCH(EE$6,'Informacion de Sam'!$1:$1,0)),EE$10*'Supuestos Proyeccion'!$F$29)</f>
        <v>46265230.030806653</v>
      </c>
      <c r="EF29" s="23">
        <f>IF(EF$5="Real",INDEX('Informacion de Sam'!$24:$24,MATCH(EF$6,'Informacion de Sam'!$1:$1,0)),EF$10*'Supuestos Proyeccion'!$F$29)</f>
        <v>40705172.664830446</v>
      </c>
      <c r="EG29" s="23">
        <f>IF(EG$5="Real",INDEX('Informacion de Sam'!$24:$24,MATCH(EG$6,'Informacion de Sam'!$1:$1,0)),EG$10*'Supuestos Proyeccion'!$F$29)</f>
        <v>46550901.670021087</v>
      </c>
      <c r="EH29" s="23">
        <f>IF(EH$5="Real",INDEX('Informacion de Sam'!$24:$24,MATCH(EH$6,'Informacion de Sam'!$1:$1,0)),EH$10*'Supuestos Proyeccion'!$F$29)</f>
        <v>50247621.070553817</v>
      </c>
      <c r="EI29" s="23">
        <f>IF(EI$5="Real",INDEX('Informacion de Sam'!$24:$24,MATCH(EI$6,'Informacion de Sam'!$1:$1,0)),EI$10*'Supuestos Proyeccion'!$F$29)</f>
        <v>75506942.978173599</v>
      </c>
      <c r="EJ29" s="23">
        <f>IF(EJ$5="Real",INDEX('Informacion de Sam'!$24:$24,MATCH(EJ$6,'Informacion de Sam'!$1:$1,0)),EJ$10*'Supuestos Proyeccion'!$F$29)</f>
        <v>46085498.522619739</v>
      </c>
      <c r="EK29" s="23">
        <f>IF(EK$5="Real",INDEX('Informacion de Sam'!$24:$24,MATCH(EK$6,'Informacion de Sam'!$1:$1,0)),EK$10*'Supuestos Proyeccion'!$F$29)</f>
        <v>44488112.512939155</v>
      </c>
      <c r="EL29" s="23">
        <f>IF(EL$5="Real",INDEX('Informacion de Sam'!$24:$24,MATCH(EL$6,'Informacion de Sam'!$1:$1,0)),EL$10*'Supuestos Proyeccion'!$F$29)</f>
        <v>45857253.160661161</v>
      </c>
      <c r="EM29" s="23">
        <f>IF(EM$5="Real",INDEX('Informacion de Sam'!$24:$24,MATCH(EM$6,'Informacion de Sam'!$1:$1,0)),EM$10*'Supuestos Proyeccion'!$F$29)</f>
        <v>42444858.318169393</v>
      </c>
      <c r="EN29" s="23">
        <f>SUM(EB29:EM29)</f>
        <v>590844905.83507299</v>
      </c>
      <c r="EO29" s="23">
        <f>IF(EO$5="Real",INDEX('Informacion de Sam'!$24:$24,MATCH(EO$6,'Informacion de Sam'!$1:$1,0)),EO$10*'Supuestos Proyeccion'!$F$29)</f>
        <v>55567883.127521388</v>
      </c>
      <c r="EP29" s="23">
        <f>IF(EP$5="Real",INDEX('Informacion de Sam'!$24:$24,MATCH(EP$6,'Informacion de Sam'!$1:$1,0)),EP$10*'Supuestos Proyeccion'!$F$29)</f>
        <v>78768778.410640717</v>
      </c>
      <c r="EQ29" s="23">
        <f>IF(EQ$5="Real",INDEX('Informacion de Sam'!$24:$24,MATCH(EQ$6,'Informacion de Sam'!$1:$1,0)),EQ$10*'Supuestos Proyeccion'!$F$29)</f>
        <v>56529982.094710305</v>
      </c>
      <c r="ER29" s="23">
        <f>IF(ER$5="Real",INDEX('Informacion de Sam'!$24:$24,MATCH(ER$6,'Informacion de Sam'!$1:$1,0)),ER$10*'Supuestos Proyeccion'!$F$29)</f>
        <v>57831537.538508311</v>
      </c>
      <c r="ES29" s="23">
        <f>IF(ES$5="Real",INDEX('Informacion de Sam'!$24:$24,MATCH(ES$6,'Informacion de Sam'!$1:$1,0)),ES$10*'Supuestos Proyeccion'!$F$29)</f>
        <v>50881465.83103805</v>
      </c>
      <c r="ET29" s="23">
        <f>IF(ET$5="Real",INDEX('Informacion de Sam'!$24:$24,MATCH(ET$6,'Informacion de Sam'!$1:$1,0)),ET$10*'Supuestos Proyeccion'!$F$29)</f>
        <v>58188627.087526359</v>
      </c>
      <c r="EU29" s="23">
        <f>IF(EU$5="Real",INDEX('Informacion de Sam'!$24:$24,MATCH(EU$6,'Informacion de Sam'!$1:$1,0)),EU$10*'Supuestos Proyeccion'!$F$29)</f>
        <v>62809526.338192262</v>
      </c>
      <c r="EV29" s="23">
        <f>IF(EV$5="Real",INDEX('Informacion de Sam'!$24:$24,MATCH(EV$6,'Informacion de Sam'!$1:$1,0)),EV$10*'Supuestos Proyeccion'!$F$29)</f>
        <v>94383678.722716987</v>
      </c>
      <c r="EW29" s="23">
        <f>IF(EW$5="Real",INDEX('Informacion de Sam'!$24:$24,MATCH(EW$6,'Informacion de Sam'!$1:$1,0)),EW$10*'Supuestos Proyeccion'!$F$29)</f>
        <v>57606873.153274678</v>
      </c>
      <c r="EX29" s="23">
        <f>IF(EX$5="Real",INDEX('Informacion de Sam'!$24:$24,MATCH(EX$6,'Informacion de Sam'!$1:$1,0)),EX$10*'Supuestos Proyeccion'!$F$29)</f>
        <v>55610140.641173936</v>
      </c>
      <c r="EY29" s="23">
        <f>IF(EY$5="Real",INDEX('Informacion de Sam'!$24:$24,MATCH(EY$6,'Informacion de Sam'!$1:$1,0)),EY$10*'Supuestos Proyeccion'!$F$29)</f>
        <v>57321566.450826451</v>
      </c>
      <c r="EZ29" s="23">
        <f>IF(EZ$5="Real",INDEX('Informacion de Sam'!$24:$24,MATCH(EZ$6,'Informacion de Sam'!$1:$1,0)),EZ$10*'Supuestos Proyeccion'!$F$29)</f>
        <v>53056072.897711739</v>
      </c>
      <c r="FA29" s="23">
        <f>SUM(EO29:EZ29)</f>
        <v>738556132.29384124</v>
      </c>
      <c r="FB29" s="23">
        <f>IF(FB$5="Real",INDEX('Informacion de Sam'!$24:$24,MATCH(FB$6,'Informacion de Sam'!$1:$1,0)),FB$10*'Supuestos Proyeccion'!$F$29)</f>
        <v>69459853.909401745</v>
      </c>
      <c r="FC29" s="23">
        <f>IF(FC$5="Real",INDEX('Informacion de Sam'!$24:$24,MATCH(FC$6,'Informacion de Sam'!$1:$1,0)),FC$10*'Supuestos Proyeccion'!$F$29)</f>
        <v>98460973.013300911</v>
      </c>
      <c r="FD29" s="23">
        <f>IF(FD$5="Real",INDEX('Informacion de Sam'!$24:$24,MATCH(FD$6,'Informacion de Sam'!$1:$1,0)),FD$10*'Supuestos Proyeccion'!$F$29)</f>
        <v>70662477.618387893</v>
      </c>
      <c r="FE29" s="23">
        <f>IF(FE$5="Real",INDEX('Informacion de Sam'!$24:$24,MATCH(FE$6,'Informacion de Sam'!$1:$1,0)),FE$10*'Supuestos Proyeccion'!$F$29)</f>
        <v>72289421.9231354</v>
      </c>
      <c r="FF29" s="23">
        <f>IF(FF$5="Real",INDEX('Informacion de Sam'!$24:$24,MATCH(FF$6,'Informacion de Sam'!$1:$1,0)),FF$10*'Supuestos Proyeccion'!$F$29)</f>
        <v>63601832.288797565</v>
      </c>
      <c r="FG29" s="23">
        <f>IF(FG$5="Real",INDEX('Informacion de Sam'!$24:$24,MATCH(FG$6,'Informacion de Sam'!$1:$1,0)),FG$10*'Supuestos Proyeccion'!$F$29)</f>
        <v>72735783.859407946</v>
      </c>
      <c r="FH29" s="23">
        <f>IF(FH$5="Real",INDEX('Informacion de Sam'!$24:$24,MATCH(FH$6,'Informacion de Sam'!$1:$1,0)),FH$10*'Supuestos Proyeccion'!$F$29)</f>
        <v>78511907.922740325</v>
      </c>
      <c r="FI29" s="23">
        <f>IF(FI$5="Real",INDEX('Informacion de Sam'!$24:$24,MATCH(FI$6,'Informacion de Sam'!$1:$1,0)),FI$10*'Supuestos Proyeccion'!$F$29)</f>
        <v>117979598.40339625</v>
      </c>
      <c r="FJ29" s="23">
        <f>IF(FJ$5="Real",INDEX('Informacion de Sam'!$24:$24,MATCH(FJ$6,'Informacion de Sam'!$1:$1,0)),FJ$10*'Supuestos Proyeccion'!$F$29)</f>
        <v>72008591.441593349</v>
      </c>
      <c r="FK29" s="23">
        <f>IF(FK$5="Real",INDEX('Informacion de Sam'!$24:$24,MATCH(FK$6,'Informacion de Sam'!$1:$1,0)),FK$10*'Supuestos Proyeccion'!$F$29)</f>
        <v>69512675.801467419</v>
      </c>
      <c r="FL29" s="23">
        <f>IF(FL$5="Real",INDEX('Informacion de Sam'!$24:$24,MATCH(FL$6,'Informacion de Sam'!$1:$1,0)),FL$10*'Supuestos Proyeccion'!$F$29)</f>
        <v>71651958.063533068</v>
      </c>
      <c r="FM29" s="23">
        <f>IF(FM$5="Real",INDEX('Informacion de Sam'!$24:$24,MATCH(FM$6,'Informacion de Sam'!$1:$1,0)),FM$10*'Supuestos Proyeccion'!$F$29)</f>
        <v>66320091.122139677</v>
      </c>
      <c r="FN29" s="23">
        <f>SUM(FB29:FM29)</f>
        <v>923195165.3673017</v>
      </c>
      <c r="FO29" s="23">
        <f>IF(FO$5="Real",INDEX('Informacion de Sam'!$24:$24,MATCH(FO$6,'Informacion de Sam'!$1:$1,0)),FO$10*'Supuestos Proyeccion'!$F$29)</f>
        <v>86824817.386752173</v>
      </c>
      <c r="FP29" s="23">
        <f>IF(FP$5="Real",INDEX('Informacion de Sam'!$24:$24,MATCH(FP$6,'Informacion de Sam'!$1:$1,0)),FP$10*'Supuestos Proyeccion'!$F$29)</f>
        <v>123076216.26662612</v>
      </c>
      <c r="FQ29" s="23">
        <f>IF(FQ$5="Real",INDEX('Informacion de Sam'!$24:$24,MATCH(FQ$6,'Informacion de Sam'!$1:$1,0)),FQ$10*'Supuestos Proyeccion'!$F$29)</f>
        <v>88328097.022984862</v>
      </c>
      <c r="FR29" s="23">
        <f>IF(FR$5="Real",INDEX('Informacion de Sam'!$24:$24,MATCH(FR$6,'Informacion de Sam'!$1:$1,0)),FR$10*'Supuestos Proyeccion'!$F$29)</f>
        <v>90361777.403919235</v>
      </c>
      <c r="FS29" s="23">
        <f>IF(FS$5="Real",INDEX('Informacion de Sam'!$24:$24,MATCH(FS$6,'Informacion de Sam'!$1:$1,0)),FS$10*'Supuestos Proyeccion'!$F$29)</f>
        <v>79502290.360996962</v>
      </c>
      <c r="FT29" s="23">
        <f>IF(FT$5="Real",INDEX('Informacion de Sam'!$24:$24,MATCH(FT$6,'Informacion de Sam'!$1:$1,0)),FT$10*'Supuestos Proyeccion'!$F$29)</f>
        <v>90919729.824259937</v>
      </c>
      <c r="FU29" s="23">
        <f>IF(FU$5="Real",INDEX('Informacion de Sam'!$24:$24,MATCH(FU$6,'Informacion de Sam'!$1:$1,0)),FU$10*'Supuestos Proyeccion'!$F$29)</f>
        <v>98139884.90342541</v>
      </c>
      <c r="FV29" s="23">
        <f>IF(FV$5="Real",INDEX('Informacion de Sam'!$24:$24,MATCH(FV$6,'Informacion de Sam'!$1:$1,0)),FV$10*'Supuestos Proyeccion'!$F$29)</f>
        <v>147474498.00424531</v>
      </c>
      <c r="FW29" s="23">
        <f>IF(FW$5="Real",INDEX('Informacion de Sam'!$24:$24,MATCH(FW$6,'Informacion de Sam'!$1:$1,0)),FW$10*'Supuestos Proyeccion'!$F$29)</f>
        <v>90010739.301991671</v>
      </c>
      <c r="FX29" s="23">
        <f>IF(FX$5="Real",INDEX('Informacion de Sam'!$24:$24,MATCH(FX$6,'Informacion de Sam'!$1:$1,0)),FX$10*'Supuestos Proyeccion'!$F$29)</f>
        <v>86890844.751834288</v>
      </c>
      <c r="FY29" s="23">
        <f>IF(FY$5="Real",INDEX('Informacion de Sam'!$24:$24,MATCH(FY$6,'Informacion de Sam'!$1:$1,0)),FY$10*'Supuestos Proyeccion'!$F$29)</f>
        <v>89564947.579416335</v>
      </c>
      <c r="FZ29" s="23">
        <f>IF(FZ$5="Real",INDEX('Informacion de Sam'!$24:$24,MATCH(FZ$6,'Informacion de Sam'!$1:$1,0)),FZ$10*'Supuestos Proyeccion'!$F$29)</f>
        <v>82900113.9026746</v>
      </c>
      <c r="GA29" s="23">
        <f>SUM(FO29:FZ29)</f>
        <v>1153993956.7091269</v>
      </c>
      <c r="GB29" s="23">
        <f>IF(GB$5="Real",INDEX('Informacion de Sam'!$24:$24,MATCH(GB$6,'Informacion de Sam'!$1:$1,0)),GB$10*'Supuestos Proyeccion'!$F$29)</f>
        <v>108531021.73344022</v>
      </c>
      <c r="GC29" s="23">
        <f>IF(GC$5="Real",INDEX('Informacion de Sam'!$24:$24,MATCH(GC$6,'Informacion de Sam'!$1:$1,0)),GC$10*'Supuestos Proyeccion'!$F$29)</f>
        <v>153845270.33328268</v>
      </c>
      <c r="GD29" s="23">
        <f>IF(GD$5="Real",INDEX('Informacion de Sam'!$24:$24,MATCH(GD$6,'Informacion de Sam'!$1:$1,0)),GD$10*'Supuestos Proyeccion'!$F$29)</f>
        <v>110410121.27873108</v>
      </c>
      <c r="GE29" s="23">
        <f>IF(GE$5="Real",INDEX('Informacion de Sam'!$24:$24,MATCH(GE$6,'Informacion de Sam'!$1:$1,0)),GE$10*'Supuestos Proyeccion'!$F$29)</f>
        <v>112952221.75489907</v>
      </c>
      <c r="GF29" s="23">
        <f>IF(GF$5="Real",INDEX('Informacion de Sam'!$24:$24,MATCH(GF$6,'Informacion de Sam'!$1:$1,0)),GF$10*'Supuestos Proyeccion'!$F$29)</f>
        <v>99377862.951246202</v>
      </c>
      <c r="GG29" s="23">
        <f>IF(GG$5="Real",INDEX('Informacion de Sam'!$24:$24,MATCH(GG$6,'Informacion de Sam'!$1:$1,0)),GG$10*'Supuestos Proyeccion'!$F$29)</f>
        <v>113649662.28032491</v>
      </c>
      <c r="GH29" s="23">
        <f>IF(GH$5="Real",INDEX('Informacion de Sam'!$24:$24,MATCH(GH$6,'Informacion de Sam'!$1:$1,0)),GH$10*'Supuestos Proyeccion'!$F$29)</f>
        <v>122674856.12928177</v>
      </c>
      <c r="GI29" s="23">
        <f>IF(GI$5="Real",INDEX('Informacion de Sam'!$24:$24,MATCH(GI$6,'Informacion de Sam'!$1:$1,0)),GI$10*'Supuestos Proyeccion'!$F$29)</f>
        <v>184343122.50530663</v>
      </c>
      <c r="GJ29" s="23">
        <f>IF(GJ$5="Real",INDEX('Informacion de Sam'!$24:$24,MATCH(GJ$6,'Informacion de Sam'!$1:$1,0)),GJ$10*'Supuestos Proyeccion'!$F$29)</f>
        <v>112513424.12748961</v>
      </c>
      <c r="GK29" s="23">
        <f>IF(GK$5="Real",INDEX('Informacion de Sam'!$24:$24,MATCH(GK$6,'Informacion de Sam'!$1:$1,0)),GK$10*'Supuestos Proyeccion'!$F$29)</f>
        <v>108613555.93979286</v>
      </c>
      <c r="GL29" s="23">
        <f>IF(GL$5="Real",INDEX('Informacion de Sam'!$24:$24,MATCH(GL$6,'Informacion de Sam'!$1:$1,0)),GL$10*'Supuestos Proyeccion'!$F$29)</f>
        <v>111956184.47427043</v>
      </c>
      <c r="GM29" s="23">
        <f>IF(GM$5="Real",INDEX('Informacion de Sam'!$24:$24,MATCH(GM$6,'Informacion de Sam'!$1:$1,0)),GM$10*'Supuestos Proyeccion'!$F$29)</f>
        <v>103625142.37834325</v>
      </c>
      <c r="GN29" s="23">
        <f>SUM(GB29:GM29)</f>
        <v>1442492445.8864088</v>
      </c>
      <c r="GO29" s="23">
        <f>IF(GO$5="Real",INDEX('Informacion de Sam'!$24:$24,MATCH(GO$6,'Informacion de Sam'!$1:$1,0)),GO$10*'Supuestos Proyeccion'!$F$29)</f>
        <v>135663777.16680026</v>
      </c>
      <c r="GP29" s="23">
        <f>IF(GP$5="Real",INDEX('Informacion de Sam'!$24:$24,MATCH(GP$6,'Informacion de Sam'!$1:$1,0)),GP$10*'Supuestos Proyeccion'!$F$29)</f>
        <v>192306587.9166033</v>
      </c>
      <c r="GQ29" s="23">
        <f>IF(GQ$5="Real",INDEX('Informacion de Sam'!$24:$24,MATCH(GQ$6,'Informacion de Sam'!$1:$1,0)),GQ$10*'Supuestos Proyeccion'!$F$29)</f>
        <v>138012651.59841383</v>
      </c>
      <c r="GR29" s="23">
        <f>IF(GR$5="Real",INDEX('Informacion de Sam'!$24:$24,MATCH(GR$6,'Informacion de Sam'!$1:$1,0)),GR$10*'Supuestos Proyeccion'!$F$29)</f>
        <v>141190277.19362381</v>
      </c>
      <c r="GS29" s="23">
        <f>IF(GS$5="Real",INDEX('Informacion de Sam'!$24:$24,MATCH(GS$6,'Informacion de Sam'!$1:$1,0)),GS$10*'Supuestos Proyeccion'!$F$29)</f>
        <v>124222328.68905772</v>
      </c>
      <c r="GT29" s="23">
        <f>IF(GT$5="Real",INDEX('Informacion de Sam'!$24:$24,MATCH(GT$6,'Informacion de Sam'!$1:$1,0)),GT$10*'Supuestos Proyeccion'!$F$29)</f>
        <v>142062077.85040611</v>
      </c>
      <c r="GU29" s="23">
        <f>IF(GU$5="Real",INDEX('Informacion de Sam'!$24:$24,MATCH(GU$6,'Informacion de Sam'!$1:$1,0)),GU$10*'Supuestos Proyeccion'!$F$29)</f>
        <v>153343570.1616022</v>
      </c>
      <c r="GV29" s="23">
        <f>IF(GV$5="Real",INDEX('Informacion de Sam'!$24:$24,MATCH(GV$6,'Informacion de Sam'!$1:$1,0)),GV$10*'Supuestos Proyeccion'!$F$29)</f>
        <v>230428903.13163328</v>
      </c>
      <c r="GW29" s="23">
        <f>IF(GW$5="Real",INDEX('Informacion de Sam'!$24:$24,MATCH(GW$6,'Informacion de Sam'!$1:$1,0)),GW$10*'Supuestos Proyeccion'!$F$29)</f>
        <v>140641780.15936199</v>
      </c>
      <c r="GX29" s="23">
        <f>IF(GX$5="Real",INDEX('Informacion de Sam'!$24:$24,MATCH(GX$6,'Informacion de Sam'!$1:$1,0)),GX$10*'Supuestos Proyeccion'!$F$29)</f>
        <v>135766944.92474106</v>
      </c>
      <c r="GY29" s="23">
        <f>IF(GY$5="Real",INDEX('Informacion de Sam'!$24:$24,MATCH(GY$6,'Informacion de Sam'!$1:$1,0)),GY$10*'Supuestos Proyeccion'!$F$29)</f>
        <v>139945230.59283802</v>
      </c>
      <c r="GZ29" s="23">
        <f>IF(GZ$5="Real",INDEX('Informacion de Sam'!$24:$24,MATCH(GZ$6,'Informacion de Sam'!$1:$1,0)),GZ$10*'Supuestos Proyeccion'!$F$29)</f>
        <v>129531427.97292905</v>
      </c>
      <c r="HA29" s="23">
        <f>SUM(GO29:GZ29)</f>
        <v>1803115557.3580108</v>
      </c>
      <c r="HB29" s="23"/>
      <c r="HC29" s="51">
        <f t="shared" si="7"/>
        <v>127764077.87</v>
      </c>
      <c r="HD29" s="51">
        <f t="shared" si="7"/>
        <v>157295074.38</v>
      </c>
      <c r="HE29" s="51">
        <f t="shared" si="7"/>
        <v>193104352.91999999</v>
      </c>
      <c r="HF29" s="51">
        <f t="shared" si="7"/>
        <v>285952570.20999998</v>
      </c>
      <c r="HG29" s="51">
        <f t="shared" si="7"/>
        <v>366023830.97000003</v>
      </c>
      <c r="HH29" s="51">
        <f t="shared" si="7"/>
        <v>226663458.28999999</v>
      </c>
      <c r="HI29" s="51">
        <f t="shared" si="7"/>
        <v>239031155.49189395</v>
      </c>
      <c r="HJ29" s="51">
        <f t="shared" si="7"/>
        <v>302512591.78755736</v>
      </c>
      <c r="HK29" s="51">
        <f t="shared" si="7"/>
        <v>378140739.7344467</v>
      </c>
      <c r="HL29" s="51">
        <f t="shared" si="7"/>
        <v>472675924.66805834</v>
      </c>
      <c r="HM29" s="51">
        <f t="shared" si="7"/>
        <v>590844905.83507299</v>
      </c>
      <c r="HN29" s="51">
        <f t="shared" si="7"/>
        <v>738556132.29384124</v>
      </c>
      <c r="HO29" s="51">
        <f t="shared" si="7"/>
        <v>923195165.3673017</v>
      </c>
      <c r="HP29" s="51">
        <f t="shared" si="7"/>
        <v>1153993956.7091269</v>
      </c>
      <c r="HQ29" s="51">
        <f t="shared" si="7"/>
        <v>1442492445.8864088</v>
      </c>
      <c r="HR29" s="51">
        <f t="shared" si="7"/>
        <v>1803115557.3580108</v>
      </c>
    </row>
    <row r="30" spans="1:226" x14ac:dyDescent="0.35">
      <c r="A30" t="s">
        <v>68</v>
      </c>
      <c r="B30" s="23">
        <f>IF(B$5="Real",INDEX('Informacion de Sam'!$25:$25,MATCH(B$6,'Informacion de Sam'!$1:$1,0)),B$10*'Supuestos Proyeccion'!$F$30)</f>
        <v>0</v>
      </c>
      <c r="C30" s="23">
        <f>IF(C$5="Real",INDEX('Informacion de Sam'!$25:$25,MATCH(C$6,'Informacion de Sam'!$1:$1,0)),C$10*'Supuestos Proyeccion'!$F$30)</f>
        <v>0</v>
      </c>
      <c r="D30" s="23">
        <f>IF(D$5="Real",INDEX('Informacion de Sam'!$25:$25,MATCH(D$6,'Informacion de Sam'!$1:$1,0)),D$10*'Supuestos Proyeccion'!$F$30)</f>
        <v>0</v>
      </c>
      <c r="E30" s="23">
        <f>IF(E$5="Real",INDEX('Informacion de Sam'!$25:$25,MATCH(E$6,'Informacion de Sam'!$1:$1,0)),E$10*'Supuestos Proyeccion'!$F$30)</f>
        <v>0</v>
      </c>
      <c r="F30" s="23">
        <f>IF(F$5="Real",INDEX('Informacion de Sam'!$25:$25,MATCH(F$6,'Informacion de Sam'!$1:$1,0)),F$10*'Supuestos Proyeccion'!$F$30)</f>
        <v>0</v>
      </c>
      <c r="G30" s="23">
        <f>IF(G$5="Real",INDEX('Informacion de Sam'!$25:$25,MATCH(G$6,'Informacion de Sam'!$1:$1,0)),G$10*'Supuestos Proyeccion'!$F$30)</f>
        <v>0</v>
      </c>
      <c r="H30" s="23">
        <f>IF(H$5="Real",INDEX('Informacion de Sam'!$25:$25,MATCH(H$6,'Informacion de Sam'!$1:$1,0)),H$10*'Supuestos Proyeccion'!$F$30)</f>
        <v>0</v>
      </c>
      <c r="I30" s="23">
        <f>IF(I$5="Real",INDEX('Informacion de Sam'!$25:$25,MATCH(I$6,'Informacion de Sam'!$1:$1,0)),I$10*'Supuestos Proyeccion'!$F$30)</f>
        <v>0</v>
      </c>
      <c r="J30" s="23">
        <f>IF(J$5="Real",INDEX('Informacion de Sam'!$25:$25,MATCH(J$6,'Informacion de Sam'!$1:$1,0)),J$10*'Supuestos Proyeccion'!$F$30)</f>
        <v>0</v>
      </c>
      <c r="K30" s="23">
        <f>IF(K$5="Real",INDEX('Informacion de Sam'!$25:$25,MATCH(K$6,'Informacion de Sam'!$1:$1,0)),K$10*'Supuestos Proyeccion'!$F$30)</f>
        <v>0</v>
      </c>
      <c r="L30" s="23">
        <f>IF(L$5="Real",INDEX('Informacion de Sam'!$25:$25,MATCH(L$6,'Informacion de Sam'!$1:$1,0)),L$10*'Supuestos Proyeccion'!$F$30)</f>
        <v>0</v>
      </c>
      <c r="M30" s="23">
        <f>IF(M$5="Real",INDEX('Informacion de Sam'!$25:$25,MATCH(M$6,'Informacion de Sam'!$1:$1,0)),M$10*'Supuestos Proyeccion'!$F$30)</f>
        <v>0</v>
      </c>
      <c r="N30" s="23">
        <f>SUM(B30:M30)</f>
        <v>0</v>
      </c>
      <c r="O30" s="23">
        <f>IF(O$5="Real",INDEX('Informacion de Sam'!$25:$25,MATCH(O$6,'Informacion de Sam'!$1:$1,0)),O$10*'Supuestos Proyeccion'!$F$30)</f>
        <v>0</v>
      </c>
      <c r="P30" s="23">
        <f>IF(P$5="Real",INDEX('Informacion de Sam'!$25:$25,MATCH(P$6,'Informacion de Sam'!$1:$1,0)),P$10*'Supuestos Proyeccion'!$F$30)</f>
        <v>0</v>
      </c>
      <c r="Q30" s="23">
        <f>IF(Q$5="Real",INDEX('Informacion de Sam'!$25:$25,MATCH(Q$6,'Informacion de Sam'!$1:$1,0)),Q$10*'Supuestos Proyeccion'!$F$30)</f>
        <v>0</v>
      </c>
      <c r="R30" s="23">
        <f>IF(R$5="Real",INDEX('Informacion de Sam'!$25:$25,MATCH(R$6,'Informacion de Sam'!$1:$1,0)),R$10*'Supuestos Proyeccion'!$F$30)</f>
        <v>0</v>
      </c>
      <c r="S30" s="23">
        <f>IF(S$5="Real",INDEX('Informacion de Sam'!$25:$25,MATCH(S$6,'Informacion de Sam'!$1:$1,0)),S$10*'Supuestos Proyeccion'!$F$30)</f>
        <v>0</v>
      </c>
      <c r="T30" s="23">
        <f>IF(T$5="Real",INDEX('Informacion de Sam'!$25:$25,MATCH(T$6,'Informacion de Sam'!$1:$1,0)),T$10*'Supuestos Proyeccion'!$F$30)</f>
        <v>0</v>
      </c>
      <c r="U30" s="23">
        <f>IF(U$5="Real",INDEX('Informacion de Sam'!$25:$25,MATCH(U$6,'Informacion de Sam'!$1:$1,0)),U$10*'Supuestos Proyeccion'!$F$30)</f>
        <v>0</v>
      </c>
      <c r="V30" s="23">
        <f>IF(V$5="Real",INDEX('Informacion de Sam'!$25:$25,MATCH(V$6,'Informacion de Sam'!$1:$1,0)),V$10*'Supuestos Proyeccion'!$F$30)</f>
        <v>0</v>
      </c>
      <c r="W30" s="23">
        <f>IF(W$5="Real",INDEX('Informacion de Sam'!$25:$25,MATCH(W$6,'Informacion de Sam'!$1:$1,0)),W$10*'Supuestos Proyeccion'!$F$30)</f>
        <v>0</v>
      </c>
      <c r="X30" s="23">
        <f>IF(X$5="Real",INDEX('Informacion de Sam'!$25:$25,MATCH(X$6,'Informacion de Sam'!$1:$1,0)),X$10*'Supuestos Proyeccion'!$F$30)</f>
        <v>0</v>
      </c>
      <c r="Y30" s="23">
        <f>IF(Y$5="Real",INDEX('Informacion de Sam'!$25:$25,MATCH(Y$6,'Informacion de Sam'!$1:$1,0)),Y$10*'Supuestos Proyeccion'!$F$30)</f>
        <v>0</v>
      </c>
      <c r="Z30" s="23">
        <f>IF(Z$5="Real",INDEX('Informacion de Sam'!$25:$25,MATCH(Z$6,'Informacion de Sam'!$1:$1,0)),Z$10*'Supuestos Proyeccion'!$F$30)</f>
        <v>1101607.6499999999</v>
      </c>
      <c r="AA30" s="23">
        <f>SUM(O30:Z30)</f>
        <v>1101607.6499999999</v>
      </c>
      <c r="AB30" s="23">
        <f>IF(AB$5="Real",INDEX('Informacion de Sam'!$25:$25,MATCH(AB$6,'Informacion de Sam'!$1:$1,0)),AB$10*'Supuestos Proyeccion'!$F$30)</f>
        <v>0</v>
      </c>
      <c r="AC30" s="23">
        <f>IF(AC$5="Real",INDEX('Informacion de Sam'!$25:$25,MATCH(AC$6,'Informacion de Sam'!$1:$1,0)),AC$10*'Supuestos Proyeccion'!$F$30)</f>
        <v>0</v>
      </c>
      <c r="AD30" s="23">
        <f>IF(AD$5="Real",INDEX('Informacion de Sam'!$25:$25,MATCH(AD$6,'Informacion de Sam'!$1:$1,0)),AD$10*'Supuestos Proyeccion'!$F$30)</f>
        <v>0</v>
      </c>
      <c r="AE30" s="23">
        <f>IF(AE$5="Real",INDEX('Informacion de Sam'!$25:$25,MATCH(AE$6,'Informacion de Sam'!$1:$1,0)),AE$10*'Supuestos Proyeccion'!$F$30)</f>
        <v>0</v>
      </c>
      <c r="AF30" s="23">
        <f>IF(AF$5="Real",INDEX('Informacion de Sam'!$25:$25,MATCH(AF$6,'Informacion de Sam'!$1:$1,0)),AF$10*'Supuestos Proyeccion'!$F$30)</f>
        <v>0</v>
      </c>
      <c r="AG30" s="23">
        <f>IF(AG$5="Real",INDEX('Informacion de Sam'!$25:$25,MATCH(AG$6,'Informacion de Sam'!$1:$1,0)),AG$10*'Supuestos Proyeccion'!$F$30)</f>
        <v>0</v>
      </c>
      <c r="AH30" s="23">
        <f>IF(AH$5="Real",INDEX('Informacion de Sam'!$25:$25,MATCH(AH$6,'Informacion de Sam'!$1:$1,0)),AH$10*'Supuestos Proyeccion'!$F$30)</f>
        <v>0</v>
      </c>
      <c r="AI30" s="23">
        <f>IF(AI$5="Real",INDEX('Informacion de Sam'!$25:$25,MATCH(AI$6,'Informacion de Sam'!$1:$1,0)),AI$10*'Supuestos Proyeccion'!$F$30)</f>
        <v>0</v>
      </c>
      <c r="AJ30" s="23">
        <f>IF(AJ$5="Real",INDEX('Informacion de Sam'!$25:$25,MATCH(AJ$6,'Informacion de Sam'!$1:$1,0)),AJ$10*'Supuestos Proyeccion'!$F$30)</f>
        <v>0</v>
      </c>
      <c r="AK30" s="23">
        <f>IF(AK$5="Real",INDEX('Informacion de Sam'!$25:$25,MATCH(AK$6,'Informacion de Sam'!$1:$1,0)),AK$10*'Supuestos Proyeccion'!$F$30)</f>
        <v>0</v>
      </c>
      <c r="AL30" s="23">
        <f>IF(AL$5="Real",INDEX('Informacion de Sam'!$25:$25,MATCH(AL$6,'Informacion de Sam'!$1:$1,0)),AL$10*'Supuestos Proyeccion'!$F$30)</f>
        <v>0</v>
      </c>
      <c r="AM30" s="23">
        <f>IF(AM$5="Real",INDEX('Informacion de Sam'!$25:$25,MATCH(AM$6,'Informacion de Sam'!$1:$1,0)),AM$10*'Supuestos Proyeccion'!$F$30)</f>
        <v>312577.81</v>
      </c>
      <c r="AN30" s="23">
        <f>SUM(AB30:AM30)</f>
        <v>312577.81</v>
      </c>
      <c r="AO30" s="23">
        <f>IF(AO$5="Real",INDEX('Informacion de Sam'!$25:$25,MATCH(AO$6,'Informacion de Sam'!$1:$1,0)),AO$10*'Supuestos Proyeccion'!$F$30)</f>
        <v>0</v>
      </c>
      <c r="AP30" s="23">
        <f>IF(AP$5="Real",INDEX('Informacion de Sam'!$25:$25,MATCH(AP$6,'Informacion de Sam'!$1:$1,0)),AP$10*'Supuestos Proyeccion'!$F$30)</f>
        <v>0</v>
      </c>
      <c r="AQ30" s="23">
        <f>IF(AQ$5="Real",INDEX('Informacion de Sam'!$25:$25,MATCH(AQ$6,'Informacion de Sam'!$1:$1,0)),AQ$10*'Supuestos Proyeccion'!$F$30)</f>
        <v>0</v>
      </c>
      <c r="AR30" s="23">
        <f>IF(AR$5="Real",INDEX('Informacion de Sam'!$25:$25,MATCH(AR$6,'Informacion de Sam'!$1:$1,0)),AR$10*'Supuestos Proyeccion'!$F$30)</f>
        <v>0</v>
      </c>
      <c r="AS30" s="23">
        <f>IF(AS$5="Real",INDEX('Informacion de Sam'!$25:$25,MATCH(AS$6,'Informacion de Sam'!$1:$1,0)),AS$10*'Supuestos Proyeccion'!$F$30)</f>
        <v>0</v>
      </c>
      <c r="AT30" s="23">
        <f>IF(AT$5="Real",INDEX('Informacion de Sam'!$25:$25,MATCH(AT$6,'Informacion de Sam'!$1:$1,0)),AT$10*'Supuestos Proyeccion'!$F$30)</f>
        <v>0</v>
      </c>
      <c r="AU30" s="23">
        <f>IF(AU$5="Real",INDEX('Informacion de Sam'!$25:$25,MATCH(AU$6,'Informacion de Sam'!$1:$1,0)),AU$10*'Supuestos Proyeccion'!$F$30)</f>
        <v>0</v>
      </c>
      <c r="AV30" s="23">
        <f>IF(AV$5="Real",INDEX('Informacion de Sam'!$25:$25,MATCH(AV$6,'Informacion de Sam'!$1:$1,0)),AV$10*'Supuestos Proyeccion'!$F$30)</f>
        <v>0</v>
      </c>
      <c r="AW30" s="23">
        <f>IF(AW$5="Real",INDEX('Informacion de Sam'!$25:$25,MATCH(AW$6,'Informacion de Sam'!$1:$1,0)),AW$10*'Supuestos Proyeccion'!$F$30)</f>
        <v>0</v>
      </c>
      <c r="AX30" s="23">
        <f>IF(AX$5="Real",INDEX('Informacion de Sam'!$25:$25,MATCH(AX$6,'Informacion de Sam'!$1:$1,0)),AX$10*'Supuestos Proyeccion'!$F$30)</f>
        <v>0</v>
      </c>
      <c r="AY30" s="23">
        <f>IF(AY$5="Real",INDEX('Informacion de Sam'!$25:$25,MATCH(AY$6,'Informacion de Sam'!$1:$1,0)),AY$10*'Supuestos Proyeccion'!$F$30)</f>
        <v>0</v>
      </c>
      <c r="AZ30" s="23">
        <f>IF(AZ$5="Real",INDEX('Informacion de Sam'!$25:$25,MATCH(AZ$6,'Informacion de Sam'!$1:$1,0)),AZ$10*'Supuestos Proyeccion'!$F$30)</f>
        <v>0</v>
      </c>
      <c r="BA30" s="23">
        <f>SUM(AO30:AZ30)</f>
        <v>0</v>
      </c>
      <c r="BB30" s="23">
        <f>IF(BB$5="Real",INDEX('Informacion de Sam'!$25:$25,MATCH(BB$6,'Informacion de Sam'!$1:$1,0)),BB$10*'Supuestos Proyeccion'!$F$30)</f>
        <v>0</v>
      </c>
      <c r="BC30" s="23">
        <f>IF(BC$5="Real",INDEX('Informacion de Sam'!$25:$25,MATCH(BC$6,'Informacion de Sam'!$1:$1,0)),BC$10*'Supuestos Proyeccion'!$F$30)</f>
        <v>0</v>
      </c>
      <c r="BD30" s="23">
        <f>IF(BD$5="Real",INDEX('Informacion de Sam'!$25:$25,MATCH(BD$6,'Informacion de Sam'!$1:$1,0)),BD$10*'Supuestos Proyeccion'!$F$30)</f>
        <v>0</v>
      </c>
      <c r="BE30" s="23">
        <f>IF(BE$5="Real",INDEX('Informacion de Sam'!$25:$25,MATCH(BE$6,'Informacion de Sam'!$1:$1,0)),BE$10*'Supuestos Proyeccion'!$F$30)</f>
        <v>0</v>
      </c>
      <c r="BF30" s="23">
        <f>IF(BF$5="Real",INDEX('Informacion de Sam'!$25:$25,MATCH(BF$6,'Informacion de Sam'!$1:$1,0)),BF$10*'Supuestos Proyeccion'!$F$30)</f>
        <v>0</v>
      </c>
      <c r="BG30" s="23">
        <f>IF(BG$5="Real",INDEX('Informacion de Sam'!$25:$25,MATCH(BG$6,'Informacion de Sam'!$1:$1,0)),BG$10*'Supuestos Proyeccion'!$F$30)</f>
        <v>0</v>
      </c>
      <c r="BH30" s="23">
        <f>IF(BH$5="Real",INDEX('Informacion de Sam'!$25:$25,MATCH(BH$6,'Informacion de Sam'!$1:$1,0)),BH$10*'Supuestos Proyeccion'!$F$30)</f>
        <v>0</v>
      </c>
      <c r="BI30" s="23">
        <f>IF(BI$5="Real",INDEX('Informacion de Sam'!$25:$25,MATCH(BI$6,'Informacion de Sam'!$1:$1,0)),BI$10*'Supuestos Proyeccion'!$F$30)</f>
        <v>0</v>
      </c>
      <c r="BJ30" s="23">
        <f>IF(BJ$5="Real",INDEX('Informacion de Sam'!$25:$25,MATCH(BJ$6,'Informacion de Sam'!$1:$1,0)),BJ$10*'Supuestos Proyeccion'!$F$30)</f>
        <v>0</v>
      </c>
      <c r="BK30" s="23">
        <f>IF(BK$5="Real",INDEX('Informacion de Sam'!$25:$25,MATCH(BK$6,'Informacion de Sam'!$1:$1,0)),BK$10*'Supuestos Proyeccion'!$F$30)</f>
        <v>0</v>
      </c>
      <c r="BL30" s="23">
        <f>IF(BL$5="Real",INDEX('Informacion de Sam'!$25:$25,MATCH(BL$6,'Informacion de Sam'!$1:$1,0)),BL$10*'Supuestos Proyeccion'!$F$30)</f>
        <v>0</v>
      </c>
      <c r="BM30" s="23">
        <f>IF(BM$5="Real",INDEX('Informacion de Sam'!$25:$25,MATCH(BM$6,'Informacion de Sam'!$1:$1,0)),BM$10*'Supuestos Proyeccion'!$F$30)</f>
        <v>0</v>
      </c>
      <c r="BN30" s="23">
        <f>SUM(BB30:BM30)</f>
        <v>0</v>
      </c>
      <c r="BO30" s="23">
        <f>IF(BO$5="Real",INDEX('Informacion de Sam'!$25:$25,MATCH(BO$6,'Informacion de Sam'!$1:$1,0)),BO$10*'Supuestos Proyeccion'!$F$30)</f>
        <v>0</v>
      </c>
      <c r="BP30" s="23">
        <f>IF(BP$5="Real",INDEX('Informacion de Sam'!$25:$25,MATCH(BP$6,'Informacion de Sam'!$1:$1,0)),BP$10*'Supuestos Proyeccion'!$F$30)</f>
        <v>0</v>
      </c>
      <c r="BQ30" s="23">
        <f>IF(BQ$5="Real",INDEX('Informacion de Sam'!$25:$25,MATCH(BQ$6,'Informacion de Sam'!$1:$1,0)),BQ$10*'Supuestos Proyeccion'!$F$30)</f>
        <v>18722.36</v>
      </c>
      <c r="BR30" s="23">
        <f>IF(BR$5="Real",INDEX('Informacion de Sam'!$25:$25,MATCH(BR$6,'Informacion de Sam'!$1:$1,0)),BR$10*'Supuestos Proyeccion'!$F$30)</f>
        <v>63801.240000000005</v>
      </c>
      <c r="BS30" s="23">
        <f>IF(BS$5="Real",INDEX('Informacion de Sam'!$25:$25,MATCH(BS$6,'Informacion de Sam'!$1:$1,0)),BS$10*'Supuestos Proyeccion'!$F$30)</f>
        <v>0</v>
      </c>
      <c r="BT30" s="23">
        <f>IF(BT$5="Real",INDEX('Informacion de Sam'!$25:$25,MATCH(BT$6,'Informacion de Sam'!$1:$1,0)),BT$10*'Supuestos Proyeccion'!$F$30)</f>
        <v>0</v>
      </c>
      <c r="BU30" s="23">
        <f>IF(BU$5="Real",INDEX('Informacion de Sam'!$25:$25,MATCH(BU$6,'Informacion de Sam'!$1:$1,0)),BU$10*'Supuestos Proyeccion'!$F$30)</f>
        <v>0</v>
      </c>
      <c r="BV30" s="23">
        <f>IF(BV$5="Real",INDEX('Informacion de Sam'!$25:$25,MATCH(BV$6,'Informacion de Sam'!$1:$1,0)),BV$10*'Supuestos Proyeccion'!$F$30)</f>
        <v>0</v>
      </c>
      <c r="BW30" s="23">
        <f>IF(BW$5="Real",INDEX('Informacion de Sam'!$25:$25,MATCH(BW$6,'Informacion de Sam'!$1:$1,0)),BW$10*'Supuestos Proyeccion'!$F$30)</f>
        <v>0</v>
      </c>
      <c r="BX30" s="23">
        <f>IF(BX$5="Real",INDEX('Informacion de Sam'!$25:$25,MATCH(BX$6,'Informacion de Sam'!$1:$1,0)),BX$10*'Supuestos Proyeccion'!$F$30)</f>
        <v>0</v>
      </c>
      <c r="BY30" s="23">
        <f>IF(BY$5="Real",INDEX('Informacion de Sam'!$25:$25,MATCH(BY$6,'Informacion de Sam'!$1:$1,0)),BY$10*'Supuestos Proyeccion'!$F$30)</f>
        <v>0</v>
      </c>
      <c r="BZ30" s="23">
        <f>IF(BZ$5="Real",INDEX('Informacion de Sam'!$25:$25,MATCH(BZ$6,'Informacion de Sam'!$1:$1,0)),BZ$10*'Supuestos Proyeccion'!$F$30)</f>
        <v>0</v>
      </c>
      <c r="CA30" s="23">
        <f>SUM(BO30:BZ30)</f>
        <v>82523.600000000006</v>
      </c>
      <c r="CB30" s="23">
        <f>IF(CB$5="Real",INDEX('Informacion de Sam'!$25:$25,MATCH(CB$6,'Informacion de Sam'!$1:$1,0)),CB$10*'Supuestos Proyeccion'!$F$30)</f>
        <v>0</v>
      </c>
      <c r="CC30" s="23">
        <f>IF(CC$5="Real",INDEX('Informacion de Sam'!$25:$25,MATCH(CC$6,'Informacion de Sam'!$1:$1,0)),CC$10*'Supuestos Proyeccion'!$F$30)</f>
        <v>0</v>
      </c>
      <c r="CD30" s="23">
        <f>IF(CD$5="Real",INDEX('Informacion de Sam'!$25:$25,MATCH(CD$6,'Informacion de Sam'!$1:$1,0)),CD$10*'Supuestos Proyeccion'!$F$30)</f>
        <v>0</v>
      </c>
      <c r="CE30" s="23">
        <f>IF(CE$5="Real",INDEX('Informacion de Sam'!$25:$25,MATCH(CE$6,'Informacion de Sam'!$1:$1,0)),CE$10*'Supuestos Proyeccion'!$F$30)</f>
        <v>0</v>
      </c>
      <c r="CF30" s="23">
        <f>IF(CF$5="Real",INDEX('Informacion de Sam'!$25:$25,MATCH(CF$6,'Informacion de Sam'!$1:$1,0)),CF$10*'Supuestos Proyeccion'!$F$30)</f>
        <v>0</v>
      </c>
      <c r="CG30" s="23">
        <f>IF(CG$5="Real",INDEX('Informacion de Sam'!$25:$25,MATCH(CG$6,'Informacion de Sam'!$1:$1,0)),CG$10*'Supuestos Proyeccion'!$F$30)</f>
        <v>0</v>
      </c>
      <c r="CH30" s="23">
        <f>IF(CH$5="Real",INDEX('Informacion de Sam'!$25:$25,MATCH(CH$6,'Informacion de Sam'!$1:$1,0)),CH$10*'Supuestos Proyeccion'!$F$30)</f>
        <v>0</v>
      </c>
      <c r="CI30" s="23">
        <f>IF(CI$5="Real",INDEX('Informacion de Sam'!$25:$25,MATCH(CI$6,'Informacion de Sam'!$1:$1,0)),CI$10*'Supuestos Proyeccion'!$F$30)</f>
        <v>0</v>
      </c>
      <c r="CJ30" s="23">
        <f>IF(CJ$5="Real",INDEX('Informacion de Sam'!$25:$25,MATCH(CJ$6,'Informacion de Sam'!$1:$1,0)),CJ$10*'Supuestos Proyeccion'!$F$30)</f>
        <v>20437.441737906724</v>
      </c>
      <c r="CK30" s="23">
        <f>IF(CK$5="Real",INDEX('Informacion de Sam'!$25:$25,MATCH(CK$6,'Informacion de Sam'!$1:$1,0)),CK$10*'Supuestos Proyeccion'!$F$30)</f>
        <v>19729.052232479746</v>
      </c>
      <c r="CL30" s="23">
        <f>IF(CL$5="Real",INDEX('Informacion de Sam'!$25:$25,MATCH(CL$6,'Informacion de Sam'!$1:$1,0)),CL$10*'Supuestos Proyeccion'!$F$30)</f>
        <v>20336.222234233865</v>
      </c>
      <c r="CM30" s="23">
        <f>IF(CM$5="Real",INDEX('Informacion de Sam'!$25:$25,MATCH(CM$6,'Informacion de Sam'!$1:$1,0)),CM$10*'Supuestos Proyeccion'!$F$30)</f>
        <v>18822.93447526715</v>
      </c>
      <c r="CN30" s="23">
        <f>SUM(CB30:CM30)</f>
        <v>79325.650679887476</v>
      </c>
      <c r="CO30" s="23">
        <f>IF(CO$5="Real",INDEX('Informacion de Sam'!$25:$25,MATCH(CO$6,'Informacion de Sam'!$1:$1,0)),CO$10*'Supuestos Proyeccion'!$F$30)</f>
        <v>24642.575437479965</v>
      </c>
      <c r="CP30" s="23">
        <f>IF(CP$5="Real",INDEX('Informacion de Sam'!$25:$25,MATCH(CP$6,'Informacion de Sam'!$1:$1,0)),CP$10*'Supuestos Proyeccion'!$F$30)</f>
        <v>34931.42899915501</v>
      </c>
      <c r="CQ30" s="23">
        <f>IF(CQ$5="Real",INDEX('Informacion de Sam'!$25:$25,MATCH(CQ$6,'Informacion de Sam'!$1:$1,0)),CQ$10*'Supuestos Proyeccion'!$F$30)</f>
        <v>25069.235497984097</v>
      </c>
      <c r="CR30" s="23">
        <f>IF(CR$5="Real",INDEX('Informacion de Sam'!$25:$25,MATCH(CR$6,'Informacion de Sam'!$1:$1,0)),CR$10*'Supuestos Proyeccion'!$F$30)</f>
        <v>25646.433627634811</v>
      </c>
      <c r="CS30" s="23">
        <f>IF(CS$5="Real",INDEX('Informacion de Sam'!$25:$25,MATCH(CS$6,'Informacion de Sam'!$1:$1,0)),CS$10*'Supuestos Proyeccion'!$F$30)</f>
        <v>22564.299547518909</v>
      </c>
      <c r="CT30" s="23">
        <f>IF(CT$5="Real",INDEX('Informacion de Sam'!$25:$25,MATCH(CT$6,'Informacion de Sam'!$1:$1,0)),CT$10*'Supuestos Proyeccion'!$F$30)</f>
        <v>25804.79139932496</v>
      </c>
      <c r="CU30" s="23">
        <f>IF(CU$5="Real",INDEX('Informacion de Sam'!$25:$25,MATCH(CU$6,'Informacion de Sam'!$1:$1,0)),CU$10*'Supuestos Proyeccion'!$F$30)</f>
        <v>27854.012135558689</v>
      </c>
      <c r="CV30" s="23">
        <f>IF(CV$5="Real",INDEX('Informacion de Sam'!$25:$25,MATCH(CV$6,'Informacion de Sam'!$1:$1,0)),CV$10*'Supuestos Proyeccion'!$F$30)</f>
        <v>41856.136892130184</v>
      </c>
      <c r="CW30" s="23">
        <f>IF(CW$5="Real",INDEX('Informacion de Sam'!$25:$25,MATCH(CW$6,'Informacion de Sam'!$1:$1,0)),CW$10*'Supuestos Proyeccion'!$F$30)</f>
        <v>25546.802172383406</v>
      </c>
      <c r="CX30" s="23">
        <f>IF(CX$5="Real",INDEX('Informacion de Sam'!$25:$25,MATCH(CX$6,'Informacion de Sam'!$1:$1,0)),CX$10*'Supuestos Proyeccion'!$F$30)</f>
        <v>24661.315290599679</v>
      </c>
      <c r="CY30" s="23">
        <f>IF(CY$5="Real",INDEX('Informacion de Sam'!$25:$25,MATCH(CY$6,'Informacion de Sam'!$1:$1,0)),CY$10*'Supuestos Proyeccion'!$F$30)</f>
        <v>25420.277792792334</v>
      </c>
      <c r="CZ30" s="23">
        <f>IF(CZ$5="Real",INDEX('Informacion de Sam'!$25:$25,MATCH(CZ$6,'Informacion de Sam'!$1:$1,0)),CZ$10*'Supuestos Proyeccion'!$F$30)</f>
        <v>23528.66809408394</v>
      </c>
      <c r="DA30" s="23">
        <f>SUM(CO30:CZ30)</f>
        <v>327525.97688664601</v>
      </c>
      <c r="DB30" s="23">
        <f>IF(DB$5="Real",INDEX('Informacion de Sam'!$25:$25,MATCH(DB$6,'Informacion de Sam'!$1:$1,0)),DB$10*'Supuestos Proyeccion'!$F$30)</f>
        <v>30803.219296849958</v>
      </c>
      <c r="DC30" s="23">
        <f>IF(DC$5="Real",INDEX('Informacion de Sam'!$25:$25,MATCH(DC$6,'Informacion de Sam'!$1:$1,0)),DC$10*'Supuestos Proyeccion'!$F$30)</f>
        <v>43664.286248943768</v>
      </c>
      <c r="DD30" s="23">
        <f>IF(DD$5="Real",INDEX('Informacion de Sam'!$25:$25,MATCH(DD$6,'Informacion de Sam'!$1:$1,0)),DD$10*'Supuestos Proyeccion'!$F$30)</f>
        <v>31336.544372480119</v>
      </c>
      <c r="DE30" s="23">
        <f>IF(DE$5="Real",INDEX('Informacion de Sam'!$25:$25,MATCH(DE$6,'Informacion de Sam'!$1:$1,0)),DE$10*'Supuestos Proyeccion'!$F$30)</f>
        <v>32058.042034543512</v>
      </c>
      <c r="DF30" s="23">
        <f>IF(DF$5="Real",INDEX('Informacion de Sam'!$25:$25,MATCH(DF$6,'Informacion de Sam'!$1:$1,0)),DF$10*'Supuestos Proyeccion'!$F$30)</f>
        <v>28205.374434398636</v>
      </c>
      <c r="DG30" s="23">
        <f>IF(DG$5="Real",INDEX('Informacion de Sam'!$25:$25,MATCH(DG$6,'Informacion de Sam'!$1:$1,0)),DG$10*'Supuestos Proyeccion'!$F$30)</f>
        <v>32255.989249156195</v>
      </c>
      <c r="DH30" s="23">
        <f>IF(DH$5="Real",INDEX('Informacion de Sam'!$25:$25,MATCH(DH$6,'Informacion de Sam'!$1:$1,0)),DH$10*'Supuestos Proyeccion'!$F$30)</f>
        <v>34817.515169448357</v>
      </c>
      <c r="DI30" s="23">
        <f>IF(DI$5="Real",INDEX('Informacion de Sam'!$25:$25,MATCH(DI$6,'Informacion de Sam'!$1:$1,0)),DI$10*'Supuestos Proyeccion'!$F$30)</f>
        <v>52320.171115162724</v>
      </c>
      <c r="DJ30" s="23">
        <f>IF(DJ$5="Real",INDEX('Informacion de Sam'!$25:$25,MATCH(DJ$6,'Informacion de Sam'!$1:$1,0)),DJ$10*'Supuestos Proyeccion'!$F$30)</f>
        <v>31933.502715479255</v>
      </c>
      <c r="DK30" s="23">
        <f>IF(DK$5="Real",INDEX('Informacion de Sam'!$25:$25,MATCH(DK$6,'Informacion de Sam'!$1:$1,0)),DK$10*'Supuestos Proyeccion'!$F$30)</f>
        <v>30826.644113249604</v>
      </c>
      <c r="DL30" s="23">
        <f>IF(DL$5="Real",INDEX('Informacion de Sam'!$25:$25,MATCH(DL$6,'Informacion de Sam'!$1:$1,0)),DL$10*'Supuestos Proyeccion'!$F$30)</f>
        <v>31775.347240990413</v>
      </c>
      <c r="DM30" s="23">
        <f>IF(DM$5="Real",INDEX('Informacion de Sam'!$25:$25,MATCH(DM$6,'Informacion de Sam'!$1:$1,0)),DM$10*'Supuestos Proyeccion'!$F$30)</f>
        <v>29410.835117604925</v>
      </c>
      <c r="DN30" s="23">
        <f>SUM(DB30:DM30)</f>
        <v>409407.47110830748</v>
      </c>
      <c r="DO30" s="23">
        <f>IF(DO$5="Real",INDEX('Informacion de Sam'!$25:$25,MATCH(DO$6,'Informacion de Sam'!$1:$1,0)),DO$10*'Supuestos Proyeccion'!$F$30)</f>
        <v>38504.024121062444</v>
      </c>
      <c r="DP30" s="23">
        <f>IF(DP$5="Real",INDEX('Informacion de Sam'!$25:$25,MATCH(DP$6,'Informacion de Sam'!$1:$1,0)),DP$10*'Supuestos Proyeccion'!$F$30)</f>
        <v>54580.357811179711</v>
      </c>
      <c r="DQ30" s="23">
        <f>IF(DQ$5="Real",INDEX('Informacion de Sam'!$25:$25,MATCH(DQ$6,'Informacion de Sam'!$1:$1,0)),DQ$10*'Supuestos Proyeccion'!$F$30)</f>
        <v>39170.68046560014</v>
      </c>
      <c r="DR30" s="23">
        <f>IF(DR$5="Real",INDEX('Informacion de Sam'!$25:$25,MATCH(DR$6,'Informacion de Sam'!$1:$1,0)),DR$10*'Supuestos Proyeccion'!$F$30)</f>
        <v>40072.552543179394</v>
      </c>
      <c r="DS30" s="23">
        <f>IF(DS$5="Real",INDEX('Informacion de Sam'!$25:$25,MATCH(DS$6,'Informacion de Sam'!$1:$1,0)),DS$10*'Supuestos Proyeccion'!$F$30)</f>
        <v>35256.718042998291</v>
      </c>
      <c r="DT30" s="23">
        <f>IF(DT$5="Real",INDEX('Informacion de Sam'!$25:$25,MATCH(DT$6,'Informacion de Sam'!$1:$1,0)),DT$10*'Supuestos Proyeccion'!$F$30)</f>
        <v>40319.98656144525</v>
      </c>
      <c r="DU30" s="23">
        <f>IF(DU$5="Real",INDEX('Informacion de Sam'!$25:$25,MATCH(DU$6,'Informacion de Sam'!$1:$1,0)),DU$10*'Supuestos Proyeccion'!$F$30)</f>
        <v>43521.893961810456</v>
      </c>
      <c r="DV30" s="23">
        <f>IF(DV$5="Real",INDEX('Informacion de Sam'!$25:$25,MATCH(DV$6,'Informacion de Sam'!$1:$1,0)),DV$10*'Supuestos Proyeccion'!$F$30)</f>
        <v>65400.213893953405</v>
      </c>
      <c r="DW30" s="23">
        <f>IF(DW$5="Real",INDEX('Informacion de Sam'!$25:$25,MATCH(DW$6,'Informacion de Sam'!$1:$1,0)),DW$10*'Supuestos Proyeccion'!$F$30)</f>
        <v>39916.878394349071</v>
      </c>
      <c r="DX30" s="23">
        <f>IF(DX$5="Real",INDEX('Informacion de Sam'!$25:$25,MATCH(DX$6,'Informacion de Sam'!$1:$1,0)),DX$10*'Supuestos Proyeccion'!$F$30)</f>
        <v>38533.305141562007</v>
      </c>
      <c r="DY30" s="23">
        <f>IF(DY$5="Real",INDEX('Informacion de Sam'!$25:$25,MATCH(DY$6,'Informacion de Sam'!$1:$1,0)),DY$10*'Supuestos Proyeccion'!$F$30)</f>
        <v>39719.184051238015</v>
      </c>
      <c r="DZ30" s="23">
        <f>IF(DZ$5="Real",INDEX('Informacion de Sam'!$25:$25,MATCH(DZ$6,'Informacion de Sam'!$1:$1,0)),DZ$10*'Supuestos Proyeccion'!$F$30)</f>
        <v>36763.543897006151</v>
      </c>
      <c r="EA30" s="23">
        <f>SUM(DO30:DZ30)</f>
        <v>511759.33888538432</v>
      </c>
      <c r="EB30" s="23">
        <f>IF(EB$5="Real",INDEX('Informacion de Sam'!$25:$25,MATCH(EB$6,'Informacion de Sam'!$1:$1,0)),EB$10*'Supuestos Proyeccion'!$F$30)</f>
        <v>48130.030151328057</v>
      </c>
      <c r="EC30" s="23">
        <f>IF(EC$5="Real",INDEX('Informacion de Sam'!$25:$25,MATCH(EC$6,'Informacion de Sam'!$1:$1,0)),EC$10*'Supuestos Proyeccion'!$F$30)</f>
        <v>68225.447263974638</v>
      </c>
      <c r="ED30" s="23">
        <f>IF(ED$5="Real",INDEX('Informacion de Sam'!$25:$25,MATCH(ED$6,'Informacion de Sam'!$1:$1,0)),ED$10*'Supuestos Proyeccion'!$F$30)</f>
        <v>48963.350582000188</v>
      </c>
      <c r="EE30" s="23">
        <f>IF(EE$5="Real",INDEX('Informacion de Sam'!$25:$25,MATCH(EE$6,'Informacion de Sam'!$1:$1,0)),EE$10*'Supuestos Proyeccion'!$F$30)</f>
        <v>50090.690678974242</v>
      </c>
      <c r="EF30" s="23">
        <f>IF(EF$5="Real",INDEX('Informacion de Sam'!$25:$25,MATCH(EF$6,'Informacion de Sam'!$1:$1,0)),EF$10*'Supuestos Proyeccion'!$F$30)</f>
        <v>44070.897553747869</v>
      </c>
      <c r="EG30" s="23">
        <f>IF(EG$5="Real",INDEX('Informacion de Sam'!$25:$25,MATCH(EG$6,'Informacion de Sam'!$1:$1,0)),EG$10*'Supuestos Proyeccion'!$F$30)</f>
        <v>50399.983201806564</v>
      </c>
      <c r="EH30" s="23">
        <f>IF(EH$5="Real",INDEX('Informacion de Sam'!$25:$25,MATCH(EH$6,'Informacion de Sam'!$1:$1,0)),EH$10*'Supuestos Proyeccion'!$F$30)</f>
        <v>54402.367452263068</v>
      </c>
      <c r="EI30" s="23">
        <f>IF(EI$5="Real",INDEX('Informacion de Sam'!$25:$25,MATCH(EI$6,'Informacion de Sam'!$1:$1,0)),EI$10*'Supuestos Proyeccion'!$F$30)</f>
        <v>81750.26736744176</v>
      </c>
      <c r="EJ30" s="23">
        <f>IF(EJ$5="Real",INDEX('Informacion de Sam'!$25:$25,MATCH(EJ$6,'Informacion de Sam'!$1:$1,0)),EJ$10*'Supuestos Proyeccion'!$F$30)</f>
        <v>49896.097992936338</v>
      </c>
      <c r="EK30" s="23">
        <f>IF(EK$5="Real",INDEX('Informacion de Sam'!$25:$25,MATCH(EK$6,'Informacion de Sam'!$1:$1,0)),EK$10*'Supuestos Proyeccion'!$F$30)</f>
        <v>48166.631426952503</v>
      </c>
      <c r="EL30" s="23">
        <f>IF(EL$5="Real",INDEX('Informacion de Sam'!$25:$25,MATCH(EL$6,'Informacion de Sam'!$1:$1,0)),EL$10*'Supuestos Proyeccion'!$F$30)</f>
        <v>49648.980064047522</v>
      </c>
      <c r="EM30" s="23">
        <f>IF(EM$5="Real",INDEX('Informacion de Sam'!$25:$25,MATCH(EM$6,'Informacion de Sam'!$1:$1,0)),EM$10*'Supuestos Proyeccion'!$F$30)</f>
        <v>45954.4298712577</v>
      </c>
      <c r="EN30" s="23">
        <f>SUM(EB30:EM30)</f>
        <v>639699.17360673042</v>
      </c>
      <c r="EO30" s="23">
        <f>IF(EO$5="Real",INDEX('Informacion de Sam'!$25:$25,MATCH(EO$6,'Informacion de Sam'!$1:$1,0)),EO$10*'Supuestos Proyeccion'!$F$30)</f>
        <v>60162.537689160068</v>
      </c>
      <c r="EP30" s="23">
        <f>IF(EP$5="Real",INDEX('Informacion de Sam'!$25:$25,MATCH(EP$6,'Informacion de Sam'!$1:$1,0)),EP$10*'Supuestos Proyeccion'!$F$30)</f>
        <v>85281.809079968298</v>
      </c>
      <c r="EQ30" s="23">
        <f>IF(EQ$5="Real",INDEX('Informacion de Sam'!$25:$25,MATCH(EQ$6,'Informacion de Sam'!$1:$1,0)),EQ$10*'Supuestos Proyeccion'!$F$30)</f>
        <v>61204.188227500228</v>
      </c>
      <c r="ER30" s="23">
        <f>IF(ER$5="Real",INDEX('Informacion de Sam'!$25:$25,MATCH(ER$6,'Informacion de Sam'!$1:$1,0)),ER$10*'Supuestos Proyeccion'!$F$30)</f>
        <v>62613.363348717794</v>
      </c>
      <c r="ES30" s="23">
        <f>IF(ES$5="Real",INDEX('Informacion de Sam'!$25:$25,MATCH(ES$6,'Informacion de Sam'!$1:$1,0)),ES$10*'Supuestos Proyeccion'!$F$30)</f>
        <v>55088.621942184829</v>
      </c>
      <c r="ET30" s="23">
        <f>IF(ET$5="Real",INDEX('Informacion de Sam'!$25:$25,MATCH(ET$6,'Informacion de Sam'!$1:$1,0)),ET$10*'Supuestos Proyeccion'!$F$30)</f>
        <v>62999.979002258202</v>
      </c>
      <c r="EU30" s="23">
        <f>IF(EU$5="Real",INDEX('Informacion de Sam'!$25:$25,MATCH(EU$6,'Informacion de Sam'!$1:$1,0)),EU$10*'Supuestos Proyeccion'!$F$30)</f>
        <v>68002.95931532883</v>
      </c>
      <c r="EV30" s="23">
        <f>IF(EV$5="Real",INDEX('Informacion de Sam'!$25:$25,MATCH(EV$6,'Informacion de Sam'!$1:$1,0)),EV$10*'Supuestos Proyeccion'!$F$30)</f>
        <v>102187.83420930219</v>
      </c>
      <c r="EW30" s="23">
        <f>IF(EW$5="Real",INDEX('Informacion de Sam'!$25:$25,MATCH(EW$6,'Informacion de Sam'!$1:$1,0)),EW$10*'Supuestos Proyeccion'!$F$30)</f>
        <v>62370.122491170419</v>
      </c>
      <c r="EX30" s="23">
        <f>IF(EX$5="Real",INDEX('Informacion de Sam'!$25:$25,MATCH(EX$6,'Informacion de Sam'!$1:$1,0)),EX$10*'Supuestos Proyeccion'!$F$30)</f>
        <v>60208.289283690632</v>
      </c>
      <c r="EY30" s="23">
        <f>IF(EY$5="Real",INDEX('Informacion de Sam'!$25:$25,MATCH(EY$6,'Informacion de Sam'!$1:$1,0)),EY$10*'Supuestos Proyeccion'!$F$30)</f>
        <v>62061.225080059397</v>
      </c>
      <c r="EZ30" s="23">
        <f>IF(EZ$5="Real",INDEX('Informacion de Sam'!$25:$25,MATCH(EZ$6,'Informacion de Sam'!$1:$1,0)),EZ$10*'Supuestos Proyeccion'!$F$30)</f>
        <v>57443.037339072122</v>
      </c>
      <c r="FA30" s="23">
        <f>SUM(EO30:EZ30)</f>
        <v>799623.96700841293</v>
      </c>
      <c r="FB30" s="23">
        <f>IF(FB$5="Real",INDEX('Informacion de Sam'!$25:$25,MATCH(FB$6,'Informacion de Sam'!$1:$1,0)),FB$10*'Supuestos Proyeccion'!$F$30)</f>
        <v>75203.172111450098</v>
      </c>
      <c r="FC30" s="23">
        <f>IF(FC$5="Real",INDEX('Informacion de Sam'!$25:$25,MATCH(FC$6,'Informacion de Sam'!$1:$1,0)),FC$10*'Supuestos Proyeccion'!$F$30)</f>
        <v>106602.26134996038</v>
      </c>
      <c r="FD30" s="23">
        <f>IF(FD$5="Real",INDEX('Informacion de Sam'!$25:$25,MATCH(FD$6,'Informacion de Sam'!$1:$1,0)),FD$10*'Supuestos Proyeccion'!$F$30)</f>
        <v>76505.235284375289</v>
      </c>
      <c r="FE30" s="23">
        <f>IF(FE$5="Real",INDEX('Informacion de Sam'!$25:$25,MATCH(FE$6,'Informacion de Sam'!$1:$1,0)),FE$10*'Supuestos Proyeccion'!$F$30)</f>
        <v>78266.704185897252</v>
      </c>
      <c r="FF30" s="23">
        <f>IF(FF$5="Real",INDEX('Informacion de Sam'!$25:$25,MATCH(FF$6,'Informacion de Sam'!$1:$1,0)),FF$10*'Supuestos Proyeccion'!$F$30)</f>
        <v>68860.777427731038</v>
      </c>
      <c r="FG30" s="23">
        <f>IF(FG$5="Real",INDEX('Informacion de Sam'!$25:$25,MATCH(FG$6,'Informacion de Sam'!$1:$1,0)),FG$10*'Supuestos Proyeccion'!$F$30)</f>
        <v>78749.973752822756</v>
      </c>
      <c r="FH30" s="23">
        <f>IF(FH$5="Real",INDEX('Informacion de Sam'!$25:$25,MATCH(FH$6,'Informacion de Sam'!$1:$1,0)),FH$10*'Supuestos Proyeccion'!$F$30)</f>
        <v>85003.699144161044</v>
      </c>
      <c r="FI30" s="23">
        <f>IF(FI$5="Real",INDEX('Informacion de Sam'!$25:$25,MATCH(FI$6,'Informacion de Sam'!$1:$1,0)),FI$10*'Supuestos Proyeccion'!$F$30)</f>
        <v>127734.79276162776</v>
      </c>
      <c r="FJ30" s="23">
        <f>IF(FJ$5="Real",INDEX('Informacion de Sam'!$25:$25,MATCH(FJ$6,'Informacion de Sam'!$1:$1,0)),FJ$10*'Supuestos Proyeccion'!$F$30)</f>
        <v>77962.653113963039</v>
      </c>
      <c r="FK30" s="23">
        <f>IF(FK$5="Real",INDEX('Informacion de Sam'!$25:$25,MATCH(FK$6,'Informacion de Sam'!$1:$1,0)),FK$10*'Supuestos Proyeccion'!$F$30)</f>
        <v>75260.361604613296</v>
      </c>
      <c r="FL30" s="23">
        <f>IF(FL$5="Real",INDEX('Informacion de Sam'!$25:$25,MATCH(FL$6,'Informacion de Sam'!$1:$1,0)),FL$10*'Supuestos Proyeccion'!$F$30)</f>
        <v>77576.531350074249</v>
      </c>
      <c r="FM30" s="23">
        <f>IF(FM$5="Real",INDEX('Informacion de Sam'!$25:$25,MATCH(FM$6,'Informacion de Sam'!$1:$1,0)),FM$10*'Supuestos Proyeccion'!$F$30)</f>
        <v>71803.796673840159</v>
      </c>
      <c r="FN30" s="23">
        <f>SUM(FB30:FM30)</f>
        <v>999529.95876051637</v>
      </c>
      <c r="FO30" s="23">
        <f>IF(FO$5="Real",INDEX('Informacion de Sam'!$25:$25,MATCH(FO$6,'Informacion de Sam'!$1:$1,0)),FO$10*'Supuestos Proyeccion'!$F$30)</f>
        <v>94003.965139312611</v>
      </c>
      <c r="FP30" s="23">
        <f>IF(FP$5="Real",INDEX('Informacion de Sam'!$25:$25,MATCH(FP$6,'Informacion de Sam'!$1:$1,0)),FP$10*'Supuestos Proyeccion'!$F$30)</f>
        <v>133252.82668745046</v>
      </c>
      <c r="FQ30" s="23">
        <f>IF(FQ$5="Real",INDEX('Informacion de Sam'!$25:$25,MATCH(FQ$6,'Informacion de Sam'!$1:$1,0)),FQ$10*'Supuestos Proyeccion'!$F$30)</f>
        <v>95631.544105469104</v>
      </c>
      <c r="FR30" s="23">
        <f>IF(FR$5="Real",INDEX('Informacion de Sam'!$25:$25,MATCH(FR$6,'Informacion de Sam'!$1:$1,0)),FR$10*'Supuestos Proyeccion'!$F$30)</f>
        <v>97833.380232371564</v>
      </c>
      <c r="FS30" s="23">
        <f>IF(FS$5="Real",INDEX('Informacion de Sam'!$25:$25,MATCH(FS$6,'Informacion de Sam'!$1:$1,0)),FS$10*'Supuestos Proyeccion'!$F$30)</f>
        <v>86075.971784663809</v>
      </c>
      <c r="FT30" s="23">
        <f>IF(FT$5="Real",INDEX('Informacion de Sam'!$25:$25,MATCH(FT$6,'Informacion de Sam'!$1:$1,0)),FT$10*'Supuestos Proyeccion'!$F$30)</f>
        <v>98437.467191028438</v>
      </c>
      <c r="FU30" s="23">
        <f>IF(FU$5="Real",INDEX('Informacion de Sam'!$25:$25,MATCH(FU$6,'Informacion de Sam'!$1:$1,0)),FU$10*'Supuestos Proyeccion'!$F$30)</f>
        <v>106254.6239302013</v>
      </c>
      <c r="FV30" s="23">
        <f>IF(FV$5="Real",INDEX('Informacion de Sam'!$25:$25,MATCH(FV$6,'Informacion de Sam'!$1:$1,0)),FV$10*'Supuestos Proyeccion'!$F$30)</f>
        <v>159668.49095203468</v>
      </c>
      <c r="FW30" s="23">
        <f>IF(FW$5="Real",INDEX('Informacion de Sam'!$25:$25,MATCH(FW$6,'Informacion de Sam'!$1:$1,0)),FW$10*'Supuestos Proyeccion'!$F$30)</f>
        <v>97453.31639245378</v>
      </c>
      <c r="FX30" s="23">
        <f>IF(FX$5="Real",INDEX('Informacion de Sam'!$25:$25,MATCH(FX$6,'Informacion de Sam'!$1:$1,0)),FX$10*'Supuestos Proyeccion'!$F$30)</f>
        <v>94075.452005766609</v>
      </c>
      <c r="FY30" s="23">
        <f>IF(FY$5="Real",INDEX('Informacion de Sam'!$25:$25,MATCH(FY$6,'Informacion de Sam'!$1:$1,0)),FY$10*'Supuestos Proyeccion'!$F$30)</f>
        <v>96970.664187592818</v>
      </c>
      <c r="FZ30" s="23">
        <f>IF(FZ$5="Real",INDEX('Informacion de Sam'!$25:$25,MATCH(FZ$6,'Informacion de Sam'!$1:$1,0)),FZ$10*'Supuestos Proyeccion'!$F$30)</f>
        <v>89754.745842300195</v>
      </c>
      <c r="GA30" s="23">
        <f>SUM(FO30:FZ30)</f>
        <v>1249412.4484506454</v>
      </c>
      <c r="GB30" s="23">
        <f>IF(GB$5="Real",INDEX('Informacion de Sam'!$25:$25,MATCH(GB$6,'Informacion de Sam'!$1:$1,0)),GB$10*'Supuestos Proyeccion'!$F$30)</f>
        <v>117504.95642414078</v>
      </c>
      <c r="GC30" s="23">
        <f>IF(GC$5="Real",INDEX('Informacion de Sam'!$25:$25,MATCH(GC$6,'Informacion de Sam'!$1:$1,0)),GC$10*'Supuestos Proyeccion'!$F$30)</f>
        <v>166566.03335931309</v>
      </c>
      <c r="GD30" s="23">
        <f>IF(GD$5="Real",INDEX('Informacion de Sam'!$25:$25,MATCH(GD$6,'Informacion de Sam'!$1:$1,0)),GD$10*'Supuestos Proyeccion'!$F$30)</f>
        <v>119539.43013183639</v>
      </c>
      <c r="GE30" s="23">
        <f>IF(GE$5="Real",INDEX('Informacion de Sam'!$25:$25,MATCH(GE$6,'Informacion de Sam'!$1:$1,0)),GE$10*'Supuestos Proyeccion'!$F$30)</f>
        <v>122291.72529046447</v>
      </c>
      <c r="GF30" s="23">
        <f>IF(GF$5="Real",INDEX('Informacion de Sam'!$25:$25,MATCH(GF$6,'Informacion de Sam'!$1:$1,0)),GF$10*'Supuestos Proyeccion'!$F$30)</f>
        <v>107594.96473082976</v>
      </c>
      <c r="GG30" s="23">
        <f>IF(GG$5="Real",INDEX('Informacion de Sam'!$25:$25,MATCH(GG$6,'Informacion de Sam'!$1:$1,0)),GG$10*'Supuestos Proyeccion'!$F$30)</f>
        <v>123046.83398878554</v>
      </c>
      <c r="GH30" s="23">
        <f>IF(GH$5="Real",INDEX('Informacion de Sam'!$25:$25,MATCH(GH$6,'Informacion de Sam'!$1:$1,0)),GH$10*'Supuestos Proyeccion'!$F$30)</f>
        <v>132818.27991275163</v>
      </c>
      <c r="GI30" s="23">
        <f>IF(GI$5="Real",INDEX('Informacion de Sam'!$25:$25,MATCH(GI$6,'Informacion de Sam'!$1:$1,0)),GI$10*'Supuestos Proyeccion'!$F$30)</f>
        <v>199585.61369004336</v>
      </c>
      <c r="GJ30" s="23">
        <f>IF(GJ$5="Real",INDEX('Informacion de Sam'!$25:$25,MATCH(GJ$6,'Informacion de Sam'!$1:$1,0)),GJ$10*'Supuestos Proyeccion'!$F$30)</f>
        <v>121816.64549056724</v>
      </c>
      <c r="GK30" s="23">
        <f>IF(GK$5="Real",INDEX('Informacion de Sam'!$25:$25,MATCH(GK$6,'Informacion de Sam'!$1:$1,0)),GK$10*'Supuestos Proyeccion'!$F$30)</f>
        <v>117594.31500720826</v>
      </c>
      <c r="GL30" s="23">
        <f>IF(GL$5="Real",INDEX('Informacion de Sam'!$25:$25,MATCH(GL$6,'Informacion de Sam'!$1:$1,0)),GL$10*'Supuestos Proyeccion'!$F$30)</f>
        <v>121213.33023449103</v>
      </c>
      <c r="GM30" s="23">
        <f>IF(GM$5="Real",INDEX('Informacion de Sam'!$25:$25,MATCH(GM$6,'Informacion de Sam'!$1:$1,0)),GM$10*'Supuestos Proyeccion'!$F$30)</f>
        <v>112193.43230287524</v>
      </c>
      <c r="GN30" s="23">
        <f>SUM(GB30:GM30)</f>
        <v>1561765.5605633068</v>
      </c>
      <c r="GO30" s="23">
        <f>IF(GO$5="Real",INDEX('Informacion de Sam'!$25:$25,MATCH(GO$6,'Informacion de Sam'!$1:$1,0)),GO$10*'Supuestos Proyeccion'!$F$30)</f>
        <v>146881.19553017596</v>
      </c>
      <c r="GP30" s="23">
        <f>IF(GP$5="Real",INDEX('Informacion de Sam'!$25:$25,MATCH(GP$6,'Informacion de Sam'!$1:$1,0)),GP$10*'Supuestos Proyeccion'!$F$30)</f>
        <v>208207.54169914132</v>
      </c>
      <c r="GQ30" s="23">
        <f>IF(GQ$5="Real",INDEX('Informacion de Sam'!$25:$25,MATCH(GQ$6,'Informacion de Sam'!$1:$1,0)),GQ$10*'Supuestos Proyeccion'!$F$30)</f>
        <v>149424.28766479547</v>
      </c>
      <c r="GR30" s="23">
        <f>IF(GR$5="Real",INDEX('Informacion de Sam'!$25:$25,MATCH(GR$6,'Informacion de Sam'!$1:$1,0)),GR$10*'Supuestos Proyeccion'!$F$30)</f>
        <v>152864.65661308056</v>
      </c>
      <c r="GS30" s="23">
        <f>IF(GS$5="Real",INDEX('Informacion de Sam'!$25:$25,MATCH(GS$6,'Informacion de Sam'!$1:$1,0)),GS$10*'Supuestos Proyeccion'!$F$30)</f>
        <v>134493.70591353718</v>
      </c>
      <c r="GT30" s="23">
        <f>IF(GT$5="Real",INDEX('Informacion de Sam'!$25:$25,MATCH(GT$6,'Informacion de Sam'!$1:$1,0)),GT$10*'Supuestos Proyeccion'!$F$30)</f>
        <v>153808.54248598192</v>
      </c>
      <c r="GU30" s="23">
        <f>IF(GU$5="Real",INDEX('Informacion de Sam'!$25:$25,MATCH(GU$6,'Informacion de Sam'!$1:$1,0)),GU$10*'Supuestos Proyeccion'!$F$30)</f>
        <v>166022.84989093951</v>
      </c>
      <c r="GV30" s="23">
        <f>IF(GV$5="Real",INDEX('Informacion de Sam'!$25:$25,MATCH(GV$6,'Informacion de Sam'!$1:$1,0)),GV$10*'Supuestos Proyeccion'!$F$30)</f>
        <v>249482.0171125542</v>
      </c>
      <c r="GW30" s="23">
        <f>IF(GW$5="Real",INDEX('Informacion de Sam'!$25:$25,MATCH(GW$6,'Informacion de Sam'!$1:$1,0)),GW$10*'Supuestos Proyeccion'!$F$30)</f>
        <v>152270.80686320903</v>
      </c>
      <c r="GX30" s="23">
        <f>IF(GX$5="Real",INDEX('Informacion de Sam'!$25:$25,MATCH(GX$6,'Informacion de Sam'!$1:$1,0)),GX$10*'Supuestos Proyeccion'!$F$30)</f>
        <v>146992.89375901033</v>
      </c>
      <c r="GY30" s="23">
        <f>IF(GY$5="Real",INDEX('Informacion de Sam'!$25:$25,MATCH(GY$6,'Informacion de Sam'!$1:$1,0)),GY$10*'Supuestos Proyeccion'!$F$30)</f>
        <v>151516.66279311379</v>
      </c>
      <c r="GZ30" s="23">
        <f>IF(GZ$5="Real",INDEX('Informacion de Sam'!$25:$25,MATCH(GZ$6,'Informacion de Sam'!$1:$1,0)),GZ$10*'Supuestos Proyeccion'!$F$30)</f>
        <v>140241.79037859404</v>
      </c>
      <c r="HA30" s="23">
        <f>SUM(GO30:GZ30)</f>
        <v>1952206.9507041336</v>
      </c>
      <c r="HB30" s="23"/>
      <c r="HC30" s="51">
        <f t="shared" si="7"/>
        <v>0</v>
      </c>
      <c r="HD30" s="51">
        <f t="shared" si="7"/>
        <v>1101607.6499999999</v>
      </c>
      <c r="HE30" s="51">
        <f t="shared" si="7"/>
        <v>312577.81</v>
      </c>
      <c r="HF30" s="51">
        <f t="shared" si="7"/>
        <v>0</v>
      </c>
      <c r="HG30" s="51"/>
      <c r="HH30" s="51">
        <f t="shared" si="7"/>
        <v>82523.600000000006</v>
      </c>
      <c r="HI30" s="51">
        <f t="shared" si="7"/>
        <v>79325.650679887476</v>
      </c>
      <c r="HJ30" s="51">
        <f t="shared" si="7"/>
        <v>327525.97688664601</v>
      </c>
      <c r="HK30" s="51">
        <f t="shared" si="7"/>
        <v>409407.47110830748</v>
      </c>
      <c r="HL30" s="51">
        <f t="shared" si="7"/>
        <v>511759.33888538432</v>
      </c>
      <c r="HM30" s="51">
        <f t="shared" si="7"/>
        <v>639699.17360673042</v>
      </c>
      <c r="HN30" s="51">
        <f t="shared" si="7"/>
        <v>799623.96700841293</v>
      </c>
      <c r="HO30" s="51">
        <f t="shared" si="7"/>
        <v>999529.95876051637</v>
      </c>
      <c r="HP30" s="51">
        <f t="shared" si="7"/>
        <v>1249412.4484506454</v>
      </c>
      <c r="HQ30" s="51">
        <f t="shared" si="7"/>
        <v>1561765.5605633068</v>
      </c>
      <c r="HR30" s="51">
        <f t="shared" si="7"/>
        <v>1952206.9507041336</v>
      </c>
    </row>
    <row r="31" spans="1:226" x14ac:dyDescent="0.35">
      <c r="A31" t="s">
        <v>62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51">
        <f t="shared" ref="HC31:HF31" si="8">HC32/HC29</f>
        <v>0.25432046661082358</v>
      </c>
      <c r="HD31" s="51">
        <f t="shared" si="8"/>
        <v>0.26884574902732566</v>
      </c>
      <c r="HE31" s="51">
        <f t="shared" si="8"/>
        <v>0.32896198293529388</v>
      </c>
      <c r="HF31" s="51">
        <f t="shared" si="8"/>
        <v>0.48309156657885882</v>
      </c>
      <c r="HG31" s="51">
        <f>HG32/HG29</f>
        <v>0.52713025741707487</v>
      </c>
      <c r="HH31" s="51">
        <f t="shared" ref="HH31:HI31" si="9">HH32/HH29</f>
        <v>0.12361468893742784</v>
      </c>
      <c r="HI31" s="51">
        <f t="shared" si="9"/>
        <v>0.29024690090882721</v>
      </c>
      <c r="HJ31" s="51"/>
      <c r="HK31" s="51"/>
      <c r="HL31" s="51"/>
      <c r="HM31" s="51"/>
      <c r="HN31" s="51"/>
      <c r="HO31" s="51"/>
      <c r="HP31" s="51"/>
      <c r="HQ31" s="51"/>
      <c r="HR31" s="51"/>
    </row>
    <row r="32" spans="1:226" x14ac:dyDescent="0.35">
      <c r="A32" t="s">
        <v>69</v>
      </c>
      <c r="B32" s="23">
        <f>IF(B$5="Real",INDEX('Informacion de Sam'!$27:$27,MATCH(B$6,'Informacion de Sam'!$1:$1,0)),B$29*'Supuestos Proyeccion'!$F$31)</f>
        <v>1543260.84</v>
      </c>
      <c r="C32" s="23">
        <f>IF(C$5="Real",INDEX('Informacion de Sam'!$27:$27,MATCH(C$6,'Informacion de Sam'!$1:$1,0)),C$29*'Supuestos Proyeccion'!$F$31)</f>
        <v>3900397.9800000004</v>
      </c>
      <c r="D32" s="23">
        <f>IF(D$5="Real",INDEX('Informacion de Sam'!$27:$27,MATCH(D$6,'Informacion de Sam'!$1:$1,0)),D$29*'Supuestos Proyeccion'!$F$31)</f>
        <v>2998170.7899999991</v>
      </c>
      <c r="E32" s="23">
        <f>IF(E$5="Real",INDEX('Informacion de Sam'!$27:$27,MATCH(E$6,'Informacion de Sam'!$1:$1,0)),E$29*'Supuestos Proyeccion'!$F$31)</f>
        <v>-315893.75999999978</v>
      </c>
      <c r="F32" s="23">
        <f>IF(F$5="Real",INDEX('Informacion de Sam'!$27:$27,MATCH(F$6,'Informacion de Sam'!$1:$1,0)),F$29*'Supuestos Proyeccion'!$F$31)</f>
        <v>8636491.75</v>
      </c>
      <c r="G32" s="23">
        <f>IF(G$5="Real",INDEX('Informacion de Sam'!$27:$27,MATCH(G$6,'Informacion de Sam'!$1:$1,0)),G$29*'Supuestos Proyeccion'!$F$31)</f>
        <v>4299856.6500000004</v>
      </c>
      <c r="H32" s="23">
        <f>IF(H$5="Real",INDEX('Informacion de Sam'!$27:$27,MATCH(H$6,'Informacion de Sam'!$1:$1,0)),H$29*'Supuestos Proyeccion'!$F$31)</f>
        <v>-44154.690000001341</v>
      </c>
      <c r="I32" s="23">
        <f>IF(I$5="Real",INDEX('Informacion de Sam'!$27:$27,MATCH(I$6,'Informacion de Sam'!$1:$1,0)),I$29*'Supuestos Proyeccion'!$F$31)</f>
        <v>2625547.41</v>
      </c>
      <c r="J32" s="23">
        <f>IF(J$5="Real",INDEX('Informacion de Sam'!$27:$27,MATCH(J$6,'Informacion de Sam'!$1:$1,0)),J$29*'Supuestos Proyeccion'!$F$31)</f>
        <v>7293362.8399999999</v>
      </c>
      <c r="K32" s="23">
        <f>IF(K$5="Real",INDEX('Informacion de Sam'!$27:$27,MATCH(K$6,'Informacion de Sam'!$1:$1,0)),K$29*'Supuestos Proyeccion'!$F$31)</f>
        <v>2794268.3900000043</v>
      </c>
      <c r="L32" s="23">
        <f>IF(L$5="Real",INDEX('Informacion de Sam'!$27:$27,MATCH(L$6,'Informacion de Sam'!$1:$1,0)),L$29*'Supuestos Proyeccion'!$F$31)</f>
        <v>-3598072.4300000034</v>
      </c>
      <c r="M32" s="23">
        <f>IF(M$5="Real",INDEX('Informacion de Sam'!$27:$27,MATCH(M$6,'Informacion de Sam'!$1:$1,0)),M$29*'Supuestos Proyeccion'!$F$31)</f>
        <v>2359784.129999999</v>
      </c>
      <c r="N32" s="23">
        <f>SUM(B32:M32)</f>
        <v>32493019.899999999</v>
      </c>
      <c r="O32" s="23">
        <f>IF(O$5="Real",INDEX('Informacion de Sam'!$27:$27,MATCH(O$6,'Informacion de Sam'!$1:$1,0)),O$29*'Supuestos Proyeccion'!$F$31)</f>
        <v>-9582587.1999999993</v>
      </c>
      <c r="P32" s="23">
        <f>IF(P$5="Real",INDEX('Informacion de Sam'!$27:$27,MATCH(P$6,'Informacion de Sam'!$1:$1,0)),P$29*'Supuestos Proyeccion'!$F$31)</f>
        <v>-2172865.5700000003</v>
      </c>
      <c r="Q32" s="23">
        <f>IF(Q$5="Real",INDEX('Informacion de Sam'!$27:$27,MATCH(Q$6,'Informacion de Sam'!$1:$1,0)),Q$29*'Supuestos Proyeccion'!$F$31)</f>
        <v>5046003.13</v>
      </c>
      <c r="R32" s="23">
        <f>IF(R$5="Real",INDEX('Informacion de Sam'!$27:$27,MATCH(R$6,'Informacion de Sam'!$1:$1,0)),R$29*'Supuestos Proyeccion'!$F$31)</f>
        <v>-6510894.9400000004</v>
      </c>
      <c r="S32" s="23">
        <f>IF(S$5="Real",INDEX('Informacion de Sam'!$27:$27,MATCH(S$6,'Informacion de Sam'!$1:$1,0)),S$29*'Supuestos Proyeccion'!$F$31)</f>
        <v>8267090.4800000004</v>
      </c>
      <c r="T32" s="23">
        <f>IF(T$5="Real",INDEX('Informacion de Sam'!$27:$27,MATCH(T$6,'Informacion de Sam'!$1:$1,0)),T$29*'Supuestos Proyeccion'!$F$31)</f>
        <v>9492920.3499999996</v>
      </c>
      <c r="U32" s="23">
        <f>IF(U$5="Real",INDEX('Informacion de Sam'!$27:$27,MATCH(U$6,'Informacion de Sam'!$1:$1,0)),U$29*'Supuestos Proyeccion'!$F$31)</f>
        <v>4293702.57</v>
      </c>
      <c r="V32" s="23">
        <f>IF(V$5="Real",INDEX('Informacion de Sam'!$27:$27,MATCH(V$6,'Informacion de Sam'!$1:$1,0)),V$29*'Supuestos Proyeccion'!$F$31)</f>
        <v>-61035.429999999702</v>
      </c>
      <c r="W32" s="23">
        <f>IF(W$5="Real",INDEX('Informacion de Sam'!$27:$27,MATCH(W$6,'Informacion de Sam'!$1:$1,0)),W$29*'Supuestos Proyeccion'!$F$31)</f>
        <v>9197678.2699999996</v>
      </c>
      <c r="X32" s="23">
        <f>IF(X$5="Real",INDEX('Informacion de Sam'!$27:$27,MATCH(X$6,'Informacion de Sam'!$1:$1,0)),X$29*'Supuestos Proyeccion'!$F$31)</f>
        <v>16365239.499999996</v>
      </c>
      <c r="Y32" s="23">
        <f>IF(Y$5="Real",INDEX('Informacion de Sam'!$27:$27,MATCH(Y$6,'Informacion de Sam'!$1:$1,0)),Y$29*'Supuestos Proyeccion'!$F$31)</f>
        <v>11341754.480000004</v>
      </c>
      <c r="Z32" s="23">
        <f>IF(Z$5="Real",INDEX('Informacion de Sam'!$27:$27,MATCH(Z$6,'Informacion de Sam'!$1:$1,0)),Z$29*'Supuestos Proyeccion'!$F$31)</f>
        <v>-3388893.549999997</v>
      </c>
      <c r="AA32" s="23">
        <f>SUM(O32:Z32)</f>
        <v>42288112.090000004</v>
      </c>
      <c r="AB32" s="23">
        <f>IF(AB$5="Real",INDEX('Informacion de Sam'!$27:$27,MATCH(AB$6,'Informacion de Sam'!$1:$1,0)),AB$29*'Supuestos Proyeccion'!$F$31)</f>
        <v>5491848.4800000004</v>
      </c>
      <c r="AC32" s="23">
        <f>IF(AC$5="Real",INDEX('Informacion de Sam'!$27:$27,MATCH(AC$6,'Informacion de Sam'!$1:$1,0)),AC$29*'Supuestos Proyeccion'!$F$31)</f>
        <v>5556463.2599999998</v>
      </c>
      <c r="AD32" s="23">
        <f>IF(AD$5="Real",INDEX('Informacion de Sam'!$27:$27,MATCH(AD$6,'Informacion de Sam'!$1:$1,0)),AD$29*'Supuestos Proyeccion'!$F$31)</f>
        <v>2777084.51</v>
      </c>
      <c r="AE32" s="23">
        <f>IF(AE$5="Real",INDEX('Informacion de Sam'!$27:$27,MATCH(AE$6,'Informacion de Sam'!$1:$1,0)),AE$29*'Supuestos Proyeccion'!$F$31)</f>
        <v>6358082.0700000003</v>
      </c>
      <c r="AF32" s="23">
        <f>IF(AF$5="Real",INDEX('Informacion de Sam'!$27:$27,MATCH(AF$6,'Informacion de Sam'!$1:$1,0)),AF$29*'Supuestos Proyeccion'!$F$31)</f>
        <v>8190817.0099999979</v>
      </c>
      <c r="AG32" s="23">
        <f>IF(AG$5="Real",INDEX('Informacion de Sam'!$27:$27,MATCH(AG$6,'Informacion de Sam'!$1:$1,0)),AG$29*'Supuestos Proyeccion'!$F$31)</f>
        <v>3952137.6800000034</v>
      </c>
      <c r="AH32" s="23">
        <f>IF(AH$5="Real",INDEX('Informacion de Sam'!$27:$27,MATCH(AH$6,'Informacion de Sam'!$1:$1,0)),AH$29*'Supuestos Proyeccion'!$F$31)</f>
        <v>4414286.2699999996</v>
      </c>
      <c r="AI32" s="23">
        <f>IF(AI$5="Real",INDEX('Informacion de Sam'!$27:$27,MATCH(AI$6,'Informacion de Sam'!$1:$1,0)),AI$29*'Supuestos Proyeccion'!$F$31)</f>
        <v>5376414.6099999994</v>
      </c>
      <c r="AJ32" s="23">
        <f>IF(AJ$5="Real",INDEX('Informacion de Sam'!$27:$27,MATCH(AJ$6,'Informacion de Sam'!$1:$1,0)),AJ$29*'Supuestos Proyeccion'!$F$31)</f>
        <v>2173934.6199999973</v>
      </c>
      <c r="AK32" s="23">
        <f>IF(AK$5="Real",INDEX('Informacion de Sam'!$27:$27,MATCH(AK$6,'Informacion de Sam'!$1:$1,0)),AK$29*'Supuestos Proyeccion'!$F$31)</f>
        <v>-349851.98999999464</v>
      </c>
      <c r="AL32" s="23">
        <f>IF(AL$5="Real",INDEX('Informacion de Sam'!$27:$27,MATCH(AL$6,'Informacion de Sam'!$1:$1,0)),AL$29*'Supuestos Proyeccion'!$F$31)</f>
        <v>2834716.4399999976</v>
      </c>
      <c r="AM32" s="23">
        <f>IF(AM$5="Real",INDEX('Informacion de Sam'!$27:$27,MATCH(AM$6,'Informacion de Sam'!$1:$1,0)),AM$29*'Supuestos Proyeccion'!$F$31)</f>
        <v>16748057.890000001</v>
      </c>
      <c r="AN32" s="23">
        <f>SUM(AB32:AM32)</f>
        <v>63523990.850000001</v>
      </c>
      <c r="AO32" s="23">
        <f>IF(AO$5="Real",INDEX('Informacion de Sam'!$27:$27,MATCH(AO$6,'Informacion de Sam'!$1:$1,0)),AO$29*'Supuestos Proyeccion'!$F$31)</f>
        <v>2440858.65</v>
      </c>
      <c r="AP32" s="23">
        <f>IF(AP$5="Real",INDEX('Informacion de Sam'!$27:$27,MATCH(AP$6,'Informacion de Sam'!$1:$1,0)),AP$29*'Supuestos Proyeccion'!$F$31)</f>
        <v>2891476.4499999997</v>
      </c>
      <c r="AQ32" s="23">
        <f>IF(AQ$5="Real",INDEX('Informacion de Sam'!$27:$27,MATCH(AQ$6,'Informacion de Sam'!$1:$1,0)),AQ$29*'Supuestos Proyeccion'!$F$31)</f>
        <v>-5175973.46</v>
      </c>
      <c r="AR32" s="23">
        <f>IF(AR$5="Real",INDEX('Informacion de Sam'!$27:$27,MATCH(AR$6,'Informacion de Sam'!$1:$1,0)),AR$29*'Supuestos Proyeccion'!$F$31)</f>
        <v>7198825.0800000001</v>
      </c>
      <c r="AS32" s="23">
        <f>IF(AS$5="Real",INDEX('Informacion de Sam'!$27:$27,MATCH(AS$6,'Informacion de Sam'!$1:$1,0)),AS$29*'Supuestos Proyeccion'!$F$31)</f>
        <v>5475219.3899999997</v>
      </c>
      <c r="AT32" s="23">
        <f>IF(AT$5="Real",INDEX('Informacion de Sam'!$27:$27,MATCH(AT$6,'Informacion de Sam'!$1:$1,0)),AT$29*'Supuestos Proyeccion'!$F$31)</f>
        <v>5399546.2300000004</v>
      </c>
      <c r="AU32" s="23">
        <f>IF(AU$5="Real",INDEX('Informacion de Sam'!$27:$27,MATCH(AU$6,'Informacion de Sam'!$1:$1,0)),AU$29*'Supuestos Proyeccion'!$F$31)</f>
        <v>245090.5</v>
      </c>
      <c r="AV32" s="23">
        <f>IF(AV$5="Real",INDEX('Informacion de Sam'!$27:$27,MATCH(AV$6,'Informacion de Sam'!$1:$1,0)),AV$29*'Supuestos Proyeccion'!$F$31)</f>
        <v>3005050.3300000019</v>
      </c>
      <c r="AW32" s="23">
        <f>IF(AW$5="Real",INDEX('Informacion de Sam'!$27:$27,MATCH(AW$6,'Informacion de Sam'!$1:$1,0)),AW$29*'Supuestos Proyeccion'!$F$31)</f>
        <v>2834203.4199999981</v>
      </c>
      <c r="AX32" s="23">
        <f>IF(AX$5="Real",INDEX('Informacion de Sam'!$27:$27,MATCH(AX$6,'Informacion de Sam'!$1:$1,0)),AX$29*'Supuestos Proyeccion'!$F$31)</f>
        <v>3378460.4299999997</v>
      </c>
      <c r="AY32" s="23">
        <f>IF(AY$5="Real",INDEX('Informacion de Sam'!$27:$27,MATCH(AY$6,'Informacion de Sam'!$1:$1,0)),AY$29*'Supuestos Proyeccion'!$F$31)</f>
        <v>2201242.4699999988</v>
      </c>
      <c r="AZ32" s="23">
        <f>IF(AZ$5="Real",INDEX('Informacion de Sam'!$27:$27,MATCH(AZ$6,'Informacion de Sam'!$1:$1,0)),AZ$29*'Supuestos Proyeccion'!$F$31)</f>
        <v>108247275.62000002</v>
      </c>
      <c r="BA32" s="23">
        <f>SUM(AO32:AZ32)</f>
        <v>138141275.11000001</v>
      </c>
      <c r="BB32" s="23">
        <f>IF(BB$5="Real",INDEX('Informacion de Sam'!$27:$27,MATCH(BB$6,'Informacion de Sam'!$1:$1,0)),BB$29*'Supuestos Proyeccion'!$F$31)</f>
        <v>2960618.66</v>
      </c>
      <c r="BC32" s="23">
        <f>IF(BC$5="Real",INDEX('Informacion de Sam'!$27:$27,MATCH(BC$6,'Informacion de Sam'!$1:$1,0)),BC$29*'Supuestos Proyeccion'!$F$31)</f>
        <v>1755583.2599999998</v>
      </c>
      <c r="BD32" s="23">
        <f>IF(BD$5="Real",INDEX('Informacion de Sam'!$27:$27,MATCH(BD$6,'Informacion de Sam'!$1:$1,0)),BD$29*'Supuestos Proyeccion'!$F$31)</f>
        <v>3346091.2700000005</v>
      </c>
      <c r="BE32" s="23">
        <f>IF(BE$5="Real",INDEX('Informacion de Sam'!$27:$27,MATCH(BE$6,'Informacion de Sam'!$1:$1,0)),BE$29*'Supuestos Proyeccion'!$F$31)</f>
        <v>6820825.3399999989</v>
      </c>
      <c r="BF32" s="23">
        <f>IF(BF$5="Real",INDEX('Informacion de Sam'!$27:$27,MATCH(BF$6,'Informacion de Sam'!$1:$1,0)),BF$29*'Supuestos Proyeccion'!$F$31)</f>
        <v>-25087598.939999998</v>
      </c>
      <c r="BG32" s="23">
        <f>IF(BG$5="Real",INDEX('Informacion de Sam'!$27:$27,MATCH(BG$6,'Informacion de Sam'!$1:$1,0)),BG$29*'Supuestos Proyeccion'!$F$31)</f>
        <v>11321450.189999999</v>
      </c>
      <c r="BH32" s="23">
        <f>IF(BH$5="Real",INDEX('Informacion de Sam'!$27:$27,MATCH(BH$6,'Informacion de Sam'!$1:$1,0)),BH$29*'Supuestos Proyeccion'!$F$31)</f>
        <v>129062560.42</v>
      </c>
      <c r="BI32" s="23">
        <f>IF(BI$5="Real",INDEX('Informacion de Sam'!$27:$27,MATCH(BI$6,'Informacion de Sam'!$1:$1,0)),BI$29*'Supuestos Proyeccion'!$F$31)</f>
        <v>9111567.2499999851</v>
      </c>
      <c r="BJ32" s="23">
        <f>IF(BJ$5="Real",INDEX('Informacion de Sam'!$27:$27,MATCH(BJ$6,'Informacion de Sam'!$1:$1,0)),BJ$29*'Supuestos Proyeccion'!$F$31)</f>
        <v>3225936.75</v>
      </c>
      <c r="BK32" s="23">
        <f>IF(BK$5="Real",INDEX('Informacion de Sam'!$27:$27,MATCH(BK$6,'Informacion de Sam'!$1:$1,0)),BK$29*'Supuestos Proyeccion'!$F$31)</f>
        <v>21110185.430000007</v>
      </c>
      <c r="BL32" s="23">
        <f>IF(BL$5="Real",INDEX('Informacion de Sam'!$27:$27,MATCH(BL$6,'Informacion de Sam'!$1:$1,0)),BL$29*'Supuestos Proyeccion'!$F$31)</f>
        <v>9064848.2700000107</v>
      </c>
      <c r="BM32" s="23">
        <f>IF(BM$5="Real",INDEX('Informacion de Sam'!$27:$27,MATCH(BM$6,'Informacion de Sam'!$1:$1,0)),BM$29*'Supuestos Proyeccion'!$F$31)</f>
        <v>20250168.340000004</v>
      </c>
      <c r="BN32" s="23">
        <f>SUM(BB32:BM32)</f>
        <v>192942236.24000001</v>
      </c>
      <c r="BO32" s="23">
        <f>IF(BO$5="Real",INDEX('Informacion de Sam'!$27:$27,MATCH(BO$6,'Informacion de Sam'!$1:$1,0)),BO$29*'Supuestos Proyeccion'!$F$31)</f>
        <v>4237501.43</v>
      </c>
      <c r="BP32" s="23">
        <f>IF(BP$5="Real",INDEX('Informacion de Sam'!$27:$27,MATCH(BP$6,'Informacion de Sam'!$1:$1,0)),BP$29*'Supuestos Proyeccion'!$F$31)</f>
        <v>1639162.0700000003</v>
      </c>
      <c r="BQ32" s="23">
        <f>IF(BQ$5="Real",INDEX('Informacion de Sam'!$27:$27,MATCH(BQ$6,'Informacion de Sam'!$1:$1,0)),BQ$29*'Supuestos Proyeccion'!$F$31)</f>
        <v>4757020.2799999993</v>
      </c>
      <c r="BR32" s="23">
        <f>IF(BR$5="Real",INDEX('Informacion de Sam'!$27:$27,MATCH(BR$6,'Informacion de Sam'!$1:$1,0)),BR$29*'Supuestos Proyeccion'!$F$31)</f>
        <v>3600261.3100000005</v>
      </c>
      <c r="BS32" s="23">
        <f>IF(BS$5="Real",INDEX('Informacion de Sam'!$27:$27,MATCH(BS$6,'Informacion de Sam'!$1:$1,0)),BS$29*'Supuestos Proyeccion'!$F$31)</f>
        <v>4444208.9899999984</v>
      </c>
      <c r="BT32" s="23">
        <f>IF(BT$5="Real",INDEX('Informacion de Sam'!$27:$27,MATCH(BT$6,'Informacion de Sam'!$1:$1,0)),BT$29*'Supuestos Proyeccion'!$F$31)</f>
        <v>-15037499.099999998</v>
      </c>
      <c r="BU32" s="23">
        <f>IF(BU$5="Real",INDEX('Informacion de Sam'!$27:$27,MATCH(BU$6,'Informacion de Sam'!$1:$1,0)),BU$29*'Supuestos Proyeccion'!$F$31)</f>
        <v>15535458.359999999</v>
      </c>
      <c r="BV32" s="23">
        <f>IF(BV$5="Real",INDEX('Informacion de Sam'!$27:$27,MATCH(BV$6,'Informacion de Sam'!$1:$1,0)),BV$29*'Supuestos Proyeccion'!$F$31)</f>
        <v>-5859761.8599999994</v>
      </c>
      <c r="BW32" s="23">
        <f>IF(BW$5="Real",INDEX('Informacion de Sam'!$27:$27,MATCH(BW$6,'Informacion de Sam'!$1:$1,0)),BW$29*'Supuestos Proyeccion'!$F$31)</f>
        <v>7988485.1099999994</v>
      </c>
      <c r="BX32" s="23">
        <f>IF(BX$5="Real",INDEX('Informacion de Sam'!$27:$27,MATCH(BX$6,'Informacion de Sam'!$1:$1,0)),BX$29*'Supuestos Proyeccion'!$F$31)</f>
        <v>12478294.77</v>
      </c>
      <c r="BY32" s="23">
        <f>IF(BY$5="Real",INDEX('Informacion de Sam'!$27:$27,MATCH(BY$6,'Informacion de Sam'!$1:$1,0)),BY$29*'Supuestos Proyeccion'!$F$31)</f>
        <v>-2150391.9600000009</v>
      </c>
      <c r="BZ32" s="23">
        <f>IF(BZ$5="Real",INDEX('Informacion de Sam'!$27:$27,MATCH(BZ$6,'Informacion de Sam'!$1:$1,0)),BZ$29*'Supuestos Proyeccion'!$F$31)</f>
        <v>-3613806.5099999979</v>
      </c>
      <c r="CA32" s="23">
        <f>SUM(BO32:BZ32)</f>
        <v>28018932.890000001</v>
      </c>
      <c r="CB32" s="23">
        <f>IF(CB$5="Real",INDEX('Informacion de Sam'!$27:$27,MATCH(CB$6,'Informacion de Sam'!$1:$1,0)),CB$29*'Supuestos Proyeccion'!$F$31)</f>
        <v>-1531941.98</v>
      </c>
      <c r="CC32" s="23">
        <f>IF(CC$5="Real",INDEX('Informacion de Sam'!$27:$27,MATCH(CC$6,'Informacion de Sam'!$1:$1,0)),CC$29*'Supuestos Proyeccion'!$F$31)</f>
        <v>8184883.8399999999</v>
      </c>
      <c r="CD32" s="23">
        <f>IF(CD$5="Real",INDEX('Informacion de Sam'!$27:$27,MATCH(CD$6,'Informacion de Sam'!$1:$1,0)),CD$29*'Supuestos Proyeccion'!$F$31)</f>
        <v>4600770.2499999991</v>
      </c>
      <c r="CE32" s="23">
        <f>IF(CE$5="Real",INDEX('Informacion de Sam'!$27:$27,MATCH(CE$6,'Informacion de Sam'!$1:$1,0)),CE$29*'Supuestos Proyeccion'!$F$31)</f>
        <v>5332596.76</v>
      </c>
      <c r="CF32" s="23">
        <f>IF(CF$5="Real",INDEX('Informacion de Sam'!$27:$27,MATCH(CF$6,'Informacion de Sam'!$1:$1,0)),CF$29*'Supuestos Proyeccion'!$F$31)</f>
        <v>23935765.620000005</v>
      </c>
      <c r="CG32" s="23">
        <f>IF(CG$5="Real",INDEX('Informacion de Sam'!$27:$27,MATCH(CG$6,'Informacion de Sam'!$1:$1,0)),CG$29*'Supuestos Proyeccion'!$F$31)</f>
        <v>6748592.8699999973</v>
      </c>
      <c r="CH32" s="23">
        <f>IF(CH$5="Real",INDEX('Informacion de Sam'!$27:$27,MATCH(CH$6,'Informacion de Sam'!$1:$1,0)),CH$29*'Supuestos Proyeccion'!$F$31)</f>
        <v>3165074.5</v>
      </c>
      <c r="CI32" s="23">
        <f>IF(CI$5="Real",INDEX('Informacion de Sam'!$27:$27,MATCH(CI$6,'Informacion de Sam'!$1:$1,0)),CI$29*'Supuestos Proyeccion'!$F$31)</f>
        <v>1273334.0200000033</v>
      </c>
      <c r="CJ32" s="23">
        <f>IF(CJ$5="Real",INDEX('Informacion de Sam'!$27:$27,MATCH(CJ$6,'Informacion de Sam'!$1:$1,0)),CJ$29*'Supuestos Proyeccion'!$F$31)</f>
        <v>4552230.8233745536</v>
      </c>
      <c r="CK32" s="23">
        <f>IF(CK$5="Real",INDEX('Informacion de Sam'!$27:$27,MATCH(CK$6,'Informacion de Sam'!$1:$1,0)),CK$29*'Supuestos Proyeccion'!$F$31)</f>
        <v>4394444.3164861416</v>
      </c>
      <c r="CL32" s="23">
        <f>IF(CL$5="Real",INDEX('Informacion de Sam'!$27:$27,MATCH(CL$6,'Informacion de Sam'!$1:$1,0)),CL$29*'Supuestos Proyeccion'!$F$31)</f>
        <v>4529685.2156387465</v>
      </c>
      <c r="CM32" s="23">
        <f>IF(CM$5="Real",INDEX('Informacion de Sam'!$27:$27,MATCH(CM$6,'Informacion de Sam'!$1:$1,0)),CM$29*'Supuestos Proyeccion'!$F$31)</f>
        <v>4192615.8666787697</v>
      </c>
      <c r="CN32" s="23">
        <f>SUM(CB32:CM32)</f>
        <v>69378052.102178216</v>
      </c>
      <c r="CO32" s="23">
        <f>IF(CO$5="Real",INDEX('Informacion de Sam'!$27:$27,MATCH(CO$6,'Informacion de Sam'!$1:$1,0)),CO$29*'Supuestos Proyeccion'!$F$31)</f>
        <v>5488881.2852620129</v>
      </c>
      <c r="CP32" s="23">
        <f>IF(CP$5="Real",INDEX('Informacion de Sam'!$27:$27,MATCH(CP$6,'Informacion de Sam'!$1:$1,0)),CP$29*'Supuestos Proyeccion'!$F$31)</f>
        <v>7780618.035942113</v>
      </c>
      <c r="CQ32" s="23">
        <f>IF(CQ$5="Real",INDEX('Informacion de Sam'!$27:$27,MATCH(CQ$6,'Informacion de Sam'!$1:$1,0)),CQ$29*'Supuestos Proyeccion'!$F$31)</f>
        <v>5583915.4438146129</v>
      </c>
      <c r="CR32" s="23">
        <f>IF(CR$5="Real",INDEX('Informacion de Sam'!$27:$27,MATCH(CR$6,'Informacion de Sam'!$1:$1,0)),CR$29*'Supuestos Proyeccion'!$F$31)</f>
        <v>5712480.4154331814</v>
      </c>
      <c r="CS32" s="23">
        <f>IF(CS$5="Real",INDEX('Informacion de Sam'!$27:$27,MATCH(CS$6,'Informacion de Sam'!$1:$1,0)),CS$29*'Supuestos Proyeccion'!$F$31)</f>
        <v>5025966.616827298</v>
      </c>
      <c r="CT32" s="23">
        <f>IF(CT$5="Real",INDEX('Informacion de Sam'!$27:$27,MATCH(CT$6,'Informacion de Sam'!$1:$1,0)),CT$29*'Supuestos Proyeccion'!$F$31)</f>
        <v>5747752.9871500097</v>
      </c>
      <c r="CU32" s="23">
        <f>IF(CU$5="Real",INDEX('Informacion de Sam'!$27:$27,MATCH(CU$6,'Informacion de Sam'!$1:$1,0)),CU$29*'Supuestos Proyeccion'!$F$31)</f>
        <v>6204195.9176797746</v>
      </c>
      <c r="CV32" s="23">
        <f>IF(CV$5="Real",INDEX('Informacion de Sam'!$27:$27,MATCH(CV$6,'Informacion de Sam'!$1:$1,0)),CV$29*'Supuestos Proyeccion'!$F$31)</f>
        <v>9323025.7950697634</v>
      </c>
      <c r="CW32" s="23">
        <f>IF(CW$5="Real",INDEX('Informacion de Sam'!$27:$27,MATCH(CW$6,'Informacion de Sam'!$1:$1,0)),CW$29*'Supuestos Proyeccion'!$F$31)</f>
        <v>5690288.5292181922</v>
      </c>
      <c r="CX32" s="23">
        <f>IF(CX$5="Real",INDEX('Informacion de Sam'!$27:$27,MATCH(CX$6,'Informacion de Sam'!$1:$1,0)),CX$29*'Supuestos Proyeccion'!$F$31)</f>
        <v>5493055.3956076764</v>
      </c>
      <c r="CY32" s="23">
        <f>IF(CY$5="Real",INDEX('Informacion de Sam'!$27:$27,MATCH(CY$6,'Informacion de Sam'!$1:$1,0)),CY$29*'Supuestos Proyeccion'!$F$31)</f>
        <v>5662106.5195484338</v>
      </c>
      <c r="CZ32" s="23">
        <f>IF(CZ$5="Real",INDEX('Informacion de Sam'!$27:$27,MATCH(CZ$6,'Informacion de Sam'!$1:$1,0)),CZ$29*'Supuestos Proyeccion'!$F$31)</f>
        <v>5240769.8333484624</v>
      </c>
      <c r="DA32" s="23">
        <f>SUM(CO32:CZ32)</f>
        <v>72953056.774901524</v>
      </c>
      <c r="DB32" s="23">
        <f>IF(DB$5="Real",INDEX('Informacion de Sam'!$27:$27,MATCH(DB$6,'Informacion de Sam'!$1:$1,0)),DB$29*'Supuestos Proyeccion'!$F$31)</f>
        <v>6861101.6065775165</v>
      </c>
      <c r="DC32" s="23">
        <f>IF(DC$5="Real",INDEX('Informacion de Sam'!$27:$27,MATCH(DC$6,'Informacion de Sam'!$1:$1,0)),DC$29*'Supuestos Proyeccion'!$F$31)</f>
        <v>9725772.5449276417</v>
      </c>
      <c r="DD32" s="23">
        <f>IF(DD$5="Real",INDEX('Informacion de Sam'!$27:$27,MATCH(DD$6,'Informacion de Sam'!$1:$1,0)),DD$29*'Supuestos Proyeccion'!$F$31)</f>
        <v>6979894.3047682671</v>
      </c>
      <c r="DE32" s="23">
        <f>IF(DE$5="Real",INDEX('Informacion de Sam'!$27:$27,MATCH(DE$6,'Informacion de Sam'!$1:$1,0)),DE$29*'Supuestos Proyeccion'!$F$31)</f>
        <v>7140600.5192914773</v>
      </c>
      <c r="DF32" s="23">
        <f>IF(DF$5="Real",INDEX('Informacion de Sam'!$27:$27,MATCH(DF$6,'Informacion de Sam'!$1:$1,0)),DF$29*'Supuestos Proyeccion'!$F$31)</f>
        <v>6282458.2710341224</v>
      </c>
      <c r="DG32" s="23">
        <f>IF(DG$5="Real",INDEX('Informacion de Sam'!$27:$27,MATCH(DG$6,'Informacion de Sam'!$1:$1,0)),DG$29*'Supuestos Proyeccion'!$F$31)</f>
        <v>7184691.2339375112</v>
      </c>
      <c r="DH32" s="23">
        <f>IF(DH$5="Real",INDEX('Informacion de Sam'!$27:$27,MATCH(DH$6,'Informacion de Sam'!$1:$1,0)),DH$29*'Supuestos Proyeccion'!$F$31)</f>
        <v>7755244.8970997185</v>
      </c>
      <c r="DI32" s="23">
        <f>IF(DI$5="Real",INDEX('Informacion de Sam'!$27:$27,MATCH(DI$6,'Informacion de Sam'!$1:$1,0)),DI$29*'Supuestos Proyeccion'!$F$31)</f>
        <v>11653782.243837206</v>
      </c>
      <c r="DJ32" s="23">
        <f>IF(DJ$5="Real",INDEX('Informacion de Sam'!$27:$27,MATCH(DJ$6,'Informacion de Sam'!$1:$1,0)),DJ$29*'Supuestos Proyeccion'!$F$31)</f>
        <v>7112860.6615227405</v>
      </c>
      <c r="DK32" s="23">
        <f>IF(DK$5="Real",INDEX('Informacion de Sam'!$27:$27,MATCH(DK$6,'Informacion de Sam'!$1:$1,0)),DK$29*'Supuestos Proyeccion'!$F$31)</f>
        <v>6866319.2445095954</v>
      </c>
      <c r="DL32" s="23">
        <f>IF(DL$5="Real",INDEX('Informacion de Sam'!$27:$27,MATCH(DL$6,'Informacion de Sam'!$1:$1,0)),DL$29*'Supuestos Proyeccion'!$F$31)</f>
        <v>7077633.1494355407</v>
      </c>
      <c r="DM32" s="23">
        <f>IF(DM$5="Real",INDEX('Informacion de Sam'!$27:$27,MATCH(DM$6,'Informacion de Sam'!$1:$1,0)),DM$29*'Supuestos Proyeccion'!$F$31)</f>
        <v>6550962.2916855775</v>
      </c>
      <c r="DN32" s="23">
        <f>SUM(DB32:DM32)</f>
        <v>91191320.968626916</v>
      </c>
      <c r="DO32" s="23">
        <f>IF(DO$5="Real",INDEX('Informacion de Sam'!$27:$27,MATCH(DO$6,'Informacion de Sam'!$1:$1,0)),DO$29*'Supuestos Proyeccion'!$F$31)</f>
        <v>8576377.0082218964</v>
      </c>
      <c r="DP32" s="23">
        <f>IF(DP$5="Real",INDEX('Informacion de Sam'!$27:$27,MATCH(DP$6,'Informacion de Sam'!$1:$1,0)),DP$29*'Supuestos Proyeccion'!$F$31)</f>
        <v>12157215.681159552</v>
      </c>
      <c r="DQ32" s="23">
        <f>IF(DQ$5="Real",INDEX('Informacion de Sam'!$27:$27,MATCH(DQ$6,'Informacion de Sam'!$1:$1,0)),DQ$29*'Supuestos Proyeccion'!$F$31)</f>
        <v>8724867.8809603322</v>
      </c>
      <c r="DR32" s="23">
        <f>IF(DR$5="Real",INDEX('Informacion de Sam'!$27:$27,MATCH(DR$6,'Informacion de Sam'!$1:$1,0)),DR$29*'Supuestos Proyeccion'!$F$31)</f>
        <v>8925750.649114348</v>
      </c>
      <c r="DS32" s="23">
        <f>IF(DS$5="Real",INDEX('Informacion de Sam'!$27:$27,MATCH(DS$6,'Informacion de Sam'!$1:$1,0)),DS$29*'Supuestos Proyeccion'!$F$31)</f>
        <v>7853072.8387926538</v>
      </c>
      <c r="DT32" s="23">
        <f>IF(DT$5="Real",INDEX('Informacion de Sam'!$27:$27,MATCH(DT$6,'Informacion de Sam'!$1:$1,0)),DT$29*'Supuestos Proyeccion'!$F$31)</f>
        <v>8980864.0424218904</v>
      </c>
      <c r="DU32" s="23">
        <f>IF(DU$5="Real",INDEX('Informacion de Sam'!$27:$27,MATCH(DU$6,'Informacion de Sam'!$1:$1,0)),DU$29*'Supuestos Proyeccion'!$F$31)</f>
        <v>9694056.1213746481</v>
      </c>
      <c r="DV32" s="23">
        <f>IF(DV$5="Real",INDEX('Informacion de Sam'!$27:$27,MATCH(DV$6,'Informacion de Sam'!$1:$1,0)),DV$29*'Supuestos Proyeccion'!$F$31)</f>
        <v>14567227.804796504</v>
      </c>
      <c r="DW32" s="23">
        <f>IF(DW$5="Real",INDEX('Informacion de Sam'!$27:$27,MATCH(DW$6,'Informacion de Sam'!$1:$1,0)),DW$29*'Supuestos Proyeccion'!$F$31)</f>
        <v>8891075.8269034252</v>
      </c>
      <c r="DX32" s="23">
        <f>IF(DX$5="Real",INDEX('Informacion de Sam'!$27:$27,MATCH(DX$6,'Informacion de Sam'!$1:$1,0)),DX$29*'Supuestos Proyeccion'!$F$31)</f>
        <v>8582899.0556369945</v>
      </c>
      <c r="DY32" s="23">
        <f>IF(DY$5="Real",INDEX('Informacion de Sam'!$27:$27,MATCH(DY$6,'Informacion de Sam'!$1:$1,0)),DY$29*'Supuestos Proyeccion'!$F$31)</f>
        <v>8847041.4367944263</v>
      </c>
      <c r="DZ32" s="23">
        <f>IF(DZ$5="Real",INDEX('Informacion de Sam'!$27:$27,MATCH(DZ$6,'Informacion de Sam'!$1:$1,0)),DZ$29*'Supuestos Proyeccion'!$F$31)</f>
        <v>8188702.8646069719</v>
      </c>
      <c r="EA32" s="23">
        <f>SUM(DO32:DZ32)</f>
        <v>113989151.21078366</v>
      </c>
      <c r="EB32" s="23">
        <f>IF(EB$5="Real",INDEX('Informacion de Sam'!$27:$27,MATCH(EB$6,'Informacion de Sam'!$1:$1,0)),EB$29*'Supuestos Proyeccion'!$F$31)</f>
        <v>10720471.26027737</v>
      </c>
      <c r="EC32" s="23">
        <f>IF(EC$5="Real",INDEX('Informacion de Sam'!$27:$27,MATCH(EC$6,'Informacion de Sam'!$1:$1,0)),EC$29*'Supuestos Proyeccion'!$F$31)</f>
        <v>15196519.601449441</v>
      </c>
      <c r="ED32" s="23">
        <f>IF(ED$5="Real",INDEX('Informacion de Sam'!$27:$27,MATCH(ED$6,'Informacion de Sam'!$1:$1,0)),ED$29*'Supuestos Proyeccion'!$F$31)</f>
        <v>10906084.851200417</v>
      </c>
      <c r="EE32" s="23">
        <f>IF(EE$5="Real",INDEX('Informacion de Sam'!$27:$27,MATCH(EE$6,'Informacion de Sam'!$1:$1,0)),EE$29*'Supuestos Proyeccion'!$F$31)</f>
        <v>11157188.311392935</v>
      </c>
      <c r="EF32" s="23">
        <f>IF(EF$5="Real",INDEX('Informacion de Sam'!$27:$27,MATCH(EF$6,'Informacion de Sam'!$1:$1,0)),EF$29*'Supuestos Proyeccion'!$F$31)</f>
        <v>9816341.0484908167</v>
      </c>
      <c r="EG32" s="23">
        <f>IF(EG$5="Real",INDEX('Informacion de Sam'!$27:$27,MATCH(EG$6,'Informacion de Sam'!$1:$1,0)),EG$29*'Supuestos Proyeccion'!$F$31)</f>
        <v>11226080.053027363</v>
      </c>
      <c r="EH32" s="23">
        <f>IF(EH$5="Real",INDEX('Informacion de Sam'!$27:$27,MATCH(EH$6,'Informacion de Sam'!$1:$1,0)),EH$29*'Supuestos Proyeccion'!$F$31)</f>
        <v>12117570.151718311</v>
      </c>
      <c r="EI32" s="23">
        <f>IF(EI$5="Real",INDEX('Informacion de Sam'!$27:$27,MATCH(EI$6,'Informacion de Sam'!$1:$1,0)),EI$29*'Supuestos Proyeccion'!$F$31)</f>
        <v>18209034.755995635</v>
      </c>
      <c r="EJ32" s="23">
        <f>IF(EJ$5="Real",INDEX('Informacion de Sam'!$27:$27,MATCH(EJ$6,'Informacion de Sam'!$1:$1,0)),EJ$29*'Supuestos Proyeccion'!$F$31)</f>
        <v>11113844.783629281</v>
      </c>
      <c r="EK32" s="23">
        <f>IF(EK$5="Real",INDEX('Informacion de Sam'!$27:$27,MATCH(EK$6,'Informacion de Sam'!$1:$1,0)),EK$29*'Supuestos Proyeccion'!$F$31)</f>
        <v>10728623.819546245</v>
      </c>
      <c r="EL32" s="23">
        <f>IF(EL$5="Real",INDEX('Informacion de Sam'!$27:$27,MATCH(EL$6,'Informacion de Sam'!$1:$1,0)),EL$29*'Supuestos Proyeccion'!$F$31)</f>
        <v>11058801.795993032</v>
      </c>
      <c r="EM32" s="23">
        <f>IF(EM$5="Real",INDEX('Informacion de Sam'!$27:$27,MATCH(EM$6,'Informacion de Sam'!$1:$1,0)),EM$29*'Supuestos Proyeccion'!$F$31)</f>
        <v>10235878.580758715</v>
      </c>
      <c r="EN32" s="23">
        <f>SUM(EB32:EM32)</f>
        <v>142486439.01347956</v>
      </c>
      <c r="EO32" s="23">
        <f>IF(EO$5="Real",INDEX('Informacion de Sam'!$27:$27,MATCH(EO$6,'Informacion de Sam'!$1:$1,0)),EO$29*'Supuestos Proyeccion'!$F$31)</f>
        <v>13400589.075346712</v>
      </c>
      <c r="EP32" s="23">
        <f>IF(EP$5="Real",INDEX('Informacion de Sam'!$27:$27,MATCH(EP$6,'Informacion de Sam'!$1:$1,0)),EP$29*'Supuestos Proyeccion'!$F$31)</f>
        <v>18995649.501811799</v>
      </c>
      <c r="EQ32" s="23">
        <f>IF(EQ$5="Real",INDEX('Informacion de Sam'!$27:$27,MATCH(EQ$6,'Informacion de Sam'!$1:$1,0)),EQ$29*'Supuestos Proyeccion'!$F$31)</f>
        <v>13632606.064000519</v>
      </c>
      <c r="ER32" s="23">
        <f>IF(ER$5="Real",INDEX('Informacion de Sam'!$27:$27,MATCH(ER$6,'Informacion de Sam'!$1:$1,0)),ER$29*'Supuestos Proyeccion'!$F$31)</f>
        <v>13946485.389241166</v>
      </c>
      <c r="ES32" s="23">
        <f>IF(ES$5="Real",INDEX('Informacion de Sam'!$27:$27,MATCH(ES$6,'Informacion de Sam'!$1:$1,0)),ES$29*'Supuestos Proyeccion'!$F$31)</f>
        <v>12270426.31061352</v>
      </c>
      <c r="ET32" s="23">
        <f>IF(ET$5="Real",INDEX('Informacion de Sam'!$27:$27,MATCH(ET$6,'Informacion de Sam'!$1:$1,0)),ET$29*'Supuestos Proyeccion'!$F$31)</f>
        <v>14032600.066284204</v>
      </c>
      <c r="EU32" s="23">
        <f>IF(EU$5="Real",INDEX('Informacion de Sam'!$27:$27,MATCH(EU$6,'Informacion de Sam'!$1:$1,0)),EU$29*'Supuestos Proyeccion'!$F$31)</f>
        <v>15146962.689647887</v>
      </c>
      <c r="EV32" s="23">
        <f>IF(EV$5="Real",INDEX('Informacion de Sam'!$27:$27,MATCH(EV$6,'Informacion de Sam'!$1:$1,0)),EV$29*'Supuestos Proyeccion'!$F$31)</f>
        <v>22761293.444994539</v>
      </c>
      <c r="EW32" s="23">
        <f>IF(EW$5="Real",INDEX('Informacion de Sam'!$27:$27,MATCH(EW$6,'Informacion de Sam'!$1:$1,0)),EW$29*'Supuestos Proyeccion'!$F$31)</f>
        <v>13892305.979536602</v>
      </c>
      <c r="EX32" s="23">
        <f>IF(EX$5="Real",INDEX('Informacion de Sam'!$27:$27,MATCH(EX$6,'Informacion de Sam'!$1:$1,0)),EX$29*'Supuestos Proyeccion'!$F$31)</f>
        <v>13410779.774432804</v>
      </c>
      <c r="EY32" s="23">
        <f>IF(EY$5="Real",INDEX('Informacion de Sam'!$27:$27,MATCH(EY$6,'Informacion de Sam'!$1:$1,0)),EY$29*'Supuestos Proyeccion'!$F$31)</f>
        <v>13823502.244991291</v>
      </c>
      <c r="EZ32" s="23">
        <f>IF(EZ$5="Real",INDEX('Informacion de Sam'!$27:$27,MATCH(EZ$6,'Informacion de Sam'!$1:$1,0)),EZ$29*'Supuestos Proyeccion'!$F$31)</f>
        <v>12794848.225948393</v>
      </c>
      <c r="FA32" s="23">
        <f>SUM(EO32:EZ32)</f>
        <v>178108048.76684946</v>
      </c>
      <c r="FB32" s="23">
        <f>IF(FB$5="Real",INDEX('Informacion de Sam'!$27:$27,MATCH(FB$6,'Informacion de Sam'!$1:$1,0)),FB$29*'Supuestos Proyeccion'!$F$31)</f>
        <v>16750736.344183393</v>
      </c>
      <c r="FC32" s="23">
        <f>IF(FC$5="Real",INDEX('Informacion de Sam'!$27:$27,MATCH(FC$6,'Informacion de Sam'!$1:$1,0)),FC$29*'Supuestos Proyeccion'!$F$31)</f>
        <v>23744561.877264753</v>
      </c>
      <c r="FD32" s="23">
        <f>IF(FD$5="Real",INDEX('Informacion de Sam'!$27:$27,MATCH(FD$6,'Informacion de Sam'!$1:$1,0)),FD$29*'Supuestos Proyeccion'!$F$31)</f>
        <v>17040757.58000065</v>
      </c>
      <c r="FE32" s="23">
        <f>IF(FE$5="Real",INDEX('Informacion de Sam'!$27:$27,MATCH(FE$6,'Informacion de Sam'!$1:$1,0)),FE$29*'Supuestos Proyeccion'!$F$31)</f>
        <v>17433106.73655146</v>
      </c>
      <c r="FF32" s="23">
        <f>IF(FF$5="Real",INDEX('Informacion de Sam'!$27:$27,MATCH(FF$6,'Informacion de Sam'!$1:$1,0)),FF$29*'Supuestos Proyeccion'!$F$31)</f>
        <v>15338032.888266901</v>
      </c>
      <c r="FG32" s="23">
        <f>IF(FG$5="Real",INDEX('Informacion de Sam'!$27:$27,MATCH(FG$6,'Informacion de Sam'!$1:$1,0)),FG$29*'Supuestos Proyeccion'!$F$31)</f>
        <v>17540750.082855254</v>
      </c>
      <c r="FH32" s="23">
        <f>IF(FH$5="Real",INDEX('Informacion de Sam'!$27:$27,MATCH(FH$6,'Informacion de Sam'!$1:$1,0)),FH$29*'Supuestos Proyeccion'!$F$31)</f>
        <v>18933703.362059858</v>
      </c>
      <c r="FI32" s="23">
        <f>IF(FI$5="Real",INDEX('Informacion de Sam'!$27:$27,MATCH(FI$6,'Informacion de Sam'!$1:$1,0)),FI$29*'Supuestos Proyeccion'!$F$31)</f>
        <v>28451616.806243178</v>
      </c>
      <c r="FJ32" s="23">
        <f>IF(FJ$5="Real",INDEX('Informacion de Sam'!$27:$27,MATCH(FJ$6,'Informacion de Sam'!$1:$1,0)),FJ$29*'Supuestos Proyeccion'!$F$31)</f>
        <v>17365382.474420752</v>
      </c>
      <c r="FK32" s="23">
        <f>IF(FK$5="Real",INDEX('Informacion de Sam'!$27:$27,MATCH(FK$6,'Informacion de Sam'!$1:$1,0)),FK$29*'Supuestos Proyeccion'!$F$31)</f>
        <v>16763474.718041005</v>
      </c>
      <c r="FL32" s="23">
        <f>IF(FL$5="Real",INDEX('Informacion de Sam'!$27:$27,MATCH(FL$6,'Informacion de Sam'!$1:$1,0)),FL$29*'Supuestos Proyeccion'!$F$31)</f>
        <v>17279377.806239113</v>
      </c>
      <c r="FM32" s="23">
        <f>IF(FM$5="Real",INDEX('Informacion de Sam'!$27:$27,MATCH(FM$6,'Informacion de Sam'!$1:$1,0)),FM$29*'Supuestos Proyeccion'!$F$31)</f>
        <v>15993560.282435494</v>
      </c>
      <c r="FN32" s="23">
        <f>SUM(FB32:FM32)</f>
        <v>222635060.95856181</v>
      </c>
      <c r="FO32" s="23">
        <f>IF(FO$5="Real",INDEX('Informacion de Sam'!$27:$27,MATCH(FO$6,'Informacion de Sam'!$1:$1,0)),FO$29*'Supuestos Proyeccion'!$F$31)</f>
        <v>20938420.430229239</v>
      </c>
      <c r="FP32" s="23">
        <f>IF(FP$5="Real",INDEX('Informacion de Sam'!$27:$27,MATCH(FP$6,'Informacion de Sam'!$1:$1,0)),FP$29*'Supuestos Proyeccion'!$F$31)</f>
        <v>29680702.346580938</v>
      </c>
      <c r="FQ32" s="23">
        <f>IF(FQ$5="Real",INDEX('Informacion de Sam'!$27:$27,MATCH(FQ$6,'Informacion de Sam'!$1:$1,0)),FQ$29*'Supuestos Proyeccion'!$F$31)</f>
        <v>21300946.975000814</v>
      </c>
      <c r="FR32" s="23">
        <f>IF(FR$5="Real",INDEX('Informacion de Sam'!$27:$27,MATCH(FR$6,'Informacion de Sam'!$1:$1,0)),FR$29*'Supuestos Proyeccion'!$F$31)</f>
        <v>21791383.420689322</v>
      </c>
      <c r="FS32" s="23">
        <f>IF(FS$5="Real",INDEX('Informacion de Sam'!$27:$27,MATCH(FS$6,'Informacion de Sam'!$1:$1,0)),FS$29*'Supuestos Proyeccion'!$F$31)</f>
        <v>19172541.110333625</v>
      </c>
      <c r="FT32" s="23">
        <f>IF(FT$5="Real",INDEX('Informacion de Sam'!$27:$27,MATCH(FT$6,'Informacion de Sam'!$1:$1,0)),FT$29*'Supuestos Proyeccion'!$F$31)</f>
        <v>21925937.603569068</v>
      </c>
      <c r="FU32" s="23">
        <f>IF(FU$5="Real",INDEX('Informacion de Sam'!$27:$27,MATCH(FU$6,'Informacion de Sam'!$1:$1,0)),FU$29*'Supuestos Proyeccion'!$F$31)</f>
        <v>23667129.202574823</v>
      </c>
      <c r="FV32" s="23">
        <f>IF(FV$5="Real",INDEX('Informacion de Sam'!$27:$27,MATCH(FV$6,'Informacion de Sam'!$1:$1,0)),FV$29*'Supuestos Proyeccion'!$F$31)</f>
        <v>35564521.007803969</v>
      </c>
      <c r="FW32" s="23">
        <f>IF(FW$5="Real",INDEX('Informacion de Sam'!$27:$27,MATCH(FW$6,'Informacion de Sam'!$1:$1,0)),FW$29*'Supuestos Proyeccion'!$F$31)</f>
        <v>21706728.093025938</v>
      </c>
      <c r="FX32" s="23">
        <f>IF(FX$5="Real",INDEX('Informacion de Sam'!$27:$27,MATCH(FX$6,'Informacion de Sam'!$1:$1,0)),FX$29*'Supuestos Proyeccion'!$F$31)</f>
        <v>20954343.397551257</v>
      </c>
      <c r="FY32" s="23">
        <f>IF(FY$5="Real",INDEX('Informacion de Sam'!$27:$27,MATCH(FY$6,'Informacion de Sam'!$1:$1,0)),FY$29*'Supuestos Proyeccion'!$F$31)</f>
        <v>21599222.257798892</v>
      </c>
      <c r="FZ32" s="23">
        <f>IF(FZ$5="Real",INDEX('Informacion de Sam'!$27:$27,MATCH(FZ$6,'Informacion de Sam'!$1:$1,0)),FZ$29*'Supuestos Proyeccion'!$F$31)</f>
        <v>19991950.353044368</v>
      </c>
      <c r="GA32" s="23">
        <f>SUM(FO32:FZ32)</f>
        <v>278293826.19820225</v>
      </c>
      <c r="GB32" s="23">
        <f>IF(GB$5="Real",INDEX('Informacion de Sam'!$27:$27,MATCH(GB$6,'Informacion de Sam'!$1:$1,0)),GB$29*'Supuestos Proyeccion'!$F$31)</f>
        <v>26173025.537786551</v>
      </c>
      <c r="GC32" s="23">
        <f>IF(GC$5="Real",INDEX('Informacion de Sam'!$27:$27,MATCH(GC$6,'Informacion de Sam'!$1:$1,0)),GC$29*'Supuestos Proyeccion'!$F$31)</f>
        <v>37100877.933226176</v>
      </c>
      <c r="GD32" s="23">
        <f>IF(GD$5="Real",INDEX('Informacion de Sam'!$27:$27,MATCH(GD$6,'Informacion de Sam'!$1:$1,0)),GD$29*'Supuestos Proyeccion'!$F$31)</f>
        <v>26626183.718751017</v>
      </c>
      <c r="GE32" s="23">
        <f>IF(GE$5="Real",INDEX('Informacion de Sam'!$27:$27,MATCH(GE$6,'Informacion de Sam'!$1:$1,0)),GE$29*'Supuestos Proyeccion'!$F$31)</f>
        <v>27239229.275861658</v>
      </c>
      <c r="GF32" s="23">
        <f>IF(GF$5="Real",INDEX('Informacion de Sam'!$27:$27,MATCH(GF$6,'Informacion de Sam'!$1:$1,0)),GF$29*'Supuestos Proyeccion'!$F$31)</f>
        <v>23965676.387917034</v>
      </c>
      <c r="GG32" s="23">
        <f>IF(GG$5="Real",INDEX('Informacion de Sam'!$27:$27,MATCH(GG$6,'Informacion de Sam'!$1:$1,0)),GG$29*'Supuestos Proyeccion'!$F$31)</f>
        <v>27407422.004461333</v>
      </c>
      <c r="GH32" s="23">
        <f>IF(GH$5="Real",INDEX('Informacion de Sam'!$27:$27,MATCH(GH$6,'Informacion de Sam'!$1:$1,0)),GH$29*'Supuestos Proyeccion'!$F$31)</f>
        <v>29583911.503218532</v>
      </c>
      <c r="GI32" s="23">
        <f>IF(GI$5="Real",INDEX('Informacion de Sam'!$27:$27,MATCH(GI$6,'Informacion de Sam'!$1:$1,0)),GI$29*'Supuestos Proyeccion'!$F$31)</f>
        <v>44455651.259754963</v>
      </c>
      <c r="GJ32" s="23">
        <f>IF(GJ$5="Real",INDEX('Informacion de Sam'!$27:$27,MATCH(GJ$6,'Informacion de Sam'!$1:$1,0)),GJ$29*'Supuestos Proyeccion'!$F$31)</f>
        <v>27133410.11628243</v>
      </c>
      <c r="GK32" s="23">
        <f>IF(GK$5="Real",INDEX('Informacion de Sam'!$27:$27,MATCH(GK$6,'Informacion de Sam'!$1:$1,0)),GK$29*'Supuestos Proyeccion'!$F$31)</f>
        <v>26192929.246939074</v>
      </c>
      <c r="GL32" s="23">
        <f>IF(GL$5="Real",INDEX('Informacion de Sam'!$27:$27,MATCH(GL$6,'Informacion de Sam'!$1:$1,0)),GL$29*'Supuestos Proyeccion'!$F$31)</f>
        <v>26999027.822248619</v>
      </c>
      <c r="GM32" s="23">
        <f>IF(GM$5="Real",INDEX('Informacion de Sam'!$27:$27,MATCH(GM$6,'Informacion de Sam'!$1:$1,0)),GM$29*'Supuestos Proyeccion'!$F$31)</f>
        <v>24989937.941305462</v>
      </c>
      <c r="GN32" s="23">
        <f>SUM(GB32:GM32)</f>
        <v>347867282.74775285</v>
      </c>
      <c r="GO32" s="23">
        <f>IF(GO$5="Real",INDEX('Informacion de Sam'!$27:$27,MATCH(GO$6,'Informacion de Sam'!$1:$1,0)),GO$29*'Supuestos Proyeccion'!$F$31)</f>
        <v>32716281.922233183</v>
      </c>
      <c r="GP32" s="23">
        <f>IF(GP$5="Real",INDEX('Informacion de Sam'!$27:$27,MATCH(GP$6,'Informacion de Sam'!$1:$1,0)),GP$29*'Supuestos Proyeccion'!$F$31)</f>
        <v>46376097.41653271</v>
      </c>
      <c r="GQ32" s="23">
        <f>IF(GQ$5="Real",INDEX('Informacion de Sam'!$27:$27,MATCH(GQ$6,'Informacion de Sam'!$1:$1,0)),GQ$29*'Supuestos Proyeccion'!$F$31)</f>
        <v>33282729.648438767</v>
      </c>
      <c r="GR32" s="23">
        <f>IF(GR$5="Real",INDEX('Informacion de Sam'!$27:$27,MATCH(GR$6,'Informacion de Sam'!$1:$1,0)),GR$29*'Supuestos Proyeccion'!$F$31)</f>
        <v>34049036.594827071</v>
      </c>
      <c r="GS32" s="23">
        <f>IF(GS$5="Real",INDEX('Informacion de Sam'!$27:$27,MATCH(GS$6,'Informacion de Sam'!$1:$1,0)),GS$29*'Supuestos Proyeccion'!$F$31)</f>
        <v>29957095.484896284</v>
      </c>
      <c r="GT32" s="23">
        <f>IF(GT$5="Real",INDEX('Informacion de Sam'!$27:$27,MATCH(GT$6,'Informacion de Sam'!$1:$1,0)),GT$29*'Supuestos Proyeccion'!$F$31)</f>
        <v>34259277.505576663</v>
      </c>
      <c r="GU32" s="23">
        <f>IF(GU$5="Real",INDEX('Informacion de Sam'!$27:$27,MATCH(GU$6,'Informacion de Sam'!$1:$1,0)),GU$29*'Supuestos Proyeccion'!$F$31)</f>
        <v>36979889.379023165</v>
      </c>
      <c r="GV32" s="23">
        <f>IF(GV$5="Real",INDEX('Informacion de Sam'!$27:$27,MATCH(GV$6,'Informacion de Sam'!$1:$1,0)),GV$29*'Supuestos Proyeccion'!$F$31)</f>
        <v>55569564.074693702</v>
      </c>
      <c r="GW32" s="23">
        <f>IF(GW$5="Real",INDEX('Informacion de Sam'!$27:$27,MATCH(GW$6,'Informacion de Sam'!$1:$1,0)),GW$29*'Supuestos Proyeccion'!$F$31)</f>
        <v>33916762.645353027</v>
      </c>
      <c r="GX32" s="23">
        <f>IF(GX$5="Real",INDEX('Informacion de Sam'!$27:$27,MATCH(GX$6,'Informacion de Sam'!$1:$1,0)),GX$29*'Supuestos Proyeccion'!$F$31)</f>
        <v>32741161.55867384</v>
      </c>
      <c r="GY32" s="23">
        <f>IF(GY$5="Real",INDEX('Informacion de Sam'!$27:$27,MATCH(GY$6,'Informacion de Sam'!$1:$1,0)),GY$29*'Supuestos Proyeccion'!$F$31)</f>
        <v>33748784.777810767</v>
      </c>
      <c r="GZ32" s="23">
        <f>IF(GZ$5="Real",INDEX('Informacion de Sam'!$27:$27,MATCH(GZ$6,'Informacion de Sam'!$1:$1,0)),GZ$29*'Supuestos Proyeccion'!$F$31)</f>
        <v>31237422.426631819</v>
      </c>
      <c r="HA32" s="23">
        <f>SUM(GO32:GZ32)</f>
        <v>434834103.43469095</v>
      </c>
      <c r="HB32" s="23"/>
      <c r="HC32" s="51">
        <f t="shared" ref="HC32:HR33" si="10">SUMIFS($B32:$HA32,$B$4:$HA$4,HC$6,$B$5:$HA$5,"Acumulado")</f>
        <v>32493019.899999999</v>
      </c>
      <c r="HD32" s="51">
        <f t="shared" si="10"/>
        <v>42288112.090000004</v>
      </c>
      <c r="HE32" s="51">
        <f t="shared" si="10"/>
        <v>63523990.850000001</v>
      </c>
      <c r="HF32" s="51">
        <f t="shared" si="10"/>
        <v>138141275.11000001</v>
      </c>
      <c r="HG32" s="51">
        <f t="shared" si="10"/>
        <v>192942236.24000001</v>
      </c>
      <c r="HH32" s="51">
        <f t="shared" si="10"/>
        <v>28018932.890000001</v>
      </c>
      <c r="HI32" s="51">
        <f t="shared" si="10"/>
        <v>69378052.102178216</v>
      </c>
      <c r="HJ32" s="51">
        <f t="shared" si="10"/>
        <v>72953056.774901524</v>
      </c>
      <c r="HK32" s="51">
        <f t="shared" si="10"/>
        <v>91191320.968626916</v>
      </c>
      <c r="HL32" s="51">
        <f t="shared" si="10"/>
        <v>113989151.21078366</v>
      </c>
      <c r="HM32" s="51">
        <f t="shared" si="10"/>
        <v>142486439.01347956</v>
      </c>
      <c r="HN32" s="51">
        <f t="shared" si="10"/>
        <v>178108048.76684946</v>
      </c>
      <c r="HO32" s="51">
        <f t="shared" si="10"/>
        <v>222635060.95856181</v>
      </c>
      <c r="HP32" s="51">
        <f t="shared" si="10"/>
        <v>278293826.19820225</v>
      </c>
      <c r="HQ32" s="51">
        <f t="shared" si="10"/>
        <v>347867282.74775285</v>
      </c>
      <c r="HR32" s="51">
        <f t="shared" si="10"/>
        <v>434834103.43469095</v>
      </c>
    </row>
    <row r="33" spans="1:226" x14ac:dyDescent="0.35">
      <c r="A33" t="s">
        <v>70</v>
      </c>
      <c r="B33" s="23">
        <f>IF(B$5="Real",INDEX('Informacion de Sam'!$28:$28,MATCH(B$6,'Informacion de Sam'!$1:$1,0)),B$29*'Supuestos Proyeccion'!$F$32)</f>
        <v>270973.39</v>
      </c>
      <c r="C33" s="23">
        <f>IF(C$5="Real",INDEX('Informacion de Sam'!$28:$28,MATCH(C$6,'Informacion de Sam'!$1:$1,0)),C$29*'Supuestos Proyeccion'!$F$32)</f>
        <v>359654.89</v>
      </c>
      <c r="D33" s="23">
        <f>IF(D$5="Real",INDEX('Informacion de Sam'!$28:$28,MATCH(D$6,'Informacion de Sam'!$1:$1,0)),D$29*'Supuestos Proyeccion'!$F$32)</f>
        <v>253275.67999999993</v>
      </c>
      <c r="E33" s="23">
        <f>IF(E$5="Real",INDEX('Informacion de Sam'!$28:$28,MATCH(E$6,'Informacion de Sam'!$1:$1,0)),E$29*'Supuestos Proyeccion'!$F$32)</f>
        <v>198562.02000000002</v>
      </c>
      <c r="F33" s="23">
        <f>IF(F$5="Real",INDEX('Informacion de Sam'!$28:$28,MATCH(F$6,'Informacion de Sam'!$1:$1,0)),F$29*'Supuestos Proyeccion'!$F$32)</f>
        <v>26878.570000000065</v>
      </c>
      <c r="G33" s="23">
        <f>IF(G$5="Real",INDEX('Informacion de Sam'!$28:$28,MATCH(G$6,'Informacion de Sam'!$1:$1,0)),G$29*'Supuestos Proyeccion'!$F$32)</f>
        <v>72080.379999999888</v>
      </c>
      <c r="H33" s="23">
        <f>IF(H$5="Real",INDEX('Informacion de Sam'!$28:$28,MATCH(H$6,'Informacion de Sam'!$1:$1,0)),H$29*'Supuestos Proyeccion'!$F$32)</f>
        <v>120575.77000000002</v>
      </c>
      <c r="I33" s="23">
        <f>IF(I$5="Real",INDEX('Informacion de Sam'!$28:$28,MATCH(I$6,'Informacion de Sam'!$1:$1,0)),I$29*'Supuestos Proyeccion'!$F$32)</f>
        <v>254956.25</v>
      </c>
      <c r="J33" s="23">
        <f>IF(J$5="Real",INDEX('Informacion de Sam'!$28:$28,MATCH(J$6,'Informacion de Sam'!$1:$1,0)),J$29*'Supuestos Proyeccion'!$F$32)</f>
        <v>293673.56000000006</v>
      </c>
      <c r="K33" s="23">
        <f>IF(K$5="Real",INDEX('Informacion de Sam'!$28:$28,MATCH(K$6,'Informacion de Sam'!$1:$1,0)),K$29*'Supuestos Proyeccion'!$F$32)</f>
        <v>453145.90000000014</v>
      </c>
      <c r="L33" s="23">
        <f>IF(L$5="Real",INDEX('Informacion de Sam'!$28:$28,MATCH(L$6,'Informacion de Sam'!$1:$1,0)),L$29*'Supuestos Proyeccion'!$F$32)</f>
        <v>331466.1799999997</v>
      </c>
      <c r="M33" s="23">
        <f>IF(M$5="Real",INDEX('Informacion de Sam'!$28:$28,MATCH(M$6,'Informacion de Sam'!$1:$1,0)),M$29*'Supuestos Proyeccion'!$F$32)</f>
        <v>276113.01000000024</v>
      </c>
      <c r="N33" s="23">
        <f>SUM(B33:M33)</f>
        <v>2911355.6</v>
      </c>
      <c r="O33" s="23">
        <f>IF(O$5="Real",INDEX('Informacion de Sam'!$28:$28,MATCH(O$6,'Informacion de Sam'!$1:$1,0)),O$29*'Supuestos Proyeccion'!$F$32)</f>
        <v>448919.99</v>
      </c>
      <c r="P33" s="23">
        <f>IF(P$5="Real",INDEX('Informacion de Sam'!$28:$28,MATCH(P$6,'Informacion de Sam'!$1:$1,0)),P$29*'Supuestos Proyeccion'!$F$32)</f>
        <v>135822.89000000001</v>
      </c>
      <c r="Q33" s="23">
        <f>IF(Q$5="Real",INDEX('Informacion de Sam'!$28:$28,MATCH(Q$6,'Informacion de Sam'!$1:$1,0)),Q$29*'Supuestos Proyeccion'!$F$32)</f>
        <v>130732.45999999996</v>
      </c>
      <c r="R33" s="23">
        <f>IF(R$5="Real",INDEX('Informacion de Sam'!$28:$28,MATCH(R$6,'Informacion de Sam'!$1:$1,0)),R$29*'Supuestos Proyeccion'!$F$32)</f>
        <v>122362.93000000005</v>
      </c>
      <c r="S33" s="23">
        <f>IF(S$5="Real",INDEX('Informacion de Sam'!$28:$28,MATCH(S$6,'Informacion de Sam'!$1:$1,0)),S$29*'Supuestos Proyeccion'!$F$32)</f>
        <v>506430.59000000008</v>
      </c>
      <c r="T33" s="23">
        <f>IF(T$5="Real",INDEX('Informacion de Sam'!$28:$28,MATCH(T$6,'Informacion de Sam'!$1:$1,0)),T$29*'Supuestos Proyeccion'!$F$32)</f>
        <v>381596.18999999994</v>
      </c>
      <c r="U33" s="23">
        <f>IF(U$5="Real",INDEX('Informacion de Sam'!$28:$28,MATCH(U$6,'Informacion de Sam'!$1:$1,0)),U$29*'Supuestos Proyeccion'!$F$32)</f>
        <v>98937.889999999898</v>
      </c>
      <c r="V33" s="23">
        <f>IF(V$5="Real",INDEX('Informacion de Sam'!$28:$28,MATCH(V$6,'Informacion de Sam'!$1:$1,0)),V$29*'Supuestos Proyeccion'!$F$32)</f>
        <v>787422.14000000013</v>
      </c>
      <c r="W33" s="23">
        <f>IF(W$5="Real",INDEX('Informacion de Sam'!$28:$28,MATCH(W$6,'Informacion de Sam'!$1:$1,0)),W$29*'Supuestos Proyeccion'!$F$32)</f>
        <v>207822</v>
      </c>
      <c r="X33" s="23">
        <f>IF(X$5="Real",INDEX('Informacion de Sam'!$28:$28,MATCH(X$6,'Informacion de Sam'!$1:$1,0)),X$29*'Supuestos Proyeccion'!$F$32)</f>
        <v>195972.83000000007</v>
      </c>
      <c r="Y33" s="23">
        <f>IF(Y$5="Real",INDEX('Informacion de Sam'!$28:$28,MATCH(Y$6,'Informacion de Sam'!$1:$1,0)),Y$29*'Supuestos Proyeccion'!$F$32)</f>
        <v>273319.06999999983</v>
      </c>
      <c r="Z33" s="23">
        <f>IF(Z$5="Real",INDEX('Informacion de Sam'!$28:$28,MATCH(Z$6,'Informacion de Sam'!$1:$1,0)),Z$29*'Supuestos Proyeccion'!$F$32)</f>
        <v>1243830.3999999999</v>
      </c>
      <c r="AA33" s="23">
        <f>SUM(O33:Z33)</f>
        <v>4533169.38</v>
      </c>
      <c r="AB33" s="23">
        <f>IF(AB$5="Real",INDEX('Informacion de Sam'!$28:$28,MATCH(AB$6,'Informacion de Sam'!$1:$1,0)),AB$29*'Supuestos Proyeccion'!$F$32)</f>
        <v>241440.64000000001</v>
      </c>
      <c r="AC33" s="23">
        <f>IF(AC$5="Real",INDEX('Informacion de Sam'!$28:$28,MATCH(AC$6,'Informacion de Sam'!$1:$1,0)),AC$29*'Supuestos Proyeccion'!$F$32)</f>
        <v>242214.76</v>
      </c>
      <c r="AD33" s="23">
        <f>IF(AD$5="Real",INDEX('Informacion de Sam'!$28:$28,MATCH(AD$6,'Informacion de Sam'!$1:$1,0)),AD$29*'Supuestos Proyeccion'!$F$32)</f>
        <v>457018.19999999995</v>
      </c>
      <c r="AE33" s="23">
        <f>IF(AE$5="Real",INDEX('Informacion de Sam'!$28:$28,MATCH(AE$6,'Informacion de Sam'!$1:$1,0)),AE$29*'Supuestos Proyeccion'!$F$32)</f>
        <v>143721.57999999996</v>
      </c>
      <c r="AF33" s="23">
        <f>IF(AF$5="Real",INDEX('Informacion de Sam'!$28:$28,MATCH(AF$6,'Informacion de Sam'!$1:$1,0)),AF$29*'Supuestos Proyeccion'!$F$32)</f>
        <v>60663.229999999981</v>
      </c>
      <c r="AG33" s="23">
        <f>IF(AG$5="Real",INDEX('Informacion de Sam'!$28:$28,MATCH(AG$6,'Informacion de Sam'!$1:$1,0)),AG$29*'Supuestos Proyeccion'!$F$32)</f>
        <v>957215.17000000016</v>
      </c>
      <c r="AH33" s="23">
        <f>IF(AH$5="Real",INDEX('Informacion de Sam'!$28:$28,MATCH(AH$6,'Informacion de Sam'!$1:$1,0)),AH$29*'Supuestos Proyeccion'!$F$32)</f>
        <v>547055.08000000007</v>
      </c>
      <c r="AI33" s="23">
        <f>IF(AI$5="Real",INDEX('Informacion de Sam'!$28:$28,MATCH(AI$6,'Informacion de Sam'!$1:$1,0)),AI$29*'Supuestos Proyeccion'!$F$32)</f>
        <v>884209</v>
      </c>
      <c r="AJ33" s="23">
        <f>IF(AJ$5="Real",INDEX('Informacion de Sam'!$28:$28,MATCH(AJ$6,'Informacion de Sam'!$1:$1,0)),AJ$29*'Supuestos Proyeccion'!$F$32)</f>
        <v>617741</v>
      </c>
      <c r="AK33" s="23">
        <f>IF(AK$5="Real",INDEX('Informacion de Sam'!$28:$28,MATCH(AK$6,'Informacion de Sam'!$1:$1,0)),AK$29*'Supuestos Proyeccion'!$F$32)</f>
        <v>328600.43999999948</v>
      </c>
      <c r="AL33" s="23">
        <f>IF(AL$5="Real",INDEX('Informacion de Sam'!$28:$28,MATCH(AL$6,'Informacion de Sam'!$1:$1,0)),AL$29*'Supuestos Proyeccion'!$F$32)</f>
        <v>267934.74000000022</v>
      </c>
      <c r="AM33" s="23">
        <f>IF(AM$5="Real",INDEX('Informacion de Sam'!$28:$28,MATCH(AM$6,'Informacion de Sam'!$1:$1,0)),AM$29*'Supuestos Proyeccion'!$F$32)</f>
        <v>1336621.25</v>
      </c>
      <c r="AN33" s="23">
        <f>SUM(AB33:AM33)</f>
        <v>6084435.0899999999</v>
      </c>
      <c r="AO33" s="23">
        <f>IF(AO$5="Real",INDEX('Informacion de Sam'!$28:$28,MATCH(AO$6,'Informacion de Sam'!$1:$1,0)),AO$29*'Supuestos Proyeccion'!$F$32)</f>
        <v>1484177.16</v>
      </c>
      <c r="AP33" s="23">
        <f>IF(AP$5="Real",INDEX('Informacion de Sam'!$28:$28,MATCH(AP$6,'Informacion de Sam'!$1:$1,0)),AP$29*'Supuestos Proyeccion'!$F$32)</f>
        <v>834510.79000000027</v>
      </c>
      <c r="AQ33" s="23">
        <f>IF(AQ$5="Real",INDEX('Informacion de Sam'!$28:$28,MATCH(AQ$6,'Informacion de Sam'!$1:$1,0)),AQ$29*'Supuestos Proyeccion'!$F$32)</f>
        <v>501150.07999999961</v>
      </c>
      <c r="AR33" s="23">
        <f>IF(AR$5="Real",INDEX('Informacion de Sam'!$28:$28,MATCH(AR$6,'Informacion de Sam'!$1:$1,0)),AR$29*'Supuestos Proyeccion'!$F$32)</f>
        <v>708644.03000000026</v>
      </c>
      <c r="AS33" s="23">
        <f>IF(AS$5="Real",INDEX('Informacion de Sam'!$28:$28,MATCH(AS$6,'Informacion de Sam'!$1:$1,0)),AS$29*'Supuestos Proyeccion'!$F$32)</f>
        <v>429814.29999999981</v>
      </c>
      <c r="AT33" s="23">
        <f>IF(AT$5="Real",INDEX('Informacion de Sam'!$28:$28,MATCH(AT$6,'Informacion de Sam'!$1:$1,0)),AT$29*'Supuestos Proyeccion'!$F$32)</f>
        <v>434515.10999999987</v>
      </c>
      <c r="AU33" s="23">
        <f>IF(AU$5="Real",INDEX('Informacion de Sam'!$28:$28,MATCH(AU$6,'Informacion de Sam'!$1:$1,0)),AU$29*'Supuestos Proyeccion'!$F$32)</f>
        <v>669862.03000000026</v>
      </c>
      <c r="AV33" s="23">
        <f>IF(AV$5="Real",INDEX('Informacion de Sam'!$28:$28,MATCH(AV$6,'Informacion de Sam'!$1:$1,0)),AV$29*'Supuestos Proyeccion'!$F$32)</f>
        <v>417089.44000000041</v>
      </c>
      <c r="AW33" s="23">
        <f>IF(AW$5="Real",INDEX('Informacion de Sam'!$28:$28,MATCH(AW$6,'Informacion de Sam'!$1:$1,0)),AW$29*'Supuestos Proyeccion'!$F$32)</f>
        <v>1047040.7199999997</v>
      </c>
      <c r="AX33" s="23">
        <f>IF(AX$5="Real",INDEX('Informacion de Sam'!$28:$28,MATCH(AX$6,'Informacion de Sam'!$1:$1,0)),AX$29*'Supuestos Proyeccion'!$F$32)</f>
        <v>68186.229999999516</v>
      </c>
      <c r="AY33" s="23">
        <f>IF(AY$5="Real",INDEX('Informacion de Sam'!$28:$28,MATCH(AY$6,'Informacion de Sam'!$1:$1,0)),AY$29*'Supuestos Proyeccion'!$F$32)</f>
        <v>602435.91999999993</v>
      </c>
      <c r="AZ33" s="23">
        <f>IF(AZ$5="Real",INDEX('Informacion de Sam'!$28:$28,MATCH(AZ$6,'Informacion de Sam'!$1:$1,0)),AZ$29*'Supuestos Proyeccion'!$F$32)</f>
        <v>576800</v>
      </c>
      <c r="BA33" s="23">
        <f>SUM(AO33:AZ33)</f>
        <v>7774225.8099999996</v>
      </c>
      <c r="BB33" s="23">
        <f>IF(BB$5="Real",INDEX('Informacion de Sam'!$28:$28,MATCH(BB$6,'Informacion de Sam'!$1:$1,0)),BB$29*'Supuestos Proyeccion'!$F$32)</f>
        <v>191170.23</v>
      </c>
      <c r="BC33" s="23">
        <f>IF(BC$5="Real",INDEX('Informacion de Sam'!$28:$28,MATCH(BC$6,'Informacion de Sam'!$1:$1,0)),BC$29*'Supuestos Proyeccion'!$F$32)</f>
        <v>490099.51</v>
      </c>
      <c r="BD33" s="23">
        <f>IF(BD$5="Real",INDEX('Informacion de Sam'!$28:$28,MATCH(BD$6,'Informacion de Sam'!$1:$1,0)),BD$29*'Supuestos Proyeccion'!$F$32)</f>
        <v>306889.70999999996</v>
      </c>
      <c r="BE33" s="23">
        <f>IF(BE$5="Real",INDEX('Informacion de Sam'!$28:$28,MATCH(BE$6,'Informacion de Sam'!$1:$1,0)),BE$29*'Supuestos Proyeccion'!$F$32)</f>
        <v>154780.93999999994</v>
      </c>
      <c r="BF33" s="23">
        <f>IF(BF$5="Real",INDEX('Informacion de Sam'!$28:$28,MATCH(BF$6,'Informacion de Sam'!$1:$1,0)),BF$29*'Supuestos Proyeccion'!$F$32)</f>
        <v>915023.37000000011</v>
      </c>
      <c r="BG33" s="23">
        <f>IF(BG$5="Real",INDEX('Informacion de Sam'!$28:$28,MATCH(BG$6,'Informacion de Sam'!$1:$1,0)),BG$29*'Supuestos Proyeccion'!$F$32)</f>
        <v>237553.44999999995</v>
      </c>
      <c r="BH33" s="23">
        <f>IF(BH$5="Real",INDEX('Informacion de Sam'!$28:$28,MATCH(BH$6,'Informacion de Sam'!$1:$1,0)),BH$29*'Supuestos Proyeccion'!$F$32)</f>
        <v>275755.89999999991</v>
      </c>
      <c r="BI33" s="23">
        <f>IF(BI$5="Real",INDEX('Informacion de Sam'!$28:$28,MATCH(BI$6,'Informacion de Sam'!$1:$1,0)),BI$29*'Supuestos Proyeccion'!$F$32)</f>
        <v>459655.10000000009</v>
      </c>
      <c r="BJ33" s="23">
        <f>IF(BJ$5="Real",INDEX('Informacion de Sam'!$28:$28,MATCH(BJ$6,'Informacion de Sam'!$1:$1,0)),BJ$29*'Supuestos Proyeccion'!$F$32)</f>
        <v>380300</v>
      </c>
      <c r="BK33" s="23">
        <f>IF(BK$5="Real",INDEX('Informacion de Sam'!$28:$28,MATCH(BK$6,'Informacion de Sam'!$1:$1,0)),BK$29*'Supuestos Proyeccion'!$F$32)</f>
        <v>508367.62999999989</v>
      </c>
      <c r="BL33" s="23">
        <f>IF(BL$5="Real",INDEX('Informacion de Sam'!$28:$28,MATCH(BL$6,'Informacion de Sam'!$1:$1,0)),BL$29*'Supuestos Proyeccion'!$F$32)</f>
        <v>62760.020000000019</v>
      </c>
      <c r="BM33" s="23">
        <f>IF(BM$5="Real",INDEX('Informacion de Sam'!$28:$28,MATCH(BM$6,'Informacion de Sam'!$1:$1,0)),BM$29*'Supuestos Proyeccion'!$F$32)</f>
        <v>2130707.7500000005</v>
      </c>
      <c r="BN33" s="23">
        <f>SUM(BB33:BM33)</f>
        <v>6113063.6100000003</v>
      </c>
      <c r="BO33" s="23">
        <f>IF(BO$5="Real",INDEX('Informacion de Sam'!$28:$28,MATCH(BO$6,'Informacion de Sam'!$1:$1,0)),BO$29*'Supuestos Proyeccion'!$F$32)</f>
        <v>553974.6</v>
      </c>
      <c r="BP33" s="23">
        <f>IF(BP$5="Real",INDEX('Informacion de Sam'!$28:$28,MATCH(BP$6,'Informacion de Sam'!$1:$1,0)),BP$29*'Supuestos Proyeccion'!$F$32)</f>
        <v>464904.45000000007</v>
      </c>
      <c r="BQ33" s="23">
        <f>IF(BQ$5="Real",INDEX('Informacion de Sam'!$28:$28,MATCH(BQ$6,'Informacion de Sam'!$1:$1,0)),BQ$29*'Supuestos Proyeccion'!$F$32)</f>
        <v>152301.24</v>
      </c>
      <c r="BR33" s="23">
        <f>IF(BR$5="Real",INDEX('Informacion de Sam'!$28:$28,MATCH(BR$6,'Informacion de Sam'!$1:$1,0)),BR$29*'Supuestos Proyeccion'!$F$32)</f>
        <v>205936.47999999998</v>
      </c>
      <c r="BS33" s="23">
        <f>IF(BS$5="Real",INDEX('Informacion de Sam'!$28:$28,MATCH(BS$6,'Informacion de Sam'!$1:$1,0)),BS$29*'Supuestos Proyeccion'!$F$32)</f>
        <v>70986.580000000075</v>
      </c>
      <c r="BT33" s="23">
        <f>IF(BT$5="Real",INDEX('Informacion de Sam'!$28:$28,MATCH(BT$6,'Informacion de Sam'!$1:$1,0)),BT$29*'Supuestos Proyeccion'!$F$32)</f>
        <v>1562837.6799999997</v>
      </c>
      <c r="BU33" s="23">
        <f>IF(BU$5="Real",INDEX('Informacion de Sam'!$28:$28,MATCH(BU$6,'Informacion de Sam'!$1:$1,0)),BU$29*'Supuestos Proyeccion'!$F$32)</f>
        <v>16413.950000000186</v>
      </c>
      <c r="BV33" s="23">
        <f>IF(BV$5="Real",INDEX('Informacion de Sam'!$28:$28,MATCH(BV$6,'Informacion de Sam'!$1:$1,0)),BV$29*'Supuestos Proyeccion'!$F$32)</f>
        <v>1038693.2600000002</v>
      </c>
      <c r="BW33" s="23">
        <f>IF(BW$5="Real",INDEX('Informacion de Sam'!$28:$28,MATCH(BW$6,'Informacion de Sam'!$1:$1,0)),BW$29*'Supuestos Proyeccion'!$F$32)</f>
        <v>895135.50999999978</v>
      </c>
      <c r="BX33" s="23">
        <f>IF(BX$5="Real",INDEX('Informacion de Sam'!$28:$28,MATCH(BX$6,'Informacion de Sam'!$1:$1,0)),BX$29*'Supuestos Proyeccion'!$F$32)</f>
        <v>884601.79</v>
      </c>
      <c r="BY33" s="23">
        <f>IF(BY$5="Real",INDEX('Informacion de Sam'!$28:$28,MATCH(BY$6,'Informacion de Sam'!$1:$1,0)),BY$29*'Supuestos Proyeccion'!$F$32)</f>
        <v>409203.58000000007</v>
      </c>
      <c r="BZ33" s="23">
        <f>IF(BZ$5="Real",INDEX('Informacion de Sam'!$28:$28,MATCH(BZ$6,'Informacion de Sam'!$1:$1,0)),BZ$29*'Supuestos Proyeccion'!$F$32)</f>
        <v>1265712.8200000003</v>
      </c>
      <c r="CA33" s="23">
        <f>SUM(BO33:BZ33)</f>
        <v>7520701.9400000004</v>
      </c>
      <c r="CB33" s="23">
        <f>IF(CB$5="Real",INDEX('Informacion de Sam'!$28:$28,MATCH(CB$6,'Informacion de Sam'!$1:$1,0)),CB$29*'Supuestos Proyeccion'!$F$32)</f>
        <v>324713.49</v>
      </c>
      <c r="CC33" s="23">
        <f>IF(CC$5="Real",INDEX('Informacion de Sam'!$28:$28,MATCH(CC$6,'Informacion de Sam'!$1:$1,0)),CC$29*'Supuestos Proyeccion'!$F$32)</f>
        <v>631216.87</v>
      </c>
      <c r="CD33" s="23">
        <f>IF(CD$5="Real",INDEX('Informacion de Sam'!$28:$28,MATCH(CD$6,'Informacion de Sam'!$1:$1,0)),CD$29*'Supuestos Proyeccion'!$F$32)</f>
        <v>799787.71000000008</v>
      </c>
      <c r="CE33" s="23">
        <f>IF(CE$5="Real",INDEX('Informacion de Sam'!$28:$28,MATCH(CE$6,'Informacion de Sam'!$1:$1,0)),CE$29*'Supuestos Proyeccion'!$F$32)</f>
        <v>79824.5</v>
      </c>
      <c r="CF33" s="23">
        <f>IF(CF$5="Real",INDEX('Informacion de Sam'!$28:$28,MATCH(CF$6,'Informacion de Sam'!$1:$1,0)),CF$29*'Supuestos Proyeccion'!$F$32)</f>
        <v>1187644.6599999999</v>
      </c>
      <c r="CG33" s="23">
        <f>IF(CG$5="Real",INDEX('Informacion de Sam'!$28:$28,MATCH(CG$6,'Informacion de Sam'!$1:$1,0)),CG$29*'Supuestos Proyeccion'!$F$32)</f>
        <v>485624.79000000004</v>
      </c>
      <c r="CH33" s="23">
        <f>IF(CH$5="Real",INDEX('Informacion de Sam'!$28:$28,MATCH(CH$6,'Informacion de Sam'!$1:$1,0)),CH$29*'Supuestos Proyeccion'!$F$32)</f>
        <v>213262.04999999981</v>
      </c>
      <c r="CI33" s="23">
        <f>IF(CI$5="Real",INDEX('Informacion de Sam'!$28:$28,MATCH(CI$6,'Informacion de Sam'!$1:$1,0)),CI$29*'Supuestos Proyeccion'!$F$32)</f>
        <v>18950</v>
      </c>
      <c r="CJ33" s="23">
        <f>IF(CJ$5="Real",INDEX('Informacion de Sam'!$28:$28,MATCH(CJ$6,'Informacion de Sam'!$1:$1,0)),CJ$29*'Supuestos Proyeccion'!$F$32)</f>
        <v>664092.17524242715</v>
      </c>
      <c r="CK33" s="23">
        <f>IF(CK$5="Real",INDEX('Informacion de Sam'!$28:$28,MATCH(CK$6,'Informacion de Sam'!$1:$1,0)),CK$29*'Supuestos Proyeccion'!$F$32)</f>
        <v>641073.83793725667</v>
      </c>
      <c r="CL33" s="23">
        <f>IF(CL$5="Real",INDEX('Informacion de Sam'!$28:$28,MATCH(CL$6,'Informacion de Sam'!$1:$1,0)),CL$29*'Supuestos Proyeccion'!$F$32)</f>
        <v>660803.15887564828</v>
      </c>
      <c r="CM33" s="23">
        <f>IF(CM$5="Real",INDEX('Informacion de Sam'!$28:$28,MATCH(CM$6,'Informacion de Sam'!$1:$1,0)),CM$29*'Supuestos Proyeccion'!$F$32)</f>
        <v>611630.53871566174</v>
      </c>
      <c r="CN33" s="23">
        <f>SUM(CB33:CM33)</f>
        <v>6318623.7807709929</v>
      </c>
      <c r="CO33" s="23">
        <f>IF(CO$5="Real",INDEX('Informacion de Sam'!$28:$28,MATCH(CO$6,'Informacion de Sam'!$1:$1,0)),CO$29*'Supuestos Proyeccion'!$F$32)</f>
        <v>800733.36652006197</v>
      </c>
      <c r="CP33" s="23">
        <f>IF(CP$5="Real",INDEX('Informacion de Sam'!$28:$28,MATCH(CP$6,'Informacion de Sam'!$1:$1,0)),CP$29*'Supuestos Proyeccion'!$F$32)</f>
        <v>1135058.3388012263</v>
      </c>
      <c r="CQ33" s="23">
        <f>IF(CQ$5="Real",INDEX('Informacion de Sam'!$28:$28,MATCH(CQ$6,'Informacion de Sam'!$1:$1,0)),CQ$29*'Supuestos Proyeccion'!$F$32)</f>
        <v>814597.21559192112</v>
      </c>
      <c r="CR33" s="23">
        <f>IF(CR$5="Real",INDEX('Informacion de Sam'!$28:$28,MATCH(CR$6,'Informacion de Sam'!$1:$1,0)),CR$29*'Supuestos Proyeccion'!$F$32)</f>
        <v>833352.63353420922</v>
      </c>
      <c r="CS33" s="23">
        <f>IF(CS$5="Real",INDEX('Informacion de Sam'!$28:$28,MATCH(CS$6,'Informacion de Sam'!$1:$1,0)),CS$29*'Supuestos Proyeccion'!$F$32)</f>
        <v>733202.07888545364</v>
      </c>
      <c r="CT33" s="23">
        <f>IF(CT$5="Real",INDEX('Informacion de Sam'!$28:$28,MATCH(CT$6,'Informacion de Sam'!$1:$1,0)),CT$29*'Supuestos Proyeccion'!$F$32)</f>
        <v>838498.2950322039</v>
      </c>
      <c r="CU33" s="23">
        <f>IF(CU$5="Real",INDEX('Informacion de Sam'!$28:$28,MATCH(CU$6,'Informacion de Sam'!$1:$1,0)),CU$29*'Supuestos Proyeccion'!$F$32)</f>
        <v>905085.46742537303</v>
      </c>
      <c r="CV33" s="23">
        <f>IF(CV$5="Real",INDEX('Informacion de Sam'!$28:$28,MATCH(CV$6,'Informacion de Sam'!$1:$1,0)),CV$29*'Supuestos Proyeccion'!$F$32)</f>
        <v>1360069.1002525906</v>
      </c>
      <c r="CW33" s="23">
        <f>IF(CW$5="Real",INDEX('Informacion de Sam'!$28:$28,MATCH(CW$6,'Informacion de Sam'!$1:$1,0)),CW$29*'Supuestos Proyeccion'!$F$32)</f>
        <v>830115.21905303397</v>
      </c>
      <c r="CX33" s="23">
        <f>IF(CX$5="Real",INDEX('Informacion de Sam'!$28:$28,MATCH(CX$6,'Informacion de Sam'!$1:$1,0)),CX$29*'Supuestos Proyeccion'!$F$32)</f>
        <v>801342.29742157075</v>
      </c>
      <c r="CY33" s="23">
        <f>IF(CY$5="Real",INDEX('Informacion de Sam'!$28:$28,MATCH(CY$6,'Informacion de Sam'!$1:$1,0)),CY$29*'Supuestos Proyeccion'!$F$32)</f>
        <v>826003.94859456038</v>
      </c>
      <c r="CZ33" s="23">
        <f>IF(CZ$5="Real",INDEX('Informacion de Sam'!$28:$28,MATCH(CZ$6,'Informacion de Sam'!$1:$1,0)),CZ$29*'Supuestos Proyeccion'!$F$32)</f>
        <v>764538.17339457711</v>
      </c>
      <c r="DA33" s="23">
        <f>SUM(CO33:CZ33)</f>
        <v>10642596.134506783</v>
      </c>
      <c r="DB33" s="23">
        <f>IF(DB$5="Real",INDEX('Informacion de Sam'!$28:$28,MATCH(DB$6,'Informacion de Sam'!$1:$1,0)),DB$29*'Supuestos Proyeccion'!$F$32)</f>
        <v>1000916.7081500776</v>
      </c>
      <c r="DC33" s="23">
        <f>IF(DC$5="Real",INDEX('Informacion de Sam'!$28:$28,MATCH(DC$6,'Informacion de Sam'!$1:$1,0)),DC$29*'Supuestos Proyeccion'!$F$32)</f>
        <v>1418822.923501533</v>
      </c>
      <c r="DD33" s="23">
        <f>IF(DD$5="Real",INDEX('Informacion de Sam'!$28:$28,MATCH(DD$6,'Informacion de Sam'!$1:$1,0)),DD$29*'Supuestos Proyeccion'!$F$32)</f>
        <v>1018246.5194899015</v>
      </c>
      <c r="DE33" s="23">
        <f>IF(DE$5="Real",INDEX('Informacion de Sam'!$28:$28,MATCH(DE$6,'Informacion de Sam'!$1:$1,0)),DE$29*'Supuestos Proyeccion'!$F$32)</f>
        <v>1041690.7919177616</v>
      </c>
      <c r="DF33" s="23">
        <f>IF(DF$5="Real",INDEX('Informacion de Sam'!$28:$28,MATCH(DF$6,'Informacion de Sam'!$1:$1,0)),DF$29*'Supuestos Proyeccion'!$F$32)</f>
        <v>916502.59860681708</v>
      </c>
      <c r="DG33" s="23">
        <f>IF(DG$5="Real",INDEX('Informacion de Sam'!$28:$28,MATCH(DG$6,'Informacion de Sam'!$1:$1,0)),DG$29*'Supuestos Proyeccion'!$F$32)</f>
        <v>1048122.8687902547</v>
      </c>
      <c r="DH33" s="23">
        <f>IF(DH$5="Real",INDEX('Informacion de Sam'!$28:$28,MATCH(DH$6,'Informacion de Sam'!$1:$1,0)),DH$29*'Supuestos Proyeccion'!$F$32)</f>
        <v>1131356.8342817163</v>
      </c>
      <c r="DI33" s="23">
        <f>IF(DI$5="Real",INDEX('Informacion de Sam'!$28:$28,MATCH(DI$6,'Informacion de Sam'!$1:$1,0)),DI$29*'Supuestos Proyeccion'!$F$32)</f>
        <v>1700086.3753157384</v>
      </c>
      <c r="DJ33" s="23">
        <f>IF(DJ$5="Real",INDEX('Informacion de Sam'!$28:$28,MATCH(DJ$6,'Informacion de Sam'!$1:$1,0)),DJ$29*'Supuestos Proyeccion'!$F$32)</f>
        <v>1037644.0238162925</v>
      </c>
      <c r="DK33" s="23">
        <f>IF(DK$5="Real",INDEX('Informacion de Sam'!$28:$28,MATCH(DK$6,'Informacion de Sam'!$1:$1,0)),DK$29*'Supuestos Proyeccion'!$F$32)</f>
        <v>1001677.8717769635</v>
      </c>
      <c r="DL33" s="23">
        <f>IF(DL$5="Real",INDEX('Informacion de Sam'!$28:$28,MATCH(DL$6,'Informacion de Sam'!$1:$1,0)),DL$29*'Supuestos Proyeccion'!$F$32)</f>
        <v>1032504.9357432004</v>
      </c>
      <c r="DM33" s="23">
        <f>IF(DM$5="Real",INDEX('Informacion de Sam'!$28:$28,MATCH(DM$6,'Informacion de Sam'!$1:$1,0)),DM$29*'Supuestos Proyeccion'!$F$32)</f>
        <v>955672.71674322139</v>
      </c>
      <c r="DN33" s="23">
        <f>SUM(DB33:DM33)</f>
        <v>13303245.168133479</v>
      </c>
      <c r="DO33" s="23">
        <f>IF(DO$5="Real",INDEX('Informacion de Sam'!$28:$28,MATCH(DO$6,'Informacion de Sam'!$1:$1,0)),DO$29*'Supuestos Proyeccion'!$F$32)</f>
        <v>1251145.8851875968</v>
      </c>
      <c r="DP33" s="23">
        <f>IF(DP$5="Real",INDEX('Informacion de Sam'!$28:$28,MATCH(DP$6,'Informacion de Sam'!$1:$1,0)),DP$29*'Supuestos Proyeccion'!$F$32)</f>
        <v>1773528.6543769164</v>
      </c>
      <c r="DQ33" s="23">
        <f>IF(DQ$5="Real",INDEX('Informacion de Sam'!$28:$28,MATCH(DQ$6,'Informacion de Sam'!$1:$1,0)),DQ$29*'Supuestos Proyeccion'!$F$32)</f>
        <v>1272808.1493623767</v>
      </c>
      <c r="DR33" s="23">
        <f>IF(DR$5="Real",INDEX('Informacion de Sam'!$28:$28,MATCH(DR$6,'Informacion de Sam'!$1:$1,0)),DR$29*'Supuestos Proyeccion'!$F$32)</f>
        <v>1302113.489897202</v>
      </c>
      <c r="DS33" s="23">
        <f>IF(DS$5="Real",INDEX('Informacion de Sam'!$28:$28,MATCH(DS$6,'Informacion de Sam'!$1:$1,0)),DS$29*'Supuestos Proyeccion'!$F$32)</f>
        <v>1145628.2482585213</v>
      </c>
      <c r="DT33" s="23">
        <f>IF(DT$5="Real",INDEX('Informacion de Sam'!$28:$28,MATCH(DT$6,'Informacion de Sam'!$1:$1,0)),DT$29*'Supuestos Proyeccion'!$F$32)</f>
        <v>1310153.5859878187</v>
      </c>
      <c r="DU33" s="23">
        <f>IF(DU$5="Real",INDEX('Informacion de Sam'!$28:$28,MATCH(DU$6,'Informacion de Sam'!$1:$1,0)),DU$29*'Supuestos Proyeccion'!$F$32)</f>
        <v>1414196.0428521454</v>
      </c>
      <c r="DV33" s="23">
        <f>IF(DV$5="Real",INDEX('Informacion de Sam'!$28:$28,MATCH(DV$6,'Informacion de Sam'!$1:$1,0)),DV$29*'Supuestos Proyeccion'!$F$32)</f>
        <v>2125107.9691446726</v>
      </c>
      <c r="DW33" s="23">
        <f>IF(DW$5="Real",INDEX('Informacion de Sam'!$28:$28,MATCH(DW$6,'Informacion de Sam'!$1:$1,0)),DW$29*'Supuestos Proyeccion'!$F$32)</f>
        <v>1297055.0297703657</v>
      </c>
      <c r="DX33" s="23">
        <f>IF(DX$5="Real",INDEX('Informacion de Sam'!$28:$28,MATCH(DX$6,'Informacion de Sam'!$1:$1,0)),DX$29*'Supuestos Proyeccion'!$F$32)</f>
        <v>1252097.3397212045</v>
      </c>
      <c r="DY33" s="23">
        <f>IF(DY$5="Real",INDEX('Informacion de Sam'!$28:$28,MATCH(DY$6,'Informacion de Sam'!$1:$1,0)),DY$29*'Supuestos Proyeccion'!$F$32)</f>
        <v>1290631.1696790003</v>
      </c>
      <c r="DZ33" s="23">
        <f>IF(DZ$5="Real",INDEX('Informacion de Sam'!$28:$28,MATCH(DZ$6,'Informacion de Sam'!$1:$1,0)),DZ$29*'Supuestos Proyeccion'!$F$32)</f>
        <v>1194590.8959290267</v>
      </c>
      <c r="EA33" s="23">
        <f>SUM(DO33:DZ33)</f>
        <v>16629056.460166847</v>
      </c>
      <c r="EB33" s="23">
        <f>IF(EB$5="Real",INDEX('Informacion de Sam'!$28:$28,MATCH(EB$6,'Informacion de Sam'!$1:$1,0)),EB$29*'Supuestos Proyeccion'!$F$32)</f>
        <v>1563932.3564844963</v>
      </c>
      <c r="EC33" s="23">
        <f>IF(EC$5="Real",INDEX('Informacion de Sam'!$28:$28,MATCH(EC$6,'Informacion de Sam'!$1:$1,0)),EC$29*'Supuestos Proyeccion'!$F$32)</f>
        <v>2216910.8179711453</v>
      </c>
      <c r="ED33" s="23">
        <f>IF(ED$5="Real",INDEX('Informacion de Sam'!$28:$28,MATCH(ED$6,'Informacion de Sam'!$1:$1,0)),ED$29*'Supuestos Proyeccion'!$F$32)</f>
        <v>1591010.1867029709</v>
      </c>
      <c r="EE33" s="23">
        <f>IF(EE$5="Real",INDEX('Informacion de Sam'!$28:$28,MATCH(EE$6,'Informacion de Sam'!$1:$1,0)),EE$29*'Supuestos Proyeccion'!$F$32)</f>
        <v>1627641.8623715027</v>
      </c>
      <c r="EF33" s="23">
        <f>IF(EF$5="Real",INDEX('Informacion de Sam'!$28:$28,MATCH(EF$6,'Informacion de Sam'!$1:$1,0)),EF$29*'Supuestos Proyeccion'!$F$32)</f>
        <v>1432035.3103231518</v>
      </c>
      <c r="EG33" s="23">
        <f>IF(EG$5="Real",INDEX('Informacion de Sam'!$28:$28,MATCH(EG$6,'Informacion de Sam'!$1:$1,0)),EG$29*'Supuestos Proyeccion'!$F$32)</f>
        <v>1637691.9824847733</v>
      </c>
      <c r="EH33" s="23">
        <f>IF(EH$5="Real",INDEX('Informacion de Sam'!$28:$28,MATCH(EH$6,'Informacion de Sam'!$1:$1,0)),EH$29*'Supuestos Proyeccion'!$F$32)</f>
        <v>1767745.053565182</v>
      </c>
      <c r="EI33" s="23">
        <f>IF(EI$5="Real",INDEX('Informacion de Sam'!$28:$28,MATCH(EI$6,'Informacion de Sam'!$1:$1,0)),EI$29*'Supuestos Proyeccion'!$F$32)</f>
        <v>2656384.9614308411</v>
      </c>
      <c r="EJ33" s="23">
        <f>IF(EJ$5="Real",INDEX('Informacion de Sam'!$28:$28,MATCH(EJ$6,'Informacion de Sam'!$1:$1,0)),EJ$29*'Supuestos Proyeccion'!$F$32)</f>
        <v>1621318.7872129572</v>
      </c>
      <c r="EK33" s="23">
        <f>IF(EK$5="Real",INDEX('Informacion de Sam'!$28:$28,MATCH(EK$6,'Informacion de Sam'!$1:$1,0)),EK$29*'Supuestos Proyeccion'!$F$32)</f>
        <v>1565121.6746515057</v>
      </c>
      <c r="EL33" s="23">
        <f>IF(EL$5="Real",INDEX('Informacion de Sam'!$28:$28,MATCH(EL$6,'Informacion de Sam'!$1:$1,0)),EL$29*'Supuestos Proyeccion'!$F$32)</f>
        <v>1613288.9620987505</v>
      </c>
      <c r="EM33" s="23">
        <f>IF(EM$5="Real",INDEX('Informacion de Sam'!$28:$28,MATCH(EM$6,'Informacion de Sam'!$1:$1,0)),EM$29*'Supuestos Proyeccion'!$F$32)</f>
        <v>1493238.6199112835</v>
      </c>
      <c r="EN33" s="23">
        <f>SUM(EB33:EM33)</f>
        <v>20786320.57520856</v>
      </c>
      <c r="EO33" s="23">
        <f>IF(EO$5="Real",INDEX('Informacion de Sam'!$28:$28,MATCH(EO$6,'Informacion de Sam'!$1:$1,0)),EO$29*'Supuestos Proyeccion'!$F$32)</f>
        <v>1954915.4456056203</v>
      </c>
      <c r="EP33" s="23">
        <f>IF(EP$5="Real",INDEX('Informacion de Sam'!$28:$28,MATCH(EP$6,'Informacion de Sam'!$1:$1,0)),EP$29*'Supuestos Proyeccion'!$F$32)</f>
        <v>2771138.5224639317</v>
      </c>
      <c r="EQ33" s="23">
        <f>IF(EQ$5="Real",INDEX('Informacion de Sam'!$28:$28,MATCH(EQ$6,'Informacion de Sam'!$1:$1,0)),EQ$29*'Supuestos Proyeccion'!$F$32)</f>
        <v>1988762.7333787135</v>
      </c>
      <c r="ER33" s="23">
        <f>IF(ER$5="Real",INDEX('Informacion de Sam'!$28:$28,MATCH(ER$6,'Informacion de Sam'!$1:$1,0)),ER$29*'Supuestos Proyeccion'!$F$32)</f>
        <v>2034552.3279643781</v>
      </c>
      <c r="ES33" s="23">
        <f>IF(ES$5="Real",INDEX('Informacion de Sam'!$28:$28,MATCH(ES$6,'Informacion de Sam'!$1:$1,0)),ES$29*'Supuestos Proyeccion'!$F$32)</f>
        <v>1790044.1379039395</v>
      </c>
      <c r="ET33" s="23">
        <f>IF(ET$5="Real",INDEX('Informacion de Sam'!$28:$28,MATCH(ET$6,'Informacion de Sam'!$1:$1,0)),ET$29*'Supuestos Proyeccion'!$F$32)</f>
        <v>2047114.9781059665</v>
      </c>
      <c r="EU33" s="23">
        <f>IF(EU$5="Real",INDEX('Informacion de Sam'!$28:$28,MATCH(EU$6,'Informacion de Sam'!$1:$1,0)),EU$29*'Supuestos Proyeccion'!$F$32)</f>
        <v>2209681.3169564772</v>
      </c>
      <c r="EV33" s="23">
        <f>IF(EV$5="Real",INDEX('Informacion de Sam'!$28:$28,MATCH(EV$6,'Informacion de Sam'!$1:$1,0)),EV$29*'Supuestos Proyeccion'!$F$32)</f>
        <v>3320481.2017885512</v>
      </c>
      <c r="EW33" s="23">
        <f>IF(EW$5="Real",INDEX('Informacion de Sam'!$28:$28,MATCH(EW$6,'Informacion de Sam'!$1:$1,0)),EW$29*'Supuestos Proyeccion'!$F$32)</f>
        <v>2026648.4840161966</v>
      </c>
      <c r="EX33" s="23">
        <f>IF(EX$5="Real",INDEX('Informacion de Sam'!$28:$28,MATCH(EX$6,'Informacion de Sam'!$1:$1,0)),EX$29*'Supuestos Proyeccion'!$F$32)</f>
        <v>1956402.0933143818</v>
      </c>
      <c r="EY33" s="23">
        <f>IF(EY$5="Real",INDEX('Informacion de Sam'!$28:$28,MATCH(EY$6,'Informacion de Sam'!$1:$1,0)),EY$29*'Supuestos Proyeccion'!$F$32)</f>
        <v>2016611.2026234381</v>
      </c>
      <c r="EZ33" s="23">
        <f>IF(EZ$5="Real",INDEX('Informacion de Sam'!$28:$28,MATCH(EZ$6,'Informacion de Sam'!$1:$1,0)),EZ$29*'Supuestos Proyeccion'!$F$32)</f>
        <v>1866548.2748891043</v>
      </c>
      <c r="FA33" s="23">
        <f>SUM(EO33:EZ33)</f>
        <v>25982900.7190107</v>
      </c>
      <c r="FB33" s="23">
        <f>IF(FB$5="Real",INDEX('Informacion de Sam'!$28:$28,MATCH(FB$6,'Informacion de Sam'!$1:$1,0)),FB$29*'Supuestos Proyeccion'!$F$32)</f>
        <v>2443644.3070070255</v>
      </c>
      <c r="FC33" s="23">
        <f>IF(FC$5="Real",INDEX('Informacion de Sam'!$28:$28,MATCH(FC$6,'Informacion de Sam'!$1:$1,0)),FC$29*'Supuestos Proyeccion'!$F$32)</f>
        <v>3463923.1530799149</v>
      </c>
      <c r="FD33" s="23">
        <f>IF(FD$5="Real",INDEX('Informacion de Sam'!$28:$28,MATCH(FD$6,'Informacion de Sam'!$1:$1,0)),FD$29*'Supuestos Proyeccion'!$F$32)</f>
        <v>2485953.416723392</v>
      </c>
      <c r="FE33" s="23">
        <f>IF(FE$5="Real",INDEX('Informacion de Sam'!$28:$28,MATCH(FE$6,'Informacion de Sam'!$1:$1,0)),FE$29*'Supuestos Proyeccion'!$F$32)</f>
        <v>2543190.4099554732</v>
      </c>
      <c r="FF33" s="23">
        <f>IF(FF$5="Real",INDEX('Informacion de Sam'!$28:$28,MATCH(FF$6,'Informacion de Sam'!$1:$1,0)),FF$29*'Supuestos Proyeccion'!$F$32)</f>
        <v>2237555.1723799245</v>
      </c>
      <c r="FG33" s="23">
        <f>IF(FG$5="Real",INDEX('Informacion de Sam'!$28:$28,MATCH(FG$6,'Informacion de Sam'!$1:$1,0)),FG$29*'Supuestos Proyeccion'!$F$32)</f>
        <v>2558893.722632458</v>
      </c>
      <c r="FH33" s="23">
        <f>IF(FH$5="Real",INDEX('Informacion de Sam'!$28:$28,MATCH(FH$6,'Informacion de Sam'!$1:$1,0)),FH$29*'Supuestos Proyeccion'!$F$32)</f>
        <v>2762101.6461955961</v>
      </c>
      <c r="FI33" s="23">
        <f>IF(FI$5="Real",INDEX('Informacion de Sam'!$28:$28,MATCH(FI$6,'Informacion de Sam'!$1:$1,0)),FI$29*'Supuestos Proyeccion'!$F$32)</f>
        <v>4150601.5022356897</v>
      </c>
      <c r="FJ33" s="23">
        <f>IF(FJ$5="Real",INDEX('Informacion de Sam'!$28:$28,MATCH(FJ$6,'Informacion de Sam'!$1:$1,0)),FJ$29*'Supuestos Proyeccion'!$F$32)</f>
        <v>2533310.6050202455</v>
      </c>
      <c r="FK33" s="23">
        <f>IF(FK$5="Real",INDEX('Informacion de Sam'!$28:$28,MATCH(FK$6,'Informacion de Sam'!$1:$1,0)),FK$29*'Supuestos Proyeccion'!$F$32)</f>
        <v>2445502.6166429771</v>
      </c>
      <c r="FL33" s="23">
        <f>IF(FL$5="Real",INDEX('Informacion de Sam'!$28:$28,MATCH(FL$6,'Informacion de Sam'!$1:$1,0)),FL$29*'Supuestos Proyeccion'!$F$32)</f>
        <v>2520764.0032792976</v>
      </c>
      <c r="FM33" s="23">
        <f>IF(FM$5="Real",INDEX('Informacion de Sam'!$28:$28,MATCH(FM$6,'Informacion de Sam'!$1:$1,0)),FM$29*'Supuestos Proyeccion'!$F$32)</f>
        <v>2333185.3436113806</v>
      </c>
      <c r="FN33" s="23">
        <f>SUM(FB33:FM33)</f>
        <v>32478625.898763377</v>
      </c>
      <c r="FO33" s="23">
        <f>IF(FO$5="Real",INDEX('Informacion de Sam'!$28:$28,MATCH(FO$6,'Informacion de Sam'!$1:$1,0)),FO$29*'Supuestos Proyeccion'!$F$32)</f>
        <v>3054555.3837587819</v>
      </c>
      <c r="FP33" s="23">
        <f>IF(FP$5="Real",INDEX('Informacion de Sam'!$28:$28,MATCH(FP$6,'Informacion de Sam'!$1:$1,0)),FP$29*'Supuestos Proyeccion'!$F$32)</f>
        <v>4329903.9413498929</v>
      </c>
      <c r="FQ33" s="23">
        <f>IF(FQ$5="Real",INDEX('Informacion de Sam'!$28:$28,MATCH(FQ$6,'Informacion de Sam'!$1:$1,0)),FQ$29*'Supuestos Proyeccion'!$F$32)</f>
        <v>3107441.7709042402</v>
      </c>
      <c r="FR33" s="23">
        <f>IF(FR$5="Real",INDEX('Informacion de Sam'!$28:$28,MATCH(FR$6,'Informacion de Sam'!$1:$1,0)),FR$29*'Supuestos Proyeccion'!$F$32)</f>
        <v>3178988.0124443406</v>
      </c>
      <c r="FS33" s="23">
        <f>IF(FS$5="Real",INDEX('Informacion de Sam'!$28:$28,MATCH(FS$6,'Informacion de Sam'!$1:$1,0)),FS$29*'Supuestos Proyeccion'!$F$32)</f>
        <v>2796943.9654749059</v>
      </c>
      <c r="FT33" s="23">
        <f>IF(FT$5="Real",INDEX('Informacion de Sam'!$28:$28,MATCH(FT$6,'Informacion de Sam'!$1:$1,0)),FT$29*'Supuestos Proyeccion'!$F$32)</f>
        <v>3198617.1532905726</v>
      </c>
      <c r="FU33" s="23">
        <f>IF(FU$5="Real",INDEX('Informacion de Sam'!$28:$28,MATCH(FU$6,'Informacion de Sam'!$1:$1,0)),FU$29*'Supuestos Proyeccion'!$F$32)</f>
        <v>3452627.0577444956</v>
      </c>
      <c r="FV33" s="23">
        <f>IF(FV$5="Real",INDEX('Informacion de Sam'!$28:$28,MATCH(FV$6,'Informacion de Sam'!$1:$1,0)),FV$29*'Supuestos Proyeccion'!$F$32)</f>
        <v>5188251.8777946122</v>
      </c>
      <c r="FW33" s="23">
        <f>IF(FW$5="Real",INDEX('Informacion de Sam'!$28:$28,MATCH(FW$6,'Informacion de Sam'!$1:$1,0)),FW$29*'Supuestos Proyeccion'!$F$32)</f>
        <v>3166638.2562753065</v>
      </c>
      <c r="FX33" s="23">
        <f>IF(FX$5="Real",INDEX('Informacion de Sam'!$28:$28,MATCH(FX$6,'Informacion de Sam'!$1:$1,0)),FX$29*'Supuestos Proyeccion'!$F$32)</f>
        <v>3056878.2708037221</v>
      </c>
      <c r="FY33" s="23">
        <f>IF(FY$5="Real",INDEX('Informacion de Sam'!$28:$28,MATCH(FY$6,'Informacion de Sam'!$1:$1,0)),FY$29*'Supuestos Proyeccion'!$F$32)</f>
        <v>3150955.0040991222</v>
      </c>
      <c r="FZ33" s="23">
        <f>IF(FZ$5="Real",INDEX('Informacion de Sam'!$28:$28,MATCH(FZ$6,'Informacion de Sam'!$1:$1,0)),FZ$29*'Supuestos Proyeccion'!$F$32)</f>
        <v>2916481.6795142256</v>
      </c>
      <c r="GA33" s="23">
        <f>SUM(FO33:FZ33)</f>
        <v>40598282.373454213</v>
      </c>
      <c r="GB33" s="23">
        <f>IF(GB$5="Real",INDEX('Informacion de Sam'!$28:$28,MATCH(GB$6,'Informacion de Sam'!$1:$1,0)),GB$29*'Supuestos Proyeccion'!$F$32)</f>
        <v>3818194.2296984773</v>
      </c>
      <c r="GC33" s="23">
        <f>IF(GC$5="Real",INDEX('Informacion de Sam'!$28:$28,MATCH(GC$6,'Informacion de Sam'!$1:$1,0)),GC$29*'Supuestos Proyeccion'!$F$32)</f>
        <v>5412379.9266873673</v>
      </c>
      <c r="GD33" s="23">
        <f>IF(GD$5="Real",INDEX('Informacion de Sam'!$28:$28,MATCH(GD$6,'Informacion de Sam'!$1:$1,0)),GD$29*'Supuestos Proyeccion'!$F$32)</f>
        <v>3884302.2136303</v>
      </c>
      <c r="GE33" s="23">
        <f>IF(GE$5="Real",INDEX('Informacion de Sam'!$28:$28,MATCH(GE$6,'Informacion de Sam'!$1:$1,0)),GE$29*'Supuestos Proyeccion'!$F$32)</f>
        <v>3973735.0155554269</v>
      </c>
      <c r="GF33" s="23">
        <f>IF(GF$5="Real",INDEX('Informacion de Sam'!$28:$28,MATCH(GF$6,'Informacion de Sam'!$1:$1,0)),GF$29*'Supuestos Proyeccion'!$F$32)</f>
        <v>3496179.9568436323</v>
      </c>
      <c r="GG33" s="23">
        <f>IF(GG$5="Real",INDEX('Informacion de Sam'!$28:$28,MATCH(GG$6,'Informacion de Sam'!$1:$1,0)),GG$29*'Supuestos Proyeccion'!$F$32)</f>
        <v>3998271.4416132155</v>
      </c>
      <c r="GH33" s="23">
        <f>IF(GH$5="Real",INDEX('Informacion de Sam'!$28:$28,MATCH(GH$6,'Informacion de Sam'!$1:$1,0)),GH$29*'Supuestos Proyeccion'!$F$32)</f>
        <v>4315783.8221806195</v>
      </c>
      <c r="GI33" s="23">
        <f>IF(GI$5="Real",INDEX('Informacion de Sam'!$28:$28,MATCH(GI$6,'Informacion de Sam'!$1:$1,0)),GI$29*'Supuestos Proyeccion'!$F$32)</f>
        <v>6485314.8472432643</v>
      </c>
      <c r="GJ33" s="23">
        <f>IF(GJ$5="Real",INDEX('Informacion de Sam'!$28:$28,MATCH(GJ$6,'Informacion de Sam'!$1:$1,0)),GJ$29*'Supuestos Proyeccion'!$F$32)</f>
        <v>3958297.8203441342</v>
      </c>
      <c r="GK33" s="23">
        <f>IF(GK$5="Real",INDEX('Informacion de Sam'!$28:$28,MATCH(GK$6,'Informacion de Sam'!$1:$1,0)),GK$29*'Supuestos Proyeccion'!$F$32)</f>
        <v>3821097.838504652</v>
      </c>
      <c r="GL33" s="23">
        <f>IF(GL$5="Real",INDEX('Informacion de Sam'!$28:$28,MATCH(GL$6,'Informacion de Sam'!$1:$1,0)),GL$29*'Supuestos Proyeccion'!$F$32)</f>
        <v>3938693.755123903</v>
      </c>
      <c r="GM33" s="23">
        <f>IF(GM$5="Real",INDEX('Informacion de Sam'!$28:$28,MATCH(GM$6,'Informacion de Sam'!$1:$1,0)),GM$29*'Supuestos Proyeccion'!$F$32)</f>
        <v>3645602.0993927824</v>
      </c>
      <c r="GN33" s="23">
        <f>SUM(GB33:GM33)</f>
        <v>50747852.966817774</v>
      </c>
      <c r="GO33" s="23">
        <f>IF(GO$5="Real",INDEX('Informacion de Sam'!$28:$28,MATCH(GO$6,'Informacion de Sam'!$1:$1,0)),GO$29*'Supuestos Proyeccion'!$F$32)</f>
        <v>4772742.7871230962</v>
      </c>
      <c r="GP33" s="23">
        <f>IF(GP$5="Real",INDEX('Informacion de Sam'!$28:$28,MATCH(GP$6,'Informacion de Sam'!$1:$1,0)),GP$29*'Supuestos Proyeccion'!$F$32)</f>
        <v>6765474.9083592072</v>
      </c>
      <c r="GQ33" s="23">
        <f>IF(GQ$5="Real",INDEX('Informacion de Sam'!$28:$28,MATCH(GQ$6,'Informacion de Sam'!$1:$1,0)),GQ$29*'Supuestos Proyeccion'!$F$32)</f>
        <v>4855377.7670378741</v>
      </c>
      <c r="GR33" s="23">
        <f>IF(GR$5="Real",INDEX('Informacion de Sam'!$28:$28,MATCH(GR$6,'Informacion de Sam'!$1:$1,0)),GR$29*'Supuestos Proyeccion'!$F$32)</f>
        <v>4967168.7694442822</v>
      </c>
      <c r="GS33" s="23">
        <f>IF(GS$5="Real",INDEX('Informacion de Sam'!$28:$28,MATCH(GS$6,'Informacion de Sam'!$1:$1,0)),GS$29*'Supuestos Proyeccion'!$F$32)</f>
        <v>4370224.9460545396</v>
      </c>
      <c r="GT33" s="23">
        <f>IF(GT$5="Real",INDEX('Informacion de Sam'!$28:$28,MATCH(GT$6,'Informacion de Sam'!$1:$1,0)),GT$29*'Supuestos Proyeccion'!$F$32)</f>
        <v>4997839.3020165181</v>
      </c>
      <c r="GU33" s="23">
        <f>IF(GU$5="Real",INDEX('Informacion de Sam'!$28:$28,MATCH(GU$6,'Informacion de Sam'!$1:$1,0)),GU$29*'Supuestos Proyeccion'!$F$32)</f>
        <v>5394729.7777257739</v>
      </c>
      <c r="GV33" s="23">
        <f>IF(GV$5="Real",INDEX('Informacion de Sam'!$28:$28,MATCH(GV$6,'Informacion de Sam'!$1:$1,0)),GV$29*'Supuestos Proyeccion'!$F$32)</f>
        <v>8106643.5590540804</v>
      </c>
      <c r="GW33" s="23">
        <f>IF(GW$5="Real",INDEX('Informacion de Sam'!$28:$28,MATCH(GW$6,'Informacion de Sam'!$1:$1,0)),GW$29*'Supuestos Proyeccion'!$F$32)</f>
        <v>4947872.2754301671</v>
      </c>
      <c r="GX33" s="23">
        <f>IF(GX$5="Real",INDEX('Informacion de Sam'!$28:$28,MATCH(GX$6,'Informacion de Sam'!$1:$1,0)),GX$29*'Supuestos Proyeccion'!$F$32)</f>
        <v>4776372.2981308149</v>
      </c>
      <c r="GY33" s="23">
        <f>IF(GY$5="Real",INDEX('Informacion de Sam'!$28:$28,MATCH(GY$6,'Informacion de Sam'!$1:$1,0)),GY$29*'Supuestos Proyeccion'!$F$32)</f>
        <v>4923367.1939048786</v>
      </c>
      <c r="GZ33" s="23">
        <f>IF(GZ$5="Real",INDEX('Informacion de Sam'!$28:$28,MATCH(GZ$6,'Informacion de Sam'!$1:$1,0)),GZ$29*'Supuestos Proyeccion'!$F$32)</f>
        <v>4557002.6242409768</v>
      </c>
      <c r="HA33" s="23">
        <f>SUM(GO33:GZ33)</f>
        <v>63434816.208522215</v>
      </c>
      <c r="HB33" s="23"/>
      <c r="HC33" s="51">
        <f t="shared" si="10"/>
        <v>2911355.6</v>
      </c>
      <c r="HD33" s="51">
        <f t="shared" si="10"/>
        <v>4533169.38</v>
      </c>
      <c r="HE33" s="51">
        <f t="shared" si="10"/>
        <v>6084435.0899999999</v>
      </c>
      <c r="HF33" s="51">
        <f t="shared" si="10"/>
        <v>7774225.8099999996</v>
      </c>
      <c r="HG33" s="51">
        <f t="shared" si="10"/>
        <v>6113063.6100000003</v>
      </c>
      <c r="HH33" s="51">
        <f t="shared" si="10"/>
        <v>7520701.9400000004</v>
      </c>
      <c r="HI33" s="51">
        <f t="shared" si="10"/>
        <v>6318623.7807709929</v>
      </c>
      <c r="HJ33" s="51">
        <f t="shared" si="10"/>
        <v>10642596.134506783</v>
      </c>
      <c r="HK33" s="51">
        <f t="shared" si="10"/>
        <v>13303245.168133479</v>
      </c>
      <c r="HL33" s="51">
        <f t="shared" si="10"/>
        <v>16629056.460166847</v>
      </c>
      <c r="HM33" s="51">
        <f t="shared" si="10"/>
        <v>20786320.57520856</v>
      </c>
      <c r="HN33" s="51">
        <f t="shared" si="10"/>
        <v>25982900.7190107</v>
      </c>
      <c r="HO33" s="51">
        <f t="shared" si="10"/>
        <v>32478625.898763377</v>
      </c>
      <c r="HP33" s="51">
        <f t="shared" si="10"/>
        <v>40598282.373454213</v>
      </c>
      <c r="HQ33" s="51">
        <f t="shared" si="10"/>
        <v>50747852.966817774</v>
      </c>
      <c r="HR33" s="51">
        <f t="shared" si="10"/>
        <v>63434816.208522215</v>
      </c>
    </row>
    <row r="34" spans="1:226" x14ac:dyDescent="0.35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51"/>
      <c r="HD34" s="51"/>
      <c r="HE34" s="51"/>
      <c r="HF34" s="51"/>
      <c r="HG34" s="51"/>
      <c r="HH34" s="51"/>
      <c r="HI34" s="51"/>
      <c r="HJ34" s="51"/>
      <c r="HK34" s="51"/>
      <c r="HL34" s="51"/>
      <c r="HM34" s="51"/>
      <c r="HN34" s="51"/>
      <c r="HO34" s="51"/>
      <c r="HP34" s="51"/>
      <c r="HQ34" s="51"/>
      <c r="HR34" s="51"/>
    </row>
    <row r="35" spans="1:226" x14ac:dyDescent="0.35">
      <c r="A35" s="25" t="s">
        <v>28</v>
      </c>
      <c r="B35" s="29">
        <f>IF(B$5="Real",INDEX('Informacion de Sam'!$30:$30,MATCH(B$6,'Informacion de Sam'!$1:$1,0)),B$19-B$22)</f>
        <v>8646108.7100000009</v>
      </c>
      <c r="C35" s="29">
        <f>IF(C$5="Real",INDEX('Informacion de Sam'!$30:$30,MATCH(C$6,'Informacion de Sam'!$1:$1,0)),C$19-C$22)</f>
        <v>7348949.6200000066</v>
      </c>
      <c r="D35" s="29">
        <f>IF(D$5="Real",INDEX('Informacion de Sam'!$30:$30,MATCH(D$6,'Informacion de Sam'!$1:$1,0)),D$19-D$22)</f>
        <v>8039770.1499999985</v>
      </c>
      <c r="E35" s="29">
        <f>IF(E$5="Real",INDEX('Informacion de Sam'!$30:$30,MATCH(E$6,'Informacion de Sam'!$1:$1,0)),E$19-E$22)</f>
        <v>10013357.869999997</v>
      </c>
      <c r="F35" s="29">
        <f>IF(F$5="Real",INDEX('Informacion de Sam'!$30:$30,MATCH(F$6,'Informacion de Sam'!$1:$1,0)),F$19-F$22)</f>
        <v>8387806.6099999882</v>
      </c>
      <c r="G35" s="29">
        <f>IF(G$5="Real",INDEX('Informacion de Sam'!$30:$30,MATCH(G$6,'Informacion de Sam'!$1:$1,0)),G$19-G$22)</f>
        <v>11094107.630000006</v>
      </c>
      <c r="H35" s="29">
        <f>IF(H$5="Real",INDEX('Informacion de Sam'!$30:$30,MATCH(H$6,'Informacion de Sam'!$1:$1,0)),H$19-H$22)</f>
        <v>9795491.4499999993</v>
      </c>
      <c r="I35" s="29">
        <f>IF(I$5="Real",INDEX('Informacion de Sam'!$30:$30,MATCH(I$6,'Informacion de Sam'!$1:$1,0)),I$19-I$22)</f>
        <v>9305323.590000011</v>
      </c>
      <c r="J35" s="29">
        <f>IF(J$5="Real",INDEX('Informacion de Sam'!$30:$30,MATCH(J$6,'Informacion de Sam'!$1:$1,0)),J$19-J$22)</f>
        <v>3839846.7600000035</v>
      </c>
      <c r="K35" s="29">
        <f>IF(K$5="Real",INDEX('Informacion de Sam'!$30:$30,MATCH(K$6,'Informacion de Sam'!$1:$1,0)),K$19-K$22)</f>
        <v>7250719.4599999767</v>
      </c>
      <c r="L35" s="29">
        <f>IF(L$5="Real",INDEX('Informacion de Sam'!$30:$30,MATCH(L$6,'Informacion de Sam'!$1:$1,0)),L$19-L$22)</f>
        <v>7470436.6200000085</v>
      </c>
      <c r="M35" s="29">
        <f>IF(M$5="Real",INDEX('Informacion de Sam'!$30:$30,MATCH(M$6,'Informacion de Sam'!$1:$1,0)),M$19-M$22)</f>
        <v>8885883.3000000138</v>
      </c>
      <c r="N35" s="29">
        <f>SUM(B35:M35)</f>
        <v>100077801.77000003</v>
      </c>
      <c r="O35" s="29">
        <f>IF(O$5="Real",INDEX('Informacion de Sam'!$30:$30,MATCH(O$6,'Informacion de Sam'!$1:$1,0)),O$19-O$22)</f>
        <v>8765556.2200000025</v>
      </c>
      <c r="P35" s="29">
        <f>IF(P$5="Real",INDEX('Informacion de Sam'!$30:$30,MATCH(P$6,'Informacion de Sam'!$1:$1,0)),P$19-P$22)</f>
        <v>9798237.3800000064</v>
      </c>
      <c r="Q35" s="29">
        <f>IF(Q$5="Real",INDEX('Informacion de Sam'!$30:$30,MATCH(Q$6,'Informacion de Sam'!$1:$1,0)),Q$19-Q$22)</f>
        <v>4228617.5399999898</v>
      </c>
      <c r="R35" s="29">
        <f>IF(R$5="Real",INDEX('Informacion de Sam'!$30:$30,MATCH(R$6,'Informacion de Sam'!$1:$1,0)),R$19-R$22)</f>
        <v>7690555.0900000157</v>
      </c>
      <c r="S35" s="29">
        <f>IF(S$5="Real",INDEX('Informacion de Sam'!$30:$30,MATCH(S$6,'Informacion de Sam'!$1:$1,0)),S$19-S$22)</f>
        <v>6765388.9999999832</v>
      </c>
      <c r="T35" s="29">
        <f>IF(T$5="Real",INDEX('Informacion de Sam'!$30:$30,MATCH(T$6,'Informacion de Sam'!$1:$1,0)),T$19-T$22)</f>
        <v>7206588.0500000063</v>
      </c>
      <c r="U35" s="29">
        <f>IF(U$5="Real",INDEX('Informacion de Sam'!$30:$30,MATCH(U$6,'Informacion de Sam'!$1:$1,0)),U$19-U$22)</f>
        <v>8342749.079999987</v>
      </c>
      <c r="V35" s="29">
        <f>IF(V$5="Real",INDEX('Informacion de Sam'!$30:$30,MATCH(V$6,'Informacion de Sam'!$1:$1,0)),V$19-V$22)</f>
        <v>10270734.570000049</v>
      </c>
      <c r="W35" s="29">
        <f>IF(W$5="Real",INDEX('Informacion de Sam'!$30:$30,MATCH(W$6,'Informacion de Sam'!$1:$1,0)),W$19-W$22)</f>
        <v>5990764.4099999741</v>
      </c>
      <c r="X35" s="29">
        <f>IF(X$5="Real",INDEX('Informacion de Sam'!$30:$30,MATCH(X$6,'Informacion de Sam'!$1:$1,0)),X$19-X$22)</f>
        <v>7401241.5199999791</v>
      </c>
      <c r="Y35" s="29">
        <f>IF(Y$5="Real",INDEX('Informacion de Sam'!$30:$30,MATCH(Y$6,'Informacion de Sam'!$1:$1,0)),Y$19-Y$22)</f>
        <v>7410809.0500000343</v>
      </c>
      <c r="Z35" s="29">
        <f>IF(Z$5="Real",INDEX('Informacion de Sam'!$30:$30,MATCH(Z$6,'Informacion de Sam'!$1:$1,0)),Z$19-Z$22)</f>
        <v>7538835.4000000022</v>
      </c>
      <c r="AA35" s="29">
        <f>SUM(O35:Z35)</f>
        <v>91410077.310000032</v>
      </c>
      <c r="AB35" s="29">
        <f>IF(AB$5="Real",INDEX('Informacion de Sam'!$30:$30,MATCH(AB$6,'Informacion de Sam'!$1:$1,0)),AB$19-AB$22)</f>
        <v>7456296.2099999972</v>
      </c>
      <c r="AC35" s="29">
        <f>IF(AC$5="Real",INDEX('Informacion de Sam'!$30:$30,MATCH(AC$6,'Informacion de Sam'!$1:$1,0)),AC$19-AC$22)</f>
        <v>10250757.680000002</v>
      </c>
      <c r="AD35" s="29">
        <f>IF(AD$5="Real",INDEX('Informacion de Sam'!$30:$30,MATCH(AD$6,'Informacion de Sam'!$1:$1,0)),AD$19-AD$22)</f>
        <v>12241062.57</v>
      </c>
      <c r="AE35" s="29">
        <f>IF(AE$5="Real",INDEX('Informacion de Sam'!$30:$30,MATCH(AE$6,'Informacion de Sam'!$1:$1,0)),AE$19-AE$22)</f>
        <v>10176259.389999999</v>
      </c>
      <c r="AF35" s="29">
        <f>IF(AF$5="Real",INDEX('Informacion de Sam'!$30:$30,MATCH(AF$6,'Informacion de Sam'!$1:$1,0)),AF$19-AF$22)</f>
        <v>8735567.9999999925</v>
      </c>
      <c r="AG35" s="29">
        <f>IF(AG$5="Real",INDEX('Informacion de Sam'!$30:$30,MATCH(AG$6,'Informacion de Sam'!$1:$1,0)),AG$19-AG$22)</f>
        <v>14386558.419999992</v>
      </c>
      <c r="AH35" s="29">
        <f>IF(AH$5="Real",INDEX('Informacion de Sam'!$30:$30,MATCH(AH$6,'Informacion de Sam'!$1:$1,0)),AH$19-AH$22)</f>
        <v>12877928.489999996</v>
      </c>
      <c r="AI35" s="29">
        <f>IF(AI$5="Real",INDEX('Informacion de Sam'!$30:$30,MATCH(AI$6,'Informacion de Sam'!$1:$1,0)),AI$19-AI$22)</f>
        <v>12747665.040000003</v>
      </c>
      <c r="AJ35" s="29">
        <f>IF(AJ$5="Real",INDEX('Informacion de Sam'!$30:$30,MATCH(AJ$6,'Informacion de Sam'!$1:$1,0)),AJ$19-AJ$22)</f>
        <v>13128450.430000003</v>
      </c>
      <c r="AK35" s="29">
        <f>IF(AK$5="Real",INDEX('Informacion de Sam'!$30:$30,MATCH(AK$6,'Informacion de Sam'!$1:$1,0)),AK$19-AK$22)</f>
        <v>13425191.400000053</v>
      </c>
      <c r="AL35" s="29">
        <f>IF(AL$5="Real",INDEX('Informacion de Sam'!$30:$30,MATCH(AL$6,'Informacion de Sam'!$1:$1,0)),AL$19-AL$22)</f>
        <v>9865688.0999999698</v>
      </c>
      <c r="AM35" s="29">
        <f>IF(AM$5="Real",INDEX('Informacion de Sam'!$30:$30,MATCH(AM$6,'Informacion de Sam'!$1:$1,0)),AM$19-AM$22)</f>
        <v>17891717.989999972</v>
      </c>
      <c r="AN35" s="29">
        <f>SUM(AB35:AM35)</f>
        <v>143183143.72</v>
      </c>
      <c r="AO35" s="29">
        <f>IF(AO$5="Real",INDEX('Informacion de Sam'!$30:$30,MATCH(AO$6,'Informacion de Sam'!$1:$1,0)),AO$19-AO$22)</f>
        <v>13214912.210000005</v>
      </c>
      <c r="AP35" s="29">
        <f>IF(AP$5="Real",INDEX('Informacion de Sam'!$30:$30,MATCH(AP$6,'Informacion de Sam'!$1:$1,0)),AP$19-AP$22)</f>
        <v>14838046.119999994</v>
      </c>
      <c r="AQ35" s="29">
        <f>IF(AQ$5="Real",INDEX('Informacion de Sam'!$30:$30,MATCH(AQ$6,'Informacion de Sam'!$1:$1,0)),AQ$19-AQ$22)</f>
        <v>11733394.42999999</v>
      </c>
      <c r="AR35" s="29">
        <f>IF(AR$5="Real",INDEX('Informacion de Sam'!$30:$30,MATCH(AR$6,'Informacion de Sam'!$1:$1,0)),AR$19-AR$22)</f>
        <v>16715948.059999999</v>
      </c>
      <c r="AS35" s="29">
        <f>IF(AS$5="Real",INDEX('Informacion de Sam'!$30:$30,MATCH(AS$6,'Informacion de Sam'!$1:$1,0)),AS$19-AS$22)</f>
        <v>13709555.730000023</v>
      </c>
      <c r="AT35" s="29">
        <f>IF(AT$5="Real",INDEX('Informacion de Sam'!$30:$30,MATCH(AT$6,'Informacion de Sam'!$1:$1,0)),AT$19-AT$22)</f>
        <v>13673344.939999945</v>
      </c>
      <c r="AU35" s="29">
        <f>IF(AU$5="Real",INDEX('Informacion de Sam'!$30:$30,MATCH(AU$6,'Informacion de Sam'!$1:$1,0)),AU$19-AU$22)</f>
        <v>9875013.7000000551</v>
      </c>
      <c r="AV35" s="29">
        <f>IF(AV$5="Real",INDEX('Informacion de Sam'!$30:$30,MATCH(AV$6,'Informacion de Sam'!$1:$1,0)),AV$19-AV$22)</f>
        <v>11757857.979999956</v>
      </c>
      <c r="AW35" s="29">
        <f>IF(AW$5="Real",INDEX('Informacion de Sam'!$30:$30,MATCH(AW$6,'Informacion de Sam'!$1:$1,0)),AW$19-AW$22)</f>
        <v>12199739.619999997</v>
      </c>
      <c r="AX35" s="29">
        <f>IF(AX$5="Real",INDEX('Informacion de Sam'!$30:$30,MATCH(AX$6,'Informacion de Sam'!$1:$1,0)),AX$19-AX$22)</f>
        <v>10717330.080000043</v>
      </c>
      <c r="AY35" s="29">
        <f>IF(AY$5="Real",INDEX('Informacion de Sam'!$30:$30,MATCH(AY$6,'Informacion de Sam'!$1:$1,0)),AY$19-AY$22)</f>
        <v>9226446.2299999688</v>
      </c>
      <c r="AZ35" s="29">
        <f>IF(AZ$5="Real",INDEX('Informacion de Sam'!$30:$30,MATCH(AZ$6,'Informacion de Sam'!$1:$1,0)),AZ$19-AZ$22)</f>
        <v>23081574.110000107</v>
      </c>
      <c r="BA35" s="29">
        <f>SUM(AO35:AZ35)</f>
        <v>160743163.21000007</v>
      </c>
      <c r="BB35" s="29">
        <f>IF(BB$5="Real",INDEX('Informacion de Sam'!$30:$30,MATCH(BB$6,'Informacion de Sam'!$1:$1,0)),BB$19-BB$22)</f>
        <v>9946044.7000000011</v>
      </c>
      <c r="BC35" s="29">
        <f>IF(BC$5="Real",INDEX('Informacion de Sam'!$30:$30,MATCH(BC$6,'Informacion de Sam'!$1:$1,0)),BC$19-BC$22)</f>
        <v>11864265.360000012</v>
      </c>
      <c r="BD35" s="29">
        <f>IF(BD$5="Real",INDEX('Informacion de Sam'!$30:$30,MATCH(BD$6,'Informacion de Sam'!$1:$1,0)),BD$19-BD$22)</f>
        <v>10740807.470000001</v>
      </c>
      <c r="BE35" s="29">
        <f>IF(BE$5="Real",INDEX('Informacion de Sam'!$30:$30,MATCH(BE$6,'Informacion de Sam'!$1:$1,0)),BE$19-BE$22)</f>
        <v>16887220.25</v>
      </c>
      <c r="BF35" s="29">
        <f>IF(BF$5="Real",INDEX('Informacion de Sam'!$30:$30,MATCH(BF$6,'Informacion de Sam'!$1:$1,0)),BF$19-BF$22)</f>
        <v>11774292.939999964</v>
      </c>
      <c r="BG35" s="29">
        <f>IF(BG$5="Real",INDEX('Informacion de Sam'!$30:$30,MATCH(BG$6,'Informacion de Sam'!$1:$1,0)),BG$19-BG$22)</f>
        <v>14817605.370000007</v>
      </c>
      <c r="BH35" s="29">
        <f>IF(BH$5="Real",INDEX('Informacion de Sam'!$30:$30,MATCH(BH$6,'Informacion de Sam'!$1:$1,0)),BH$19-BH$22)</f>
        <v>14191945.020000027</v>
      </c>
      <c r="BI35" s="29">
        <f>IF(BI$5="Real",INDEX('Informacion de Sam'!$30:$30,MATCH(BI$6,'Informacion de Sam'!$1:$1,0)),BI$19-BI$22)</f>
        <v>18153618.449999988</v>
      </c>
      <c r="BJ35" s="29">
        <f>IF(BJ$5="Real",INDEX('Informacion de Sam'!$30:$30,MATCH(BJ$6,'Informacion de Sam'!$1:$1,0)),BJ$19-BJ$22)</f>
        <v>11452206.519999988</v>
      </c>
      <c r="BK35" s="29">
        <f>IF(BK$5="Real",INDEX('Informacion de Sam'!$30:$30,MATCH(BK$6,'Informacion de Sam'!$1:$1,0)),BK$19-BK$22)</f>
        <v>20672797.479999993</v>
      </c>
      <c r="BL35" s="29">
        <f>IF(BL$5="Real",INDEX('Informacion de Sam'!$30:$30,MATCH(BL$6,'Informacion de Sam'!$1:$1,0)),BL$19-BL$22)</f>
        <v>7437824.0300000161</v>
      </c>
      <c r="BM35" s="29">
        <f>IF(BM$5="Real",INDEX('Informacion de Sam'!$30:$30,MATCH(BM$6,'Informacion de Sam'!$1:$1,0)),BM$19-BM$22)</f>
        <v>25904213.550000034</v>
      </c>
      <c r="BN35" s="29">
        <f>SUM(BB35:BM35)</f>
        <v>173842841.14000002</v>
      </c>
      <c r="BO35" s="29">
        <f>IF(BO$5="Real",INDEX('Informacion de Sam'!$30:$30,MATCH(BO$6,'Informacion de Sam'!$1:$1,0)),BO$19-BO$22)</f>
        <v>13883619.850000005</v>
      </c>
      <c r="BP35" s="29">
        <f>IF(BP$5="Real",INDEX('Informacion de Sam'!$30:$30,MATCH(BP$6,'Informacion de Sam'!$1:$1,0)),BP$19-BP$22)</f>
        <v>13311969.359999992</v>
      </c>
      <c r="BQ35" s="29">
        <f>IF(BQ$5="Real",INDEX('Informacion de Sam'!$30:$30,MATCH(BQ$6,'Informacion de Sam'!$1:$1,0)),BQ$19-BQ$22)</f>
        <v>11577475.770000014</v>
      </c>
      <c r="BR35" s="29">
        <f>IF(BR$5="Real",INDEX('Informacion de Sam'!$30:$30,MATCH(BR$6,'Informacion de Sam'!$1:$1,0)),BR$19-BR$22)</f>
        <v>13704695.529999996</v>
      </c>
      <c r="BS35" s="29">
        <f>IF(BS$5="Real",INDEX('Informacion de Sam'!$30:$30,MATCH(BS$6,'Informacion de Sam'!$1:$1,0)),BS$19-BS$22)</f>
        <v>15800820.10999997</v>
      </c>
      <c r="BT35" s="29">
        <f>IF(BT$5="Real",INDEX('Informacion de Sam'!$30:$30,MATCH(BT$6,'Informacion de Sam'!$1:$1,0)),BT$19-BT$22)</f>
        <v>16447154.580000043</v>
      </c>
      <c r="BU35" s="29">
        <f>IF(BU$5="Real",INDEX('Informacion de Sam'!$30:$30,MATCH(BU$6,'Informacion de Sam'!$1:$1,0)),BU$19-BU$22)</f>
        <v>8647430.5699999966</v>
      </c>
      <c r="BV35" s="29">
        <f>IF(BV$5="Real",INDEX('Informacion de Sam'!$30:$30,MATCH(BV$6,'Informacion de Sam'!$1:$1,0)),BV$19-BV$22)</f>
        <v>14293711.80000001</v>
      </c>
      <c r="BW35" s="29">
        <f>IF(BW$5="Real",INDEX('Informacion de Sam'!$30:$30,MATCH(BW$6,'Informacion de Sam'!$1:$1,0)),BW$19-BW$22)</f>
        <v>17020262.429999992</v>
      </c>
      <c r="BX35" s="29">
        <f>IF(BX$5="Real",INDEX('Informacion de Sam'!$30:$30,MATCH(BX$6,'Informacion de Sam'!$1:$1,0)),BX$19-BX$22)</f>
        <v>12780270.980000038</v>
      </c>
      <c r="BY35" s="29">
        <f>IF(BY$5="Real",INDEX('Informacion de Sam'!$30:$30,MATCH(BY$6,'Informacion de Sam'!$1:$1,0)),BY$19-BY$22)</f>
        <v>17290670.279999964</v>
      </c>
      <c r="BZ35" s="29">
        <f>IF(BZ$5="Real",INDEX('Informacion de Sam'!$30:$30,MATCH(BZ$6,'Informacion de Sam'!$1:$1,0)),BZ$19-BZ$22)</f>
        <v>13818537.410000037</v>
      </c>
      <c r="CA35" s="29">
        <f>SUM(BO35:BZ35)</f>
        <v>168576618.67000005</v>
      </c>
      <c r="CB35" s="29">
        <f>IF(CB$5="Real",INDEX('Informacion de Sam'!$30:$30,MATCH(CB$6,'Informacion de Sam'!$1:$1,0)),CB$19-CB$22)</f>
        <v>16001022.750000002</v>
      </c>
      <c r="CC35" s="29">
        <f>IF(CC$5="Real",INDEX('Informacion de Sam'!$30:$30,MATCH(CC$6,'Informacion de Sam'!$1:$1,0)),CC$19-CC$22)</f>
        <v>16897588.00999999</v>
      </c>
      <c r="CD35" s="29">
        <f>IF(CD$5="Real",INDEX('Informacion de Sam'!$30:$30,MATCH(CD$6,'Informacion de Sam'!$1:$1,0)),CD$19-CD$22)</f>
        <v>18140753.010000005</v>
      </c>
      <c r="CE35" s="29">
        <f>IF(CE$5="Real",INDEX('Informacion de Sam'!$30:$30,MATCH(CE$6,'Informacion de Sam'!$1:$1,0)),CE$19-CE$22)</f>
        <v>12937494.940000001</v>
      </c>
      <c r="CF35" s="29">
        <f>IF(CF$5="Real",INDEX('Informacion de Sam'!$30:$30,MATCH(CF$6,'Informacion de Sam'!$1:$1,0)),CF$19-CF$22)</f>
        <v>15708626.370000008</v>
      </c>
      <c r="CG35" s="29">
        <f>IF(CG$5="Real",INDEX('Informacion de Sam'!$30:$30,MATCH(CG$6,'Informacion de Sam'!$1:$1,0)),CG$19-CG$22)</f>
        <v>15021502.41000003</v>
      </c>
      <c r="CH35" s="29">
        <f>IF(CH$5="Real",INDEX('Informacion de Sam'!$30:$30,MATCH(CH$6,'Informacion de Sam'!$1:$1,0)),CH$19-CH$22)</f>
        <v>14934520.629999965</v>
      </c>
      <c r="CI35" s="29">
        <f>IF(CI$5="Real",INDEX('Informacion de Sam'!$30:$30,MATCH(CI$6,'Informacion de Sam'!$1:$1,0)),CI$19-CI$22)</f>
        <v>11403611.150000032</v>
      </c>
      <c r="CJ35" s="29">
        <f>IF(CJ$5="Real",INDEX('Informacion de Sam'!$30:$30,MATCH(CJ$6,'Informacion de Sam'!$1:$1,0)),CJ$19-CJ$22)</f>
        <v>16446806.671087462</v>
      </c>
      <c r="CK35" s="29">
        <f>IF(CK$5="Real",INDEX('Informacion de Sam'!$30:$30,MATCH(CK$6,'Informacion de Sam'!$1:$1,0)),CK$19-CK$22)</f>
        <v>10933911.269077219</v>
      </c>
      <c r="CL35" s="29">
        <f>IF(CL$5="Real",INDEX('Informacion de Sam'!$30:$30,MATCH(CL$6,'Informacion de Sam'!$1:$1,0)),CL$19-CL$22)</f>
        <v>10373001.956267878</v>
      </c>
      <c r="CM35" s="29">
        <f>IF(CM$5="Real",INDEX('Informacion de Sam'!$30:$30,MATCH(CM$6,'Informacion de Sam'!$1:$1,0)),CM$19-CM$22)</f>
        <v>6158816.7739323564</v>
      </c>
      <c r="CN35" s="29">
        <f>SUM(CB35:CM35)</f>
        <v>164957655.94036493</v>
      </c>
      <c r="CO35" s="29">
        <f>IF(CO$5="Real",INDEX('Informacion de Sam'!$30:$30,MATCH(CO$6,'Informacion de Sam'!$1:$1,0)),CO$19-CO$22)</f>
        <v>14621355.217025578</v>
      </c>
      <c r="CP35" s="29">
        <f>IF(CP$5="Real",INDEX('Informacion de Sam'!$30:$30,MATCH(CP$6,'Informacion de Sam'!$1:$1,0)),CP$19-CP$22)</f>
        <v>21114956.233289905</v>
      </c>
      <c r="CQ35" s="29">
        <f>IF(CQ$5="Real",INDEX('Informacion de Sam'!$30:$30,MATCH(CQ$6,'Informacion de Sam'!$1:$1,0)),CQ$19-CQ$22)</f>
        <v>12920956.591468055</v>
      </c>
      <c r="CR35" s="29">
        <f>IF(CR$5="Real",INDEX('Informacion de Sam'!$30:$30,MATCH(CR$6,'Informacion de Sam'!$1:$1,0)),CR$19-CR$22)</f>
        <v>11349186.921555657</v>
      </c>
      <c r="CS35" s="29">
        <f>IF(CS$5="Real",INDEX('Informacion de Sam'!$30:$30,MATCH(CS$6,'Informacion de Sam'!$1:$1,0)),CS$19-CS$22)</f>
        <v>10664091.857140508</v>
      </c>
      <c r="CT35" s="29">
        <f>IF(CT$5="Real",INDEX('Informacion de Sam'!$30:$30,MATCH(CT$6,'Informacion de Sam'!$1:$1,0)),CT$19-CT$22)</f>
        <v>8685327.6256220862</v>
      </c>
      <c r="CU35" s="29">
        <f>IF(CU$5="Real",INDEX('Informacion de Sam'!$30:$30,MATCH(CU$6,'Informacion de Sam'!$1:$1,0)),CU$19-CU$22)</f>
        <v>9342090.1779396683</v>
      </c>
      <c r="CV35" s="29">
        <f>IF(CV$5="Real",INDEX('Informacion de Sam'!$30:$30,MATCH(CV$6,'Informacion de Sam'!$1:$1,0)),CV$19-CV$22)</f>
        <v>10797688.283342816</v>
      </c>
      <c r="CW35" s="29">
        <f>IF(CW$5="Real",INDEX('Informacion de Sam'!$30:$30,MATCH(CW$6,'Informacion de Sam'!$1:$1,0)),CW$19-CW$22)</f>
        <v>11130217.867536627</v>
      </c>
      <c r="CX35" s="29">
        <f>IF(CX$5="Real",INDEX('Informacion de Sam'!$30:$30,MATCH(CX$6,'Informacion de Sam'!$1:$1,0)),CX$19-CX$22)</f>
        <v>10744429.390114091</v>
      </c>
      <c r="CY35" s="29">
        <f>IF(CY$5="Real",INDEX('Informacion de Sam'!$30:$30,MATCH(CY$6,'Informacion de Sam'!$1:$1,0)),CY$19-CY$22)</f>
        <v>11075093.789740074</v>
      </c>
      <c r="CZ35" s="29">
        <f>IF(CZ$5="Real",INDEX('Informacion de Sam'!$30:$30,MATCH(CZ$6,'Informacion de Sam'!$1:$1,0)),CZ$19-CZ$22)</f>
        <v>10250958.231602412</v>
      </c>
      <c r="DA35" s="29">
        <f>SUM(CO35:CZ35)</f>
        <v>142696352.1863775</v>
      </c>
      <c r="DB35" s="29">
        <f>IF(DB$5="Real",INDEX('Informacion de Sam'!$30:$30,MATCH(DB$6,'Informacion de Sam'!$1:$1,0)),DB$19-DB$22)</f>
        <v>13420331.025464788</v>
      </c>
      <c r="DC35" s="29">
        <f>IF(DC$5="Real",INDEX('Informacion de Sam'!$30:$30,MATCH(DC$6,'Informacion de Sam'!$1:$1,0)),DC$19-DC$22)</f>
        <v>19023634.179411918</v>
      </c>
      <c r="DD35" s="29">
        <f>IF(DD$5="Real",INDEX('Informacion de Sam'!$30:$30,MATCH(DD$6,'Informacion de Sam'!$1:$1,0)),DD$19-DD$22)</f>
        <v>13652689.825048767</v>
      </c>
      <c r="DE35" s="29">
        <f>IF(DE$5="Real",INDEX('Informacion de Sam'!$30:$30,MATCH(DE$6,'Informacion de Sam'!$1:$1,0)),DE$19-DE$22)</f>
        <v>13967031.562049605</v>
      </c>
      <c r="DF35" s="29">
        <f>IF(DF$5="Real",INDEX('Informacion de Sam'!$30:$30,MATCH(DF$6,'Informacion de Sam'!$1:$1,0)),DF$19-DF$22)</f>
        <v>12288503.287885912</v>
      </c>
      <c r="DG35" s="29">
        <f>IF(DG$5="Real",INDEX('Informacion de Sam'!$30:$30,MATCH(DG$6,'Informacion de Sam'!$1:$1,0)),DG$19-DG$22)</f>
        <v>14053273.104534827</v>
      </c>
      <c r="DH35" s="29">
        <f>IF(DH$5="Real",INDEX('Informacion de Sam'!$30:$30,MATCH(DH$6,'Informacion de Sam'!$1:$1,0)),DH$19-DH$22)</f>
        <v>15169277.423737422</v>
      </c>
      <c r="DI35" s="29">
        <f>IF(DI$5="Real",INDEX('Informacion de Sam'!$30:$30,MATCH(DI$6,'Informacion de Sam'!$1:$1,0)),DI$19-DI$22)</f>
        <v>22794825.726097077</v>
      </c>
      <c r="DJ35" s="29">
        <f>IF(DJ$5="Real",INDEX('Informacion de Sam'!$30:$30,MATCH(DJ$6,'Informacion de Sam'!$1:$1,0)),DJ$19-DJ$22)</f>
        <v>13912772.334420782</v>
      </c>
      <c r="DK35" s="29">
        <f>IF(DK$5="Real",INDEX('Informacion de Sam'!$30:$30,MATCH(DK$6,'Informacion de Sam'!$1:$1,0)),DK$19-DK$22)</f>
        <v>13430536.73764262</v>
      </c>
      <c r="DL35" s="29">
        <f>IF(DL$5="Real",INDEX('Informacion de Sam'!$30:$30,MATCH(DL$6,'Informacion de Sam'!$1:$1,0)),DL$19-DL$22)</f>
        <v>13843867.2371751</v>
      </c>
      <c r="DM35" s="29">
        <f>IF(DM$5="Real",INDEX('Informacion de Sam'!$30:$30,MATCH(DM$6,'Informacion de Sam'!$1:$1,0)),DM$19-DM$22)</f>
        <v>12813697.789503008</v>
      </c>
      <c r="DN35" s="29">
        <f>SUM(DB35:DM35)</f>
        <v>178370440.23297185</v>
      </c>
      <c r="DO35" s="29">
        <f>IF(DO$5="Real",INDEX('Informacion de Sam'!$30:$30,MATCH(DO$6,'Informacion de Sam'!$1:$1,0)),DO$19-DO$22)</f>
        <v>16775413.781830996</v>
      </c>
      <c r="DP35" s="29">
        <f>IF(DP$5="Real",INDEX('Informacion de Sam'!$30:$30,MATCH(DP$6,'Informacion de Sam'!$1:$1,0)),DP$19-DP$22)</f>
        <v>23779542.724264897</v>
      </c>
      <c r="DQ35" s="29">
        <f>IF(DQ$5="Real",INDEX('Informacion de Sam'!$30:$30,MATCH(DQ$6,'Informacion de Sam'!$1:$1,0)),DQ$19-DQ$22)</f>
        <v>17065862.281310949</v>
      </c>
      <c r="DR35" s="29">
        <f>IF(DR$5="Real",INDEX('Informacion de Sam'!$30:$30,MATCH(DR$6,'Informacion de Sam'!$1:$1,0)),DR$19-DR$22)</f>
        <v>17458789.452562008</v>
      </c>
      <c r="DS35" s="29">
        <f>IF(DS$5="Real",INDEX('Informacion de Sam'!$30:$30,MATCH(DS$6,'Informacion de Sam'!$1:$1,0)),DS$19-DS$22)</f>
        <v>15360629.109857388</v>
      </c>
      <c r="DT35" s="29">
        <f>IF(DT$5="Real",INDEX('Informacion de Sam'!$30:$30,MATCH(DT$6,'Informacion de Sam'!$1:$1,0)),DT$19-DT$22)</f>
        <v>17566591.380668528</v>
      </c>
      <c r="DU35" s="29">
        <f>IF(DU$5="Real",INDEX('Informacion de Sam'!$30:$30,MATCH(DU$6,'Informacion de Sam'!$1:$1,0)),DU$19-DU$22)</f>
        <v>18961596.779671781</v>
      </c>
      <c r="DV35" s="29">
        <f>IF(DV$5="Real",INDEX('Informacion de Sam'!$30:$30,MATCH(DV$6,'Informacion de Sam'!$1:$1,0)),DV$19-DV$22)</f>
        <v>28493532.157621354</v>
      </c>
      <c r="DW35" s="29">
        <f>IF(DW$5="Real",INDEX('Informacion de Sam'!$30:$30,MATCH(DW$6,'Informacion de Sam'!$1:$1,0)),DW$19-DW$22)</f>
        <v>17390965.418025978</v>
      </c>
      <c r="DX35" s="29">
        <f>IF(DX$5="Real",INDEX('Informacion de Sam'!$30:$30,MATCH(DX$6,'Informacion de Sam'!$1:$1,0)),DX$19-DX$22)</f>
        <v>16788170.92205327</v>
      </c>
      <c r="DY35" s="29">
        <f>IF(DY$5="Real",INDEX('Informacion de Sam'!$30:$30,MATCH(DY$6,'Informacion de Sam'!$1:$1,0)),DY$19-DY$22)</f>
        <v>17304834.046468876</v>
      </c>
      <c r="DZ35" s="29">
        <f>IF(DZ$5="Real",INDEX('Informacion de Sam'!$30:$30,MATCH(DZ$6,'Informacion de Sam'!$1:$1,0)),DZ$19-DZ$22)</f>
        <v>16017122.236878771</v>
      </c>
      <c r="EA35" s="29">
        <f>SUM(DO35:DZ35)</f>
        <v>222963050.29121482</v>
      </c>
      <c r="EB35" s="29">
        <f>IF(EB$5="Real",INDEX('Informacion de Sam'!$30:$30,MATCH(EB$6,'Informacion de Sam'!$1:$1,0)),EB$19-EB$22)</f>
        <v>20969267.227288738</v>
      </c>
      <c r="EC35" s="29">
        <f>IF(EC$5="Real",INDEX('Informacion de Sam'!$30:$30,MATCH(EC$6,'Informacion de Sam'!$1:$1,0)),EC$19-EC$22)</f>
        <v>29724428.405331135</v>
      </c>
      <c r="ED35" s="29">
        <f>IF(ED$5="Real",INDEX('Informacion de Sam'!$30:$30,MATCH(ED$6,'Informacion de Sam'!$1:$1,0)),ED$19-ED$22)</f>
        <v>21332327.85163869</v>
      </c>
      <c r="EE35" s="29">
        <f>IF(EE$5="Real",INDEX('Informacion de Sam'!$30:$30,MATCH(EE$6,'Informacion de Sam'!$1:$1,0)),EE$19-EE$22)</f>
        <v>21823486.815702505</v>
      </c>
      <c r="EF35" s="29">
        <f>IF(EF$5="Real",INDEX('Informacion de Sam'!$30:$30,MATCH(EF$6,'Informacion de Sam'!$1:$1,0)),EF$19-EF$22)</f>
        <v>19200786.38732174</v>
      </c>
      <c r="EG35" s="29">
        <f>IF(EG$5="Real",INDEX('Informacion de Sam'!$30:$30,MATCH(EG$6,'Informacion de Sam'!$1:$1,0)),EG$19-EG$22)</f>
        <v>21958239.225835674</v>
      </c>
      <c r="EH35" s="29">
        <f>IF(EH$5="Real",INDEX('Informacion de Sam'!$30:$30,MATCH(EH$6,'Informacion de Sam'!$1:$1,0)),EH$19-EH$22)</f>
        <v>23701995.97458972</v>
      </c>
      <c r="EI35" s="29">
        <f>IF(EI$5="Real",INDEX('Informacion de Sam'!$30:$30,MATCH(EI$6,'Informacion de Sam'!$1:$1,0)),EI$19-EI$22)</f>
        <v>35616915.197026685</v>
      </c>
      <c r="EJ35" s="29">
        <f>IF(EJ$5="Real",INDEX('Informacion de Sam'!$30:$30,MATCH(EJ$6,'Informacion de Sam'!$1:$1,0)),EJ$19-EJ$22)</f>
        <v>21738706.772532478</v>
      </c>
      <c r="EK35" s="29">
        <f>IF(EK$5="Real",INDEX('Informacion de Sam'!$30:$30,MATCH(EK$6,'Informacion de Sam'!$1:$1,0)),EK$19-EK$22)</f>
        <v>20985213.652566582</v>
      </c>
      <c r="EL35" s="29">
        <f>IF(EL$5="Real",INDEX('Informacion de Sam'!$30:$30,MATCH(EL$6,'Informacion de Sam'!$1:$1,0)),EL$19-EL$22)</f>
        <v>21631042.558086082</v>
      </c>
      <c r="EM35" s="29">
        <f>IF(EM$5="Real",INDEX('Informacion de Sam'!$30:$30,MATCH(EM$6,'Informacion de Sam'!$1:$1,0)),EM$19-EM$22)</f>
        <v>20021402.796098456</v>
      </c>
      <c r="EN35" s="29">
        <f>SUM(EB35:EM35)</f>
        <v>278703812.86401844</v>
      </c>
      <c r="EO35" s="29">
        <f>IF(EO$5="Real",INDEX('Informacion de Sam'!$30:$30,MATCH(EO$6,'Informacion de Sam'!$1:$1,0)),EO$19-EO$22)</f>
        <v>26211584.034110934</v>
      </c>
      <c r="EP35" s="29">
        <f>IF(EP$5="Real",INDEX('Informacion de Sam'!$30:$30,MATCH(EP$6,'Informacion de Sam'!$1:$1,0)),EP$19-EP$22)</f>
        <v>37155535.506663911</v>
      </c>
      <c r="EQ35" s="29">
        <f>IF(EQ$5="Real",INDEX('Informacion de Sam'!$30:$30,MATCH(EQ$6,'Informacion de Sam'!$1:$1,0)),EQ$19-EQ$22)</f>
        <v>26665409.814548373</v>
      </c>
      <c r="ER35" s="29">
        <f>IF(ER$5="Real",INDEX('Informacion de Sam'!$30:$30,MATCH(ER$6,'Informacion de Sam'!$1:$1,0)),ER$19-ER$22)</f>
        <v>27279358.519628137</v>
      </c>
      <c r="ES35" s="29">
        <f>IF(ES$5="Real",INDEX('Informacion de Sam'!$30:$30,MATCH(ES$6,'Informacion de Sam'!$1:$1,0)),ES$19-ES$22)</f>
        <v>24000982.984152175</v>
      </c>
      <c r="ET35" s="29">
        <f>IF(ET$5="Real",INDEX('Informacion de Sam'!$30:$30,MATCH(ET$6,'Informacion de Sam'!$1:$1,0)),ET$19-ET$22)</f>
        <v>27447799.032294586</v>
      </c>
      <c r="EU35" s="29">
        <f>IF(EU$5="Real",INDEX('Informacion de Sam'!$30:$30,MATCH(EU$6,'Informacion de Sam'!$1:$1,0)),EU$19-EU$22)</f>
        <v>29627494.968237162</v>
      </c>
      <c r="EV35" s="29">
        <f>IF(EV$5="Real",INDEX('Informacion de Sam'!$30:$30,MATCH(EV$6,'Informacion de Sam'!$1:$1,0)),EV$19-EV$22)</f>
        <v>44521143.996283352</v>
      </c>
      <c r="EW35" s="29">
        <f>IF(EW$5="Real",INDEX('Informacion de Sam'!$30:$30,MATCH(EW$6,'Informacion de Sam'!$1:$1,0)),EW$19-EW$22)</f>
        <v>27173383.465665586</v>
      </c>
      <c r="EX35" s="29">
        <f>IF(EX$5="Real",INDEX('Informacion de Sam'!$30:$30,MATCH(EX$6,'Informacion de Sam'!$1:$1,0)),EX$19-EX$22)</f>
        <v>26231517.065708227</v>
      </c>
      <c r="EY35" s="29">
        <f>IF(EY$5="Real",INDEX('Informacion de Sam'!$30:$30,MATCH(EY$6,'Informacion de Sam'!$1:$1,0)),EY$19-EY$22)</f>
        <v>27038803.197607622</v>
      </c>
      <c r="EZ35" s="29">
        <f>IF(EZ$5="Real",INDEX('Informacion de Sam'!$30:$30,MATCH(EZ$6,'Informacion de Sam'!$1:$1,0)),EZ$19-EZ$22)</f>
        <v>25026753.495123073</v>
      </c>
      <c r="FA35" s="29">
        <f>SUM(EO35:EZ35)</f>
        <v>348379766.08002317</v>
      </c>
      <c r="FB35" s="29">
        <f>IF(FB$5="Real",INDEX('Informacion de Sam'!$30:$30,MATCH(FB$6,'Informacion de Sam'!$1:$1,0)),FB$19-FB$22)</f>
        <v>32764480.042638645</v>
      </c>
      <c r="FC35" s="29">
        <f>IF(FC$5="Real",INDEX('Informacion de Sam'!$30:$30,MATCH(FC$6,'Informacion de Sam'!$1:$1,0)),FC$19-FC$22)</f>
        <v>46444419.383329898</v>
      </c>
      <c r="FD35" s="29">
        <f>IF(FD$5="Real",INDEX('Informacion de Sam'!$30:$30,MATCH(FD$6,'Informacion de Sam'!$1:$1,0)),FD$19-FD$22)</f>
        <v>33331762.268185459</v>
      </c>
      <c r="FE35" s="29">
        <f>IF(FE$5="Real",INDEX('Informacion de Sam'!$30:$30,MATCH(FE$6,'Informacion de Sam'!$1:$1,0)),FE$19-FE$22)</f>
        <v>34099198.149535149</v>
      </c>
      <c r="FF35" s="29">
        <f>IF(FF$5="Real",INDEX('Informacion de Sam'!$30:$30,MATCH(FF$6,'Informacion de Sam'!$1:$1,0)),FF$19-FF$22)</f>
        <v>30001228.730190217</v>
      </c>
      <c r="FG35" s="29">
        <f>IF(FG$5="Real",INDEX('Informacion de Sam'!$30:$30,MATCH(FG$6,'Informacion de Sam'!$1:$1,0)),FG$19-FG$22)</f>
        <v>34309748.790368229</v>
      </c>
      <c r="FH35" s="29">
        <f>IF(FH$5="Real",INDEX('Informacion de Sam'!$30:$30,MATCH(FH$6,'Informacion de Sam'!$1:$1,0)),FH$19-FH$22)</f>
        <v>37034368.710296459</v>
      </c>
      <c r="FI35" s="29">
        <f>IF(FI$5="Real",INDEX('Informacion de Sam'!$30:$30,MATCH(FI$6,'Informacion de Sam'!$1:$1,0)),FI$19-FI$22)</f>
        <v>55651429.99535422</v>
      </c>
      <c r="FJ35" s="29">
        <f>IF(FJ$5="Real",INDEX('Informacion de Sam'!$30:$30,MATCH(FJ$6,'Informacion de Sam'!$1:$1,0)),FJ$19-FJ$22)</f>
        <v>33966729.332082003</v>
      </c>
      <c r="FK35" s="29">
        <f>IF(FK$5="Real",INDEX('Informacion de Sam'!$30:$30,MATCH(FK$6,'Informacion de Sam'!$1:$1,0)),FK$19-FK$22)</f>
        <v>32789396.33213529</v>
      </c>
      <c r="FL35" s="29">
        <f>IF(FL$5="Real",INDEX('Informacion de Sam'!$30:$30,MATCH(FL$6,'Informacion de Sam'!$1:$1,0)),FL$19-FL$22)</f>
        <v>33798503.997009516</v>
      </c>
      <c r="FM35" s="29">
        <f>IF(FM$5="Real",INDEX('Informacion de Sam'!$30:$30,MATCH(FM$6,'Informacion de Sam'!$1:$1,0)),FM$19-FM$22)</f>
        <v>31283441.868903831</v>
      </c>
      <c r="FN35" s="29">
        <f>SUM(FB35:FM35)</f>
        <v>435474707.60002893</v>
      </c>
      <c r="FO35" s="29">
        <f>IF(FO$5="Real",INDEX('Informacion de Sam'!$30:$30,MATCH(FO$6,'Informacion de Sam'!$1:$1,0)),FO$19-FO$22)</f>
        <v>40955600.053298324</v>
      </c>
      <c r="FP35" s="29">
        <f>IF(FP$5="Real",INDEX('Informacion de Sam'!$30:$30,MATCH(FP$6,'Informacion de Sam'!$1:$1,0)),FP$19-FP$22)</f>
        <v>58055524.22916238</v>
      </c>
      <c r="FQ35" s="29">
        <f>IF(FQ$5="Real",INDEX('Informacion de Sam'!$30:$30,MATCH(FQ$6,'Informacion de Sam'!$1:$1,0)),FQ$19-FQ$22)</f>
        <v>41664702.835231826</v>
      </c>
      <c r="FR35" s="29">
        <f>IF(FR$5="Real",INDEX('Informacion de Sam'!$30:$30,MATCH(FR$6,'Informacion de Sam'!$1:$1,0)),FR$19-FR$22)</f>
        <v>42623997.686918944</v>
      </c>
      <c r="FS35" s="29">
        <f>IF(FS$5="Real",INDEX('Informacion de Sam'!$30:$30,MATCH(FS$6,'Informacion de Sam'!$1:$1,0)),FS$19-FS$22)</f>
        <v>37501535.912737757</v>
      </c>
      <c r="FT35" s="29">
        <f>IF(FT$5="Real",INDEX('Informacion de Sam'!$30:$30,MATCH(FT$6,'Informacion de Sam'!$1:$1,0)),FT$19-FT$22)</f>
        <v>42887185.987960294</v>
      </c>
      <c r="FU35" s="29">
        <f>IF(FU$5="Real",INDEX('Informacion de Sam'!$30:$30,MATCH(FU$6,'Informacion de Sam'!$1:$1,0)),FU$19-FU$22)</f>
        <v>46292960.88787055</v>
      </c>
      <c r="FV35" s="29">
        <f>IF(FV$5="Real",INDEX('Informacion de Sam'!$30:$30,MATCH(FV$6,'Informacion de Sam'!$1:$1,0)),FV$19-FV$22)</f>
        <v>69564287.494192734</v>
      </c>
      <c r="FW35" s="29">
        <f>IF(FW$5="Real",INDEX('Informacion de Sam'!$30:$30,MATCH(FW$6,'Informacion de Sam'!$1:$1,0)),FW$19-FW$22)</f>
        <v>42458411.665102497</v>
      </c>
      <c r="FX35" s="29">
        <f>IF(FX$5="Real",INDEX('Informacion de Sam'!$30:$30,MATCH(FX$6,'Informacion de Sam'!$1:$1,0)),FX$19-FX$22)</f>
        <v>40986745.41516909</v>
      </c>
      <c r="FY35" s="29">
        <f>IF(FY$5="Real",INDEX('Informacion de Sam'!$30:$30,MATCH(FY$6,'Informacion de Sam'!$1:$1,0)),FY$19-FY$22)</f>
        <v>42248129.996261895</v>
      </c>
      <c r="FZ35" s="29">
        <f>IF(FZ$5="Real",INDEX('Informacion de Sam'!$30:$30,MATCH(FZ$6,'Informacion de Sam'!$1:$1,0)),FZ$19-FZ$22)</f>
        <v>39104302.336129807</v>
      </c>
      <c r="GA35" s="29">
        <f>SUM(FO35:FZ35)</f>
        <v>544343384.50003612</v>
      </c>
      <c r="GB35" s="29">
        <f>IF(GB$5="Real",INDEX('Informacion de Sam'!$30:$30,MATCH(GB$6,'Informacion de Sam'!$1:$1,0)),GB$19-GB$22)</f>
        <v>51194500.066622898</v>
      </c>
      <c r="GC35" s="29">
        <f>IF(GC$5="Real",INDEX('Informacion de Sam'!$30:$30,MATCH(GC$6,'Informacion de Sam'!$1:$1,0)),GC$19-GC$22)</f>
        <v>72569405.286452934</v>
      </c>
      <c r="GD35" s="29">
        <f>IF(GD$5="Real",INDEX('Informacion de Sam'!$30:$30,MATCH(GD$6,'Informacion de Sam'!$1:$1,0)),GD$19-GD$22)</f>
        <v>52080878.544039771</v>
      </c>
      <c r="GE35" s="29">
        <f>IF(GE$5="Real",INDEX('Informacion de Sam'!$30:$30,MATCH(GE$6,'Informacion de Sam'!$1:$1,0)),GE$19-GE$22)</f>
        <v>53279997.108648688</v>
      </c>
      <c r="GF35" s="29">
        <f>IF(GF$5="Real",INDEX('Informacion de Sam'!$30:$30,MATCH(GF$6,'Informacion de Sam'!$1:$1,0)),GF$19-GF$22)</f>
        <v>46876919.890922219</v>
      </c>
      <c r="GG35" s="29">
        <f>IF(GG$5="Real",INDEX('Informacion de Sam'!$30:$30,MATCH(GG$6,'Informacion de Sam'!$1:$1,0)),GG$19-GG$22)</f>
        <v>53608982.484950393</v>
      </c>
      <c r="GH35" s="29">
        <f>IF(GH$5="Real",INDEX('Informacion de Sam'!$30:$30,MATCH(GH$6,'Informacion de Sam'!$1:$1,0)),GH$19-GH$22)</f>
        <v>57866201.109838188</v>
      </c>
      <c r="GI35" s="29">
        <f>IF(GI$5="Real",INDEX('Informacion de Sam'!$30:$30,MATCH(GI$6,'Informacion de Sam'!$1:$1,0)),GI$19-GI$22)</f>
        <v>86955359.367740899</v>
      </c>
      <c r="GJ35" s="29">
        <f>IF(GJ$5="Real",INDEX('Informacion de Sam'!$30:$30,MATCH(GJ$6,'Informacion de Sam'!$1:$1,0)),GJ$19-GJ$22)</f>
        <v>53073014.581378117</v>
      </c>
      <c r="GK35" s="29">
        <f>IF(GK$5="Real",INDEX('Informacion de Sam'!$30:$30,MATCH(GK$6,'Informacion de Sam'!$1:$1,0)),GK$19-GK$22)</f>
        <v>51233431.7689614</v>
      </c>
      <c r="GL35" s="29">
        <f>IF(GL$5="Real",INDEX('Informacion de Sam'!$30:$30,MATCH(GL$6,'Informacion de Sam'!$1:$1,0)),GL$19-GL$22)</f>
        <v>52810162.495327339</v>
      </c>
      <c r="GM35" s="29">
        <f>IF(GM$5="Real",INDEX('Informacion de Sam'!$30:$30,MATCH(GM$6,'Informacion de Sam'!$1:$1,0)),GM$19-GM$22)</f>
        <v>48880377.920162246</v>
      </c>
      <c r="GN35" s="29">
        <f>SUM(GB35:GM35)</f>
        <v>680429230.62504506</v>
      </c>
      <c r="GO35" s="29">
        <f>IF(GO$5="Real",INDEX('Informacion de Sam'!$30:$30,MATCH(GO$6,'Informacion de Sam'!$1:$1,0)),GO$19-GO$22)</f>
        <v>63993125.083278626</v>
      </c>
      <c r="GP35" s="29">
        <f>IF(GP$5="Real",INDEX('Informacion de Sam'!$30:$30,MATCH(GP$6,'Informacion de Sam'!$1:$1,0)),GP$19-GP$22)</f>
        <v>90711756.608066201</v>
      </c>
      <c r="GQ35" s="29">
        <f>IF(GQ$5="Real",INDEX('Informacion de Sam'!$30:$30,MATCH(GQ$6,'Informacion de Sam'!$1:$1,0)),GQ$19-GQ$22)</f>
        <v>65101098.180049703</v>
      </c>
      <c r="GR35" s="29">
        <f>IF(GR$5="Real",INDEX('Informacion de Sam'!$30:$30,MATCH(GR$6,'Informacion de Sam'!$1:$1,0)),GR$19-GR$22)</f>
        <v>66599996.385810912</v>
      </c>
      <c r="GS35" s="29">
        <f>IF(GS$5="Real",INDEX('Informacion de Sam'!$30:$30,MATCH(GS$6,'Informacion de Sam'!$1:$1,0)),GS$19-GS$22)</f>
        <v>58596149.863652766</v>
      </c>
      <c r="GT35" s="29">
        <f>IF(GT$5="Real",INDEX('Informacion de Sam'!$30:$30,MATCH(GT$6,'Informacion de Sam'!$1:$1,0)),GT$19-GT$22)</f>
        <v>67011228.106187999</v>
      </c>
      <c r="GU35" s="29">
        <f>IF(GU$5="Real",INDEX('Informacion de Sam'!$30:$30,MATCH(GU$6,'Informacion de Sam'!$1:$1,0)),GU$19-GU$22)</f>
        <v>72332751.38729772</v>
      </c>
      <c r="GV35" s="29">
        <f>IF(GV$5="Real",INDEX('Informacion de Sam'!$30:$30,MATCH(GV$6,'Informacion de Sam'!$1:$1,0)),GV$19-GV$22)</f>
        <v>108694199.20967615</v>
      </c>
      <c r="GW35" s="29">
        <f>IF(GW$5="Real",INDEX('Informacion de Sam'!$30:$30,MATCH(GW$6,'Informacion de Sam'!$1:$1,0)),GW$19-GW$22)</f>
        <v>66341268.226722658</v>
      </c>
      <c r="GX35" s="29">
        <f>IF(GX$5="Real",INDEX('Informacion de Sam'!$30:$30,MATCH(GX$6,'Informacion de Sam'!$1:$1,0)),GX$19-GX$22)</f>
        <v>64041789.711201742</v>
      </c>
      <c r="GY35" s="29">
        <f>IF(GY$5="Real",INDEX('Informacion de Sam'!$30:$30,MATCH(GY$6,'Informacion de Sam'!$1:$1,0)),GY$19-GY$22)</f>
        <v>66012703.119159222</v>
      </c>
      <c r="GZ35" s="29">
        <f>IF(GZ$5="Real",INDEX('Informacion de Sam'!$30:$30,MATCH(GZ$6,'Informacion de Sam'!$1:$1,0)),GZ$19-GZ$22)</f>
        <v>61100472.400202841</v>
      </c>
      <c r="HA35" s="29">
        <f>SUM(GO35:GZ35)</f>
        <v>850536538.28130651</v>
      </c>
      <c r="HB35" s="29"/>
      <c r="HC35" s="52">
        <f t="shared" ref="HC35:HR35" si="11">SUMIFS($B35:$HA35,$B$4:$HA$4,HC$6,$B$5:$HA$5,"Acumulado")</f>
        <v>100077801.77000003</v>
      </c>
      <c r="HD35" s="52">
        <f t="shared" si="11"/>
        <v>91410077.310000032</v>
      </c>
      <c r="HE35" s="52">
        <f t="shared" si="11"/>
        <v>143183143.72</v>
      </c>
      <c r="HF35" s="52">
        <f t="shared" si="11"/>
        <v>160743163.21000007</v>
      </c>
      <c r="HG35" s="52">
        <f t="shared" si="11"/>
        <v>173842841.14000002</v>
      </c>
      <c r="HH35" s="52">
        <f t="shared" si="11"/>
        <v>168576618.67000005</v>
      </c>
      <c r="HI35" s="52">
        <f t="shared" si="11"/>
        <v>164957655.94036493</v>
      </c>
      <c r="HJ35" s="52">
        <f t="shared" si="11"/>
        <v>142696352.1863775</v>
      </c>
      <c r="HK35" s="52">
        <f t="shared" si="11"/>
        <v>178370440.23297185</v>
      </c>
      <c r="HL35" s="52">
        <f t="shared" si="11"/>
        <v>222963050.29121482</v>
      </c>
      <c r="HM35" s="52">
        <f t="shared" si="11"/>
        <v>278703812.86401844</v>
      </c>
      <c r="HN35" s="52">
        <f t="shared" si="11"/>
        <v>348379766.08002317</v>
      </c>
      <c r="HO35" s="52">
        <f t="shared" si="11"/>
        <v>435474707.60002893</v>
      </c>
      <c r="HP35" s="52">
        <f t="shared" si="11"/>
        <v>544343384.50003612</v>
      </c>
      <c r="HQ35" s="52">
        <f t="shared" si="11"/>
        <v>680429230.62504506</v>
      </c>
      <c r="HR35" s="52">
        <f t="shared" si="11"/>
        <v>850536538.28130651</v>
      </c>
    </row>
    <row r="36" spans="1:226" x14ac:dyDescent="0.35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51"/>
      <c r="HD36" s="51"/>
      <c r="HE36" s="51"/>
      <c r="HF36" s="51"/>
      <c r="HG36" s="51"/>
      <c r="HH36" s="51"/>
      <c r="HI36" s="51"/>
      <c r="HJ36" s="51"/>
      <c r="HK36" s="51"/>
      <c r="HL36" s="51"/>
      <c r="HM36" s="51"/>
      <c r="HN36" s="51"/>
      <c r="HO36" s="51"/>
      <c r="HP36" s="51"/>
      <c r="HQ36" s="51"/>
      <c r="HR36" s="51"/>
    </row>
    <row r="37" spans="1:226" x14ac:dyDescent="0.35">
      <c r="A37" t="s">
        <v>62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51"/>
      <c r="HD37" s="51"/>
      <c r="HE37" s="51"/>
      <c r="HF37" s="51"/>
      <c r="HG37" s="51"/>
      <c r="HH37" s="51"/>
      <c r="HI37" s="51"/>
      <c r="HJ37" s="51"/>
      <c r="HK37" s="51"/>
      <c r="HL37" s="51"/>
      <c r="HM37" s="51"/>
      <c r="HN37" s="51"/>
      <c r="HO37" s="51"/>
      <c r="HP37" s="51"/>
      <c r="HQ37" s="51"/>
      <c r="HR37" s="51"/>
    </row>
    <row r="38" spans="1:226" x14ac:dyDescent="0.35">
      <c r="A38" s="24" t="s">
        <v>71</v>
      </c>
      <c r="B38" s="29">
        <f>IF(B$5="Real",INDEX('Informacion de Sam'!$33:$33,MATCH(B$6,'Informacion de Sam'!$1:$1,0)),B$39+B$40-B$42-B$43)</f>
        <v>4151877.5000000009</v>
      </c>
      <c r="C38" s="29">
        <f>IF(C$5="Real",INDEX('Informacion de Sam'!$33:$33,MATCH(C$6,'Informacion de Sam'!$1:$1,0)),C$39+C$40-C$42-C$43)</f>
        <v>4331507.1400000006</v>
      </c>
      <c r="D38" s="29">
        <f>IF(D$5="Real",INDEX('Informacion de Sam'!$33:$33,MATCH(D$6,'Informacion de Sam'!$1:$1,0)),D$39+D$40-D$42-D$43)</f>
        <v>4790436.33</v>
      </c>
      <c r="E38" s="29">
        <f>IF(E$5="Real",INDEX('Informacion de Sam'!$33:$33,MATCH(E$6,'Informacion de Sam'!$1:$1,0)),E$39+E$40-E$42-E$43)</f>
        <v>5182628.99</v>
      </c>
      <c r="F38" s="29">
        <f>IF(F$5="Real",INDEX('Informacion de Sam'!$33:$33,MATCH(F$6,'Informacion de Sam'!$1:$1,0)),F$39+F$40-F$42-F$43)</f>
        <v>5024827</v>
      </c>
      <c r="G38" s="29">
        <f>IF(G$5="Real",INDEX('Informacion de Sam'!$33:$33,MATCH(G$6,'Informacion de Sam'!$1:$1,0)),G$39+G$40-G$42-G$43)</f>
        <v>4603350.04</v>
      </c>
      <c r="H38" s="29">
        <f>IF(H$5="Real",INDEX('Informacion de Sam'!$33:$33,MATCH(H$6,'Informacion de Sam'!$1:$1,0)),H$39+H$40-H$42-H$43)</f>
        <v>4730665.0199999986</v>
      </c>
      <c r="I38" s="29">
        <f>IF(I$5="Real",INDEX('Informacion de Sam'!$33:$33,MATCH(I$6,'Informacion de Sam'!$1:$1,0)),I$39+I$40-I$42-I$43)</f>
        <v>4074020.7100000018</v>
      </c>
      <c r="J38" s="29">
        <f>IF(J$5="Real",INDEX('Informacion de Sam'!$33:$33,MATCH(J$6,'Informacion de Sam'!$1:$1,0)),J$39+J$40-J$42-J$43)</f>
        <v>4708382.54</v>
      </c>
      <c r="K38" s="29">
        <f>IF(K$5="Real",INDEX('Informacion de Sam'!$33:$33,MATCH(K$6,'Informacion de Sam'!$1:$1,0)),K$39+K$40-K$42-K$43)</f>
        <v>4433544.9399999976</v>
      </c>
      <c r="L38" s="29">
        <f>IF(L$5="Real",INDEX('Informacion de Sam'!$33:$33,MATCH(L$6,'Informacion de Sam'!$1:$1,0)),L$39+L$40-L$42-L$43)</f>
        <v>5991779.8600000003</v>
      </c>
      <c r="M38" s="29">
        <f>IF(M$5="Real",INDEX('Informacion de Sam'!$33:$33,MATCH(M$6,'Informacion de Sam'!$1:$1,0)),M$39+M$40-M$42-M$43)</f>
        <v>4817219.7299999995</v>
      </c>
      <c r="N38" s="29">
        <f>SUM(B38:M38)</f>
        <v>56840239.799999997</v>
      </c>
      <c r="O38" s="29">
        <f>IF(O$5="Real",INDEX('Informacion de Sam'!$33:$33,MATCH(O$6,'Informacion de Sam'!$1:$1,0)),O$39+O$40-O$42-O$43)</f>
        <v>4629111.18</v>
      </c>
      <c r="P38" s="29">
        <f>IF(P$5="Real",INDEX('Informacion de Sam'!$33:$33,MATCH(P$6,'Informacion de Sam'!$1:$1,0)),P$39+P$40-P$42-P$43)</f>
        <v>3947231.45</v>
      </c>
      <c r="Q38" s="29">
        <f>IF(Q$5="Real",INDEX('Informacion de Sam'!$33:$33,MATCH(Q$6,'Informacion de Sam'!$1:$1,0)),Q$39+Q$40-Q$42-Q$43)</f>
        <v>4855657.080000001</v>
      </c>
      <c r="R38" s="29">
        <f>IF(R$5="Real",INDEX('Informacion de Sam'!$33:$33,MATCH(R$6,'Informacion de Sam'!$1:$1,0)),R$39+R$40-R$42-R$43)</f>
        <v>6308787.1699999999</v>
      </c>
      <c r="S38" s="29">
        <f>IF(S$5="Real",INDEX('Informacion de Sam'!$33:$33,MATCH(S$6,'Informacion de Sam'!$1:$1,0)),S$39+S$40-S$42-S$43)</f>
        <v>6407786</v>
      </c>
      <c r="T38" s="29">
        <f>IF(T$5="Real",INDEX('Informacion de Sam'!$33:$33,MATCH(T$6,'Informacion de Sam'!$1:$1,0)),T$39+T$40-T$42-T$43)</f>
        <v>6205304.3500000006</v>
      </c>
      <c r="U38" s="29">
        <f>IF(U$5="Real",INDEX('Informacion de Sam'!$33:$33,MATCH(U$6,'Informacion de Sam'!$1:$1,0)),U$39+U$40-U$42-U$43)</f>
        <v>5967088.5699999994</v>
      </c>
      <c r="V38" s="29">
        <f>IF(V$5="Real",INDEX('Informacion de Sam'!$33:$33,MATCH(V$6,'Informacion de Sam'!$1:$1,0)),V$39+V$40-V$42-V$43)</f>
        <v>5882060.3000000007</v>
      </c>
      <c r="W38" s="29">
        <f>IF(W$5="Real",INDEX('Informacion de Sam'!$33:$33,MATCH(W$6,'Informacion de Sam'!$1:$1,0)),W$39+W$40-W$42-W$43)</f>
        <v>6072528.8499999978</v>
      </c>
      <c r="X38" s="29">
        <f>IF(X$5="Real",INDEX('Informacion de Sam'!$33:$33,MATCH(X$6,'Informacion de Sam'!$1:$1,0)),X$39+X$40-X$42-X$43)</f>
        <v>6448739.4199999999</v>
      </c>
      <c r="Y38" s="29">
        <f>IF(Y$5="Real",INDEX('Informacion de Sam'!$33:$33,MATCH(Y$6,'Informacion de Sam'!$1:$1,0)),Y$39+Y$40-Y$42-Y$43)</f>
        <v>6791953.2800000012</v>
      </c>
      <c r="Z38" s="29">
        <f>IF(Z$5="Real",INDEX('Informacion de Sam'!$33:$33,MATCH(Z$6,'Informacion de Sam'!$1:$1,0)),Z$39+Z$40-Z$42-Z$43)</f>
        <v>7205578.9999999991</v>
      </c>
      <c r="AA38" s="29">
        <f>SUM(O38:Z38)</f>
        <v>70721826.650000006</v>
      </c>
      <c r="AB38" s="29">
        <f>IF(AB$5="Real",INDEX('Informacion de Sam'!$33:$33,MATCH(AB$6,'Informacion de Sam'!$1:$1,0)),AB$39+AB$40-AB$42-AB$43)</f>
        <v>6148689.8799999999</v>
      </c>
      <c r="AC38" s="29">
        <f>IF(AC$5="Real",INDEX('Informacion de Sam'!$33:$33,MATCH(AC$6,'Informacion de Sam'!$1:$1,0)),AC$39+AC$40-AC$42-AC$43)</f>
        <v>7128561.4899999984</v>
      </c>
      <c r="AD38" s="29">
        <f>IF(AD$5="Real",INDEX('Informacion de Sam'!$33:$33,MATCH(AD$6,'Informacion de Sam'!$1:$1,0)),AD$39+AD$40-AD$42-AD$43)</f>
        <v>7300036.8399999999</v>
      </c>
      <c r="AE38" s="29">
        <f>IF(AE$5="Real",INDEX('Informacion de Sam'!$33:$33,MATCH(AE$6,'Informacion de Sam'!$1:$1,0)),AE$39+AE$40-AE$42-AE$43)</f>
        <v>6845923.1799999997</v>
      </c>
      <c r="AF38" s="29">
        <f>IF(AF$5="Real",INDEX('Informacion de Sam'!$33:$33,MATCH(AF$6,'Informacion de Sam'!$1:$1,0)),AF$39+AF$40-AF$42-AF$43)</f>
        <v>6958194.6399999997</v>
      </c>
      <c r="AG38" s="29">
        <f>IF(AG$5="Real",INDEX('Informacion de Sam'!$33:$33,MATCH(AG$6,'Informacion de Sam'!$1:$1,0)),AG$39+AG$40-AG$42-AG$43)</f>
        <v>9090164.9699999988</v>
      </c>
      <c r="AH38" s="29">
        <f>IF(AH$5="Real",INDEX('Informacion de Sam'!$33:$33,MATCH(AH$6,'Informacion de Sam'!$1:$1,0)),AH$39+AH$40-AH$42-AH$43)</f>
        <v>9567318.5899999999</v>
      </c>
      <c r="AI38" s="29">
        <f>IF(AI$5="Real",INDEX('Informacion de Sam'!$33:$33,MATCH(AI$6,'Informacion de Sam'!$1:$1,0)),AI$39+AI$40-AI$42-AI$43)</f>
        <v>10549372.679999998</v>
      </c>
      <c r="AJ38" s="29">
        <f>IF(AJ$5="Real",INDEX('Informacion de Sam'!$33:$33,MATCH(AJ$6,'Informacion de Sam'!$1:$1,0)),AJ$39+AJ$40-AJ$42-AJ$43)</f>
        <v>13147497.110000001</v>
      </c>
      <c r="AK38" s="29">
        <f>IF(AK$5="Real",INDEX('Informacion de Sam'!$33:$33,MATCH(AK$6,'Informacion de Sam'!$1:$1,0)),AK$39+AK$40-AK$42-AK$43)</f>
        <v>10799157.9</v>
      </c>
      <c r="AL38" s="29">
        <f>IF(AL$5="Real",INDEX('Informacion de Sam'!$33:$33,MATCH(AL$6,'Informacion de Sam'!$1:$1,0)),AL$39+AL$40-AL$42-AL$43)</f>
        <v>10448041.279999996</v>
      </c>
      <c r="AM38" s="29">
        <f>IF(AM$5="Real",INDEX('Informacion de Sam'!$33:$33,MATCH(AM$6,'Informacion de Sam'!$1:$1,0)),AM$39+AM$40-AM$42-AM$43)</f>
        <v>11051335.780000003</v>
      </c>
      <c r="AN38" s="29">
        <f>SUM(AB38:AM38)</f>
        <v>109034294.34</v>
      </c>
      <c r="AO38" s="29">
        <f>IF(AO$5="Real",INDEX('Informacion de Sam'!$33:$33,MATCH(AO$6,'Informacion de Sam'!$1:$1,0)),AO$39+AO$40-AO$42-AO$43)</f>
        <v>7197652.9800000004</v>
      </c>
      <c r="AP38" s="29">
        <f>IF(AP$5="Real",INDEX('Informacion de Sam'!$33:$33,MATCH(AP$6,'Informacion de Sam'!$1:$1,0)),AP$39+AP$40-AP$42-AP$43)</f>
        <v>10730828.719999999</v>
      </c>
      <c r="AQ38" s="29">
        <f>IF(AQ$5="Real",INDEX('Informacion de Sam'!$33:$33,MATCH(AQ$6,'Informacion de Sam'!$1:$1,0)),AQ$39+AQ$40-AQ$42-AQ$43)</f>
        <v>9971404.1100000013</v>
      </c>
      <c r="AR38" s="29">
        <f>IF(AR$5="Real",INDEX('Informacion de Sam'!$33:$33,MATCH(AR$6,'Informacion de Sam'!$1:$1,0)),AR$39+AR$40-AR$42-AR$43)</f>
        <v>9784328.9299999978</v>
      </c>
      <c r="AS38" s="29">
        <f>IF(AS$5="Real",INDEX('Informacion de Sam'!$33:$33,MATCH(AS$6,'Informacion de Sam'!$1:$1,0)),AS$39+AS$40-AS$42-AS$43)</f>
        <v>9822268.7400000002</v>
      </c>
      <c r="AT38" s="29">
        <f>IF(AT$5="Real",INDEX('Informacion de Sam'!$33:$33,MATCH(AT$6,'Informacion de Sam'!$1:$1,0)),AT$39+AT$40-AT$42-AT$43)</f>
        <v>10700911.800000003</v>
      </c>
      <c r="AU38" s="29">
        <f>IF(AU$5="Real",INDEX('Informacion de Sam'!$33:$33,MATCH(AU$6,'Informacion de Sam'!$1:$1,0)),AU$39+AU$40-AU$42-AU$43)</f>
        <v>6625690.7600000007</v>
      </c>
      <c r="AV38" s="29">
        <f>IF(AV$5="Real",INDEX('Informacion de Sam'!$33:$33,MATCH(AV$6,'Informacion de Sam'!$1:$1,0)),AV$39+AV$40-AV$42-AV$43)</f>
        <v>7910867.5699999975</v>
      </c>
      <c r="AW38" s="29">
        <f>IF(AW$5="Real",INDEX('Informacion de Sam'!$33:$33,MATCH(AW$6,'Informacion de Sam'!$1:$1,0)),AW$39+AW$40-AW$42-AW$43)</f>
        <v>9848949.5400000028</v>
      </c>
      <c r="AX38" s="29">
        <f>IF(AX$5="Real",INDEX('Informacion de Sam'!$33:$33,MATCH(AX$6,'Informacion de Sam'!$1:$1,0)),AX$39+AX$40-AX$42-AX$43)</f>
        <v>8964511.629999999</v>
      </c>
      <c r="AY38" s="29">
        <f>IF(AY$5="Real",INDEX('Informacion de Sam'!$33:$33,MATCH(AY$6,'Informacion de Sam'!$1:$1,0)),AY$39+AY$40-AY$42-AY$43)</f>
        <v>8802214.9199999981</v>
      </c>
      <c r="AZ38" s="29">
        <f>IF(AZ$5="Real",INDEX('Informacion de Sam'!$33:$33,MATCH(AZ$6,'Informacion de Sam'!$1:$1,0)),AZ$39+AZ$40-AZ$42-AZ$43)</f>
        <v>15050366.200000003</v>
      </c>
      <c r="BA38" s="29">
        <f>SUM(AO38:AZ38)</f>
        <v>115409995.90000001</v>
      </c>
      <c r="BB38" s="29">
        <f>IF(BB$5="Real",INDEX('Informacion de Sam'!$33:$33,MATCH(BB$6,'Informacion de Sam'!$1:$1,0)),BB$39+BB$40-BB$42-BB$43)</f>
        <v>7041704.2500000009</v>
      </c>
      <c r="BC38" s="29">
        <f>IF(BC$5="Real",INDEX('Informacion de Sam'!$33:$33,MATCH(BC$6,'Informacion de Sam'!$1:$1,0)),BC$39+BC$40-BC$42-BC$43)</f>
        <v>10704118.5</v>
      </c>
      <c r="BD38" s="29">
        <f>IF(BD$5="Real",INDEX('Informacion de Sam'!$33:$33,MATCH(BD$6,'Informacion de Sam'!$1:$1,0)),BD$39+BD$40-BD$42-BD$43)</f>
        <v>11860471.510000002</v>
      </c>
      <c r="BE38" s="29">
        <f>IF(BE$5="Real",INDEX('Informacion de Sam'!$33:$33,MATCH(BE$6,'Informacion de Sam'!$1:$1,0)),BE$39+BE$40-BE$42-BE$43)</f>
        <v>9879669.9900000002</v>
      </c>
      <c r="BF38" s="29">
        <f>IF(BF$5="Real",INDEX('Informacion de Sam'!$33:$33,MATCH(BF$6,'Informacion de Sam'!$1:$1,0)),BF$39+BF$40-BF$42-BF$43)</f>
        <v>10952233.900000002</v>
      </c>
      <c r="BG38" s="29">
        <f>IF(BG$5="Real",INDEX('Informacion de Sam'!$33:$33,MATCH(BG$6,'Informacion de Sam'!$1:$1,0)),BG$39+BG$40-BG$42-BG$43)</f>
        <v>10263622.829999998</v>
      </c>
      <c r="BH38" s="29">
        <f>IF(BH$5="Real",INDEX('Informacion de Sam'!$33:$33,MATCH(BH$6,'Informacion de Sam'!$1:$1,0)),BH$39+BH$40-BH$42-BH$43)</f>
        <v>12469038.250000002</v>
      </c>
      <c r="BI38" s="29">
        <f>IF(BI$5="Real",INDEX('Informacion de Sam'!$33:$33,MATCH(BI$6,'Informacion de Sam'!$1:$1,0)),BI$39+BI$40-BI$42-BI$43)</f>
        <v>13299367.149999999</v>
      </c>
      <c r="BJ38" s="29">
        <f>IF(BJ$5="Real",INDEX('Informacion de Sam'!$33:$33,MATCH(BJ$6,'Informacion de Sam'!$1:$1,0)),BJ$39+BJ$40-BJ$42-BJ$43)</f>
        <v>11261178.430000002</v>
      </c>
      <c r="BK38" s="29">
        <f>IF(BK$5="Real",INDEX('Informacion de Sam'!$33:$33,MATCH(BK$6,'Informacion de Sam'!$1:$1,0)),BK$39+BK$40-BK$42-BK$43)</f>
        <v>12016924.76</v>
      </c>
      <c r="BL38" s="29">
        <f>IF(BL$5="Real",INDEX('Informacion de Sam'!$33:$33,MATCH(BL$6,'Informacion de Sam'!$1:$1,0)),BL$39+BL$40-BL$42-BL$43)</f>
        <v>10446795.699999999</v>
      </c>
      <c r="BM38" s="29">
        <f>IF(BM$5="Real",INDEX('Informacion de Sam'!$33:$33,MATCH(BM$6,'Informacion de Sam'!$1:$1,0)),BM$39+BM$40-BM$42-BM$43)</f>
        <v>34103060.580000006</v>
      </c>
      <c r="BN38" s="29">
        <f>SUM(BB38:BM38)</f>
        <v>154298185.85000002</v>
      </c>
      <c r="BO38" s="29">
        <f>IF(BO$5="Real",INDEX('Informacion de Sam'!$33:$33,MATCH(BO$6,'Informacion de Sam'!$1:$1,0)),BO$39+BO$40-BO$42-BO$43)</f>
        <v>10245096.270000001</v>
      </c>
      <c r="BP38" s="29">
        <f>IF(BP$5="Real",INDEX('Informacion de Sam'!$33:$33,MATCH(BP$6,'Informacion de Sam'!$1:$1,0)),BP$39+BP$40-BP$42-BP$43)</f>
        <v>11737218.799999999</v>
      </c>
      <c r="BQ38" s="29">
        <f>IF(BQ$5="Real",INDEX('Informacion de Sam'!$33:$33,MATCH(BQ$6,'Informacion de Sam'!$1:$1,0)),BQ$39+BQ$40-BQ$42-BQ$43)</f>
        <v>12534292.85</v>
      </c>
      <c r="BR38" s="29">
        <f>IF(BR$5="Real",INDEX('Informacion de Sam'!$33:$33,MATCH(BR$6,'Informacion de Sam'!$1:$1,0)),BR$39+BR$40-BR$42-BR$43)</f>
        <v>12843258.26</v>
      </c>
      <c r="BS38" s="29">
        <f>IF(BS$5="Real",INDEX('Informacion de Sam'!$33:$33,MATCH(BS$6,'Informacion de Sam'!$1:$1,0)),BS$39+BS$40-BS$42-BS$43)</f>
        <v>13800760.569999998</v>
      </c>
      <c r="BT38" s="29">
        <f>IF(BT$5="Real",INDEX('Informacion de Sam'!$33:$33,MATCH(BT$6,'Informacion de Sam'!$1:$1,0)),BT$39+BT$40-BT$42-BT$43)</f>
        <v>14473850.020000003</v>
      </c>
      <c r="BU38" s="29">
        <f>IF(BU$5="Real",INDEX('Informacion de Sam'!$33:$33,MATCH(BU$6,'Informacion de Sam'!$1:$1,0)),BU$39+BU$40-BU$42-BU$43)</f>
        <v>12856753.379999999</v>
      </c>
      <c r="BV38" s="29">
        <f>IF(BV$5="Real",INDEX('Informacion de Sam'!$33:$33,MATCH(BV$6,'Informacion de Sam'!$1:$1,0)),BV$39+BV$40-BV$42-BV$43)</f>
        <v>12666601.220000001</v>
      </c>
      <c r="BW38" s="29">
        <f>IF(BW$5="Real",INDEX('Informacion de Sam'!$33:$33,MATCH(BW$6,'Informacion de Sam'!$1:$1,0)),BW$39+BW$40-BW$42-BW$43)</f>
        <v>10877157.730000004</v>
      </c>
      <c r="BX38" s="29">
        <f>IF(BX$5="Real",INDEX('Informacion de Sam'!$33:$33,MATCH(BX$6,'Informacion de Sam'!$1:$1,0)),BX$39+BX$40-BX$42-BX$43)</f>
        <v>12615499.960000001</v>
      </c>
      <c r="BY38" s="29">
        <f>IF(BY$5="Real",INDEX('Informacion de Sam'!$33:$33,MATCH(BY$6,'Informacion de Sam'!$1:$1,0)),BY$39+BY$40-BY$42-BY$43)</f>
        <v>12539846.969999995</v>
      </c>
      <c r="BZ38" s="29">
        <f>IF(BZ$5="Real",INDEX('Informacion de Sam'!$33:$33,MATCH(BZ$6,'Informacion de Sam'!$1:$1,0)),BZ$39+BZ$40-BZ$42-BZ$43)</f>
        <v>12367863.07</v>
      </c>
      <c r="CA38" s="29">
        <f>SUM(BO38:BZ38)</f>
        <v>149558199.09999999</v>
      </c>
      <c r="CB38" s="29">
        <f>IF(CB$5="Real",INDEX('Informacion de Sam'!$33:$33,MATCH(CB$6,'Informacion de Sam'!$1:$1,0)),CB$39+CB$40-CB$42-CB$43)</f>
        <v>11955998.630000001</v>
      </c>
      <c r="CC38" s="29">
        <f>IF(CC$5="Real",INDEX('Informacion de Sam'!$33:$33,MATCH(CC$6,'Informacion de Sam'!$1:$1,0)),CC$39+CC$40-CC$42-CC$43)</f>
        <v>9640929.9900000002</v>
      </c>
      <c r="CD38" s="29">
        <f>IF(CD$5="Real",INDEX('Informacion de Sam'!$33:$33,MATCH(CD$6,'Informacion de Sam'!$1:$1,0)),CD$39+CD$40-CD$42-CD$43)</f>
        <v>11775213.26</v>
      </c>
      <c r="CE38" s="29">
        <f>IF(CE$5="Real",INDEX('Informacion de Sam'!$33:$33,MATCH(CE$6,'Informacion de Sam'!$1:$1,0)),CE$39+CE$40-CE$42-CE$43)</f>
        <v>11386495.99</v>
      </c>
      <c r="CF38" s="29">
        <f>IF(CF$5="Real",INDEX('Informacion de Sam'!$33:$33,MATCH(CF$6,'Informacion de Sam'!$1:$1,0)),CF$39+CF$40-CF$42-CF$43)</f>
        <v>11955222.309999999</v>
      </c>
      <c r="CG38" s="29">
        <f>IF(CG$5="Real",INDEX('Informacion de Sam'!$33:$33,MATCH(CG$6,'Informacion de Sam'!$1:$1,0)),CG$39+CG$40-CG$42-CG$43)</f>
        <v>11747574.120000001</v>
      </c>
      <c r="CH38" s="29">
        <f>IF(CH$5="Real",INDEX('Informacion de Sam'!$33:$33,MATCH(CH$6,'Informacion de Sam'!$1:$1,0)),CH$39+CH$40-CH$42-CH$43)</f>
        <v>11759741.51</v>
      </c>
      <c r="CI38" s="29">
        <f>IF(CI$5="Real",INDEX('Informacion de Sam'!$33:$33,MATCH(CI$6,'Informacion de Sam'!$1:$1,0)),CI$39+CI$40-CI$42-CI$43)</f>
        <v>11392520.510000002</v>
      </c>
      <c r="CJ38" s="29">
        <f>IF(CJ$5="Real",INDEX('Informacion de Sam'!$33:$33,MATCH(CJ$6,'Informacion de Sam'!$1:$1,0)),CJ$39+CJ$40-CJ$42-CJ$43)</f>
        <v>7875914.6215011664</v>
      </c>
      <c r="CK38" s="29">
        <f>IF(CK$5="Real",INDEX('Informacion de Sam'!$33:$33,MATCH(CK$6,'Informacion de Sam'!$1:$1,0)),CK$39+CK$40-CK$42-CK$43)</f>
        <v>7602924.7172333468</v>
      </c>
      <c r="CL38" s="29">
        <f>IF(CL$5="Real",INDEX('Informacion de Sam'!$33:$33,MATCH(CL$6,'Informacion de Sam'!$1:$1,0)),CL$39+CL$40-CL$42-CL$43)</f>
        <v>7836907.9699260071</v>
      </c>
      <c r="CM38" s="29">
        <f>IF(CM$5="Real",INDEX('Informacion de Sam'!$33:$33,MATCH(CM$6,'Informacion de Sam'!$1:$1,0)),CM$39+CM$40-CM$42-CM$43)</f>
        <v>7253736.8793252409</v>
      </c>
      <c r="CN38" s="29">
        <f>SUM(CB38:CM38)</f>
        <v>122183180.50798577</v>
      </c>
      <c r="CO38" s="29">
        <f>IF(CO$5="Real",INDEX('Informacion de Sam'!$33:$33,MATCH(CO$6,'Informacion de Sam'!$1:$1,0)),CO$39+CO$40-CO$42-CO$43)</f>
        <v>9496434.1764710844</v>
      </c>
      <c r="CP38" s="29">
        <f>IF(CP$5="Real",INDEX('Informacion de Sam'!$33:$33,MATCH(CP$6,'Informacion de Sam'!$1:$1,0)),CP$39+CP$40-CP$42-CP$43)</f>
        <v>13461418.309224904</v>
      </c>
      <c r="CQ38" s="29">
        <f>IF(CQ$5="Real",INDEX('Informacion de Sam'!$33:$33,MATCH(CQ$6,'Informacion de Sam'!$1:$1,0)),CQ$39+CQ$40-CQ$42-CQ$43)</f>
        <v>9660854.8633666635</v>
      </c>
      <c r="CR38" s="29">
        <f>IF(CR$5="Real",INDEX('Informacion de Sam'!$33:$33,MATCH(CR$6,'Informacion de Sam'!$1:$1,0)),CR$39+CR$40-CR$42-CR$43)</f>
        <v>9883287.9470724128</v>
      </c>
      <c r="CS38" s="29">
        <f>IF(CS$5="Real",INDEX('Informacion de Sam'!$33:$33,MATCH(CS$6,'Informacion de Sam'!$1:$1,0)),CS$39+CS$40-CS$42-CS$43)</f>
        <v>8695535.3321260884</v>
      </c>
      <c r="CT38" s="29">
        <f>IF(CT$5="Real",INDEX('Informacion de Sam'!$33:$33,MATCH(CT$6,'Informacion de Sam'!$1:$1,0)),CT$39+CT$40-CT$42-CT$43)</f>
        <v>9944313.798814388</v>
      </c>
      <c r="CU38" s="29">
        <f>IF(CU$5="Real",INDEX('Informacion de Sam'!$33:$33,MATCH(CU$6,'Informacion de Sam'!$1:$1,0)),CU$39+CU$40-CU$42-CU$43)</f>
        <v>10734015.747138556</v>
      </c>
      <c r="CV38" s="29">
        <f>IF(CV$5="Real",INDEX('Informacion de Sam'!$33:$33,MATCH(CV$6,'Informacion de Sam'!$1:$1,0)),CV$39+CV$40-CV$42-CV$43)</f>
        <v>16129971.880817551</v>
      </c>
      <c r="CW38" s="29">
        <f>IF(CW$5="Real",INDEX('Informacion de Sam'!$33:$33,MATCH(CW$6,'Informacion de Sam'!$1:$1,0)),CW$39+CW$40-CW$42-CW$43)</f>
        <v>9844893.276876457</v>
      </c>
      <c r="CX38" s="29">
        <f>IF(CX$5="Real",INDEX('Informacion de Sam'!$33:$33,MATCH(CX$6,'Informacion de Sam'!$1:$1,0)),CX$39+CX$40-CX$42-CX$43)</f>
        <v>9503655.8965416811</v>
      </c>
      <c r="CY38" s="29">
        <f>IF(CY$5="Real",INDEX('Informacion de Sam'!$33:$33,MATCH(CY$6,'Informacion de Sam'!$1:$1,0)),CY$39+CY$40-CY$42-CY$43)</f>
        <v>9796134.962407507</v>
      </c>
      <c r="CZ38" s="29">
        <f>IF(CZ$5="Real",INDEX('Informacion de Sam'!$33:$33,MATCH(CZ$6,'Informacion de Sam'!$1:$1,0)),CZ$39+CZ$40-CZ$42-CZ$43)</f>
        <v>9067171.0991565492</v>
      </c>
      <c r="DA38" s="29">
        <f>SUM(CO38:CZ38)</f>
        <v>126217687.29001383</v>
      </c>
      <c r="DB38" s="29">
        <f>IF(DB$5="Real",INDEX('Informacion de Sam'!$33:$33,MATCH(DB$6,'Informacion de Sam'!$1:$1,0)),DB$39+DB$40-DB$42-DB$43)</f>
        <v>11870542.720588852</v>
      </c>
      <c r="DC38" s="29">
        <f>IF(DC$5="Real",INDEX('Informacion de Sam'!$33:$33,MATCH(DC$6,'Informacion de Sam'!$1:$1,0)),DC$39+DC$40-DC$42-DC$43)</f>
        <v>16826772.886531129</v>
      </c>
      <c r="DD38" s="29">
        <f>IF(DD$5="Real",INDEX('Informacion de Sam'!$33:$33,MATCH(DD$6,'Informacion de Sam'!$1:$1,0)),DD$39+DD$40-DD$42-DD$43)</f>
        <v>12076068.579208329</v>
      </c>
      <c r="DE38" s="29">
        <f>IF(DE$5="Real",INDEX('Informacion de Sam'!$33:$33,MATCH(DE$6,'Informacion de Sam'!$1:$1,0)),DE$39+DE$40-DE$42-DE$43)</f>
        <v>12354109.933840517</v>
      </c>
      <c r="DF38" s="29">
        <f>IF(DF$5="Real",INDEX('Informacion de Sam'!$33:$33,MATCH(DF$6,'Informacion de Sam'!$1:$1,0)),DF$39+DF$40-DF$42-DF$43)</f>
        <v>10869419.165157611</v>
      </c>
      <c r="DG38" s="29">
        <f>IF(DG$5="Real",INDEX('Informacion de Sam'!$33:$33,MATCH(DG$6,'Informacion de Sam'!$1:$1,0)),DG$39+DG$40-DG$42-DG$43)</f>
        <v>12430392.248517986</v>
      </c>
      <c r="DH38" s="29">
        <f>IF(DH$5="Real",INDEX('Informacion de Sam'!$33:$33,MATCH(DH$6,'Informacion de Sam'!$1:$1,0)),DH$39+DH$40-DH$42-DH$43)</f>
        <v>13417519.683923194</v>
      </c>
      <c r="DI38" s="29">
        <f>IF(DI$5="Real",INDEX('Informacion de Sam'!$33:$33,MATCH(DI$6,'Informacion de Sam'!$1:$1,0)),DI$39+DI$40-DI$42-DI$43)</f>
        <v>20162464.851021938</v>
      </c>
      <c r="DJ38" s="29">
        <f>IF(DJ$5="Real",INDEX('Informacion de Sam'!$33:$33,MATCH(DJ$6,'Informacion de Sam'!$1:$1,0)),DJ$39+DJ$40-DJ$42-DJ$43)</f>
        <v>12306116.596095569</v>
      </c>
      <c r="DK38" s="29">
        <f>IF(DK$5="Real",INDEX('Informacion de Sam'!$33:$33,MATCH(DK$6,'Informacion de Sam'!$1:$1,0)),DK$39+DK$40-DK$42-DK$43)</f>
        <v>11879569.870677102</v>
      </c>
      <c r="DL38" s="29">
        <f>IF(DL$5="Real",INDEX('Informacion de Sam'!$33:$33,MATCH(DL$6,'Informacion de Sam'!$1:$1,0)),DL$39+DL$40-DL$42-DL$43)</f>
        <v>12245168.703009384</v>
      </c>
      <c r="DM38" s="29">
        <f>IF(DM$5="Real",INDEX('Informacion de Sam'!$33:$33,MATCH(DM$6,'Informacion de Sam'!$1:$1,0)),DM$39+DM$40-DM$42-DM$43)</f>
        <v>11333963.873945687</v>
      </c>
      <c r="DN38" s="29">
        <f>SUM(DB38:DM38)</f>
        <v>157772109.11251727</v>
      </c>
      <c r="DO38" s="29">
        <f>IF(DO$5="Real",INDEX('Informacion de Sam'!$33:$33,MATCH(DO$6,'Informacion de Sam'!$1:$1,0)),DO$39+DO$40-DO$42-DO$43)</f>
        <v>14838178.400736067</v>
      </c>
      <c r="DP38" s="29">
        <f>IF(DP$5="Real",INDEX('Informacion de Sam'!$33:$33,MATCH(DP$6,'Informacion de Sam'!$1:$1,0)),DP$39+DP$40-DP$42-DP$43)</f>
        <v>21033466.108163912</v>
      </c>
      <c r="DQ38" s="29">
        <f>IF(DQ$5="Real",INDEX('Informacion de Sam'!$33:$33,MATCH(DQ$6,'Informacion de Sam'!$1:$1,0)),DQ$39+DQ$40-DQ$42-DQ$43)</f>
        <v>15095085.724010408</v>
      </c>
      <c r="DR38" s="29">
        <f>IF(DR$5="Real",INDEX('Informacion de Sam'!$33:$33,MATCH(DR$6,'Informacion de Sam'!$1:$1,0)),DR$39+DR$40-DR$42-DR$43)</f>
        <v>15442637.417300643</v>
      </c>
      <c r="DS38" s="29">
        <f>IF(DS$5="Real",INDEX('Informacion de Sam'!$33:$33,MATCH(DS$6,'Informacion de Sam'!$1:$1,0)),DS$39+DS$40-DS$42-DS$43)</f>
        <v>13586773.956447013</v>
      </c>
      <c r="DT38" s="29">
        <f>IF(DT$5="Real",INDEX('Informacion de Sam'!$33:$33,MATCH(DT$6,'Informacion de Sam'!$1:$1,0)),DT$39+DT$40-DT$42-DT$43)</f>
        <v>15537990.310647484</v>
      </c>
      <c r="DU38" s="29">
        <f>IF(DU$5="Real",INDEX('Informacion de Sam'!$33:$33,MATCH(DU$6,'Informacion de Sam'!$1:$1,0)),DU$39+DU$40-DU$42-DU$43)</f>
        <v>16771899.604903996</v>
      </c>
      <c r="DV38" s="29">
        <f>IF(DV$5="Real",INDEX('Informacion de Sam'!$33:$33,MATCH(DV$6,'Informacion de Sam'!$1:$1,0)),DV$39+DV$40-DV$42-DV$43)</f>
        <v>25203081.063777424</v>
      </c>
      <c r="DW38" s="29">
        <f>IF(DW$5="Real",INDEX('Informacion de Sam'!$33:$33,MATCH(DW$6,'Informacion de Sam'!$1:$1,0)),DW$39+DW$40-DW$42-DW$43)</f>
        <v>15382645.745119462</v>
      </c>
      <c r="DX38" s="29">
        <f>IF(DX$5="Real",INDEX('Informacion de Sam'!$33:$33,MATCH(DX$6,'Informacion de Sam'!$1:$1,0)),DX$39+DX$40-DX$42-DX$43)</f>
        <v>14849462.338346379</v>
      </c>
      <c r="DY38" s="29">
        <f>IF(DY$5="Real",INDEX('Informacion de Sam'!$33:$33,MATCH(DY$6,'Informacion de Sam'!$1:$1,0)),DY$39+DY$40-DY$42-DY$43)</f>
        <v>15306460.878761731</v>
      </c>
      <c r="DZ38" s="29">
        <f>IF(DZ$5="Real",INDEX('Informacion de Sam'!$33:$33,MATCH(DZ$6,'Informacion de Sam'!$1:$1,0)),DZ$39+DZ$40-DZ$42-DZ$43)</f>
        <v>14167454.84243211</v>
      </c>
      <c r="EA38" s="29">
        <f>SUM(DO38:DZ38)</f>
        <v>197215136.39064664</v>
      </c>
      <c r="EB38" s="29">
        <f>IF(EB$5="Real",INDEX('Informacion de Sam'!$33:$33,MATCH(EB$6,'Informacion de Sam'!$1:$1,0)),EB$39+EB$40-EB$42-EB$43)</f>
        <v>18547723.000920083</v>
      </c>
      <c r="EC38" s="29">
        <f>IF(EC$5="Real",INDEX('Informacion de Sam'!$33:$33,MATCH(EC$6,'Informacion de Sam'!$1:$1,0)),EC$39+EC$40-EC$42-EC$43)</f>
        <v>26291832.635204893</v>
      </c>
      <c r="ED38" s="29">
        <f>IF(ED$5="Real",INDEX('Informacion de Sam'!$33:$33,MATCH(ED$6,'Informacion de Sam'!$1:$1,0)),ED$39+ED$40-ED$42-ED$43)</f>
        <v>18868857.15501301</v>
      </c>
      <c r="EE38" s="29">
        <f>IF(EE$5="Real",INDEX('Informacion de Sam'!$33:$33,MATCH(EE$6,'Informacion de Sam'!$1:$1,0)),EE$39+EE$40-EE$42-EE$43)</f>
        <v>19303296.771625809</v>
      </c>
      <c r="EF38" s="29">
        <f>IF(EF$5="Real",INDEX('Informacion de Sam'!$33:$33,MATCH(EF$6,'Informacion de Sam'!$1:$1,0)),EF$39+EF$40-EF$42-EF$43)</f>
        <v>16983467.445558764</v>
      </c>
      <c r="EG38" s="29">
        <f>IF(EG$5="Real",INDEX('Informacion de Sam'!$33:$33,MATCH(EG$6,'Informacion de Sam'!$1:$1,0)),EG$39+EG$40-EG$42-EG$43)</f>
        <v>19422487.888309352</v>
      </c>
      <c r="EH38" s="29">
        <f>IF(EH$5="Real",INDEX('Informacion de Sam'!$33:$33,MATCH(EH$6,'Informacion de Sam'!$1:$1,0)),EH$39+EH$40-EH$42-EH$43)</f>
        <v>20964874.506129999</v>
      </c>
      <c r="EI38" s="29">
        <f>IF(EI$5="Real",INDEX('Informacion de Sam'!$33:$33,MATCH(EI$6,'Informacion de Sam'!$1:$1,0)),EI$39+EI$40-EI$42-EI$43)</f>
        <v>31503851.329721786</v>
      </c>
      <c r="EJ38" s="29">
        <f>IF(EJ$5="Real",INDEX('Informacion de Sam'!$33:$33,MATCH(EJ$6,'Informacion de Sam'!$1:$1,0)),EJ$39+EJ$40-EJ$42-EJ$43)</f>
        <v>19228307.181399334</v>
      </c>
      <c r="EK38" s="29">
        <f>IF(EK$5="Real",INDEX('Informacion de Sam'!$33:$33,MATCH(EK$6,'Informacion de Sam'!$1:$1,0)),EK$39+EK$40-EK$42-EK$43)</f>
        <v>18561827.922932975</v>
      </c>
      <c r="EL38" s="29">
        <f>IF(EL$5="Real",INDEX('Informacion de Sam'!$33:$33,MATCH(EL$6,'Informacion de Sam'!$1:$1,0)),EL$39+EL$40-EL$42-EL$43)</f>
        <v>19133076.098452162</v>
      </c>
      <c r="EM38" s="29">
        <f>IF(EM$5="Real",INDEX('Informacion de Sam'!$33:$33,MATCH(EM$6,'Informacion de Sam'!$1:$1,0)),EM$39+EM$40-EM$42-EM$43)</f>
        <v>17709318.553040143</v>
      </c>
      <c r="EN38" s="29">
        <f>SUM(EB38:EM38)</f>
        <v>246518920.48830834</v>
      </c>
      <c r="EO38" s="29">
        <f>IF(EO$5="Real",INDEX('Informacion de Sam'!$33:$33,MATCH(EO$6,'Informacion de Sam'!$1:$1,0)),EO$39+EO$40-EO$42-EO$43)</f>
        <v>23184653.751150101</v>
      </c>
      <c r="EP38" s="29">
        <f>IF(EP$5="Real",INDEX('Informacion de Sam'!$33:$33,MATCH(EP$6,'Informacion de Sam'!$1:$1,0)),EP$39+EP$40-EP$42-EP$43)</f>
        <v>32864790.794006109</v>
      </c>
      <c r="EQ38" s="29">
        <f>IF(EQ$5="Real",INDEX('Informacion de Sam'!$33:$33,MATCH(EQ$6,'Informacion de Sam'!$1:$1,0)),EQ$39+EQ$40-EQ$42-EQ$43)</f>
        <v>23586071.443766266</v>
      </c>
      <c r="ER38" s="29">
        <f>IF(ER$5="Real",INDEX('Informacion de Sam'!$33:$33,MATCH(ER$6,'Informacion de Sam'!$1:$1,0)),ER$39+ER$40-ER$42-ER$43)</f>
        <v>24129120.964532256</v>
      </c>
      <c r="ES38" s="29">
        <f>IF(ES$5="Real",INDEX('Informacion de Sam'!$33:$33,MATCH(ES$6,'Informacion de Sam'!$1:$1,0)),ES$39+ES$40-ES$42-ES$43)</f>
        <v>21229334.306948457</v>
      </c>
      <c r="ET38" s="29">
        <f>IF(ET$5="Real",INDEX('Informacion de Sam'!$33:$33,MATCH(ET$6,'Informacion de Sam'!$1:$1,0)),ET$39+ET$40-ET$42-ET$43)</f>
        <v>24278109.860386692</v>
      </c>
      <c r="EU38" s="29">
        <f>IF(EU$5="Real",INDEX('Informacion de Sam'!$33:$33,MATCH(EU$6,'Informacion de Sam'!$1:$1,0)),EU$39+EU$40-EU$42-EU$43)</f>
        <v>26206093.132662486</v>
      </c>
      <c r="EV38" s="29">
        <f>IF(EV$5="Real",INDEX('Informacion de Sam'!$33:$33,MATCH(EV$6,'Informacion de Sam'!$1:$1,0)),EV$39+EV$40-EV$42-EV$43)</f>
        <v>39379814.162152223</v>
      </c>
      <c r="EW38" s="29">
        <f>IF(EW$5="Real",INDEX('Informacion de Sam'!$33:$33,MATCH(EW$6,'Informacion de Sam'!$1:$1,0)),EW$39+EW$40-EW$42-EW$43)</f>
        <v>24035383.976749163</v>
      </c>
      <c r="EX38" s="29">
        <f>IF(EX$5="Real",INDEX('Informacion de Sam'!$33:$33,MATCH(EX$6,'Informacion de Sam'!$1:$1,0)),EX$39+EX$40-EX$42-EX$43)</f>
        <v>23202284.903666213</v>
      </c>
      <c r="EY38" s="29">
        <f>IF(EY$5="Real",INDEX('Informacion de Sam'!$33:$33,MATCH(EY$6,'Informacion de Sam'!$1:$1,0)),EY$39+EY$40-EY$42-EY$43)</f>
        <v>23916345.123065203</v>
      </c>
      <c r="EZ38" s="29">
        <f>IF(EZ$5="Real",INDEX('Informacion de Sam'!$33:$33,MATCH(EZ$6,'Informacion de Sam'!$1:$1,0)),EZ$39+EZ$40-EZ$42-EZ$43)</f>
        <v>22136648.191300169</v>
      </c>
      <c r="FA38" s="29">
        <f>SUM(EO38:EZ38)</f>
        <v>308148650.6103853</v>
      </c>
      <c r="FB38" s="29">
        <f>IF(FB$5="Real",INDEX('Informacion de Sam'!$33:$33,MATCH(FB$6,'Informacion de Sam'!$1:$1,0)),FB$39+FB$40-FB$42-FB$43)</f>
        <v>28980817.188937627</v>
      </c>
      <c r="FC38" s="29">
        <f>IF(FC$5="Real",INDEX('Informacion de Sam'!$33:$33,MATCH(FC$6,'Informacion de Sam'!$1:$1,0)),FC$39+FC$40-FC$42-FC$43)</f>
        <v>41080988.492507644</v>
      </c>
      <c r="FD38" s="29">
        <f>IF(FD$5="Real",INDEX('Informacion de Sam'!$33:$33,MATCH(FD$6,'Informacion de Sam'!$1:$1,0)),FD$39+FD$40-FD$42-FD$43)</f>
        <v>29482589.304707833</v>
      </c>
      <c r="FE38" s="29">
        <f>IF(FE$5="Real",INDEX('Informacion de Sam'!$33:$33,MATCH(FE$6,'Informacion de Sam'!$1:$1,0)),FE$39+FE$40-FE$42-FE$43)</f>
        <v>30161401.205665324</v>
      </c>
      <c r="FF38" s="29">
        <f>IF(FF$5="Real",INDEX('Informacion de Sam'!$33:$33,MATCH(FF$6,'Informacion de Sam'!$1:$1,0)),FF$39+FF$40-FF$42-FF$43)</f>
        <v>26536667.883685574</v>
      </c>
      <c r="FG38" s="29">
        <f>IF(FG$5="Real",INDEX('Informacion de Sam'!$33:$33,MATCH(FG$6,'Informacion de Sam'!$1:$1,0)),FG$39+FG$40-FG$42-FG$43)</f>
        <v>30347637.325483367</v>
      </c>
      <c r="FH38" s="29">
        <f>IF(FH$5="Real",INDEX('Informacion de Sam'!$33:$33,MATCH(FH$6,'Informacion de Sam'!$1:$1,0)),FH$39+FH$40-FH$42-FH$43)</f>
        <v>32757616.41582812</v>
      </c>
      <c r="FI38" s="29">
        <f>IF(FI$5="Real",INDEX('Informacion de Sam'!$33:$33,MATCH(FI$6,'Informacion de Sam'!$1:$1,0)),FI$39+FI$40-FI$42-FI$43)</f>
        <v>49224767.702690274</v>
      </c>
      <c r="FJ38" s="29">
        <f>IF(FJ$5="Real",INDEX('Informacion de Sam'!$33:$33,MATCH(FJ$6,'Informacion de Sam'!$1:$1,0)),FJ$39+FJ$40-FJ$42-FJ$43)</f>
        <v>30044229.970936455</v>
      </c>
      <c r="FK38" s="29">
        <f>IF(FK$5="Real",INDEX('Informacion de Sam'!$33:$33,MATCH(FK$6,'Informacion de Sam'!$1:$1,0)),FK$39+FK$40-FK$42-FK$43)</f>
        <v>29002856.129582774</v>
      </c>
      <c r="FL38" s="29">
        <f>IF(FL$5="Real",INDEX('Informacion de Sam'!$33:$33,MATCH(FL$6,'Informacion de Sam'!$1:$1,0)),FL$39+FL$40-FL$42-FL$43)</f>
        <v>29895431.403831504</v>
      </c>
      <c r="FM38" s="29">
        <f>IF(FM$5="Real",INDEX('Informacion de Sam'!$33:$33,MATCH(FM$6,'Informacion de Sam'!$1:$1,0)),FM$39+FM$40-FM$42-FM$43)</f>
        <v>27670810.239125218</v>
      </c>
      <c r="FN38" s="29">
        <f>SUM(FB38:FM38)</f>
        <v>385185813.26298165</v>
      </c>
      <c r="FO38" s="29">
        <f>IF(FO$5="Real",INDEX('Informacion de Sam'!$33:$33,MATCH(FO$6,'Informacion de Sam'!$1:$1,0)),FO$39+FO$40-FO$42-FO$43)</f>
        <v>36226021.486172035</v>
      </c>
      <c r="FP38" s="29">
        <f>IF(FP$5="Real",INDEX('Informacion de Sam'!$33:$33,MATCH(FP$6,'Informacion de Sam'!$1:$1,0)),FP$39+FP$40-FP$42-FP$43)</f>
        <v>51351235.615634553</v>
      </c>
      <c r="FQ38" s="29">
        <f>IF(FQ$5="Real",INDEX('Informacion de Sam'!$33:$33,MATCH(FQ$6,'Informacion de Sam'!$1:$1,0)),FQ$39+FQ$40-FQ$42-FQ$43)</f>
        <v>36853236.630884781</v>
      </c>
      <c r="FR38" s="29">
        <f>IF(FR$5="Real",INDEX('Informacion de Sam'!$33:$33,MATCH(FR$6,'Informacion de Sam'!$1:$1,0)),FR$39+FR$40-FR$42-FR$43)</f>
        <v>37701751.50708165</v>
      </c>
      <c r="FS38" s="29">
        <f>IF(FS$5="Real",INDEX('Informacion de Sam'!$33:$33,MATCH(FS$6,'Informacion de Sam'!$1:$1,0)),FS$39+FS$40-FS$42-FS$43)</f>
        <v>33170834.854606971</v>
      </c>
      <c r="FT38" s="29">
        <f>IF(FT$5="Real",INDEX('Informacion de Sam'!$33:$33,MATCH(FT$6,'Informacion de Sam'!$1:$1,0)),FT$39+FT$40-FT$42-FT$43)</f>
        <v>37934546.656854205</v>
      </c>
      <c r="FU38" s="29">
        <f>IF(FU$5="Real",INDEX('Informacion de Sam'!$33:$33,MATCH(FU$6,'Informacion de Sam'!$1:$1,0)),FU$39+FU$40-FU$42-FU$43)</f>
        <v>40947020.519785143</v>
      </c>
      <c r="FV38" s="29">
        <f>IF(FV$5="Real",INDEX('Informacion de Sam'!$33:$33,MATCH(FV$6,'Informacion de Sam'!$1:$1,0)),FV$39+FV$40-FV$42-FV$43)</f>
        <v>61530959.628362849</v>
      </c>
      <c r="FW38" s="29">
        <f>IF(FW$5="Real",INDEX('Informacion de Sam'!$33:$33,MATCH(FW$6,'Informacion de Sam'!$1:$1,0)),FW$39+FW$40-FW$42-FW$43)</f>
        <v>37555287.463670567</v>
      </c>
      <c r="FX38" s="29">
        <f>IF(FX$5="Real",INDEX('Informacion de Sam'!$33:$33,MATCH(FX$6,'Informacion de Sam'!$1:$1,0)),FX$39+FX$40-FX$42-FX$43)</f>
        <v>36253570.161978453</v>
      </c>
      <c r="FY38" s="29">
        <f>IF(FY$5="Real",INDEX('Informacion de Sam'!$33:$33,MATCH(FY$6,'Informacion de Sam'!$1:$1,0)),FY$39+FY$40-FY$42-FY$43)</f>
        <v>37369289.254789382</v>
      </c>
      <c r="FZ38" s="29">
        <f>IF(FZ$5="Real",INDEX('Informacion de Sam'!$33:$33,MATCH(FZ$6,'Informacion de Sam'!$1:$1,0)),FZ$39+FZ$40-FZ$42-FZ$43)</f>
        <v>34588512.79890652</v>
      </c>
      <c r="GA38" s="29">
        <f>SUM(FO38:FZ38)</f>
        <v>481482266.57872707</v>
      </c>
      <c r="GB38" s="29">
        <f>IF(GB$5="Real",INDEX('Informacion de Sam'!$33:$33,MATCH(GB$6,'Informacion de Sam'!$1:$1,0)),GB$39+GB$40-GB$42-GB$43)</f>
        <v>45282526.85771504</v>
      </c>
      <c r="GC38" s="29">
        <f>IF(GC$5="Real",INDEX('Informacion de Sam'!$33:$33,MATCH(GC$6,'Informacion de Sam'!$1:$1,0)),GC$39+GC$40-GC$42-GC$43)</f>
        <v>64189044.519543186</v>
      </c>
      <c r="GD38" s="29">
        <f>IF(GD$5="Real",INDEX('Informacion de Sam'!$33:$33,MATCH(GD$6,'Informacion de Sam'!$1:$1,0)),GD$39+GD$40-GD$42-GD$43)</f>
        <v>46066545.788605995</v>
      </c>
      <c r="GE38" s="29">
        <f>IF(GE$5="Real",INDEX('Informacion de Sam'!$33:$33,MATCH(GE$6,'Informacion de Sam'!$1:$1,0)),GE$39+GE$40-GE$42-GE$43)</f>
        <v>47127189.383852065</v>
      </c>
      <c r="GF38" s="29">
        <f>IF(GF$5="Real",INDEX('Informacion de Sam'!$33:$33,MATCH(GF$6,'Informacion de Sam'!$1:$1,0)),GF$39+GF$40-GF$42-GF$43)</f>
        <v>41463543.568258703</v>
      </c>
      <c r="GG38" s="29">
        <f>IF(GG$5="Real",INDEX('Informacion de Sam'!$33:$33,MATCH(GG$6,'Informacion de Sam'!$1:$1,0)),GG$39+GG$40-GG$42-GG$43)</f>
        <v>47418183.321067758</v>
      </c>
      <c r="GH38" s="29">
        <f>IF(GH$5="Real",INDEX('Informacion de Sam'!$33:$33,MATCH(GH$6,'Informacion de Sam'!$1:$1,0)),GH$39+GH$40-GH$42-GH$43)</f>
        <v>51183775.649731442</v>
      </c>
      <c r="GI38" s="29">
        <f>IF(GI$5="Real",INDEX('Informacion de Sam'!$33:$33,MATCH(GI$6,'Informacion de Sam'!$1:$1,0)),GI$39+GI$40-GI$42-GI$43)</f>
        <v>76913699.535453558</v>
      </c>
      <c r="GJ38" s="29">
        <f>IF(GJ$5="Real",INDEX('Informacion de Sam'!$33:$33,MATCH(GJ$6,'Informacion de Sam'!$1:$1,0)),GJ$39+GJ$40-GJ$42-GJ$43)</f>
        <v>46944109.32958822</v>
      </c>
      <c r="GK38" s="29">
        <f>IF(GK$5="Real",INDEX('Informacion de Sam'!$33:$33,MATCH(GK$6,'Informacion de Sam'!$1:$1,0)),GK$39+GK$40-GK$42-GK$43)</f>
        <v>45316962.702473074</v>
      </c>
      <c r="GL38" s="29">
        <f>IF(GL$5="Real",INDEX('Informacion de Sam'!$33:$33,MATCH(GL$6,'Informacion de Sam'!$1:$1,0)),GL$39+GL$40-GL$42-GL$43)</f>
        <v>46711611.568486735</v>
      </c>
      <c r="GM38" s="29">
        <f>IF(GM$5="Real",INDEX('Informacion de Sam'!$33:$33,MATCH(GM$6,'Informacion de Sam'!$1:$1,0)),GM$39+GM$40-GM$42-GM$43)</f>
        <v>43235640.998633154</v>
      </c>
      <c r="GN38" s="29">
        <f>SUM(GB38:GM38)</f>
        <v>601852833.22340894</v>
      </c>
      <c r="GO38" s="29">
        <f>IF(GO$5="Real",INDEX('Informacion de Sam'!$33:$33,MATCH(GO$6,'Informacion de Sam'!$1:$1,0)),GO$39+GO$40-GO$42-GO$43)</f>
        <v>56603158.572143801</v>
      </c>
      <c r="GP38" s="29">
        <f>IF(GP$5="Real",INDEX('Informacion de Sam'!$33:$33,MATCH(GP$6,'Informacion de Sam'!$1:$1,0)),GP$39+GP$40-GP$42-GP$43)</f>
        <v>80236305.649428979</v>
      </c>
      <c r="GQ38" s="29">
        <f>IF(GQ$5="Real",INDEX('Informacion de Sam'!$33:$33,MATCH(GQ$6,'Informacion de Sam'!$1:$1,0)),GQ$39+GQ$40-GQ$42-GQ$43)</f>
        <v>57583182.235757485</v>
      </c>
      <c r="GR38" s="29">
        <f>IF(GR$5="Real",INDEX('Informacion de Sam'!$33:$33,MATCH(GR$6,'Informacion de Sam'!$1:$1,0)),GR$39+GR$40-GR$42-GR$43)</f>
        <v>58908986.729815081</v>
      </c>
      <c r="GS38" s="29">
        <f>IF(GS$5="Real",INDEX('Informacion de Sam'!$33:$33,MATCH(GS$6,'Informacion de Sam'!$1:$1,0)),GS$39+GS$40-GS$42-GS$43)</f>
        <v>51829429.460323371</v>
      </c>
      <c r="GT38" s="29">
        <f>IF(GT$5="Real",INDEX('Informacion de Sam'!$33:$33,MATCH(GT$6,'Informacion de Sam'!$1:$1,0)),GT$39+GT$40-GT$42-GT$43)</f>
        <v>59272729.151334696</v>
      </c>
      <c r="GU38" s="29">
        <f>IF(GU$5="Real",INDEX('Informacion de Sam'!$33:$33,MATCH(GU$6,'Informacion de Sam'!$1:$1,0)),GU$39+GU$40-GU$42-GU$43)</f>
        <v>63979719.562164292</v>
      </c>
      <c r="GV38" s="29">
        <f>IF(GV$5="Real",INDEX('Informacion de Sam'!$33:$33,MATCH(GV$6,'Informacion de Sam'!$1:$1,0)),GV$39+GV$40-GV$42-GV$43)</f>
        <v>96142124.419316962</v>
      </c>
      <c r="GW38" s="29">
        <f>IF(GW$5="Real",INDEX('Informacion de Sam'!$33:$33,MATCH(GW$6,'Informacion de Sam'!$1:$1,0)),GW$39+GW$40-GW$42-GW$43)</f>
        <v>58680136.661985271</v>
      </c>
      <c r="GX38" s="29">
        <f>IF(GX$5="Real",INDEX('Informacion de Sam'!$33:$33,MATCH(GX$6,'Informacion de Sam'!$1:$1,0)),GX$39+GX$40-GX$42-GX$43)</f>
        <v>56646203.378091335</v>
      </c>
      <c r="GY38" s="29">
        <f>IF(GY$5="Real",INDEX('Informacion de Sam'!$33:$33,MATCH(GY$6,'Informacion de Sam'!$1:$1,0)),GY$39+GY$40-GY$42-GY$43)</f>
        <v>58389514.460608408</v>
      </c>
      <c r="GZ38" s="29">
        <f>IF(GZ$5="Real",INDEX('Informacion de Sam'!$33:$33,MATCH(GZ$6,'Informacion de Sam'!$1:$1,0)),GZ$39+GZ$40-GZ$42-GZ$43)</f>
        <v>54044551.248291433</v>
      </c>
      <c r="HA38" s="29">
        <f>SUM(GO38:GZ38)</f>
        <v>752316041.52926111</v>
      </c>
      <c r="HB38" s="29"/>
      <c r="HC38" s="52">
        <f t="shared" ref="HC38:HR40" si="12">SUMIFS($B38:$HA38,$B$4:$HA$4,HC$6,$B$5:$HA$5,"Acumulado")</f>
        <v>56840239.799999997</v>
      </c>
      <c r="HD38" s="52">
        <f t="shared" si="12"/>
        <v>70721826.650000006</v>
      </c>
      <c r="HE38" s="52">
        <f t="shared" si="12"/>
        <v>109034294.34</v>
      </c>
      <c r="HF38" s="52">
        <f t="shared" si="12"/>
        <v>115409995.90000001</v>
      </c>
      <c r="HG38" s="52">
        <f t="shared" si="12"/>
        <v>154298185.85000002</v>
      </c>
      <c r="HH38" s="52">
        <f t="shared" si="12"/>
        <v>149558199.09999999</v>
      </c>
      <c r="HI38" s="52">
        <f t="shared" si="12"/>
        <v>122183180.50798577</v>
      </c>
      <c r="HJ38" s="52">
        <f t="shared" si="12"/>
        <v>126217687.29001383</v>
      </c>
      <c r="HK38" s="52">
        <f t="shared" si="12"/>
        <v>157772109.11251727</v>
      </c>
      <c r="HL38" s="52">
        <f t="shared" si="12"/>
        <v>197215136.39064664</v>
      </c>
      <c r="HM38" s="52">
        <f t="shared" si="12"/>
        <v>246518920.48830834</v>
      </c>
      <c r="HN38" s="52">
        <f t="shared" si="12"/>
        <v>308148650.6103853</v>
      </c>
      <c r="HO38" s="52">
        <f t="shared" si="12"/>
        <v>385185813.26298165</v>
      </c>
      <c r="HP38" s="52">
        <f t="shared" si="12"/>
        <v>481482266.57872707</v>
      </c>
      <c r="HQ38" s="52">
        <f t="shared" si="12"/>
        <v>601852833.22340894</v>
      </c>
      <c r="HR38" s="52">
        <f t="shared" si="12"/>
        <v>752316041.52926111</v>
      </c>
    </row>
    <row r="39" spans="1:226" x14ac:dyDescent="0.35">
      <c r="A39" t="s">
        <v>72</v>
      </c>
      <c r="B39" s="23">
        <f>IF(B$5="Real",INDEX('Informacion de Sam'!$34:$34,MATCH(B$6,'Informacion de Sam'!$1:$1,0)),B$10*'Supuestos Proyeccion'!$F$33)</f>
        <v>29916.38</v>
      </c>
      <c r="C39" s="23">
        <f>IF(C$5="Real",INDEX('Informacion de Sam'!$34:$34,MATCH(C$6,'Informacion de Sam'!$1:$1,0)),C$10*'Supuestos Proyeccion'!$F$33)</f>
        <v>28502.420000000002</v>
      </c>
      <c r="D39" s="23">
        <f>IF(D$5="Real",INDEX('Informacion de Sam'!$34:$34,MATCH(D$6,'Informacion de Sam'!$1:$1,0)),D$10*'Supuestos Proyeccion'!$F$33)</f>
        <v>29916.37999999999</v>
      </c>
      <c r="E39" s="23">
        <f>IF(E$5="Real",INDEX('Informacion de Sam'!$34:$34,MATCH(E$6,'Informacion de Sam'!$1:$1,0)),E$10*'Supuestos Proyeccion'!$F$33)</f>
        <v>29209.400000000009</v>
      </c>
      <c r="F39" s="23">
        <f>IF(F$5="Real",INDEX('Informacion de Sam'!$34:$34,MATCH(F$6,'Informacion de Sam'!$1:$1,0)),F$10*'Supuestos Proyeccion'!$F$33)</f>
        <v>32640.409999999989</v>
      </c>
      <c r="G39" s="23">
        <f>IF(G$5="Real",INDEX('Informacion de Sam'!$34:$34,MATCH(G$6,'Informacion de Sam'!$1:$1,0)),G$10*'Supuestos Proyeccion'!$F$33)</f>
        <v>39877.97</v>
      </c>
      <c r="H39" s="23">
        <f>IF(H$5="Real",INDEX('Informacion de Sam'!$34:$34,MATCH(H$6,'Informacion de Sam'!$1:$1,0)),H$10*'Supuestos Proyeccion'!$F$33)</f>
        <v>48450.050000000017</v>
      </c>
      <c r="I39" s="23">
        <f>IF(I$5="Real",INDEX('Informacion de Sam'!$34:$34,MATCH(I$6,'Informacion de Sam'!$1:$1,0)),I$10*'Supuestos Proyeccion'!$F$33)</f>
        <v>48451.589999999967</v>
      </c>
      <c r="J39" s="23">
        <f>IF(J$5="Real",INDEX('Informacion de Sam'!$34:$34,MATCH(J$6,'Informacion de Sam'!$1:$1,0)),J$10*'Supuestos Proyeccion'!$F$33)</f>
        <v>47146.700000000012</v>
      </c>
      <c r="K39" s="23">
        <f>IF(K$5="Real",INDEX('Informacion de Sam'!$34:$34,MATCH(K$6,'Informacion de Sam'!$1:$1,0)),K$10*'Supuestos Proyeccion'!$F$33)</f>
        <v>48451.590000000026</v>
      </c>
      <c r="L39" s="23">
        <f>IF(L$5="Real",INDEX('Informacion de Sam'!$34:$34,MATCH(L$6,'Informacion de Sam'!$1:$1,0)),L$10*'Supuestos Proyeccion'!$F$33)</f>
        <v>47146.700000000012</v>
      </c>
      <c r="M39" s="23">
        <f>IF(M$5="Real",INDEX('Informacion de Sam'!$34:$34,MATCH(M$6,'Informacion de Sam'!$1:$1,0)),M$10*'Supuestos Proyeccion'!$F$33)</f>
        <v>48451.56</v>
      </c>
      <c r="N39" s="23">
        <f>SUM(B39:M39)</f>
        <v>478161.15</v>
      </c>
      <c r="O39" s="23">
        <f>IF(O$5="Real",INDEX('Informacion de Sam'!$34:$34,MATCH(O$6,'Informacion de Sam'!$1:$1,0)),O$10*'Supuestos Proyeccion'!$F$33)</f>
        <v>48450.75</v>
      </c>
      <c r="P39" s="23">
        <f>IF(P$5="Real",INDEX('Informacion de Sam'!$34:$34,MATCH(P$6,'Informacion de Sam'!$1:$1,0)),P$10*'Supuestos Proyeccion'!$F$33)</f>
        <v>47145.8</v>
      </c>
      <c r="Q39" s="23">
        <f>IF(Q$5="Real",INDEX('Informacion de Sam'!$34:$34,MATCH(Q$6,'Informacion de Sam'!$1:$1,0)),Q$10*'Supuestos Proyeccion'!$F$33)</f>
        <v>48450.659999999989</v>
      </c>
      <c r="R39" s="23">
        <f>IF(R$5="Real",INDEX('Informacion de Sam'!$34:$34,MATCH(R$6,'Informacion de Sam'!$1:$1,0)),R$10*'Supuestos Proyeccion'!$F$33)</f>
        <v>47145.800000000017</v>
      </c>
      <c r="S39" s="23">
        <f>IF(S$5="Real",INDEX('Informacion de Sam'!$34:$34,MATCH(S$6,'Informacion de Sam'!$1:$1,0)),S$10*'Supuestos Proyeccion'!$F$33)</f>
        <v>48450.66</v>
      </c>
      <c r="T39" s="23">
        <f>IF(T$5="Real",INDEX('Informacion de Sam'!$34:$34,MATCH(T$6,'Informacion de Sam'!$1:$1,0)),T$10*'Supuestos Proyeccion'!$F$33)</f>
        <v>47145.799999999959</v>
      </c>
      <c r="U39" s="23">
        <f>IF(U$5="Real",INDEX('Informacion de Sam'!$34:$34,MATCH(U$6,'Informacion de Sam'!$1:$1,0)),U$10*'Supuestos Proyeccion'!$F$33)</f>
        <v>48316.460000000021</v>
      </c>
      <c r="V39" s="23">
        <f>IF(V$5="Real",INDEX('Informacion de Sam'!$34:$34,MATCH(V$6,'Informacion de Sam'!$1:$1,0)),V$10*'Supuestos Proyeccion'!$F$33)</f>
        <v>47618.619999999995</v>
      </c>
      <c r="W39" s="23">
        <f>IF(W$5="Real",INDEX('Informacion de Sam'!$34:$34,MATCH(W$6,'Informacion de Sam'!$1:$1,0)),W$10*'Supuestos Proyeccion'!$F$33)</f>
        <v>46340.600000000035</v>
      </c>
      <c r="X39" s="23">
        <f>IF(X$5="Real",INDEX('Informacion de Sam'!$34:$34,MATCH(X$6,'Informacion de Sam'!$1:$1,0)),X$10*'Supuestos Proyeccion'!$F$33)</f>
        <v>47618.619999999995</v>
      </c>
      <c r="Y39" s="23">
        <f>IF(Y$5="Real",INDEX('Informacion de Sam'!$34:$34,MATCH(Y$6,'Informacion de Sam'!$1:$1,0)),Y$10*'Supuestos Proyeccion'!$F$33)</f>
        <v>46340.599999999977</v>
      </c>
      <c r="Z39" s="23">
        <f>IF(Z$5="Real",INDEX('Informacion de Sam'!$34:$34,MATCH(Z$6,'Informacion de Sam'!$1:$1,0)),Z$10*'Supuestos Proyeccion'!$F$33)</f>
        <v>47618.619999999995</v>
      </c>
      <c r="AA39" s="23">
        <f>SUM(O39:Z39)</f>
        <v>570642.99</v>
      </c>
      <c r="AB39" s="23">
        <f>IF(AB$5="Real",INDEX('Informacion de Sam'!$34:$34,MATCH(AB$6,'Informacion de Sam'!$1:$1,0)),AB$10*'Supuestos Proyeccion'!$F$33)</f>
        <v>47618.62</v>
      </c>
      <c r="AC39" s="23">
        <f>IF(AC$5="Real",INDEX('Informacion de Sam'!$34:$34,MATCH(AC$6,'Informacion de Sam'!$1:$1,0)),AC$10*'Supuestos Proyeccion'!$F$33)</f>
        <v>46340.6</v>
      </c>
      <c r="AD39" s="23">
        <f>IF(AD$5="Real",INDEX('Informacion de Sam'!$34:$34,MATCH(AD$6,'Informacion de Sam'!$1:$1,0)),AD$10*'Supuestos Proyeccion'!$F$33)</f>
        <v>47618.619999999995</v>
      </c>
      <c r="AE39" s="23">
        <f>IF(AE$5="Real",INDEX('Informacion de Sam'!$34:$34,MATCH(AE$6,'Informacion de Sam'!$1:$1,0)),AE$10*'Supuestos Proyeccion'!$F$33)</f>
        <v>46340.600000000006</v>
      </c>
      <c r="AF39" s="23">
        <f>IF(AF$5="Real",INDEX('Informacion de Sam'!$34:$34,MATCH(AF$6,'Informacion de Sam'!$1:$1,0)),AF$10*'Supuestos Proyeccion'!$F$33)</f>
        <v>47618.619999999995</v>
      </c>
      <c r="AG39" s="23">
        <f>IF(AG$5="Real",INDEX('Informacion de Sam'!$34:$34,MATCH(AG$6,'Informacion de Sam'!$1:$1,0)),AG$10*'Supuestos Proyeccion'!$F$33)</f>
        <v>46340.599999999977</v>
      </c>
      <c r="AH39" s="23">
        <f>IF(AH$5="Real",INDEX('Informacion de Sam'!$34:$34,MATCH(AH$6,'Informacion de Sam'!$1:$1,0)),AH$10*'Supuestos Proyeccion'!$F$33)</f>
        <v>47617.600000000035</v>
      </c>
      <c r="AI39" s="23">
        <f>IF(AI$5="Real",INDEX('Informacion de Sam'!$34:$34,MATCH(AI$6,'Informacion de Sam'!$1:$1,0)),AI$10*'Supuestos Proyeccion'!$F$33)</f>
        <v>47608.080000000016</v>
      </c>
      <c r="AJ39" s="23">
        <f>IF(AJ$5="Real",INDEX('Informacion de Sam'!$34:$34,MATCH(AJ$6,'Informacion de Sam'!$1:$1,0)),AJ$10*'Supuestos Proyeccion'!$F$33)</f>
        <v>46330.399999999965</v>
      </c>
      <c r="AK39" s="23">
        <f>IF(AK$5="Real",INDEX('Informacion de Sam'!$34:$34,MATCH(AK$6,'Informacion de Sam'!$1:$1,0)),AK$10*'Supuestos Proyeccion'!$F$33)</f>
        <v>47608.080000000016</v>
      </c>
      <c r="AL39" s="23">
        <f>IF(AL$5="Real",INDEX('Informacion de Sam'!$34:$34,MATCH(AL$6,'Informacion de Sam'!$1:$1,0)),AL$10*'Supuestos Proyeccion'!$F$33)</f>
        <v>46330.399999999965</v>
      </c>
      <c r="AM39" s="23">
        <f>IF(AM$5="Real",INDEX('Informacion de Sam'!$34:$34,MATCH(AM$6,'Informacion de Sam'!$1:$1,0)),AM$10*'Supuestos Proyeccion'!$F$33)</f>
        <v>47608.080000000075</v>
      </c>
      <c r="AN39" s="23">
        <f>SUM(AB39:AM39)</f>
        <v>564980.30000000005</v>
      </c>
      <c r="AO39" s="23">
        <f>IF(AO$5="Real",INDEX('Informacion de Sam'!$34:$34,MATCH(AO$6,'Informacion de Sam'!$1:$1,0)),AO$10*'Supuestos Proyeccion'!$F$33)</f>
        <v>47608.08</v>
      </c>
      <c r="AP39" s="23">
        <f>IF(AP$5="Real",INDEX('Informacion de Sam'!$34:$34,MATCH(AP$6,'Informacion de Sam'!$1:$1,0)),AP$10*'Supuestos Proyeccion'!$F$33)</f>
        <v>46330.399999999994</v>
      </c>
      <c r="AQ39" s="23">
        <f>IF(AQ$5="Real",INDEX('Informacion de Sam'!$34:$34,MATCH(AQ$6,'Informacion de Sam'!$1:$1,0)),AQ$10*'Supuestos Proyeccion'!$F$33)</f>
        <v>47608.08</v>
      </c>
      <c r="AR39" s="23">
        <f>IF(AR$5="Real",INDEX('Informacion de Sam'!$34:$34,MATCH(AR$6,'Informacion de Sam'!$1:$1,0)),AR$10*'Supuestos Proyeccion'!$F$33)</f>
        <v>46330.399999999994</v>
      </c>
      <c r="AS39" s="23">
        <f>IF(AS$5="Real",INDEX('Informacion de Sam'!$34:$34,MATCH(AS$6,'Informacion de Sam'!$1:$1,0)),AS$10*'Supuestos Proyeccion'!$F$33)</f>
        <v>47608.080000000016</v>
      </c>
      <c r="AT39" s="23">
        <f>IF(AT$5="Real",INDEX('Informacion de Sam'!$34:$34,MATCH(AT$6,'Informacion de Sam'!$1:$1,0)),AT$10*'Supuestos Proyeccion'!$F$33)</f>
        <v>46330.399999999994</v>
      </c>
      <c r="AU39" s="23">
        <f>IF(AU$5="Real",INDEX('Informacion de Sam'!$34:$34,MATCH(AU$6,'Informacion de Sam'!$1:$1,0)),AU$10*'Supuestos Proyeccion'!$F$33)</f>
        <v>47608.080000000016</v>
      </c>
      <c r="AV39" s="23">
        <f>IF(AV$5="Real",INDEX('Informacion de Sam'!$34:$34,MATCH(AV$6,'Informacion de Sam'!$1:$1,0)),AV$10*'Supuestos Proyeccion'!$F$33)</f>
        <v>47608.079999999958</v>
      </c>
      <c r="AW39" s="23">
        <f>IF(AW$5="Real",INDEX('Informacion de Sam'!$34:$34,MATCH(AW$6,'Informacion de Sam'!$1:$1,0)),AW$10*'Supuestos Proyeccion'!$F$33)</f>
        <v>46330.400000000023</v>
      </c>
      <c r="AX39" s="23">
        <f>IF(AX$5="Real",INDEX('Informacion de Sam'!$34:$34,MATCH(AX$6,'Informacion de Sam'!$1:$1,0)),AX$10*'Supuestos Proyeccion'!$F$33)</f>
        <v>47608.080000000016</v>
      </c>
      <c r="AY39" s="23">
        <f>IF(AY$5="Real",INDEX('Informacion de Sam'!$34:$34,MATCH(AY$6,'Informacion de Sam'!$1:$1,0)),AY$10*'Supuestos Proyeccion'!$F$33)</f>
        <v>46330.399999999965</v>
      </c>
      <c r="AZ39" s="23">
        <f>IF(AZ$5="Real",INDEX('Informacion de Sam'!$34:$34,MATCH(AZ$6,'Informacion de Sam'!$1:$1,0)),AZ$10*'Supuestos Proyeccion'!$F$33)</f>
        <v>47608.080000000075</v>
      </c>
      <c r="BA39" s="23">
        <f>SUM(AO39:AZ39)</f>
        <v>564908.56000000006</v>
      </c>
      <c r="BB39" s="23">
        <f>IF(BB$5="Real",INDEX('Informacion de Sam'!$34:$34,MATCH(BB$6,'Informacion de Sam'!$1:$1,0)),BB$10*'Supuestos Proyeccion'!$F$33)</f>
        <v>47608.08</v>
      </c>
      <c r="BC39" s="23">
        <f>IF(BC$5="Real",INDEX('Informacion de Sam'!$34:$34,MATCH(BC$6,'Informacion de Sam'!$1:$1,0)),BC$10*'Supuestos Proyeccion'!$F$33)</f>
        <v>45052.72</v>
      </c>
      <c r="BD39" s="23">
        <f>IF(BD$5="Real",INDEX('Informacion de Sam'!$34:$34,MATCH(BD$6,'Informacion de Sam'!$1:$1,0)),BD$10*'Supuestos Proyeccion'!$F$33)</f>
        <v>47608.08</v>
      </c>
      <c r="BE39" s="23">
        <f>IF(BE$5="Real",INDEX('Informacion de Sam'!$34:$34,MATCH(BE$6,'Informacion de Sam'!$1:$1,0)),BE$10*'Supuestos Proyeccion'!$F$33)</f>
        <v>46330.399999999994</v>
      </c>
      <c r="BF39" s="23">
        <f>IF(BF$5="Real",INDEX('Informacion de Sam'!$34:$34,MATCH(BF$6,'Informacion de Sam'!$1:$1,0)),BF$10*'Supuestos Proyeccion'!$F$33)</f>
        <v>47608.079999999987</v>
      </c>
      <c r="BG39" s="23">
        <f>IF(BG$5="Real",INDEX('Informacion de Sam'!$34:$34,MATCH(BG$6,'Informacion de Sam'!$1:$1,0)),BG$10*'Supuestos Proyeccion'!$F$33)</f>
        <v>46330.400000000023</v>
      </c>
      <c r="BH39" s="23">
        <f>IF(BH$5="Real",INDEX('Informacion de Sam'!$34:$34,MATCH(BH$6,'Informacion de Sam'!$1:$1,0)),BH$10*'Supuestos Proyeccion'!$F$33)</f>
        <v>47608.080000000016</v>
      </c>
      <c r="BI39" s="23">
        <f>IF(BI$5="Real",INDEX('Informacion de Sam'!$34:$34,MATCH(BI$6,'Informacion de Sam'!$1:$1,0)),BI$10*'Supuestos Proyeccion'!$F$33)</f>
        <v>47608.079999999958</v>
      </c>
      <c r="BJ39" s="23">
        <f>IF(BJ$5="Real",INDEX('Informacion de Sam'!$34:$34,MATCH(BJ$6,'Informacion de Sam'!$1:$1,0)),BJ$10*'Supuestos Proyeccion'!$F$33)</f>
        <v>46330.400000000023</v>
      </c>
      <c r="BK39" s="23">
        <f>IF(BK$5="Real",INDEX('Informacion de Sam'!$34:$34,MATCH(BK$6,'Informacion de Sam'!$1:$1,0)),BK$10*'Supuestos Proyeccion'!$F$33)</f>
        <v>47608.080000000016</v>
      </c>
      <c r="BL39" s="23">
        <f>IF(BL$5="Real",INDEX('Informacion de Sam'!$34:$34,MATCH(BL$6,'Informacion de Sam'!$1:$1,0)),BL$10*'Supuestos Proyeccion'!$F$33)</f>
        <v>46330.399999999965</v>
      </c>
      <c r="BM39" s="23">
        <f>IF(BM$5="Real",INDEX('Informacion de Sam'!$34:$34,MATCH(BM$6,'Informacion de Sam'!$1:$1,0)),BM$10*'Supuestos Proyeccion'!$F$33)</f>
        <v>47608.080000000016</v>
      </c>
      <c r="BN39" s="23">
        <f>SUM(BB39:BM39)</f>
        <v>563630.88</v>
      </c>
      <c r="BO39" s="23">
        <f>IF(BO$5="Real",INDEX('Informacion de Sam'!$34:$34,MATCH(BO$6,'Informacion de Sam'!$1:$1,0)),BO$10*'Supuestos Proyeccion'!$F$33)</f>
        <v>47608.08</v>
      </c>
      <c r="BP39" s="23">
        <f>IF(BP$5="Real",INDEX('Informacion de Sam'!$34:$34,MATCH(BP$6,'Informacion de Sam'!$1:$1,0)),BP$10*'Supuestos Proyeccion'!$F$33)</f>
        <v>43775.039999999994</v>
      </c>
      <c r="BQ39" s="23">
        <f>IF(BQ$5="Real",INDEX('Informacion de Sam'!$34:$34,MATCH(BQ$6,'Informacion de Sam'!$1:$1,0)),BQ$10*'Supuestos Proyeccion'!$F$33)</f>
        <v>47608.080000000016</v>
      </c>
      <c r="BR39" s="23">
        <f>IF(BR$5="Real",INDEX('Informacion de Sam'!$34:$34,MATCH(BR$6,'Informacion de Sam'!$1:$1,0)),BR$10*'Supuestos Proyeccion'!$F$33)</f>
        <v>46330.399999999994</v>
      </c>
      <c r="BS39" s="23">
        <f>IF(BS$5="Real",INDEX('Informacion de Sam'!$34:$34,MATCH(BS$6,'Informacion de Sam'!$1:$1,0)),BS$10*'Supuestos Proyeccion'!$F$33)</f>
        <v>47608.079999999987</v>
      </c>
      <c r="BT39" s="23">
        <f>IF(BT$5="Real",INDEX('Informacion de Sam'!$34:$34,MATCH(BT$6,'Informacion de Sam'!$1:$1,0)),BT$10*'Supuestos Proyeccion'!$F$33)</f>
        <v>46330.400000000023</v>
      </c>
      <c r="BU39" s="23">
        <f>IF(BU$5="Real",INDEX('Informacion de Sam'!$34:$34,MATCH(BU$6,'Informacion de Sam'!$1:$1,0)),BU$10*'Supuestos Proyeccion'!$F$33)</f>
        <v>47608.079999999958</v>
      </c>
      <c r="BV39" s="23">
        <f>IF(BV$5="Real",INDEX('Informacion de Sam'!$34:$34,MATCH(BV$6,'Informacion de Sam'!$1:$1,0)),BV$10*'Supuestos Proyeccion'!$F$33)</f>
        <v>47608.080000000016</v>
      </c>
      <c r="BW39" s="23">
        <f>IF(BW$5="Real",INDEX('Informacion de Sam'!$34:$34,MATCH(BW$6,'Informacion de Sam'!$1:$1,0)),BW$10*'Supuestos Proyeccion'!$F$33)</f>
        <v>46330.400000000023</v>
      </c>
      <c r="BX39" s="23">
        <f>IF(BX$5="Real",INDEX('Informacion de Sam'!$34:$34,MATCH(BX$6,'Informacion de Sam'!$1:$1,0)),BX$10*'Supuestos Proyeccion'!$F$33)</f>
        <v>46820.130000000005</v>
      </c>
      <c r="BY39" s="23">
        <f>IF(BY$5="Real",INDEX('Informacion de Sam'!$34:$34,MATCH(BY$6,'Informacion de Sam'!$1:$1,0)),BY$10*'Supuestos Proyeccion'!$F$33)</f>
        <v>45680.599999999977</v>
      </c>
      <c r="BZ39" s="23">
        <f>IF(BZ$5="Real",INDEX('Informacion de Sam'!$34:$34,MATCH(BZ$6,'Informacion de Sam'!$1:$1,0)),BZ$10*'Supuestos Proyeccion'!$F$33)</f>
        <v>57937.170000000042</v>
      </c>
      <c r="CA39" s="23">
        <f>SUM(BO39:BZ39)</f>
        <v>571244.54</v>
      </c>
      <c r="CB39" s="23">
        <f>IF(CB$5="Real",INDEX('Informacion de Sam'!$34:$34,MATCH(CB$6,'Informacion de Sam'!$1:$1,0)),CB$10*'Supuestos Proyeccion'!$F$33)</f>
        <v>69671.09</v>
      </c>
      <c r="CC39" s="23">
        <f>IF(CC$5="Real",INDEX('Informacion de Sam'!$34:$34,MATCH(CC$6,'Informacion de Sam'!$1:$1,0)),CC$10*'Supuestos Proyeccion'!$F$33)</f>
        <v>63702.920000000013</v>
      </c>
      <c r="CD39" s="23">
        <f>IF(CD$5="Real",INDEX('Informacion de Sam'!$34:$34,MATCH(CD$6,'Informacion de Sam'!$1:$1,0)),CD$10*'Supuestos Proyeccion'!$F$33)</f>
        <v>69671.09</v>
      </c>
      <c r="CE39" s="23">
        <f>IF(CE$5="Real",INDEX('Informacion de Sam'!$34:$34,MATCH(CE$6,'Informacion de Sam'!$1:$1,0)),CE$10*'Supuestos Proyeccion'!$F$33)</f>
        <v>67681.699999999983</v>
      </c>
      <c r="CF39" s="23">
        <f>IF(CF$5="Real",INDEX('Informacion de Sam'!$34:$34,MATCH(CF$6,'Informacion de Sam'!$1:$1,0)),CF$10*'Supuestos Proyeccion'!$F$33)</f>
        <v>69671.090000000026</v>
      </c>
      <c r="CG39" s="23">
        <f>IF(CG$5="Real",INDEX('Informacion de Sam'!$34:$34,MATCH(CG$6,'Informacion de Sam'!$1:$1,0)),CG$10*'Supuestos Proyeccion'!$F$33)</f>
        <v>83067.5</v>
      </c>
      <c r="CH39" s="23">
        <f>IF(CH$5="Real",INDEX('Informacion de Sam'!$34:$34,MATCH(CH$6,'Informacion de Sam'!$1:$1,0)),CH$10*'Supuestos Proyeccion'!$F$33)</f>
        <v>87923.599999999977</v>
      </c>
      <c r="CI39" s="23">
        <f>IF(CI$5="Real",INDEX('Informacion de Sam'!$34:$34,MATCH(CI$6,'Informacion de Sam'!$1:$1,0)),CI$10*'Supuestos Proyeccion'!$F$33)</f>
        <v>106296.96999999997</v>
      </c>
      <c r="CJ39" s="23">
        <f>IF(CJ$5="Real",INDEX('Informacion de Sam'!$34:$34,MATCH(CJ$6,'Informacion de Sam'!$1:$1,0)),CJ$10*'Supuestos Proyeccion'!$F$33)</f>
        <v>100783.12617280817</v>
      </c>
      <c r="CK39" s="23">
        <f>IF(CK$5="Real",INDEX('Informacion de Sam'!$34:$34,MATCH(CK$6,'Informacion de Sam'!$1:$1,0)),CK$10*'Supuestos Proyeccion'!$F$33)</f>
        <v>97289.846053872287</v>
      </c>
      <c r="CL39" s="23">
        <f>IF(CL$5="Real",INDEX('Informacion de Sam'!$34:$34,MATCH(CL$6,'Informacion de Sam'!$1:$1,0)),CL$10*'Supuestos Proyeccion'!$F$33)</f>
        <v>100283.98258425963</v>
      </c>
      <c r="CM39" s="23">
        <f>IF(CM$5="Real",INDEX('Informacion de Sam'!$34:$34,MATCH(CM$6,'Informacion de Sam'!$1:$1,0)),CM$10*'Supuestos Proyeccion'!$F$33)</f>
        <v>92821.508899755834</v>
      </c>
      <c r="CN39" s="23">
        <f>SUM(CB39:CM39)</f>
        <v>1008864.4237106959</v>
      </c>
      <c r="CO39" s="23">
        <f>IF(CO$5="Real",INDEX('Informacion de Sam'!$34:$34,MATCH(CO$6,'Informacion de Sam'!$1:$1,0)),CO$10*'Supuestos Proyeccion'!$F$33)</f>
        <v>121519.89575740616</v>
      </c>
      <c r="CP39" s="23">
        <f>IF(CP$5="Real",INDEX('Informacion de Sam'!$34:$34,MATCH(CP$6,'Informacion de Sam'!$1:$1,0)),CP$10*'Supuestos Proyeccion'!$F$33)</f>
        <v>172257.3040875571</v>
      </c>
      <c r="CQ39" s="23">
        <f>IF(CQ$5="Real",INDEX('Informacion de Sam'!$34:$34,MATCH(CQ$6,'Informacion de Sam'!$1:$1,0)),CQ$10*'Supuestos Proyeccion'!$F$33)</f>
        <v>123623.88388185574</v>
      </c>
      <c r="CR39" s="23">
        <f>IF(CR$5="Real",INDEX('Informacion de Sam'!$34:$34,MATCH(CR$6,'Informacion de Sam'!$1:$1,0)),CR$10*'Supuestos Proyeccion'!$F$33)</f>
        <v>126470.22016373008</v>
      </c>
      <c r="CS39" s="23">
        <f>IF(CS$5="Real",INDEX('Informacion de Sam'!$34:$34,MATCH(CS$6,'Informacion de Sam'!$1:$1,0)),CS$10*'Supuestos Proyeccion'!$F$33)</f>
        <v>111271.29693931832</v>
      </c>
      <c r="CT39" s="23">
        <f>IF(CT$5="Real",INDEX('Informacion de Sam'!$34:$34,MATCH(CT$6,'Informacion de Sam'!$1:$1,0)),CT$10*'Supuestos Proyeccion'!$F$33)</f>
        <v>127251.12960872638</v>
      </c>
      <c r="CU39" s="23">
        <f>IF(CU$5="Real",INDEX('Informacion de Sam'!$34:$34,MATCH(CU$6,'Informacion de Sam'!$1:$1,0)),CU$10*'Supuestos Proyeccion'!$F$33)</f>
        <v>137356.44879027145</v>
      </c>
      <c r="CV39" s="23">
        <f>IF(CV$5="Real",INDEX('Informacion de Sam'!$34:$34,MATCH(CV$6,'Informacion de Sam'!$1:$1,0)),CV$10*'Supuestos Proyeccion'!$F$33)</f>
        <v>206405.10586419169</v>
      </c>
      <c r="CW39" s="23">
        <f>IF(CW$5="Real",INDEX('Informacion de Sam'!$34:$34,MATCH(CW$6,'Informacion de Sam'!$1:$1,0)),CW$10*'Supuestos Proyeccion'!$F$33)</f>
        <v>125978.90771601023</v>
      </c>
      <c r="CX39" s="23">
        <f>IF(CX$5="Real",INDEX('Informacion de Sam'!$34:$34,MATCH(CX$6,'Informacion de Sam'!$1:$1,0)),CX$10*'Supuestos Proyeccion'!$F$33)</f>
        <v>121612.30756734034</v>
      </c>
      <c r="CY39" s="23">
        <f>IF(CY$5="Real",INDEX('Informacion de Sam'!$34:$34,MATCH(CY$6,'Informacion de Sam'!$1:$1,0)),CY$10*'Supuestos Proyeccion'!$F$33)</f>
        <v>125354.97823032454</v>
      </c>
      <c r="CZ39" s="23">
        <f>IF(CZ$5="Real",INDEX('Informacion de Sam'!$34:$34,MATCH(CZ$6,'Informacion de Sam'!$1:$1,0)),CZ$10*'Supuestos Proyeccion'!$F$33)</f>
        <v>116026.88612469479</v>
      </c>
      <c r="DA39" s="23">
        <f>SUM(CO39:CZ39)</f>
        <v>1615128.3647314268</v>
      </c>
      <c r="DB39" s="23">
        <f>IF(DB$5="Real",INDEX('Informacion de Sam'!$34:$34,MATCH(DB$6,'Informacion de Sam'!$1:$1,0)),DB$10*'Supuestos Proyeccion'!$F$33)</f>
        <v>151899.86969675773</v>
      </c>
      <c r="DC39" s="23">
        <f>IF(DC$5="Real",INDEX('Informacion de Sam'!$34:$34,MATCH(DC$6,'Informacion de Sam'!$1:$1,0)),DC$10*'Supuestos Proyeccion'!$F$33)</f>
        <v>215321.63010944639</v>
      </c>
      <c r="DD39" s="23">
        <f>IF(DD$5="Real",INDEX('Informacion de Sam'!$34:$34,MATCH(DD$6,'Informacion de Sam'!$1:$1,0)),DD$10*'Supuestos Proyeccion'!$F$33)</f>
        <v>154529.85485231967</v>
      </c>
      <c r="DE39" s="23">
        <f>IF(DE$5="Real",INDEX('Informacion de Sam'!$34:$34,MATCH(DE$6,'Informacion de Sam'!$1:$1,0)),DE$10*'Supuestos Proyeccion'!$F$33)</f>
        <v>158087.77520466258</v>
      </c>
      <c r="DF39" s="23">
        <f>IF(DF$5="Real",INDEX('Informacion de Sam'!$34:$34,MATCH(DF$6,'Informacion de Sam'!$1:$1,0)),DF$10*'Supuestos Proyeccion'!$F$33)</f>
        <v>139089.12117414788</v>
      </c>
      <c r="DG39" s="23">
        <f>IF(DG$5="Real",INDEX('Informacion de Sam'!$34:$34,MATCH(DG$6,'Informacion de Sam'!$1:$1,0)),DG$10*'Supuestos Proyeccion'!$F$33)</f>
        <v>159063.91201090795</v>
      </c>
      <c r="DH39" s="23">
        <f>IF(DH$5="Real",INDEX('Informacion de Sam'!$34:$34,MATCH(DH$6,'Informacion de Sam'!$1:$1,0)),DH$10*'Supuestos Proyeccion'!$F$33)</f>
        <v>171695.56098783933</v>
      </c>
      <c r="DI39" s="23">
        <f>IF(DI$5="Real",INDEX('Informacion de Sam'!$34:$34,MATCH(DI$6,'Informacion de Sam'!$1:$1,0)),DI$10*'Supuestos Proyeccion'!$F$33)</f>
        <v>258006.38233023963</v>
      </c>
      <c r="DJ39" s="23">
        <f>IF(DJ$5="Real",INDEX('Informacion de Sam'!$34:$34,MATCH(DJ$6,'Informacion de Sam'!$1:$1,0)),DJ$10*'Supuestos Proyeccion'!$F$33)</f>
        <v>157473.63464501279</v>
      </c>
      <c r="DK39" s="23">
        <f>IF(DK$5="Real",INDEX('Informacion de Sam'!$34:$34,MATCH(DK$6,'Informacion de Sam'!$1:$1,0)),DK$10*'Supuestos Proyeccion'!$F$33)</f>
        <v>152015.38445917543</v>
      </c>
      <c r="DL39" s="23">
        <f>IF(DL$5="Real",INDEX('Informacion de Sam'!$34:$34,MATCH(DL$6,'Informacion de Sam'!$1:$1,0)),DL$10*'Supuestos Proyeccion'!$F$33)</f>
        <v>156693.72278790566</v>
      </c>
      <c r="DM39" s="23">
        <f>IF(DM$5="Real",INDEX('Informacion de Sam'!$34:$34,MATCH(DM$6,'Informacion de Sam'!$1:$1,0)),DM$10*'Supuestos Proyeccion'!$F$33)</f>
        <v>145033.60765586849</v>
      </c>
      <c r="DN39" s="23">
        <f>SUM(DB39:DM39)</f>
        <v>2018910.4559142832</v>
      </c>
      <c r="DO39" s="23">
        <f>IF(DO$5="Real",INDEX('Informacion de Sam'!$34:$34,MATCH(DO$6,'Informacion de Sam'!$1:$1,0)),DO$10*'Supuestos Proyeccion'!$F$33)</f>
        <v>189874.83712094714</v>
      </c>
      <c r="DP39" s="23">
        <f>IF(DP$5="Real",INDEX('Informacion de Sam'!$34:$34,MATCH(DP$6,'Informacion de Sam'!$1:$1,0)),DP$10*'Supuestos Proyeccion'!$F$33)</f>
        <v>269152.037636808</v>
      </c>
      <c r="DQ39" s="23">
        <f>IF(DQ$5="Real",INDEX('Informacion de Sam'!$34:$34,MATCH(DQ$6,'Informacion de Sam'!$1:$1,0)),DQ$10*'Supuestos Proyeccion'!$F$33)</f>
        <v>193162.31856539956</v>
      </c>
      <c r="DR39" s="23">
        <f>IF(DR$5="Real",INDEX('Informacion de Sam'!$34:$34,MATCH(DR$6,'Informacion de Sam'!$1:$1,0)),DR$10*'Supuestos Proyeccion'!$F$33)</f>
        <v>197609.71900582826</v>
      </c>
      <c r="DS39" s="23">
        <f>IF(DS$5="Real",INDEX('Informacion de Sam'!$34:$34,MATCH(DS$6,'Informacion de Sam'!$1:$1,0)),DS$10*'Supuestos Proyeccion'!$F$33)</f>
        <v>173861.40146768486</v>
      </c>
      <c r="DT39" s="23">
        <f>IF(DT$5="Real",INDEX('Informacion de Sam'!$34:$34,MATCH(DT$6,'Informacion de Sam'!$1:$1,0)),DT$10*'Supuestos Proyeccion'!$F$33)</f>
        <v>198829.89001363498</v>
      </c>
      <c r="DU39" s="23">
        <f>IF(DU$5="Real",INDEX('Informacion de Sam'!$34:$34,MATCH(DU$6,'Informacion de Sam'!$1:$1,0)),DU$10*'Supuestos Proyeccion'!$F$33)</f>
        <v>214619.45123479917</v>
      </c>
      <c r="DV39" s="23">
        <f>IF(DV$5="Real",INDEX('Informacion de Sam'!$34:$34,MATCH(DV$6,'Informacion de Sam'!$1:$1,0)),DV$10*'Supuestos Proyeccion'!$F$33)</f>
        <v>322507.97791279951</v>
      </c>
      <c r="DW39" s="23">
        <f>IF(DW$5="Real",INDEX('Informacion de Sam'!$34:$34,MATCH(DW$6,'Informacion de Sam'!$1:$1,0)),DW$10*'Supuestos Proyeccion'!$F$33)</f>
        <v>196842.04330626599</v>
      </c>
      <c r="DX39" s="23">
        <f>IF(DX$5="Real",INDEX('Informacion de Sam'!$34:$34,MATCH(DX$6,'Informacion de Sam'!$1:$1,0)),DX$10*'Supuestos Proyeccion'!$F$33)</f>
        <v>190019.23057396931</v>
      </c>
      <c r="DY39" s="23">
        <f>IF(DY$5="Real",INDEX('Informacion de Sam'!$34:$34,MATCH(DY$6,'Informacion de Sam'!$1:$1,0)),DY$10*'Supuestos Proyeccion'!$F$33)</f>
        <v>195867.15348488209</v>
      </c>
      <c r="DZ39" s="23">
        <f>IF(DZ$5="Real",INDEX('Informacion de Sam'!$34:$34,MATCH(DZ$6,'Informacion de Sam'!$1:$1,0)),DZ$10*'Supuestos Proyeccion'!$F$33)</f>
        <v>181292.00956983562</v>
      </c>
      <c r="EA39" s="23">
        <f>SUM(DO39:DZ39)</f>
        <v>2523638.0698928544</v>
      </c>
      <c r="EB39" s="23">
        <f>IF(EB$5="Real",INDEX('Informacion de Sam'!$34:$34,MATCH(EB$6,'Informacion de Sam'!$1:$1,0)),EB$10*'Supuestos Proyeccion'!$F$33)</f>
        <v>237343.54640118394</v>
      </c>
      <c r="EC39" s="23">
        <f>IF(EC$5="Real",INDEX('Informacion de Sam'!$34:$34,MATCH(EC$6,'Informacion de Sam'!$1:$1,0)),EC$10*'Supuestos Proyeccion'!$F$33)</f>
        <v>336440.04704600998</v>
      </c>
      <c r="ED39" s="23">
        <f>IF(ED$5="Real",INDEX('Informacion de Sam'!$34:$34,MATCH(ED$6,'Informacion de Sam'!$1:$1,0)),ED$10*'Supuestos Proyeccion'!$F$33)</f>
        <v>241452.89820674949</v>
      </c>
      <c r="EE39" s="23">
        <f>IF(EE$5="Real",INDEX('Informacion de Sam'!$34:$34,MATCH(EE$6,'Informacion de Sam'!$1:$1,0)),EE$10*'Supuestos Proyeccion'!$F$33)</f>
        <v>247012.14875728532</v>
      </c>
      <c r="EF39" s="23">
        <f>IF(EF$5="Real",INDEX('Informacion de Sam'!$34:$34,MATCH(EF$6,'Informacion de Sam'!$1:$1,0)),EF$10*'Supuestos Proyeccion'!$F$33)</f>
        <v>217326.75183460608</v>
      </c>
      <c r="EG39" s="23">
        <f>IF(EG$5="Real",INDEX('Informacion de Sam'!$34:$34,MATCH(EG$6,'Informacion de Sam'!$1:$1,0)),EG$10*'Supuestos Proyeccion'!$F$33)</f>
        <v>248537.36251704372</v>
      </c>
      <c r="EH39" s="23">
        <f>IF(EH$5="Real",INDEX('Informacion de Sam'!$34:$34,MATCH(EH$6,'Informacion de Sam'!$1:$1,0)),EH$10*'Supuestos Proyeccion'!$F$33)</f>
        <v>268274.31404349895</v>
      </c>
      <c r="EI39" s="23">
        <f>IF(EI$5="Real",INDEX('Informacion de Sam'!$34:$34,MATCH(EI$6,'Informacion de Sam'!$1:$1,0)),EI$10*'Supuestos Proyeccion'!$F$33)</f>
        <v>403134.97239099944</v>
      </c>
      <c r="EJ39" s="23">
        <f>IF(EJ$5="Real",INDEX('Informacion de Sam'!$34:$34,MATCH(EJ$6,'Informacion de Sam'!$1:$1,0)),EJ$10*'Supuestos Proyeccion'!$F$33)</f>
        <v>246052.55413283248</v>
      </c>
      <c r="EK39" s="23">
        <f>IF(EK$5="Real",INDEX('Informacion de Sam'!$34:$34,MATCH(EK$6,'Informacion de Sam'!$1:$1,0)),EK$10*'Supuestos Proyeccion'!$F$33)</f>
        <v>237524.03821746164</v>
      </c>
      <c r="EL39" s="23">
        <f>IF(EL$5="Real",INDEX('Informacion de Sam'!$34:$34,MATCH(EL$6,'Informacion de Sam'!$1:$1,0)),EL$10*'Supuestos Proyeccion'!$F$33)</f>
        <v>244833.94185610261</v>
      </c>
      <c r="EM39" s="23">
        <f>IF(EM$5="Real",INDEX('Informacion de Sam'!$34:$34,MATCH(EM$6,'Informacion de Sam'!$1:$1,0)),EM$10*'Supuestos Proyeccion'!$F$33)</f>
        <v>226615.01196229455</v>
      </c>
      <c r="EN39" s="23">
        <f>SUM(EB39:EM39)</f>
        <v>3154547.5873660687</v>
      </c>
      <c r="EO39" s="23">
        <f>IF(EO$5="Real",INDEX('Informacion de Sam'!$34:$34,MATCH(EO$6,'Informacion de Sam'!$1:$1,0)),EO$10*'Supuestos Proyeccion'!$F$33)</f>
        <v>296679.43300147989</v>
      </c>
      <c r="EP39" s="23">
        <f>IF(EP$5="Real",INDEX('Informacion de Sam'!$34:$34,MATCH(EP$6,'Informacion de Sam'!$1:$1,0)),EP$10*'Supuestos Proyeccion'!$F$33)</f>
        <v>420550.05880751245</v>
      </c>
      <c r="EQ39" s="23">
        <f>IF(EQ$5="Real",INDEX('Informacion de Sam'!$34:$34,MATCH(EQ$6,'Informacion de Sam'!$1:$1,0)),EQ$10*'Supuestos Proyeccion'!$F$33)</f>
        <v>301816.12275843683</v>
      </c>
      <c r="ER39" s="23">
        <f>IF(ER$5="Real",INDEX('Informacion de Sam'!$34:$34,MATCH(ER$6,'Informacion de Sam'!$1:$1,0)),ER$10*'Supuestos Proyeccion'!$F$33)</f>
        <v>308765.18594660662</v>
      </c>
      <c r="ES39" s="23">
        <f>IF(ES$5="Real",INDEX('Informacion de Sam'!$34:$34,MATCH(ES$6,'Informacion de Sam'!$1:$1,0)),ES$10*'Supuestos Proyeccion'!$F$33)</f>
        <v>271658.43979325757</v>
      </c>
      <c r="ET39" s="23">
        <f>IF(ET$5="Real",INDEX('Informacion de Sam'!$34:$34,MATCH(ET$6,'Informacion de Sam'!$1:$1,0)),ET$10*'Supuestos Proyeccion'!$F$33)</f>
        <v>310671.70314630464</v>
      </c>
      <c r="EU39" s="23">
        <f>IF(EU$5="Real",INDEX('Informacion de Sam'!$34:$34,MATCH(EU$6,'Informacion de Sam'!$1:$1,0)),EU$10*'Supuestos Proyeccion'!$F$33)</f>
        <v>335342.89255437366</v>
      </c>
      <c r="EV39" s="23">
        <f>IF(EV$5="Real",INDEX('Informacion de Sam'!$34:$34,MATCH(EV$6,'Informacion de Sam'!$1:$1,0)),EV$10*'Supuestos Proyeccion'!$F$33)</f>
        <v>503918.71548874927</v>
      </c>
      <c r="EW39" s="23">
        <f>IF(EW$5="Real",INDEX('Informacion de Sam'!$34:$34,MATCH(EW$6,'Informacion de Sam'!$1:$1,0)),EW$10*'Supuestos Proyeccion'!$F$33)</f>
        <v>307565.69266604062</v>
      </c>
      <c r="EX39" s="23">
        <f>IF(EX$5="Real",INDEX('Informacion de Sam'!$34:$34,MATCH(EX$6,'Informacion de Sam'!$1:$1,0)),EX$10*'Supuestos Proyeccion'!$F$33)</f>
        <v>296905.04777182703</v>
      </c>
      <c r="EY39" s="23">
        <f>IF(EY$5="Real",INDEX('Informacion de Sam'!$34:$34,MATCH(EY$6,'Informacion de Sam'!$1:$1,0)),EY$10*'Supuestos Proyeccion'!$F$33)</f>
        <v>306042.42732012825</v>
      </c>
      <c r="EZ39" s="23">
        <f>IF(EZ$5="Real",INDEX('Informacion de Sam'!$34:$34,MATCH(EZ$6,'Informacion de Sam'!$1:$1,0)),EZ$10*'Supuestos Proyeccion'!$F$33)</f>
        <v>283268.76495286816</v>
      </c>
      <c r="FA39" s="23">
        <f>SUM(EO39:EZ39)</f>
        <v>3943184.484207585</v>
      </c>
      <c r="FB39" s="23">
        <f>IF(FB$5="Real",INDEX('Informacion de Sam'!$34:$34,MATCH(FB$6,'Informacion de Sam'!$1:$1,0)),FB$10*'Supuestos Proyeccion'!$F$33)</f>
        <v>370849.29125184991</v>
      </c>
      <c r="FC39" s="23">
        <f>IF(FC$5="Real",INDEX('Informacion de Sam'!$34:$34,MATCH(FC$6,'Informacion de Sam'!$1:$1,0)),FC$10*'Supuestos Proyeccion'!$F$33)</f>
        <v>525687.5735093907</v>
      </c>
      <c r="FD39" s="23">
        <f>IF(FD$5="Real",INDEX('Informacion de Sam'!$34:$34,MATCH(FD$6,'Informacion de Sam'!$1:$1,0)),FD$10*'Supuestos Proyeccion'!$F$33)</f>
        <v>377270.15344804607</v>
      </c>
      <c r="FE39" s="23">
        <f>IF(FE$5="Real",INDEX('Informacion de Sam'!$34:$34,MATCH(FE$6,'Informacion de Sam'!$1:$1,0)),FE$10*'Supuestos Proyeccion'!$F$33)</f>
        <v>385956.48243325832</v>
      </c>
      <c r="FF39" s="23">
        <f>IF(FF$5="Real",INDEX('Informacion de Sam'!$34:$34,MATCH(FF$6,'Informacion de Sam'!$1:$1,0)),FF$10*'Supuestos Proyeccion'!$F$33)</f>
        <v>339573.049741572</v>
      </c>
      <c r="FG39" s="23">
        <f>IF(FG$5="Real",INDEX('Informacion de Sam'!$34:$34,MATCH(FG$6,'Informacion de Sam'!$1:$1,0)),FG$10*'Supuestos Proyeccion'!$F$33)</f>
        <v>388339.62893288082</v>
      </c>
      <c r="FH39" s="23">
        <f>IF(FH$5="Real",INDEX('Informacion de Sam'!$34:$34,MATCH(FH$6,'Informacion de Sam'!$1:$1,0)),FH$10*'Supuestos Proyeccion'!$F$33)</f>
        <v>419178.61569296714</v>
      </c>
      <c r="FI39" s="23">
        <f>IF(FI$5="Real",INDEX('Informacion de Sam'!$34:$34,MATCH(FI$6,'Informacion de Sam'!$1:$1,0)),FI$10*'Supuestos Proyeccion'!$F$33)</f>
        <v>629898.3943609366</v>
      </c>
      <c r="FJ39" s="23">
        <f>IF(FJ$5="Real",INDEX('Informacion de Sam'!$34:$34,MATCH(FJ$6,'Informacion de Sam'!$1:$1,0)),FJ$10*'Supuestos Proyeccion'!$F$33)</f>
        <v>384457.11583255074</v>
      </c>
      <c r="FK39" s="23">
        <f>IF(FK$5="Real",INDEX('Informacion de Sam'!$34:$34,MATCH(FK$6,'Informacion de Sam'!$1:$1,0)),FK$10*'Supuestos Proyeccion'!$F$33)</f>
        <v>371131.3097147838</v>
      </c>
      <c r="FL39" s="23">
        <f>IF(FL$5="Real",INDEX('Informacion de Sam'!$34:$34,MATCH(FL$6,'Informacion de Sam'!$1:$1,0)),FL$10*'Supuestos Proyeccion'!$F$33)</f>
        <v>382553.03415016033</v>
      </c>
      <c r="FM39" s="23">
        <f>IF(FM$5="Real",INDEX('Informacion de Sam'!$34:$34,MATCH(FM$6,'Informacion de Sam'!$1:$1,0)),FM$10*'Supuestos Proyeccion'!$F$33)</f>
        <v>354085.95619108522</v>
      </c>
      <c r="FN39" s="23">
        <f>SUM(FB39:FM39)</f>
        <v>4928980.6052594818</v>
      </c>
      <c r="FO39" s="23">
        <f>IF(FO$5="Real",INDEX('Informacion de Sam'!$34:$34,MATCH(FO$6,'Informacion de Sam'!$1:$1,0)),FO$10*'Supuestos Proyeccion'!$F$33)</f>
        <v>463561.61406481237</v>
      </c>
      <c r="FP39" s="23">
        <f>IF(FP$5="Real",INDEX('Informacion de Sam'!$34:$34,MATCH(FP$6,'Informacion de Sam'!$1:$1,0)),FP$10*'Supuestos Proyeccion'!$F$33)</f>
        <v>657109.46688673832</v>
      </c>
      <c r="FQ39" s="23">
        <f>IF(FQ$5="Real",INDEX('Informacion de Sam'!$34:$34,MATCH(FQ$6,'Informacion de Sam'!$1:$1,0)),FQ$10*'Supuestos Proyeccion'!$F$33)</f>
        <v>471587.69181005756</v>
      </c>
      <c r="FR39" s="23">
        <f>IF(FR$5="Real",INDEX('Informacion de Sam'!$34:$34,MATCH(FR$6,'Informacion de Sam'!$1:$1,0)),FR$10*'Supuestos Proyeccion'!$F$33)</f>
        <v>482445.6030415729</v>
      </c>
      <c r="FS39" s="23">
        <f>IF(FS$5="Real",INDEX('Informacion de Sam'!$34:$34,MATCH(FS$6,'Informacion de Sam'!$1:$1,0)),FS$10*'Supuestos Proyeccion'!$F$33)</f>
        <v>424466.312176965</v>
      </c>
      <c r="FT39" s="23">
        <f>IF(FT$5="Real",INDEX('Informacion de Sam'!$34:$34,MATCH(FT$6,'Informacion de Sam'!$1:$1,0)),FT$10*'Supuestos Proyeccion'!$F$33)</f>
        <v>485424.536166101</v>
      </c>
      <c r="FU39" s="23">
        <f>IF(FU$5="Real",INDEX('Informacion de Sam'!$34:$34,MATCH(FU$6,'Informacion de Sam'!$1:$1,0)),FU$10*'Supuestos Proyeccion'!$F$33)</f>
        <v>523973.26961620891</v>
      </c>
      <c r="FV39" s="23">
        <f>IF(FV$5="Real",INDEX('Informacion de Sam'!$34:$34,MATCH(FV$6,'Informacion de Sam'!$1:$1,0)),FV$10*'Supuestos Proyeccion'!$F$33)</f>
        <v>787372.99295117066</v>
      </c>
      <c r="FW39" s="23">
        <f>IF(FW$5="Real",INDEX('Informacion de Sam'!$34:$34,MATCH(FW$6,'Informacion de Sam'!$1:$1,0)),FW$10*'Supuestos Proyeccion'!$F$33)</f>
        <v>480571.39479068841</v>
      </c>
      <c r="FX39" s="23">
        <f>IF(FX$5="Real",INDEX('Informacion de Sam'!$34:$34,MATCH(FX$6,'Informacion de Sam'!$1:$1,0)),FX$10*'Supuestos Proyeccion'!$F$33)</f>
        <v>463914.13714347972</v>
      </c>
      <c r="FY39" s="23">
        <f>IF(FY$5="Real",INDEX('Informacion de Sam'!$34:$34,MATCH(FY$6,'Informacion de Sam'!$1:$1,0)),FY$10*'Supuestos Proyeccion'!$F$33)</f>
        <v>478191.29268770042</v>
      </c>
      <c r="FZ39" s="23">
        <f>IF(FZ$5="Real",INDEX('Informacion de Sam'!$34:$34,MATCH(FZ$6,'Informacion de Sam'!$1:$1,0)),FZ$10*'Supuestos Proyeccion'!$F$33)</f>
        <v>442607.44523885648</v>
      </c>
      <c r="GA39" s="23">
        <f>SUM(FO39:FZ39)</f>
        <v>6161225.7565743513</v>
      </c>
      <c r="GB39" s="23">
        <f>IF(GB$5="Real",INDEX('Informacion de Sam'!$34:$34,MATCH(GB$6,'Informacion de Sam'!$1:$1,0)),GB$10*'Supuestos Proyeccion'!$F$33)</f>
        <v>579452.01758101548</v>
      </c>
      <c r="GC39" s="23">
        <f>IF(GC$5="Real",INDEX('Informacion de Sam'!$34:$34,MATCH(GC$6,'Informacion de Sam'!$1:$1,0)),GC$10*'Supuestos Proyeccion'!$F$33)</f>
        <v>821386.83360842289</v>
      </c>
      <c r="GD39" s="23">
        <f>IF(GD$5="Real",INDEX('Informacion de Sam'!$34:$34,MATCH(GD$6,'Informacion de Sam'!$1:$1,0)),GD$10*'Supuestos Proyeccion'!$F$33)</f>
        <v>589484.61476257199</v>
      </c>
      <c r="GE39" s="23">
        <f>IF(GE$5="Real",INDEX('Informacion de Sam'!$34:$34,MATCH(GE$6,'Informacion de Sam'!$1:$1,0)),GE$10*'Supuestos Proyeccion'!$F$33)</f>
        <v>603057.0038019662</v>
      </c>
      <c r="GF39" s="23">
        <f>IF(GF$5="Real",INDEX('Informacion de Sam'!$34:$34,MATCH(GF$6,'Informacion de Sam'!$1:$1,0)),GF$10*'Supuestos Proyeccion'!$F$33)</f>
        <v>530582.89022120624</v>
      </c>
      <c r="GG39" s="23">
        <f>IF(GG$5="Real",INDEX('Informacion de Sam'!$34:$34,MATCH(GG$6,'Informacion de Sam'!$1:$1,0)),GG$10*'Supuestos Proyeccion'!$F$33)</f>
        <v>606780.67020762619</v>
      </c>
      <c r="GH39" s="23">
        <f>IF(GH$5="Real",INDEX('Informacion de Sam'!$34:$34,MATCH(GH$6,'Informacion de Sam'!$1:$1,0)),GH$10*'Supuestos Proyeccion'!$F$33)</f>
        <v>654966.58702026121</v>
      </c>
      <c r="GI39" s="23">
        <f>IF(GI$5="Real",INDEX('Informacion de Sam'!$34:$34,MATCH(GI$6,'Informacion de Sam'!$1:$1,0)),GI$10*'Supuestos Proyeccion'!$F$33)</f>
        <v>984216.24118896341</v>
      </c>
      <c r="GJ39" s="23">
        <f>IF(GJ$5="Real",INDEX('Informacion de Sam'!$34:$34,MATCH(GJ$6,'Informacion de Sam'!$1:$1,0)),GJ$10*'Supuestos Proyeccion'!$F$33)</f>
        <v>600714.24348836066</v>
      </c>
      <c r="GK39" s="23">
        <f>IF(GK$5="Real",INDEX('Informacion de Sam'!$34:$34,MATCH(GK$6,'Informacion de Sam'!$1:$1,0)),GK$10*'Supuestos Proyeccion'!$F$33)</f>
        <v>579892.67142934969</v>
      </c>
      <c r="GL39" s="23">
        <f>IF(GL$5="Real",INDEX('Informacion de Sam'!$34:$34,MATCH(GL$6,'Informacion de Sam'!$1:$1,0)),GL$10*'Supuestos Proyeccion'!$F$33)</f>
        <v>597739.11585962551</v>
      </c>
      <c r="GM39" s="23">
        <f>IF(GM$5="Real",INDEX('Informacion de Sam'!$34:$34,MATCH(GM$6,'Informacion de Sam'!$1:$1,0)),GM$10*'Supuestos Proyeccion'!$F$33)</f>
        <v>553259.30654857063</v>
      </c>
      <c r="GN39" s="23">
        <f>SUM(GB39:GM39)</f>
        <v>7701532.1957179401</v>
      </c>
      <c r="GO39" s="23">
        <f>IF(GO$5="Real",INDEX('Informacion de Sam'!$34:$34,MATCH(GO$6,'Informacion de Sam'!$1:$1,0)),GO$10*'Supuestos Proyeccion'!$F$33)</f>
        <v>724315.02197626932</v>
      </c>
      <c r="GP39" s="23">
        <f>IF(GP$5="Real",INDEX('Informacion de Sam'!$34:$34,MATCH(GP$6,'Informacion de Sam'!$1:$1,0)),GP$10*'Supuestos Proyeccion'!$F$33)</f>
        <v>1026733.5420105285</v>
      </c>
      <c r="GQ39" s="23">
        <f>IF(GQ$5="Real",INDEX('Informacion de Sam'!$34:$34,MATCH(GQ$6,'Informacion de Sam'!$1:$1,0)),GQ$10*'Supuestos Proyeccion'!$F$33)</f>
        <v>736855.7684532149</v>
      </c>
      <c r="GR39" s="23">
        <f>IF(GR$5="Real",INDEX('Informacion de Sam'!$34:$34,MATCH(GR$6,'Informacion de Sam'!$1:$1,0)),GR$10*'Supuestos Proyeccion'!$F$33)</f>
        <v>753821.25475245761</v>
      </c>
      <c r="GS39" s="23">
        <f>IF(GS$5="Real",INDEX('Informacion de Sam'!$34:$34,MATCH(GS$6,'Informacion de Sam'!$1:$1,0)),GS$10*'Supuestos Proyeccion'!$F$33)</f>
        <v>663228.61277650774</v>
      </c>
      <c r="GT39" s="23">
        <f>IF(GT$5="Real",INDEX('Informacion de Sam'!$34:$34,MATCH(GT$6,'Informacion de Sam'!$1:$1,0)),GT$10*'Supuestos Proyeccion'!$F$33)</f>
        <v>758475.83775953273</v>
      </c>
      <c r="GU39" s="23">
        <f>IF(GU$5="Real",INDEX('Informacion de Sam'!$34:$34,MATCH(GU$6,'Informacion de Sam'!$1:$1,0)),GU$10*'Supuestos Proyeccion'!$F$33)</f>
        <v>818708.23377532628</v>
      </c>
      <c r="GV39" s="23">
        <f>IF(GV$5="Real",INDEX('Informacion de Sam'!$34:$34,MATCH(GV$6,'Informacion de Sam'!$1:$1,0)),GV$10*'Supuestos Proyeccion'!$F$33)</f>
        <v>1230270.3014862041</v>
      </c>
      <c r="GW39" s="23">
        <f>IF(GW$5="Real",INDEX('Informacion de Sam'!$34:$34,MATCH(GW$6,'Informacion de Sam'!$1:$1,0)),GW$10*'Supuestos Proyeccion'!$F$33)</f>
        <v>750892.80436045071</v>
      </c>
      <c r="GX39" s="23">
        <f>IF(GX$5="Real",INDEX('Informacion de Sam'!$34:$34,MATCH(GX$6,'Informacion de Sam'!$1:$1,0)),GX$10*'Supuestos Proyeccion'!$F$33)</f>
        <v>724865.83928668709</v>
      </c>
      <c r="GY39" s="23">
        <f>IF(GY$5="Real",INDEX('Informacion de Sam'!$34:$34,MATCH(GY$6,'Informacion de Sam'!$1:$1,0)),GY$10*'Supuestos Proyeccion'!$F$33)</f>
        <v>747173.89482453186</v>
      </c>
      <c r="GZ39" s="23">
        <f>IF(GZ$5="Real",INDEX('Informacion de Sam'!$34:$34,MATCH(GZ$6,'Informacion de Sam'!$1:$1,0)),GZ$10*'Supuestos Proyeccion'!$F$33)</f>
        <v>691574.13318571332</v>
      </c>
      <c r="HA39" s="23">
        <f>SUM(GO39:GZ39)</f>
        <v>9626915.2446474228</v>
      </c>
      <c r="HB39" s="23"/>
      <c r="HC39" s="51">
        <f t="shared" si="12"/>
        <v>478161.15</v>
      </c>
      <c r="HD39" s="51">
        <f t="shared" si="12"/>
        <v>570642.99</v>
      </c>
      <c r="HE39" s="51">
        <f t="shared" si="12"/>
        <v>564980.30000000005</v>
      </c>
      <c r="HF39" s="51">
        <f t="shared" si="12"/>
        <v>564908.56000000006</v>
      </c>
      <c r="HG39" s="51">
        <f t="shared" si="12"/>
        <v>563630.88</v>
      </c>
      <c r="HH39" s="51">
        <f t="shared" si="12"/>
        <v>571244.54</v>
      </c>
      <c r="HI39" s="51">
        <f t="shared" si="12"/>
        <v>1008864.4237106959</v>
      </c>
      <c r="HJ39" s="51">
        <f t="shared" si="12"/>
        <v>1615128.3647314268</v>
      </c>
      <c r="HK39" s="51">
        <f t="shared" si="12"/>
        <v>2018910.4559142832</v>
      </c>
      <c r="HL39" s="51">
        <f t="shared" si="12"/>
        <v>2523638.0698928544</v>
      </c>
      <c r="HM39" s="51">
        <f t="shared" si="12"/>
        <v>3154547.5873660687</v>
      </c>
      <c r="HN39" s="51">
        <f t="shared" si="12"/>
        <v>3943184.484207585</v>
      </c>
      <c r="HO39" s="51">
        <f t="shared" si="12"/>
        <v>4928980.6052594818</v>
      </c>
      <c r="HP39" s="51">
        <f t="shared" si="12"/>
        <v>6161225.7565743513</v>
      </c>
      <c r="HQ39" s="51">
        <f t="shared" si="12"/>
        <v>7701532.1957179401</v>
      </c>
      <c r="HR39" s="51">
        <f t="shared" si="12"/>
        <v>9626915.2446474228</v>
      </c>
    </row>
    <row r="40" spans="1:226" x14ac:dyDescent="0.35">
      <c r="A40" t="s">
        <v>73</v>
      </c>
      <c r="B40" s="23" cm="1">
        <f t="array" ref="B40">IF(B$5="Real",INDEX('Informacion de Sam'!$35:$35,MATCH(B$6,'Informacion de Sam'!$1:$1,0)),B$10*INDEX('Supuestos Proyeccion'!$I$43:$I$52,B$4-2025)-B$60)</f>
        <v>5902881.7200000007</v>
      </c>
      <c r="C40" s="23" cm="1">
        <f t="array" ref="C40">IF(C$5="Real",INDEX('Informacion de Sam'!$35:$35,MATCH(C$6,'Informacion de Sam'!$1:$1,0)),C$10*INDEX('Supuestos Proyeccion'!$I$43:$I$52,C$4-2025)-C$60)</f>
        <v>6508623.4800000004</v>
      </c>
      <c r="D40" s="23" cm="1">
        <f t="array" ref="D40">IF(D$5="Real",INDEX('Informacion de Sam'!$35:$35,MATCH(D$6,'Informacion de Sam'!$1:$1,0)),D$10*INDEX('Supuestos Proyeccion'!$I$43:$I$52,D$4-2025)-D$60)</f>
        <v>6209637.6799999997</v>
      </c>
      <c r="E40" s="23" cm="1">
        <f t="array" ref="E40">IF(E$5="Real",INDEX('Informacion de Sam'!$35:$35,MATCH(E$6,'Informacion de Sam'!$1:$1,0)),E$10*INDEX('Supuestos Proyeccion'!$I$43:$I$52,E$4-2025)-E$60)</f>
        <v>6512152.4100000001</v>
      </c>
      <c r="F40" s="23" cm="1">
        <f t="array" ref="F40">IF(F$5="Real",INDEX('Informacion de Sam'!$35:$35,MATCH(F$6,'Informacion de Sam'!$1:$1,0)),F$10*INDEX('Supuestos Proyeccion'!$I$43:$I$52,F$4-2025)-F$60)</f>
        <v>6427136.5</v>
      </c>
      <c r="G40" s="23" cm="1">
        <f t="array" ref="G40">IF(G$5="Real",INDEX('Informacion de Sam'!$35:$35,MATCH(G$6,'Informacion de Sam'!$1:$1,0)),G$10*INDEX('Supuestos Proyeccion'!$I$43:$I$52,G$4-2025)-G$60)</f>
        <v>6198363.75</v>
      </c>
      <c r="H40" s="23" cm="1">
        <f t="array" ref="H40">IF(H$5="Real",INDEX('Informacion de Sam'!$35:$35,MATCH(H$6,'Informacion de Sam'!$1:$1,0)),H$10*INDEX('Supuestos Proyeccion'!$I$43:$I$52,H$4-2025)-H$60)</f>
        <v>6290797.1100000003</v>
      </c>
      <c r="I40" s="23" cm="1">
        <f t="array" ref="I40">IF(I$5="Real",INDEX('Informacion de Sam'!$35:$35,MATCH(I$6,'Informacion de Sam'!$1:$1,0)),I$10*INDEX('Supuestos Proyeccion'!$I$43:$I$52,I$4-2025)-I$60)</f>
        <v>6037182.8600000003</v>
      </c>
      <c r="J40" s="23" cm="1">
        <f t="array" ref="J40">IF(J$5="Real",INDEX('Informacion de Sam'!$35:$35,MATCH(J$6,'Informacion de Sam'!$1:$1,0)),J$10*INDEX('Supuestos Proyeccion'!$I$43:$I$52,J$4-2025)-J$60)</f>
        <v>6343906.5099999998</v>
      </c>
      <c r="K40" s="23" cm="1">
        <f t="array" ref="K40">IF(K$5="Real",INDEX('Informacion de Sam'!$35:$35,MATCH(K$6,'Informacion de Sam'!$1:$1,0)),K$10*INDEX('Supuestos Proyeccion'!$I$43:$I$52,K$4-2025)-K$60)</f>
        <v>6094544.1299999999</v>
      </c>
      <c r="L40" s="23" cm="1">
        <f t="array" ref="L40">IF(L$5="Real",INDEX('Informacion de Sam'!$35:$35,MATCH(L$6,'Informacion de Sam'!$1:$1,0)),L$10*INDEX('Supuestos Proyeccion'!$I$43:$I$52,L$4-2025)-L$60)</f>
        <v>7629314.9199999999</v>
      </c>
      <c r="M40" s="23" cm="1">
        <f t="array" ref="M40">IF(M$5="Real",INDEX('Informacion de Sam'!$35:$35,MATCH(M$6,'Informacion de Sam'!$1:$1,0)),M$10*INDEX('Supuestos Proyeccion'!$I$43:$I$52,M$4-2025)-M$60)</f>
        <v>7014196.4100000001</v>
      </c>
      <c r="N40" s="23">
        <f>SUM(B40:M40)</f>
        <v>77168737.480000004</v>
      </c>
      <c r="O40" s="23" cm="1">
        <f t="array" ref="O40">IF(O$5="Real",INDEX('Informacion de Sam'!$35:$35,MATCH(O$6,'Informacion de Sam'!$1:$1,0)),O$10*INDEX('Supuestos Proyeccion'!$I$43:$I$52,O$4-2025)-O$60)</f>
        <v>6172708.4100000001</v>
      </c>
      <c r="P40" s="23" cm="1">
        <f t="array" ref="P40">IF(P$5="Real",INDEX('Informacion de Sam'!$35:$35,MATCH(P$6,'Informacion de Sam'!$1:$1,0)),P$10*INDEX('Supuestos Proyeccion'!$I$43:$I$52,P$4-2025)-P$60)</f>
        <v>5755153.9199999999</v>
      </c>
      <c r="Q40" s="23" cm="1">
        <f t="array" ref="Q40">IF(Q$5="Real",INDEX('Informacion de Sam'!$35:$35,MATCH(Q$6,'Informacion de Sam'!$1:$1,0)),Q$10*INDEX('Supuestos Proyeccion'!$I$43:$I$52,Q$4-2025)-Q$60)</f>
        <v>7087800.4500000002</v>
      </c>
      <c r="R40" s="23" cm="1">
        <f t="array" ref="R40">IF(R$5="Real",INDEX('Informacion de Sam'!$35:$35,MATCH(R$6,'Informacion de Sam'!$1:$1,0)),R$10*INDEX('Supuestos Proyeccion'!$I$43:$I$52,R$4-2025)-R$60)</f>
        <v>7811667.9299999997</v>
      </c>
      <c r="S40" s="23" cm="1">
        <f t="array" ref="S40">IF(S$5="Real",INDEX('Informacion de Sam'!$35:$35,MATCH(S$6,'Informacion de Sam'!$1:$1,0)),S$10*INDEX('Supuestos Proyeccion'!$I$43:$I$52,S$4-2025)-S$60)</f>
        <v>7804320.0099999998</v>
      </c>
      <c r="T40" s="23" cm="1">
        <f t="array" ref="T40">IF(T$5="Real",INDEX('Informacion de Sam'!$35:$35,MATCH(T$6,'Informacion de Sam'!$1:$1,0)),T$10*INDEX('Supuestos Proyeccion'!$I$43:$I$52,T$4-2025)-T$60)</f>
        <v>8014190.3799999999</v>
      </c>
      <c r="U40" s="23" cm="1">
        <f t="array" ref="U40">IF(U$5="Real",INDEX('Informacion de Sam'!$35:$35,MATCH(U$6,'Informacion de Sam'!$1:$1,0)),U$10*INDEX('Supuestos Proyeccion'!$I$43:$I$52,U$4-2025)-U$60)</f>
        <v>7492493.0599999996</v>
      </c>
      <c r="V40" s="23" cm="1">
        <f t="array" ref="V40">IF(V$5="Real",INDEX('Informacion de Sam'!$35:$35,MATCH(V$6,'Informacion de Sam'!$1:$1,0)),V$10*INDEX('Supuestos Proyeccion'!$I$43:$I$52,V$4-2025)-V$60)</f>
        <v>7901599.9699999997</v>
      </c>
      <c r="W40" s="23" cm="1">
        <f t="array" ref="W40">IF(W$5="Real",INDEX('Informacion de Sam'!$35:$35,MATCH(W$6,'Informacion de Sam'!$1:$1,0)),W$10*INDEX('Supuestos Proyeccion'!$I$43:$I$52,W$4-2025)-W$60)</f>
        <v>7628597.4699999997</v>
      </c>
      <c r="X40" s="23" cm="1">
        <f t="array" ref="X40">IF(X$5="Real",INDEX('Informacion de Sam'!$35:$35,MATCH(X$6,'Informacion de Sam'!$1:$1,0)),X$10*INDEX('Supuestos Proyeccion'!$I$43:$I$52,X$4-2025)-X$60)</f>
        <v>8009223.1900000004</v>
      </c>
      <c r="Y40" s="23" cm="1">
        <f t="array" ref="Y40">IF(Y$5="Real",INDEX('Informacion de Sam'!$35:$35,MATCH(Y$6,'Informacion de Sam'!$1:$1,0)),Y$10*INDEX('Supuestos Proyeccion'!$I$43:$I$52,Y$4-2025)-Y$60)</f>
        <v>8335822.0199999996</v>
      </c>
      <c r="Z40" s="23" cm="1">
        <f t="array" ref="Z40">IF(Z$5="Real",INDEX('Informacion de Sam'!$35:$35,MATCH(Z$6,'Informacion de Sam'!$1:$1,0)),Z$10*INDEX('Supuestos Proyeccion'!$I$43:$I$52,Z$4-2025)-Z$60)</f>
        <v>8968199.6600000001</v>
      </c>
      <c r="AA40" s="23">
        <f>SUM(O40:Z40)</f>
        <v>90981776.469999999</v>
      </c>
      <c r="AB40" s="23" cm="1">
        <f t="array" ref="AB40">IF(AB$5="Real",INDEX('Informacion de Sam'!$35:$35,MATCH(AB$6,'Informacion de Sam'!$1:$1,0)),AB$10*INDEX('Supuestos Proyeccion'!$I$43:$I$52,AB$4-2025)-AB$60)</f>
        <v>7836443.2199999997</v>
      </c>
      <c r="AC40" s="23" cm="1">
        <f t="array" ref="AC40">IF(AC$5="Real",INDEX('Informacion de Sam'!$35:$35,MATCH(AC$6,'Informacion de Sam'!$1:$1,0)),AC$10*INDEX('Supuestos Proyeccion'!$I$43:$I$52,AC$4-2025)-AC$60)</f>
        <v>9887018.7699999996</v>
      </c>
      <c r="AD40" s="23" cm="1">
        <f t="array" ref="AD40">IF(AD$5="Real",INDEX('Informacion de Sam'!$35:$35,MATCH(AD$6,'Informacion de Sam'!$1:$1,0)),AD$10*INDEX('Supuestos Proyeccion'!$I$43:$I$52,AD$4-2025)-AD$60)</f>
        <v>9052072.1899999995</v>
      </c>
      <c r="AE40" s="23" cm="1">
        <f t="array" ref="AE40">IF(AE$5="Real",INDEX('Informacion de Sam'!$35:$35,MATCH(AE$6,'Informacion de Sam'!$1:$1,0)),AE$10*INDEX('Supuestos Proyeccion'!$I$43:$I$52,AE$4-2025)-AE$60)</f>
        <v>8693863.4199999999</v>
      </c>
      <c r="AF40" s="23" cm="1">
        <f t="array" ref="AF40">IF(AF$5="Real",INDEX('Informacion de Sam'!$35:$35,MATCH(AF$6,'Informacion de Sam'!$1:$1,0)),AF$10*INDEX('Supuestos Proyeccion'!$I$43:$I$52,AF$4-2025)-AF$60)</f>
        <v>8663218.4299999997</v>
      </c>
      <c r="AG40" s="23" cm="1">
        <f t="array" ref="AG40">IF(AG$5="Real",INDEX('Informacion de Sam'!$35:$35,MATCH(AG$6,'Informacion de Sam'!$1:$1,0)),AG$10*INDEX('Supuestos Proyeccion'!$I$43:$I$52,AG$4-2025)-AG$60)</f>
        <v>11543606.859999999</v>
      </c>
      <c r="AH40" s="23" cm="1">
        <f t="array" ref="AH40">IF(AH$5="Real",INDEX('Informacion de Sam'!$35:$35,MATCH(AH$6,'Informacion de Sam'!$1:$1,0)),AH$10*INDEX('Supuestos Proyeccion'!$I$43:$I$52,AH$4-2025)-AH$60)</f>
        <v>11695760.859999999</v>
      </c>
      <c r="AI40" s="23" cm="1">
        <f t="array" ref="AI40">IF(AI$5="Real",INDEX('Informacion de Sam'!$35:$35,MATCH(AI$6,'Informacion de Sam'!$1:$1,0)),AI$10*INDEX('Supuestos Proyeccion'!$I$43:$I$52,AI$4-2025)-AI$60)</f>
        <v>12393524.43</v>
      </c>
      <c r="AJ40" s="23" cm="1">
        <f t="array" ref="AJ40">IF(AJ$5="Real",INDEX('Informacion de Sam'!$35:$35,MATCH(AJ$6,'Informacion de Sam'!$1:$1,0)),AJ$10*INDEX('Supuestos Proyeccion'!$I$43:$I$52,AJ$4-2025)-AJ$60)</f>
        <v>15039419.289999999</v>
      </c>
      <c r="AK40" s="23" cm="1">
        <f t="array" ref="AK40">IF(AK$5="Real",INDEX('Informacion de Sam'!$35:$35,MATCH(AK$6,'Informacion de Sam'!$1:$1,0)),AK$10*INDEX('Supuestos Proyeccion'!$I$43:$I$52,AK$4-2025)-AK$60)</f>
        <v>12695512.92</v>
      </c>
      <c r="AL40" s="23" cm="1">
        <f t="array" ref="AL40">IF(AL$5="Real",INDEX('Informacion de Sam'!$35:$35,MATCH(AL$6,'Informacion de Sam'!$1:$1,0)),AL$10*INDEX('Supuestos Proyeccion'!$I$43:$I$52,AL$4-2025)-AL$60)</f>
        <v>12157588.529999999</v>
      </c>
      <c r="AM40" s="23" cm="1">
        <f t="array" ref="AM40">IF(AM$5="Real",INDEX('Informacion de Sam'!$35:$35,MATCH(AM$6,'Informacion de Sam'!$1:$1,0)),AM$10*INDEX('Supuestos Proyeccion'!$I$43:$I$52,AM$4-2025)-AM$60)</f>
        <v>13209591.220000001</v>
      </c>
      <c r="AN40" s="23">
        <f>SUM(AB40:AM40)</f>
        <v>132867620.14</v>
      </c>
      <c r="AO40" s="23" cm="1">
        <f t="array" ref="AO40">IF(AO$5="Real",INDEX('Informacion de Sam'!$35:$35,MATCH(AO$6,'Informacion de Sam'!$1:$1,0)),AO$10*INDEX('Supuestos Proyeccion'!$I$43:$I$52,AO$4-2025)-AO$60)</f>
        <v>9420444.6600000001</v>
      </c>
      <c r="AP40" s="23" cm="1">
        <f t="array" ref="AP40">IF(AP$5="Real",INDEX('Informacion de Sam'!$35:$35,MATCH(AP$6,'Informacion de Sam'!$1:$1,0)),AP$10*INDEX('Supuestos Proyeccion'!$I$43:$I$52,AP$4-2025)-AP$60)</f>
        <v>13690062.539999999</v>
      </c>
      <c r="AQ40" s="23" cm="1">
        <f t="array" ref="AQ40">IF(AQ$5="Real",INDEX('Informacion de Sam'!$35:$35,MATCH(AQ$6,'Informacion de Sam'!$1:$1,0)),AQ$10*INDEX('Supuestos Proyeccion'!$I$43:$I$52,AQ$4-2025)-AQ$60)</f>
        <v>12029962</v>
      </c>
      <c r="AR40" s="23" cm="1">
        <f t="array" ref="AR40">IF(AR$5="Real",INDEX('Informacion de Sam'!$35:$35,MATCH(AR$6,'Informacion de Sam'!$1:$1,0)),AR$10*INDEX('Supuestos Proyeccion'!$I$43:$I$52,AR$4-2025)-AR$60)</f>
        <v>12156008.029999999</v>
      </c>
      <c r="AS40" s="23" cm="1">
        <f t="array" ref="AS40">IF(AS$5="Real",INDEX('Informacion de Sam'!$35:$35,MATCH(AS$6,'Informacion de Sam'!$1:$1,0)),AS$10*INDEX('Supuestos Proyeccion'!$I$43:$I$52,AS$4-2025)-AS$60)</f>
        <v>12181761.550000001</v>
      </c>
      <c r="AT40" s="23" cm="1">
        <f t="array" ref="AT40">IF(AT$5="Real",INDEX('Informacion de Sam'!$35:$35,MATCH(AT$6,'Informacion de Sam'!$1:$1,0)),AT$10*INDEX('Supuestos Proyeccion'!$I$43:$I$52,AT$4-2025)-AT$60)</f>
        <v>13213059.18</v>
      </c>
      <c r="AU40" s="23" cm="1">
        <f t="array" ref="AU40">IF(AU$5="Real",INDEX('Informacion de Sam'!$35:$35,MATCH(AU$6,'Informacion de Sam'!$1:$1,0)),AU$10*INDEX('Supuestos Proyeccion'!$I$43:$I$52,AU$4-2025)-AU$60)</f>
        <v>8908107.8800000008</v>
      </c>
      <c r="AV40" s="23" cm="1">
        <f t="array" ref="AV40">IF(AV$5="Real",INDEX('Informacion de Sam'!$35:$35,MATCH(AV$6,'Informacion de Sam'!$1:$1,0)),AV$10*INDEX('Supuestos Proyeccion'!$I$43:$I$52,AV$4-2025)-AV$60)</f>
        <v>10590289.119999999</v>
      </c>
      <c r="AW40" s="23" cm="1">
        <f t="array" ref="AW40">IF(AW$5="Real",INDEX('Informacion de Sam'!$35:$35,MATCH(AW$6,'Informacion de Sam'!$1:$1,0)),AW$10*INDEX('Supuestos Proyeccion'!$I$43:$I$52,AW$4-2025)-AW$60)</f>
        <v>12037596.32</v>
      </c>
      <c r="AX40" s="23" cm="1">
        <f t="array" ref="AX40">IF(AX$5="Real",INDEX('Informacion de Sam'!$35:$35,MATCH(AX$6,'Informacion de Sam'!$1:$1,0)),AX$10*INDEX('Supuestos Proyeccion'!$I$43:$I$52,AX$4-2025)-AX$60)</f>
        <v>11490612.33</v>
      </c>
      <c r="AY40" s="23" cm="1">
        <f t="array" ref="AY40">IF(AY$5="Real",INDEX('Informacion de Sam'!$35:$35,MATCH(AY$6,'Informacion de Sam'!$1:$1,0)),AY$10*INDEX('Supuestos Proyeccion'!$I$43:$I$52,AY$4-2025)-AY$60)</f>
        <v>11775315.24</v>
      </c>
      <c r="AZ40" s="23" cm="1">
        <f t="array" ref="AZ40">IF(AZ$5="Real",INDEX('Informacion de Sam'!$35:$35,MATCH(AZ$6,'Informacion de Sam'!$1:$1,0)),AZ$10*INDEX('Supuestos Proyeccion'!$I$43:$I$52,AZ$4-2025)-AZ$60)</f>
        <v>17863364.420000002</v>
      </c>
      <c r="BA40" s="23">
        <f>SUM(AO40:AZ40)</f>
        <v>145356583.26999998</v>
      </c>
      <c r="BB40" s="23" cm="1">
        <f t="array" ref="BB40">IF(BB$5="Real",INDEX('Informacion de Sam'!$35:$35,MATCH(BB$6,'Informacion de Sam'!$1:$1,0)),BB$10*INDEX('Supuestos Proyeccion'!$I$43:$I$52,BB$4-2025)-BB$60)</f>
        <v>9830180.1400000006</v>
      </c>
      <c r="BC40" s="23" cm="1">
        <f t="array" ref="BC40">IF(BC$5="Real",INDEX('Informacion de Sam'!$35:$35,MATCH(BC$6,'Informacion de Sam'!$1:$1,0)),BC$10*INDEX('Supuestos Proyeccion'!$I$43:$I$52,BC$4-2025)-BC$60)</f>
        <v>14377790.23</v>
      </c>
      <c r="BD40" s="23" cm="1">
        <f t="array" ref="BD40">IF(BD$5="Real",INDEX('Informacion de Sam'!$35:$35,MATCH(BD$6,'Informacion de Sam'!$1:$1,0)),BD$10*INDEX('Supuestos Proyeccion'!$I$43:$I$52,BD$4-2025)-BD$60)</f>
        <v>14278942.880000001</v>
      </c>
      <c r="BE40" s="23" cm="1">
        <f t="array" ref="BE40">IF(BE$5="Real",INDEX('Informacion de Sam'!$35:$35,MATCH(BE$6,'Informacion de Sam'!$1:$1,0)),BE$10*INDEX('Supuestos Proyeccion'!$I$43:$I$52,BE$4-2025)-BE$60)</f>
        <v>12524374.51</v>
      </c>
      <c r="BF40" s="23" cm="1">
        <f t="array" ref="BF40">IF(BF$5="Real",INDEX('Informacion de Sam'!$35:$35,MATCH(BF$6,'Informacion de Sam'!$1:$1,0)),BF$10*INDEX('Supuestos Proyeccion'!$I$43:$I$52,BF$4-2025)-BF$60)</f>
        <v>13513565.439999999</v>
      </c>
      <c r="BG40" s="23" cm="1">
        <f t="array" ref="BG40">IF(BG$5="Real",INDEX('Informacion de Sam'!$35:$35,MATCH(BG$6,'Informacion de Sam'!$1:$1,0)),BG$10*INDEX('Supuestos Proyeccion'!$I$43:$I$52,BG$4-2025)-BG$60)</f>
        <v>13089265.210000001</v>
      </c>
      <c r="BH40" s="23" cm="1">
        <f t="array" ref="BH40">IF(BH$5="Real",INDEX('Informacion de Sam'!$35:$35,MATCH(BH$6,'Informacion de Sam'!$1:$1,0)),BH$10*INDEX('Supuestos Proyeccion'!$I$43:$I$52,BH$4-2025)-BH$60)</f>
        <v>15292251.66</v>
      </c>
      <c r="BI40" s="23" cm="1">
        <f t="array" ref="BI40">IF(BI$5="Real",INDEX('Informacion de Sam'!$35:$35,MATCH(BI$6,'Informacion de Sam'!$1:$1,0)),BI$10*INDEX('Supuestos Proyeccion'!$I$43:$I$52,BI$4-2025)-BI$60)</f>
        <v>16482910.529999999</v>
      </c>
      <c r="BJ40" s="23" cm="1">
        <f t="array" ref="BJ40">IF(BJ$5="Real",INDEX('Informacion de Sam'!$35:$35,MATCH(BJ$6,'Informacion de Sam'!$1:$1,0)),BJ$10*INDEX('Supuestos Proyeccion'!$I$43:$I$52,BJ$4-2025)-BJ$60)</f>
        <v>13734694.98</v>
      </c>
      <c r="BK40" s="23" cm="1">
        <f t="array" ref="BK40">IF(BK$5="Real",INDEX('Informacion de Sam'!$35:$35,MATCH(BK$6,'Informacion de Sam'!$1:$1,0)),BK$10*INDEX('Supuestos Proyeccion'!$I$43:$I$52,BK$4-2025)-BK$60)</f>
        <v>15266213.75</v>
      </c>
      <c r="BL40" s="23" cm="1">
        <f t="array" ref="BL40">IF(BL$5="Real",INDEX('Informacion de Sam'!$35:$35,MATCH(BL$6,'Informacion de Sam'!$1:$1,0)),BL$10*INDEX('Supuestos Proyeccion'!$I$43:$I$52,BL$4-2025)-BL$60)</f>
        <v>13588906.109999999</v>
      </c>
      <c r="BM40" s="23" cm="1">
        <f t="array" ref="BM40">IF(BM$5="Real",INDEX('Informacion de Sam'!$35:$35,MATCH(BM$6,'Informacion de Sam'!$1:$1,0)),BM$10*INDEX('Supuestos Proyeccion'!$I$43:$I$52,BM$4-2025)-BM$60)</f>
        <v>36726827.950000003</v>
      </c>
      <c r="BN40" s="23">
        <f>SUM(BB40:BM40)</f>
        <v>188705923.38999999</v>
      </c>
      <c r="BO40" s="23" cm="1">
        <f t="array" ref="BO40">IF(BO$5="Real",INDEX('Informacion de Sam'!$35:$35,MATCH(BO$6,'Informacion de Sam'!$1:$1,0)),BO$10*INDEX('Supuestos Proyeccion'!$I$43:$I$52,BO$4-2025)-BO$60)</f>
        <v>13807952.65</v>
      </c>
      <c r="BP40" s="23" cm="1">
        <f t="array" ref="BP40">IF(BP$5="Real",INDEX('Informacion de Sam'!$35:$35,MATCH(BP$6,'Informacion de Sam'!$1:$1,0)),BP$10*INDEX('Supuestos Proyeccion'!$I$43:$I$52,BP$4-2025)-BP$60)</f>
        <v>15311881.99</v>
      </c>
      <c r="BQ40" s="23" cm="1">
        <f t="array" ref="BQ40">IF(BQ$5="Real",INDEX('Informacion de Sam'!$35:$35,MATCH(BQ$6,'Informacion de Sam'!$1:$1,0)),BQ$10*INDEX('Supuestos Proyeccion'!$I$43:$I$52,BQ$4-2025)-BQ$60)</f>
        <v>15063945.26</v>
      </c>
      <c r="BR40" s="23" cm="1">
        <f t="array" ref="BR40">IF(BR$5="Real",INDEX('Informacion de Sam'!$35:$35,MATCH(BR$6,'Informacion de Sam'!$1:$1,0)),BR$10*INDEX('Supuestos Proyeccion'!$I$43:$I$52,BR$4-2025)-BR$60)</f>
        <v>15304299.369999999</v>
      </c>
      <c r="BS40" s="23" cm="1">
        <f t="array" ref="BS40">IF(BS$5="Real",INDEX('Informacion de Sam'!$35:$35,MATCH(BS$6,'Informacion de Sam'!$1:$1,0)),BS$10*INDEX('Supuestos Proyeccion'!$I$43:$I$52,BS$4-2025)-BS$60)</f>
        <v>16299728.77</v>
      </c>
      <c r="BT40" s="23" cm="1">
        <f t="array" ref="BT40">IF(BT$5="Real",INDEX('Informacion de Sam'!$35:$35,MATCH(BT$6,'Informacion de Sam'!$1:$1,0)),BT$10*INDEX('Supuestos Proyeccion'!$I$43:$I$52,BT$4-2025)-BT$60)</f>
        <v>17101720.030000001</v>
      </c>
      <c r="BU40" s="23" cm="1">
        <f t="array" ref="BU40">IF(BU$5="Real",INDEX('Informacion de Sam'!$35:$35,MATCH(BU$6,'Informacion de Sam'!$1:$1,0)),BU$10*INDEX('Supuestos Proyeccion'!$I$43:$I$52,BU$4-2025)-BU$60)</f>
        <v>15621187.369999999</v>
      </c>
      <c r="BV40" s="23" cm="1">
        <f t="array" ref="BV40">IF(BV$5="Real",INDEX('Informacion de Sam'!$35:$35,MATCH(BV$6,'Informacion de Sam'!$1:$1,0)),BV$10*INDEX('Supuestos Proyeccion'!$I$43:$I$52,BV$4-2025)-BV$60)</f>
        <v>15352010.880000001</v>
      </c>
      <c r="BW40" s="23" cm="1">
        <f t="array" ref="BW40">IF(BW$5="Real",INDEX('Informacion de Sam'!$35:$35,MATCH(BW$6,'Informacion de Sam'!$1:$1,0)),BW$10*INDEX('Supuestos Proyeccion'!$I$43:$I$52,BW$4-2025)-BW$60)</f>
        <v>14488659.76</v>
      </c>
      <c r="BX40" s="23" cm="1">
        <f t="array" ref="BX40">IF(BX$5="Real",INDEX('Informacion de Sam'!$35:$35,MATCH(BX$6,'Informacion de Sam'!$1:$1,0)),BX$10*INDEX('Supuestos Proyeccion'!$I$43:$I$52,BX$4-2025)-BX$60)</f>
        <v>15150968.550000001</v>
      </c>
      <c r="BY40" s="23" cm="1">
        <f t="array" ref="BY40">IF(BY$5="Real",INDEX('Informacion de Sam'!$35:$35,MATCH(BY$6,'Informacion de Sam'!$1:$1,0)),BY$10*INDEX('Supuestos Proyeccion'!$I$43:$I$52,BY$4-2025)-BY$60)</f>
        <v>15113841.43</v>
      </c>
      <c r="BZ40" s="23" cm="1">
        <f t="array" ref="BZ40">IF(BZ$5="Real",INDEX('Informacion de Sam'!$35:$35,MATCH(BZ$6,'Informacion de Sam'!$1:$1,0)),BZ$10*INDEX('Supuestos Proyeccion'!$I$43:$I$52,BZ$4-2025)-BZ$60)</f>
        <v>14685121.050000001</v>
      </c>
      <c r="CA40" s="23">
        <f>SUM(BO40:BZ40)</f>
        <v>183301317.11000001</v>
      </c>
      <c r="CB40" s="23" cm="1">
        <f t="array" ref="CB40">IF(CB$5="Real",INDEX('Informacion de Sam'!$35:$35,MATCH(CB$6,'Informacion de Sam'!$1:$1,0)),CB$10*INDEX('Supuestos Proyeccion'!$I$43:$I$52,CB$4-2025)-CB$60)</f>
        <v>14568305.42</v>
      </c>
      <c r="CC40" s="23" cm="1">
        <f t="array" ref="CC40">IF(CC$5="Real",INDEX('Informacion de Sam'!$35:$35,MATCH(CC$6,'Informacion de Sam'!$1:$1,0)),CC$10*INDEX('Supuestos Proyeccion'!$I$43:$I$52,CC$4-2025)-CC$60)</f>
        <v>13390696.25</v>
      </c>
      <c r="CD40" s="23" cm="1">
        <f t="array" ref="CD40">IF(CD$5="Real",INDEX('Informacion de Sam'!$35:$35,MATCH(CD$6,'Informacion de Sam'!$1:$1,0)),CD$10*INDEX('Supuestos Proyeccion'!$I$43:$I$52,CD$4-2025)-CD$60)</f>
        <v>14718065.560000001</v>
      </c>
      <c r="CE40" s="23" cm="1">
        <f t="array" ref="CE40">IF(CE$5="Real",INDEX('Informacion de Sam'!$35:$35,MATCH(CE$6,'Informacion de Sam'!$1:$1,0)),CE$10*INDEX('Supuestos Proyeccion'!$I$43:$I$52,CE$4-2025)-CE$60)</f>
        <v>13476610.630000001</v>
      </c>
      <c r="CF40" s="23" cm="1">
        <f t="array" ref="CF40">IF(CF$5="Real",INDEX('Informacion de Sam'!$35:$35,MATCH(CF$6,'Informacion de Sam'!$1:$1,0)),CF$10*INDEX('Supuestos Proyeccion'!$I$43:$I$52,CF$4-2025)-CF$60)</f>
        <v>14032590.91</v>
      </c>
      <c r="CG40" s="23" cm="1">
        <f t="array" ref="CG40">IF(CG$5="Real",INDEX('Informacion de Sam'!$35:$35,MATCH(CG$6,'Informacion de Sam'!$1:$1,0)),CG$10*INDEX('Supuestos Proyeccion'!$I$43:$I$52,CG$4-2025)-CG$60)</f>
        <v>13925197.51</v>
      </c>
      <c r="CH40" s="23" cm="1">
        <f t="array" ref="CH40">IF(CH$5="Real",INDEX('Informacion de Sam'!$35:$35,MATCH(CH$6,'Informacion de Sam'!$1:$1,0)),CH$10*INDEX('Supuestos Proyeccion'!$I$43:$I$52,CH$4-2025)-CH$60)</f>
        <v>14104537.18</v>
      </c>
      <c r="CI40" s="23" cm="1">
        <f t="array" ref="CI40">IF(CI$5="Real",INDEX('Informacion de Sam'!$35:$35,MATCH(CI$6,'Informacion de Sam'!$1:$1,0)),CI$10*INDEX('Supuestos Proyeccion'!$I$43:$I$52,CI$4-2025)-CI$60)</f>
        <v>13591361.630000001</v>
      </c>
      <c r="CJ40" s="23" cm="1">
        <f t="array" ref="CJ40">IF(CJ$5="Real",INDEX('Informacion de Sam'!$35:$35,MATCH(CJ$6,'Informacion de Sam'!$1:$1,0)),CJ$10*INDEX('Supuestos Proyeccion'!$I$43:$I$52,CJ$4-2025)-CJ$60)</f>
        <v>10774954.78448181</v>
      </c>
      <c r="CK40" s="23" cm="1">
        <f t="array" ref="CK40">IF(CK$5="Real",INDEX('Informacion de Sam'!$35:$35,MATCH(CK$6,'Informacion de Sam'!$1:$1,0)),CK$10*INDEX('Supuestos Proyeccion'!$I$43:$I$52,CK$4-2025)-CK$60)</f>
        <v>10401480.208325839</v>
      </c>
      <c r="CL40" s="23" cm="1">
        <f t="array" ref="CL40">IF(CL$5="Real",INDEX('Informacion de Sam'!$35:$35,MATCH(CL$6,'Informacion de Sam'!$1:$1,0)),CL$10*INDEX('Supuestos Proyeccion'!$I$43:$I$52,CL$4-2025)-CL$60)</f>
        <v>10721590.200530002</v>
      </c>
      <c r="CM40" s="23" cm="1">
        <f t="array" ref="CM40">IF(CM$5="Real",INDEX('Informacion de Sam'!$35:$35,MATCH(CM$6,'Informacion de Sam'!$1:$1,0)),CM$10*INDEX('Supuestos Proyeccion'!$I$43:$I$52,CM$4-2025)-CM$60)</f>
        <v>9923760.0519291125</v>
      </c>
      <c r="CN40" s="23">
        <f>SUM(CB40:CM40)</f>
        <v>153629150.33526677</v>
      </c>
      <c r="CO40" s="23" cm="1">
        <f t="array" ref="CO40">IF(CO$5="Real",INDEX('Informacion de Sam'!$35:$35,MATCH(CO$6,'Informacion de Sam'!$1:$1,0)),CO$10*INDEX('Supuestos Proyeccion'!$I$43:$I$52,CO$4-2025)-CO$60)</f>
        <v>12991970.302209875</v>
      </c>
      <c r="CP40" s="23" cm="1">
        <f t="array" ref="CP40">IF(CP$5="Real",INDEX('Informacion de Sam'!$35:$35,MATCH(CP$6,'Informacion de Sam'!$1:$1,0)),CP$10*INDEX('Supuestos Proyeccion'!$I$43:$I$52,CP$4-2025)-CP$60)</f>
        <v>18416422.801349238</v>
      </c>
      <c r="CQ40" s="23" cm="1">
        <f t="array" ref="CQ40">IF(CQ$5="Real",INDEX('Informacion de Sam'!$35:$35,MATCH(CQ$6,'Informacion de Sam'!$1:$1,0)),CQ$10*INDEX('Supuestos Proyeccion'!$I$43:$I$52,CQ$4-2025)-CQ$60)</f>
        <v>13216912.490142792</v>
      </c>
      <c r="CR40" s="23" cm="1">
        <f t="array" ref="CR40">IF(CR$5="Real",INDEX('Informacion de Sam'!$35:$35,MATCH(CR$6,'Informacion de Sam'!$1:$1,0)),CR$10*INDEX('Supuestos Proyeccion'!$I$43:$I$52,CR$4-2025)-CR$60)</f>
        <v>13521220.819356941</v>
      </c>
      <c r="CS40" s="23" cm="1">
        <f t="array" ref="CS40">IF(CS$5="Real",INDEX('Informacion de Sam'!$35:$35,MATCH(CS$6,'Informacion de Sam'!$1:$1,0)),CS$10*INDEX('Supuestos Proyeccion'!$I$43:$I$52,CS$4-2025)-CS$60)</f>
        <v>11896269.136125343</v>
      </c>
      <c r="CT40" s="23" cm="1">
        <f t="array" ref="CT40">IF(CT$5="Real",INDEX('Informacion de Sam'!$35:$35,MATCH(CT$6,'Informacion de Sam'!$1:$1,0)),CT$10*INDEX('Supuestos Proyeccion'!$I$43:$I$52,CT$4-2025)-CT$60)</f>
        <v>13604709.636187077</v>
      </c>
      <c r="CU40" s="23" cm="1">
        <f t="array" ref="CU40">IF(CU$5="Real",INDEX('Informacion de Sam'!$35:$35,MATCH(CU$6,'Informacion de Sam'!$1:$1,0)),CU$10*INDEX('Supuestos Proyeccion'!$I$43:$I$52,CU$4-2025)-CU$60)</f>
        <v>14685092.448258275</v>
      </c>
      <c r="CV40" s="23" cm="1">
        <f t="array" ref="CV40">IF(CV$5="Real",INDEX('Informacion de Sam'!$35:$35,MATCH(CV$6,'Informacion de Sam'!$1:$1,0)),CV$10*INDEX('Supuestos Proyeccion'!$I$43:$I$52,CV$4-2025)-CV$60)</f>
        <v>22067242.478264138</v>
      </c>
      <c r="CW40" s="23" cm="1">
        <f t="array" ref="CW40">IF(CW$5="Real",INDEX('Informacion de Sam'!$35:$35,MATCH(CW$6,'Informacion de Sam'!$1:$1,0)),CW$10*INDEX('Supuestos Proyeccion'!$I$43:$I$52,CW$4-2025)-CW$60)</f>
        <v>13468693.480602264</v>
      </c>
      <c r="CX40" s="23" cm="1">
        <f t="array" ref="CX40">IF(CX$5="Real",INDEX('Informacion de Sam'!$35:$35,MATCH(CX$6,'Informacion de Sam'!$1:$1,0)),CX$10*INDEX('Supuestos Proyeccion'!$I$43:$I$52,CX$4-2025)-CX$60)</f>
        <v>13001850.260407295</v>
      </c>
      <c r="CY40" s="23" cm="1">
        <f t="array" ref="CY40">IF(CY$5="Real",INDEX('Informacion de Sam'!$35:$35,MATCH(CY$6,'Informacion de Sam'!$1:$1,0)),CY$10*INDEX('Supuestos Proyeccion'!$I$43:$I$52,CY$4-2025)-CY$60)</f>
        <v>13401987.750662502</v>
      </c>
      <c r="CZ40" s="23" cm="1">
        <f t="array" ref="CZ40">IF(CZ$5="Real",INDEX('Informacion de Sam'!$35:$35,MATCH(CZ$6,'Informacion de Sam'!$1:$1,0)),CZ$10*INDEX('Supuestos Proyeccion'!$I$43:$I$52,CZ$4-2025)-CZ$60)</f>
        <v>12404700.06491139</v>
      </c>
      <c r="DA40" s="23">
        <f>SUM(CO40:CZ40)</f>
        <v>172677071.66847715</v>
      </c>
      <c r="DB40" s="23" cm="1">
        <f t="array" ref="DB40">IF(DB$5="Real",INDEX('Informacion de Sam'!$35:$35,MATCH(DB$6,'Informacion de Sam'!$1:$1,0)),DB$10*INDEX('Supuestos Proyeccion'!$I$43:$I$52,DB$4-2025)-DB$60)</f>
        <v>16239962.877762344</v>
      </c>
      <c r="DC40" s="23" cm="1">
        <f t="array" ref="DC40">IF(DC$5="Real",INDEX('Informacion de Sam'!$35:$35,MATCH(DC$6,'Informacion de Sam'!$1:$1,0)),DC$10*INDEX('Supuestos Proyeccion'!$I$43:$I$52,DC$4-2025)-DC$60)</f>
        <v>23020528.501686547</v>
      </c>
      <c r="DD40" s="23" cm="1">
        <f t="array" ref="DD40">IF(DD$5="Real",INDEX('Informacion de Sam'!$35:$35,MATCH(DD$6,'Informacion de Sam'!$1:$1,0)),DD$10*INDEX('Supuestos Proyeccion'!$I$43:$I$52,DD$4-2025)-DD$60)</f>
        <v>16521140.612678491</v>
      </c>
      <c r="DE40" s="23" cm="1">
        <f t="array" ref="DE40">IF(DE$5="Real",INDEX('Informacion de Sam'!$35:$35,MATCH(DE$6,'Informacion de Sam'!$1:$1,0)),DE$10*INDEX('Supuestos Proyeccion'!$I$43:$I$52,DE$4-2025)-DE$60)</f>
        <v>16901526.024196178</v>
      </c>
      <c r="DF40" s="23" cm="1">
        <f t="array" ref="DF40">IF(DF$5="Real",INDEX('Informacion de Sam'!$35:$35,MATCH(DF$6,'Informacion de Sam'!$1:$1,0)),DF$10*INDEX('Supuestos Proyeccion'!$I$43:$I$52,DF$4-2025)-DF$60)</f>
        <v>14870336.420156678</v>
      </c>
      <c r="DG40" s="23" cm="1">
        <f t="array" ref="DG40">IF(DG$5="Real",INDEX('Informacion de Sam'!$35:$35,MATCH(DG$6,'Informacion de Sam'!$1:$1,0)),DG$10*INDEX('Supuestos Proyeccion'!$I$43:$I$52,DG$4-2025)-DG$60)</f>
        <v>17005887.045233846</v>
      </c>
      <c r="DH40" s="23" cm="1">
        <f t="array" ref="DH40">IF(DH$5="Real",INDEX('Informacion de Sam'!$35:$35,MATCH(DH$6,'Informacion de Sam'!$1:$1,0)),DH$10*INDEX('Supuestos Proyeccion'!$I$43:$I$52,DH$4-2025)-DH$60)</f>
        <v>18356365.560322843</v>
      </c>
      <c r="DI40" s="23" cm="1">
        <f t="array" ref="DI40">IF(DI$5="Real",INDEX('Informacion de Sam'!$35:$35,MATCH(DI$6,'Informacion de Sam'!$1:$1,0)),DI$10*INDEX('Supuestos Proyeccion'!$I$43:$I$52,DI$4-2025)-DI$60)</f>
        <v>27584053.097830176</v>
      </c>
      <c r="DJ40" s="23" cm="1">
        <f t="array" ref="DJ40">IF(DJ$5="Real",INDEX('Informacion de Sam'!$35:$35,MATCH(DJ$6,'Informacion de Sam'!$1:$1,0)),DJ$10*INDEX('Supuestos Proyeccion'!$I$43:$I$52,DJ$4-2025)-DJ$60)</f>
        <v>16835866.850752831</v>
      </c>
      <c r="DK40" s="23" cm="1">
        <f t="array" ref="DK40">IF(DK$5="Real",INDEX('Informacion de Sam'!$35:$35,MATCH(DK$6,'Informacion de Sam'!$1:$1,0)),DK$10*INDEX('Supuestos Proyeccion'!$I$43:$I$52,DK$4-2025)-DK$60)</f>
        <v>16252312.825509122</v>
      </c>
      <c r="DL40" s="23" cm="1">
        <f t="array" ref="DL40">IF(DL$5="Real",INDEX('Informacion de Sam'!$35:$35,MATCH(DL$6,'Informacion de Sam'!$1:$1,0)),DL$10*INDEX('Supuestos Proyeccion'!$I$43:$I$52,DL$4-2025)-DL$60)</f>
        <v>16752484.688328126</v>
      </c>
      <c r="DM40" s="23" cm="1">
        <f t="array" ref="DM40">IF(DM$5="Real",INDEX('Informacion de Sam'!$35:$35,MATCH(DM$6,'Informacion de Sam'!$1:$1,0)),DM$10*INDEX('Supuestos Proyeccion'!$I$43:$I$52,DM$4-2025)-DM$60)</f>
        <v>15505875.081139237</v>
      </c>
      <c r="DN40" s="23">
        <f>SUM(DB40:DM40)</f>
        <v>215846339.58559641</v>
      </c>
      <c r="DO40" s="23" cm="1">
        <f t="array" ref="DO40">IF(DO$5="Real",INDEX('Informacion de Sam'!$35:$35,MATCH(DO$6,'Informacion de Sam'!$1:$1,0)),DO$10*INDEX('Supuestos Proyeccion'!$I$43:$I$52,DO$4-2025)-DO$60)</f>
        <v>20299953.597202931</v>
      </c>
      <c r="DP40" s="23" cm="1">
        <f t="array" ref="DP40">IF(DP$5="Real",INDEX('Informacion de Sam'!$35:$35,MATCH(DP$6,'Informacion de Sam'!$1:$1,0)),DP$10*INDEX('Supuestos Proyeccion'!$I$43:$I$52,DP$4-2025)-DP$60)</f>
        <v>28775660.627108186</v>
      </c>
      <c r="DQ40" s="23" cm="1">
        <f t="array" ref="DQ40">IF(DQ$5="Real",INDEX('Informacion de Sam'!$35:$35,MATCH(DQ$6,'Informacion de Sam'!$1:$1,0)),DQ$10*INDEX('Supuestos Proyeccion'!$I$43:$I$52,DQ$4-2025)-DQ$60)</f>
        <v>20651425.765848111</v>
      </c>
      <c r="DR40" s="23" cm="1">
        <f t="array" ref="DR40">IF(DR$5="Real",INDEX('Informacion de Sam'!$35:$35,MATCH(DR$6,'Informacion de Sam'!$1:$1,0)),DR$10*INDEX('Supuestos Proyeccion'!$I$43:$I$52,DR$4-2025)-DR$60)</f>
        <v>21126907.530245222</v>
      </c>
      <c r="DS40" s="23" cm="1">
        <f t="array" ref="DS40">IF(DS$5="Real",INDEX('Informacion de Sam'!$35:$35,MATCH(DS$6,'Informacion de Sam'!$1:$1,0)),DS$10*INDEX('Supuestos Proyeccion'!$I$43:$I$52,DS$4-2025)-DS$60)</f>
        <v>18587920.525195848</v>
      </c>
      <c r="DT40" s="23" cm="1">
        <f t="array" ref="DT40">IF(DT$5="Real",INDEX('Informacion de Sam'!$35:$35,MATCH(DT$6,'Informacion de Sam'!$1:$1,0)),DT$10*INDEX('Supuestos Proyeccion'!$I$43:$I$52,DT$4-2025)-DT$60)</f>
        <v>21257358.806542307</v>
      </c>
      <c r="DU40" s="23" cm="1">
        <f t="array" ref="DU40">IF(DU$5="Real",INDEX('Informacion de Sam'!$35:$35,MATCH(DU$6,'Informacion de Sam'!$1:$1,0)),DU$10*INDEX('Supuestos Proyeccion'!$I$43:$I$52,DU$4-2025)-DU$60)</f>
        <v>22945456.950403556</v>
      </c>
      <c r="DV40" s="23" cm="1">
        <f t="array" ref="DV40">IF(DV$5="Real",INDEX('Informacion de Sam'!$35:$35,MATCH(DV$6,'Informacion de Sam'!$1:$1,0)),DV$10*INDEX('Supuestos Proyeccion'!$I$43:$I$52,DV$4-2025)-DV$60)</f>
        <v>34480066.37228772</v>
      </c>
      <c r="DW40" s="23" cm="1">
        <f t="array" ref="DW40">IF(DW$5="Real",INDEX('Informacion de Sam'!$35:$35,MATCH(DW$6,'Informacion de Sam'!$1:$1,0)),DW$10*INDEX('Supuestos Proyeccion'!$I$43:$I$52,DW$4-2025)-DW$60)</f>
        <v>21044833.563441038</v>
      </c>
      <c r="DX40" s="23" cm="1">
        <f t="array" ref="DX40">IF(DX$5="Real",INDEX('Informacion de Sam'!$35:$35,MATCH(DX$6,'Informacion de Sam'!$1:$1,0)),DX$10*INDEX('Supuestos Proyeccion'!$I$43:$I$52,DX$4-2025)-DX$60)</f>
        <v>20315391.031886403</v>
      </c>
      <c r="DY40" s="23" cm="1">
        <f t="array" ref="DY40">IF(DY$5="Real",INDEX('Informacion de Sam'!$35:$35,MATCH(DY$6,'Informacion de Sam'!$1:$1,0)),DY$10*INDEX('Supuestos Proyeccion'!$I$43:$I$52,DY$4-2025)-DY$60)</f>
        <v>20940605.860410161</v>
      </c>
      <c r="DZ40" s="23" cm="1">
        <f t="array" ref="DZ40">IF(DZ$5="Real",INDEX('Informacion de Sam'!$35:$35,MATCH(DZ$6,'Informacion de Sam'!$1:$1,0)),DZ$10*INDEX('Supuestos Proyeccion'!$I$43:$I$52,DZ$4-2025)-DZ$60)</f>
        <v>19382343.851424046</v>
      </c>
      <c r="EA40" s="23">
        <f>SUM(DO40:DZ40)</f>
        <v>269807924.48199552</v>
      </c>
      <c r="EB40" s="23" cm="1">
        <f t="array" ref="EB40">IF(EB$5="Real",INDEX('Informacion de Sam'!$35:$35,MATCH(EB$6,'Informacion de Sam'!$1:$1,0)),EB$10*INDEX('Supuestos Proyeccion'!$I$43:$I$52,EB$4-2025)-EB$60)</f>
        <v>25374941.996503662</v>
      </c>
      <c r="EC40" s="23" cm="1">
        <f t="array" ref="EC40">IF(EC$5="Real",INDEX('Informacion de Sam'!$35:$35,MATCH(EC$6,'Informacion de Sam'!$1:$1,0)),EC$10*INDEX('Supuestos Proyeccion'!$I$43:$I$52,EC$4-2025)-EC$60)</f>
        <v>35969575.783885233</v>
      </c>
      <c r="ED40" s="23" cm="1">
        <f t="array" ref="ED40">IF(ED$5="Real",INDEX('Informacion de Sam'!$35:$35,MATCH(ED$6,'Informacion de Sam'!$1:$1,0)),ED$10*INDEX('Supuestos Proyeccion'!$I$43:$I$52,ED$4-2025)-ED$60)</f>
        <v>25814282.20731014</v>
      </c>
      <c r="EE40" s="23" cm="1">
        <f t="array" ref="EE40">IF(EE$5="Real",INDEX('Informacion de Sam'!$35:$35,MATCH(EE$6,'Informacion de Sam'!$1:$1,0)),EE$10*INDEX('Supuestos Proyeccion'!$I$43:$I$52,EE$4-2025)-EE$60)</f>
        <v>26408634.41280653</v>
      </c>
      <c r="EF40" s="23" cm="1">
        <f t="array" ref="EF40">IF(EF$5="Real",INDEX('Informacion de Sam'!$35:$35,MATCH(EF$6,'Informacion de Sam'!$1:$1,0)),EF$10*INDEX('Supuestos Proyeccion'!$I$43:$I$52,EF$4-2025)-EF$60)</f>
        <v>23234900.656494811</v>
      </c>
      <c r="EG40" s="23" cm="1">
        <f t="array" ref="EG40">IF(EG$5="Real",INDEX('Informacion de Sam'!$35:$35,MATCH(EG$6,'Informacion de Sam'!$1:$1,0)),EG$10*INDEX('Supuestos Proyeccion'!$I$43:$I$52,EG$4-2025)-EG$60)</f>
        <v>26571698.508177884</v>
      </c>
      <c r="EH40" s="23" cm="1">
        <f t="array" ref="EH40">IF(EH$5="Real",INDEX('Informacion de Sam'!$35:$35,MATCH(EH$6,'Informacion de Sam'!$1:$1,0)),EH$10*INDEX('Supuestos Proyeccion'!$I$43:$I$52,EH$4-2025)-EH$60)</f>
        <v>28681821.188004449</v>
      </c>
      <c r="EI40" s="23" cm="1">
        <f t="array" ref="EI40">IF(EI$5="Real",INDEX('Informacion de Sam'!$35:$35,MATCH(EI$6,'Informacion de Sam'!$1:$1,0)),EI$10*INDEX('Supuestos Proyeccion'!$I$43:$I$52,EI$4-2025)-EI$60)</f>
        <v>43100082.965359651</v>
      </c>
      <c r="EJ40" s="23" cm="1">
        <f t="array" ref="EJ40">IF(EJ$5="Real",INDEX('Informacion de Sam'!$35:$35,MATCH(EJ$6,'Informacion de Sam'!$1:$1,0)),EJ$10*INDEX('Supuestos Proyeccion'!$I$43:$I$52,EJ$4-2025)-EJ$60)</f>
        <v>26306041.954301298</v>
      </c>
      <c r="EK40" s="23" cm="1">
        <f t="array" ref="EK40">IF(EK$5="Real",INDEX('Informacion de Sam'!$35:$35,MATCH(EK$6,'Informacion de Sam'!$1:$1,0)),EK$10*INDEX('Supuestos Proyeccion'!$I$43:$I$52,EK$4-2025)-EK$60)</f>
        <v>25394238.789858002</v>
      </c>
      <c r="EL40" s="23" cm="1">
        <f t="array" ref="EL40">IF(EL$5="Real",INDEX('Informacion de Sam'!$35:$35,MATCH(EL$6,'Informacion de Sam'!$1:$1,0)),EL$10*INDEX('Supuestos Proyeccion'!$I$43:$I$52,EL$4-2025)-EL$60)</f>
        <v>26175757.3255127</v>
      </c>
      <c r="EM40" s="23" cm="1">
        <f t="array" ref="EM40">IF(EM$5="Real",INDEX('Informacion de Sam'!$35:$35,MATCH(EM$6,'Informacion de Sam'!$1:$1,0)),EM$10*INDEX('Supuestos Proyeccion'!$I$43:$I$52,EM$4-2025)-EM$60)</f>
        <v>24227929.814280063</v>
      </c>
      <c r="EN40" s="23">
        <f>SUM(EB40:EM40)</f>
        <v>337259905.60249448</v>
      </c>
      <c r="EO40" s="23" cm="1">
        <f t="array" ref="EO40">IF(EO$5="Real",INDEX('Informacion de Sam'!$35:$35,MATCH(EO$6,'Informacion de Sam'!$1:$1,0)),EO$10*INDEX('Supuestos Proyeccion'!$I$43:$I$52,EO$4-2025)-EO$60)</f>
        <v>31718677.495629575</v>
      </c>
      <c r="EP40" s="23" cm="1">
        <f t="array" ref="EP40">IF(EP$5="Real",INDEX('Informacion de Sam'!$35:$35,MATCH(EP$6,'Informacion de Sam'!$1:$1,0)),EP$10*INDEX('Supuestos Proyeccion'!$I$43:$I$52,EP$4-2025)-EP$60)</f>
        <v>44961969.729856536</v>
      </c>
      <c r="EQ40" s="23" cm="1">
        <f t="array" ref="EQ40">IF(EQ$5="Real",INDEX('Informacion de Sam'!$35:$35,MATCH(EQ$6,'Informacion de Sam'!$1:$1,0)),EQ$10*INDEX('Supuestos Proyeccion'!$I$43:$I$52,EQ$4-2025)-EQ$60)</f>
        <v>32267852.759137671</v>
      </c>
      <c r="ER40" s="23" cm="1">
        <f t="array" ref="ER40">IF(ER$5="Real",INDEX('Informacion de Sam'!$35:$35,MATCH(ER$6,'Informacion de Sam'!$1:$1,0)),ER$10*INDEX('Supuestos Proyeccion'!$I$43:$I$52,ER$4-2025)-ER$60)</f>
        <v>33010793.016008157</v>
      </c>
      <c r="ES40" s="23" cm="1">
        <f t="array" ref="ES40">IF(ES$5="Real",INDEX('Informacion de Sam'!$35:$35,MATCH(ES$6,'Informacion de Sam'!$1:$1,0)),ES$10*INDEX('Supuestos Proyeccion'!$I$43:$I$52,ES$4-2025)-ES$60)</f>
        <v>29043625.82061851</v>
      </c>
      <c r="ET40" s="23" cm="1">
        <f t="array" ref="ET40">IF(ET$5="Real",INDEX('Informacion de Sam'!$35:$35,MATCH(ET$6,'Informacion de Sam'!$1:$1,0)),ET$10*INDEX('Supuestos Proyeccion'!$I$43:$I$52,ET$4-2025)-ET$60)</f>
        <v>33214623.135222353</v>
      </c>
      <c r="EU40" s="23" cm="1">
        <f t="array" ref="EU40">IF(EU$5="Real",INDEX('Informacion de Sam'!$35:$35,MATCH(EU$6,'Informacion de Sam'!$1:$1,0)),EU$10*INDEX('Supuestos Proyeccion'!$I$43:$I$52,EU$4-2025)-EU$60)</f>
        <v>35852276.48500555</v>
      </c>
      <c r="EV40" s="23" cm="1">
        <f t="array" ref="EV40">IF(EV$5="Real",INDEX('Informacion de Sam'!$35:$35,MATCH(EV$6,'Informacion de Sam'!$1:$1,0)),EV$10*INDEX('Supuestos Proyeccion'!$I$43:$I$52,EV$4-2025)-EV$60)</f>
        <v>53875103.706699558</v>
      </c>
      <c r="EW40" s="23" cm="1">
        <f t="array" ref="EW40">IF(EW$5="Real",INDEX('Informacion de Sam'!$35:$35,MATCH(EW$6,'Informacion de Sam'!$1:$1,0)),EW$10*INDEX('Supuestos Proyeccion'!$I$43:$I$52,EW$4-2025)-EW$60)</f>
        <v>32882552.442876622</v>
      </c>
      <c r="EX40" s="23" cm="1">
        <f t="array" ref="EX40">IF(EX$5="Real",INDEX('Informacion de Sam'!$35:$35,MATCH(EX$6,'Informacion de Sam'!$1:$1,0)),EX$10*INDEX('Supuestos Proyeccion'!$I$43:$I$52,EX$4-2025)-EX$60)</f>
        <v>31742798.487322502</v>
      </c>
      <c r="EY40" s="23" cm="1">
        <f t="array" ref="EY40">IF(EY$5="Real",INDEX('Informacion de Sam'!$35:$35,MATCH(EY$6,'Informacion de Sam'!$1:$1,0)),EY$10*INDEX('Supuestos Proyeccion'!$I$43:$I$52,EY$4-2025)-EY$60)</f>
        <v>32719696.656890873</v>
      </c>
      <c r="EZ40" s="23" cm="1">
        <f t="array" ref="EZ40">IF(EZ$5="Real",INDEX('Informacion de Sam'!$35:$35,MATCH(EZ$6,'Informacion de Sam'!$1:$1,0)),EZ$10*INDEX('Supuestos Proyeccion'!$I$43:$I$52,EZ$4-2025)-EZ$60)</f>
        <v>30284912.267850071</v>
      </c>
      <c r="FA40" s="23">
        <f>SUM(EO40:EZ40)</f>
        <v>421574882.00311804</v>
      </c>
      <c r="FB40" s="23" cm="1">
        <f t="array" ref="FB40">IF(FB$5="Real",INDEX('Informacion de Sam'!$35:$35,MATCH(FB$6,'Informacion de Sam'!$1:$1,0)),FB$10*INDEX('Supuestos Proyeccion'!$I$43:$I$52,FB$4-2025)-FB$60)</f>
        <v>39648346.869536974</v>
      </c>
      <c r="FC40" s="23" cm="1">
        <f t="array" ref="FC40">IF(FC$5="Real",INDEX('Informacion de Sam'!$35:$35,MATCH(FC$6,'Informacion de Sam'!$1:$1,0)),FC$10*INDEX('Supuestos Proyeccion'!$I$43:$I$52,FC$4-2025)-FC$60)</f>
        <v>56202462.162320681</v>
      </c>
      <c r="FD40" s="23" cm="1">
        <f t="array" ref="FD40">IF(FD$5="Real",INDEX('Informacion de Sam'!$35:$35,MATCH(FD$6,'Informacion de Sam'!$1:$1,0)),FD$10*INDEX('Supuestos Proyeccion'!$I$43:$I$52,FD$4-2025)-FD$60)</f>
        <v>40334815.948922098</v>
      </c>
      <c r="FE40" s="23" cm="1">
        <f t="array" ref="FE40">IF(FE$5="Real",INDEX('Informacion de Sam'!$35:$35,MATCH(FE$6,'Informacion de Sam'!$1:$1,0)),FE$10*INDEX('Supuestos Proyeccion'!$I$43:$I$52,FE$4-2025)-FE$60)</f>
        <v>41263491.270010203</v>
      </c>
      <c r="FF40" s="23" cm="1">
        <f t="array" ref="FF40">IF(FF$5="Real",INDEX('Informacion de Sam'!$35:$35,MATCH(FF$6,'Informacion de Sam'!$1:$1,0)),FF$10*INDEX('Supuestos Proyeccion'!$I$43:$I$52,FF$4-2025)-FF$60)</f>
        <v>36304532.275773138</v>
      </c>
      <c r="FG40" s="23" cm="1">
        <f t="array" ref="FG40">IF(FG$5="Real",INDEX('Informacion de Sam'!$35:$35,MATCH(FG$6,'Informacion de Sam'!$1:$1,0)),FG$10*INDEX('Supuestos Proyeccion'!$I$43:$I$52,FG$4-2025)-FG$60)</f>
        <v>41518278.919027947</v>
      </c>
      <c r="FH40" s="23" cm="1">
        <f t="array" ref="FH40">IF(FH$5="Real",INDEX('Informacion de Sam'!$35:$35,MATCH(FH$6,'Informacion de Sam'!$1:$1,0)),FH$10*INDEX('Supuestos Proyeccion'!$I$43:$I$52,FH$4-2025)-FH$60)</f>
        <v>44815345.606256947</v>
      </c>
      <c r="FI40" s="23" cm="1">
        <f t="array" ref="FI40">IF(FI$5="Real",INDEX('Informacion de Sam'!$35:$35,MATCH(FI$6,'Informacion de Sam'!$1:$1,0)),FI$10*INDEX('Supuestos Proyeccion'!$I$43:$I$52,FI$4-2025)-FI$60)</f>
        <v>67343879.633374453</v>
      </c>
      <c r="FJ40" s="23" cm="1">
        <f t="array" ref="FJ40">IF(FJ$5="Real",INDEX('Informacion de Sam'!$35:$35,MATCH(FJ$6,'Informacion de Sam'!$1:$1,0)),FJ$10*INDEX('Supuestos Proyeccion'!$I$43:$I$52,FJ$4-2025)-FJ$60)</f>
        <v>41103190.553595781</v>
      </c>
      <c r="FK40" s="23" cm="1">
        <f t="array" ref="FK40">IF(FK$5="Real",INDEX('Informacion de Sam'!$35:$35,MATCH(FK$6,'Informacion de Sam'!$1:$1,0)),FK$10*INDEX('Supuestos Proyeccion'!$I$43:$I$52,FK$4-2025)-FK$60)</f>
        <v>39678498.109153129</v>
      </c>
      <c r="FL40" s="23" cm="1">
        <f t="array" ref="FL40">IF(FL$5="Real",INDEX('Informacion de Sam'!$35:$35,MATCH(FL$6,'Informacion de Sam'!$1:$1,0)),FL$10*INDEX('Supuestos Proyeccion'!$I$43:$I$52,FL$4-2025)-FL$60)</f>
        <v>40899620.821113594</v>
      </c>
      <c r="FM40" s="23" cm="1">
        <f t="array" ref="FM40">IF(FM$5="Real",INDEX('Informacion de Sam'!$35:$35,MATCH(FM$6,'Informacion de Sam'!$1:$1,0)),FM$10*INDEX('Supuestos Proyeccion'!$I$43:$I$52,FM$4-2025)-FM$60)</f>
        <v>37856140.334812596</v>
      </c>
      <c r="FN40" s="23">
        <f>SUM(FB40:FM40)</f>
        <v>526968602.50389755</v>
      </c>
      <c r="FO40" s="23" cm="1">
        <f t="array" ref="FO40">IF(FO$5="Real",INDEX('Informacion de Sam'!$35:$35,MATCH(FO$6,'Informacion de Sam'!$1:$1,0)),FO$10*INDEX('Supuestos Proyeccion'!$I$43:$I$52,FO$4-2025)-FO$60)</f>
        <v>49560433.586921215</v>
      </c>
      <c r="FP40" s="23" cm="1">
        <f t="array" ref="FP40">IF(FP$5="Real",INDEX('Informacion de Sam'!$35:$35,MATCH(FP$6,'Informacion de Sam'!$1:$1,0)),FP$10*INDEX('Supuestos Proyeccion'!$I$43:$I$52,FP$4-2025)-FP$60)</f>
        <v>70253077.702900842</v>
      </c>
      <c r="FQ40" s="23" cm="1">
        <f t="array" ref="FQ40">IF(FQ$5="Real",INDEX('Informacion de Sam'!$35:$35,MATCH(FQ$6,'Informacion de Sam'!$1:$1,0)),FQ$10*INDEX('Supuestos Proyeccion'!$I$43:$I$52,FQ$4-2025)-FQ$60)</f>
        <v>50418519.936152615</v>
      </c>
      <c r="FR40" s="23" cm="1">
        <f t="array" ref="FR40">IF(FR$5="Real",INDEX('Informacion de Sam'!$35:$35,MATCH(FR$6,'Informacion de Sam'!$1:$1,0)),FR$10*INDEX('Supuestos Proyeccion'!$I$43:$I$52,FR$4-2025)-FR$60)</f>
        <v>51579364.087512746</v>
      </c>
      <c r="FS40" s="23" cm="1">
        <f t="array" ref="FS40">IF(FS$5="Real",INDEX('Informacion de Sam'!$35:$35,MATCH(FS$6,'Informacion de Sam'!$1:$1,0)),FS$10*INDEX('Supuestos Proyeccion'!$I$43:$I$52,FS$4-2025)-FS$60)</f>
        <v>45380665.34471643</v>
      </c>
      <c r="FT40" s="23" cm="1">
        <f t="array" ref="FT40">IF(FT$5="Real",INDEX('Informacion de Sam'!$35:$35,MATCH(FT$6,'Informacion de Sam'!$1:$1,0)),FT$10*INDEX('Supuestos Proyeccion'!$I$43:$I$52,FT$4-2025)-FT$60)</f>
        <v>51897848.648784928</v>
      </c>
      <c r="FU40" s="23" cm="1">
        <f t="array" ref="FU40">IF(FU$5="Real",INDEX('Informacion de Sam'!$35:$35,MATCH(FU$6,'Informacion de Sam'!$1:$1,0)),FU$10*INDEX('Supuestos Proyeccion'!$I$43:$I$52,FU$4-2025)-FU$60)</f>
        <v>56019182.00782118</v>
      </c>
      <c r="FV40" s="23" cm="1">
        <f t="array" ref="FV40">IF(FV$5="Real",INDEX('Informacion de Sam'!$35:$35,MATCH(FV$6,'Informacion de Sam'!$1:$1,0)),FV$10*INDEX('Supuestos Proyeccion'!$I$43:$I$52,FV$4-2025)-FV$60)</f>
        <v>84179849.541718066</v>
      </c>
      <c r="FW40" s="23" cm="1">
        <f t="array" ref="FW40">IF(FW$5="Real",INDEX('Informacion de Sam'!$35:$35,MATCH(FW$6,'Informacion de Sam'!$1:$1,0)),FW$10*INDEX('Supuestos Proyeccion'!$I$43:$I$52,FW$4-2025)-FW$60)</f>
        <v>51378988.191994719</v>
      </c>
      <c r="FX40" s="23" cm="1">
        <f t="array" ref="FX40">IF(FX$5="Real",INDEX('Informacion de Sam'!$35:$35,MATCH(FX$6,'Informacion de Sam'!$1:$1,0)),FX$10*INDEX('Supuestos Proyeccion'!$I$43:$I$52,FX$4-2025)-FX$60)</f>
        <v>49598122.63644141</v>
      </c>
      <c r="FY40" s="23" cm="1">
        <f t="array" ref="FY40">IF(FY$5="Real",INDEX('Informacion de Sam'!$35:$35,MATCH(FY$6,'Informacion de Sam'!$1:$1,0)),FY$10*INDEX('Supuestos Proyeccion'!$I$43:$I$52,FY$4-2025)-FY$60)</f>
        <v>51124526.02639199</v>
      </c>
      <c r="FZ40" s="23" cm="1">
        <f t="array" ref="FZ40">IF(FZ$5="Real",INDEX('Informacion de Sam'!$35:$35,MATCH(FZ$6,'Informacion de Sam'!$1:$1,0)),FZ$10*INDEX('Supuestos Proyeccion'!$I$43:$I$52,FZ$4-2025)-FZ$60)</f>
        <v>47320175.418515742</v>
      </c>
      <c r="GA40" s="23">
        <f>SUM(FO40:FZ40)</f>
        <v>658710753.12987185</v>
      </c>
      <c r="GB40" s="23" cm="1">
        <f t="array" ref="GB40">IF(GB$5="Real",INDEX('Informacion de Sam'!$35:$35,MATCH(GB$6,'Informacion de Sam'!$1:$1,0)),GB$10*INDEX('Supuestos Proyeccion'!$I$43:$I$52,GB$4-2025)-GB$60)</f>
        <v>61950541.983651519</v>
      </c>
      <c r="GC40" s="23" cm="1">
        <f t="array" ref="GC40">IF(GC$5="Real",INDEX('Informacion de Sam'!$35:$35,MATCH(GC$6,'Informacion de Sam'!$1:$1,0)),GC$10*INDEX('Supuestos Proyeccion'!$I$43:$I$52,GC$4-2025)-GC$60)</f>
        <v>87816347.128626063</v>
      </c>
      <c r="GD40" s="23" cm="1">
        <f t="array" ref="GD40">IF(GD$5="Real",INDEX('Informacion de Sam'!$35:$35,MATCH(GD$6,'Informacion de Sam'!$1:$1,0)),GD$10*INDEX('Supuestos Proyeccion'!$I$43:$I$52,GD$4-2025)-GD$60)</f>
        <v>63023149.920190774</v>
      </c>
      <c r="GE40" s="23" cm="1">
        <f t="array" ref="GE40">IF(GE$5="Real",INDEX('Informacion de Sam'!$35:$35,MATCH(GE$6,'Informacion de Sam'!$1:$1,0)),GE$10*INDEX('Supuestos Proyeccion'!$I$43:$I$52,GE$4-2025)-GE$60)</f>
        <v>64474205.109390944</v>
      </c>
      <c r="GF40" s="23" cm="1">
        <f t="array" ref="GF40">IF(GF$5="Real",INDEX('Informacion de Sam'!$35:$35,MATCH(GF$6,'Informacion de Sam'!$1:$1,0)),GF$10*INDEX('Supuestos Proyeccion'!$I$43:$I$52,GF$4-2025)-GF$60)</f>
        <v>56725831.68089553</v>
      </c>
      <c r="GG40" s="23" cm="1">
        <f t="array" ref="GG40">IF(GG$5="Real",INDEX('Informacion de Sam'!$35:$35,MATCH(GG$6,'Informacion de Sam'!$1:$1,0)),GG$10*INDEX('Supuestos Proyeccion'!$I$43:$I$52,GG$4-2025)-GG$60)</f>
        <v>64872310.810981154</v>
      </c>
      <c r="GH40" s="23" cm="1">
        <f t="array" ref="GH40">IF(GH$5="Real",INDEX('Informacion de Sam'!$35:$35,MATCH(GH$6,'Informacion de Sam'!$1:$1,0)),GH$10*INDEX('Supuestos Proyeccion'!$I$43:$I$52,GH$4-2025)-GH$60)</f>
        <v>70023977.509776488</v>
      </c>
      <c r="GI40" s="23" cm="1">
        <f t="array" ref="GI40">IF(GI$5="Real",INDEX('Informacion de Sam'!$35:$35,MATCH(GI$6,'Informacion de Sam'!$1:$1,0)),GI$10*INDEX('Supuestos Proyeccion'!$I$43:$I$52,GI$4-2025)-GI$60)</f>
        <v>105224811.92714758</v>
      </c>
      <c r="GJ40" s="23" cm="1">
        <f t="array" ref="GJ40">IF(GJ$5="Real",INDEX('Informacion de Sam'!$35:$35,MATCH(GJ$6,'Informacion de Sam'!$1:$1,0)),GJ$10*INDEX('Supuestos Proyeccion'!$I$43:$I$52,GJ$4-2025)-GJ$60)</f>
        <v>64223735.239993408</v>
      </c>
      <c r="GK40" s="23" cm="1">
        <f t="array" ref="GK40">IF(GK$5="Real",INDEX('Informacion de Sam'!$35:$35,MATCH(GK$6,'Informacion de Sam'!$1:$1,0)),GK$10*INDEX('Supuestos Proyeccion'!$I$43:$I$52,GK$4-2025)-GK$60)</f>
        <v>61997653.295551762</v>
      </c>
      <c r="GL40" s="23" cm="1">
        <f t="array" ref="GL40">IF(GL$5="Real",INDEX('Informacion de Sam'!$35:$35,MATCH(GL$6,'Informacion de Sam'!$1:$1,0)),GL$10*INDEX('Supuestos Proyeccion'!$I$43:$I$52,GL$4-2025)-GL$60)</f>
        <v>63905657.532989994</v>
      </c>
      <c r="GM40" s="23" cm="1">
        <f t="array" ref="GM40">IF(GM$5="Real",INDEX('Informacion de Sam'!$35:$35,MATCH(GM$6,'Informacion de Sam'!$1:$1,0)),GM$10*INDEX('Supuestos Proyeccion'!$I$43:$I$52,GM$4-2025)-GM$60)</f>
        <v>59150219.273144685</v>
      </c>
      <c r="GN40" s="23">
        <f>SUM(GB40:GM40)</f>
        <v>823388441.41233993</v>
      </c>
      <c r="GO40" s="23" cm="1">
        <f t="array" ref="GO40">IF(GO$5="Real",INDEX('Informacion de Sam'!$35:$35,MATCH(GO$6,'Informacion de Sam'!$1:$1,0)),GO$10*INDEX('Supuestos Proyeccion'!$I$43:$I$52,GO$4-2025)-GO$60)</f>
        <v>77438177.479564399</v>
      </c>
      <c r="GP40" s="23" cm="1">
        <f t="array" ref="GP40">IF(GP$5="Real",INDEX('Informacion de Sam'!$35:$35,MATCH(GP$6,'Informacion de Sam'!$1:$1,0)),GP$10*INDEX('Supuestos Proyeccion'!$I$43:$I$52,GP$4-2025)-GP$60)</f>
        <v>109770433.91078256</v>
      </c>
      <c r="GQ40" s="23" cm="1">
        <f t="array" ref="GQ40">IF(GQ$5="Real",INDEX('Informacion de Sam'!$35:$35,MATCH(GQ$6,'Informacion de Sam'!$1:$1,0)),GQ$10*INDEX('Supuestos Proyeccion'!$I$43:$I$52,GQ$4-2025)-GQ$60)</f>
        <v>78778937.400238454</v>
      </c>
      <c r="GR40" s="23" cm="1">
        <f t="array" ref="GR40">IF(GR$5="Real",INDEX('Informacion de Sam'!$35:$35,MATCH(GR$6,'Informacion de Sam'!$1:$1,0)),GR$10*INDEX('Supuestos Proyeccion'!$I$43:$I$52,GR$4-2025)-GR$60)</f>
        <v>80592756.386738673</v>
      </c>
      <c r="GS40" s="23" cm="1">
        <f t="array" ref="GS40">IF(GS$5="Real",INDEX('Informacion de Sam'!$35:$35,MATCH(GS$6,'Informacion de Sam'!$1:$1,0)),GS$10*INDEX('Supuestos Proyeccion'!$I$43:$I$52,GS$4-2025)-GS$60)</f>
        <v>70907289.601119399</v>
      </c>
      <c r="GT40" s="23" cm="1">
        <f t="array" ref="GT40">IF(GT$5="Real",INDEX('Informacion de Sam'!$35:$35,MATCH(GT$6,'Informacion de Sam'!$1:$1,0)),GT$10*INDEX('Supuestos Proyeccion'!$I$43:$I$52,GT$4-2025)-GT$60)</f>
        <v>81090388.513726443</v>
      </c>
      <c r="GU40" s="23" cm="1">
        <f t="array" ref="GU40">IF(GU$5="Real",INDEX('Informacion de Sam'!$35:$35,MATCH(GU$6,'Informacion de Sam'!$1:$1,0)),GU$10*INDEX('Supuestos Proyeccion'!$I$43:$I$52,GU$4-2025)-GU$60)</f>
        <v>87529971.887220591</v>
      </c>
      <c r="GV40" s="23" cm="1">
        <f t="array" ref="GV40">IF(GV$5="Real",INDEX('Informacion de Sam'!$35:$35,MATCH(GV$6,'Informacion de Sam'!$1:$1,0)),GV$10*INDEX('Supuestos Proyeccion'!$I$43:$I$52,GV$4-2025)-GV$60)</f>
        <v>131531014.90893447</v>
      </c>
      <c r="GW40" s="23" cm="1">
        <f t="array" ref="GW40">IF(GW$5="Real",INDEX('Informacion de Sam'!$35:$35,MATCH(GW$6,'Informacion de Sam'!$1:$1,0)),GW$10*INDEX('Supuestos Proyeccion'!$I$43:$I$52,GW$4-2025)-GW$60)</f>
        <v>80279669.049991757</v>
      </c>
      <c r="GX40" s="23" cm="1">
        <f t="array" ref="GX40">IF(GX$5="Real",INDEX('Informacion de Sam'!$35:$35,MATCH(GX$6,'Informacion de Sam'!$1:$1,0)),GX$10*INDEX('Supuestos Proyeccion'!$I$43:$I$52,GX$4-2025)-GX$60)</f>
        <v>77497066.619439706</v>
      </c>
      <c r="GY40" s="23" cm="1">
        <f t="array" ref="GY40">IF(GY$5="Real",INDEX('Informacion de Sam'!$35:$35,MATCH(GY$6,'Informacion de Sam'!$1:$1,0)),GY$10*INDEX('Supuestos Proyeccion'!$I$43:$I$52,GY$4-2025)-GY$60)</f>
        <v>79882071.916237488</v>
      </c>
      <c r="GZ40" s="23" cm="1">
        <f t="array" ref="GZ40">IF(GZ$5="Real",INDEX('Informacion de Sam'!$35:$35,MATCH(GZ$6,'Informacion de Sam'!$1:$1,0)),GZ$10*INDEX('Supuestos Proyeccion'!$I$43:$I$52,GZ$4-2025)-GZ$60)</f>
        <v>73937774.091430843</v>
      </c>
      <c r="HA40" s="23">
        <f>SUM(GO40:GZ40)</f>
        <v>1029235551.7654247</v>
      </c>
      <c r="HB40" s="23"/>
      <c r="HC40" s="51">
        <f t="shared" si="12"/>
        <v>77168737.480000004</v>
      </c>
      <c r="HD40" s="51">
        <f t="shared" si="12"/>
        <v>90981776.469999999</v>
      </c>
      <c r="HE40" s="51">
        <f t="shared" si="12"/>
        <v>132867620.14</v>
      </c>
      <c r="HF40" s="51">
        <f t="shared" si="12"/>
        <v>145356583.26999998</v>
      </c>
      <c r="HG40" s="51">
        <f t="shared" si="12"/>
        <v>188705923.38999999</v>
      </c>
      <c r="HH40" s="51">
        <f t="shared" si="12"/>
        <v>183301317.11000001</v>
      </c>
      <c r="HI40" s="51">
        <f t="shared" si="12"/>
        <v>153629150.33526677</v>
      </c>
      <c r="HJ40" s="51">
        <f t="shared" si="12"/>
        <v>172677071.66847715</v>
      </c>
      <c r="HK40" s="51">
        <f t="shared" si="12"/>
        <v>215846339.58559641</v>
      </c>
      <c r="HL40" s="51">
        <f t="shared" si="12"/>
        <v>269807924.48199552</v>
      </c>
      <c r="HM40" s="51">
        <f t="shared" si="12"/>
        <v>337259905.60249448</v>
      </c>
      <c r="HN40" s="51">
        <f t="shared" si="12"/>
        <v>421574882.00311804</v>
      </c>
      <c r="HO40" s="51">
        <f t="shared" si="12"/>
        <v>526968602.50389755</v>
      </c>
      <c r="HP40" s="51">
        <f t="shared" si="12"/>
        <v>658710753.12987185</v>
      </c>
      <c r="HQ40" s="51">
        <f t="shared" si="12"/>
        <v>823388441.41233993</v>
      </c>
      <c r="HR40" s="51">
        <f t="shared" si="12"/>
        <v>1029235551.7654247</v>
      </c>
    </row>
    <row r="41" spans="1:226" x14ac:dyDescent="0.35">
      <c r="A41" t="s">
        <v>62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51"/>
      <c r="HD41" s="51"/>
      <c r="HE41" s="51"/>
      <c r="HF41" s="51"/>
      <c r="HG41" s="51"/>
      <c r="HH41" s="51"/>
      <c r="HI41" s="51"/>
      <c r="HJ41" s="51"/>
      <c r="HK41" s="51"/>
      <c r="HL41" s="51"/>
      <c r="HM41" s="51"/>
      <c r="HN41" s="51"/>
      <c r="HO41" s="51"/>
      <c r="HP41" s="51"/>
      <c r="HQ41" s="51"/>
      <c r="HR41" s="51"/>
    </row>
    <row r="42" spans="1:226" x14ac:dyDescent="0.35">
      <c r="A42" t="s">
        <v>74</v>
      </c>
      <c r="B42" s="23">
        <f>IF(B$5="Real",INDEX('Informacion de Sam'!$37:$37,MATCH(B$6,'Informacion de Sam'!$1:$1,0)),B$10*'Supuestos Proyeccion'!$F$35)</f>
        <v>1200000.47</v>
      </c>
      <c r="C42" s="23">
        <f>IF(C$5="Real",INDEX('Informacion de Sam'!$37:$37,MATCH(C$6,'Informacion de Sam'!$1:$1,0)),C$10*'Supuestos Proyeccion'!$F$35)</f>
        <v>1627584.3299999998</v>
      </c>
      <c r="D42" s="23">
        <f>IF(D$5="Real",INDEX('Informacion de Sam'!$37:$37,MATCH(D$6,'Informacion de Sam'!$1:$1,0)),D$10*'Supuestos Proyeccion'!$F$35)</f>
        <v>894964.44</v>
      </c>
      <c r="E42" s="23">
        <f>IF(E$5="Real",INDEX('Informacion de Sam'!$37:$37,MATCH(E$6,'Informacion de Sam'!$1:$1,0)),E$10*'Supuestos Proyeccion'!$F$35)</f>
        <v>827568.00000000047</v>
      </c>
      <c r="F42" s="23">
        <f>IF(F$5="Real",INDEX('Informacion de Sam'!$37:$37,MATCH(F$6,'Informacion de Sam'!$1:$1,0)),F$10*'Supuestos Proyeccion'!$F$35)</f>
        <v>832851.62999999989</v>
      </c>
      <c r="G42" s="23">
        <f>IF(G$5="Real",INDEX('Informacion de Sam'!$37:$37,MATCH(G$6,'Informacion de Sam'!$1:$1,0)),G$10*'Supuestos Proyeccion'!$F$35)</f>
        <v>962456.19999999925</v>
      </c>
      <c r="H42" s="23">
        <f>IF(H$5="Real",INDEX('Informacion de Sam'!$37:$37,MATCH(H$6,'Informacion de Sam'!$1:$1,0)),H$10*'Supuestos Proyeccion'!$F$35)</f>
        <v>951479.56000000145</v>
      </c>
      <c r="I42" s="23">
        <f>IF(I$5="Real",INDEX('Informacion de Sam'!$37:$37,MATCH(I$6,'Informacion de Sam'!$1:$1,0)),I$10*'Supuestos Proyeccion'!$F$35)</f>
        <v>1349393.589999998</v>
      </c>
      <c r="J42" s="23">
        <f>IF(J$5="Real",INDEX('Informacion de Sam'!$37:$37,MATCH(J$6,'Informacion de Sam'!$1:$1,0)),J$10*'Supuestos Proyeccion'!$F$35)</f>
        <v>1030992.3100000005</v>
      </c>
      <c r="K42" s="23">
        <f>IF(K$5="Real",INDEX('Informacion de Sam'!$37:$37,MATCH(K$6,'Informacion de Sam'!$1:$1,0)),K$10*'Supuestos Proyeccion'!$F$35)</f>
        <v>953565.74000000209</v>
      </c>
      <c r="L42" s="23">
        <f>IF(L$5="Real",INDEX('Informacion de Sam'!$37:$37,MATCH(L$6,'Informacion de Sam'!$1:$1,0)),L$10*'Supuestos Proyeccion'!$F$35)</f>
        <v>1025057.6199999992</v>
      </c>
      <c r="M42" s="23">
        <f>IF(M$5="Real",INDEX('Informacion de Sam'!$37:$37,MATCH(M$6,'Informacion de Sam'!$1:$1,0)),M$10*'Supuestos Proyeccion'!$F$35)</f>
        <v>1575322.9700000007</v>
      </c>
      <c r="N42" s="23">
        <f>SUM(B42:M42)</f>
        <v>13231236.860000001</v>
      </c>
      <c r="O42" s="23">
        <f>IF(O$5="Real",INDEX('Informacion de Sam'!$37:$37,MATCH(O$6,'Informacion de Sam'!$1:$1,0)),O$10*'Supuestos Proyeccion'!$F$35)</f>
        <v>927248.91</v>
      </c>
      <c r="P42" s="23">
        <f>IF(P$5="Real",INDEX('Informacion de Sam'!$37:$37,MATCH(P$6,'Informacion de Sam'!$1:$1,0)),P$10*'Supuestos Proyeccion'!$F$35)</f>
        <v>1243041.44</v>
      </c>
      <c r="Q42" s="23">
        <f>IF(Q$5="Real",INDEX('Informacion de Sam'!$37:$37,MATCH(Q$6,'Informacion de Sam'!$1:$1,0)),Q$10*'Supuestos Proyeccion'!$F$35)</f>
        <v>1606867.48</v>
      </c>
      <c r="R42" s="23">
        <f>IF(R$5="Real",INDEX('Informacion de Sam'!$37:$37,MATCH(R$6,'Informacion de Sam'!$1:$1,0)),R$10*'Supuestos Proyeccion'!$F$35)</f>
        <v>901338.50999999978</v>
      </c>
      <c r="S42" s="23">
        <f>IF(S$5="Real",INDEX('Informacion de Sam'!$37:$37,MATCH(S$6,'Informacion de Sam'!$1:$1,0)),S$10*'Supuestos Proyeccion'!$F$35)</f>
        <v>802949.19000000041</v>
      </c>
      <c r="T42" s="23">
        <f>IF(T$5="Real",INDEX('Informacion de Sam'!$37:$37,MATCH(T$6,'Informacion de Sam'!$1:$1,0)),T$10*'Supuestos Proyeccion'!$F$35)</f>
        <v>1174491.0599999996</v>
      </c>
      <c r="U42" s="23">
        <f>IF(U$5="Real",INDEX('Informacion de Sam'!$37:$37,MATCH(U$6,'Informacion de Sam'!$1:$1,0)),U$10*'Supuestos Proyeccion'!$F$35)</f>
        <v>943930.71</v>
      </c>
      <c r="V42" s="23">
        <f>IF(V$5="Real",INDEX('Informacion de Sam'!$37:$37,MATCH(V$6,'Informacion de Sam'!$1:$1,0)),V$10*'Supuestos Proyeccion'!$F$35)</f>
        <v>1451617.6399999997</v>
      </c>
      <c r="W42" s="23">
        <f>IF(W$5="Real",INDEX('Informacion de Sam'!$37:$37,MATCH(W$6,'Informacion de Sam'!$1:$1,0)),W$10*'Supuestos Proyeccion'!$F$35)</f>
        <v>998882.93000000156</v>
      </c>
      <c r="X42" s="23">
        <f>IF(X$5="Real",INDEX('Informacion de Sam'!$37:$37,MATCH(X$6,'Informacion de Sam'!$1:$1,0)),X$10*'Supuestos Proyeccion'!$F$35)</f>
        <v>929498.3900000006</v>
      </c>
      <c r="Y42" s="23">
        <f>IF(Y$5="Real",INDEX('Informacion de Sam'!$37:$37,MATCH(Y$6,'Informacion de Sam'!$1:$1,0)),Y$10*'Supuestos Proyeccion'!$F$35)</f>
        <v>996977.33999999799</v>
      </c>
      <c r="Z42" s="23">
        <f>IF(Z$5="Real",INDEX('Informacion de Sam'!$37:$37,MATCH(Z$6,'Informacion de Sam'!$1:$1,0)),Z$10*'Supuestos Proyeccion'!$F$35)</f>
        <v>1122442.8000000007</v>
      </c>
      <c r="AA42" s="23">
        <f>SUM(O42:Z42)</f>
        <v>13099286.4</v>
      </c>
      <c r="AB42" s="23">
        <f>IF(AB$5="Real",INDEX('Informacion de Sam'!$37:$37,MATCH(AB$6,'Informacion de Sam'!$1:$1,0)),AB$10*'Supuestos Proyeccion'!$F$35)</f>
        <v>1125308.5900000001</v>
      </c>
      <c r="AC42" s="23">
        <f>IF(AC$5="Real",INDEX('Informacion de Sam'!$37:$37,MATCH(AC$6,'Informacion de Sam'!$1:$1,0)),AC$10*'Supuestos Proyeccion'!$F$35)</f>
        <v>2166354.0600000005</v>
      </c>
      <c r="AD42" s="23">
        <f>IF(AD$5="Real",INDEX('Informacion de Sam'!$37:$37,MATCH(AD$6,'Informacion de Sam'!$1:$1,0)),AD$10*'Supuestos Proyeccion'!$F$35)</f>
        <v>1185900.2599999998</v>
      </c>
      <c r="AE42" s="23">
        <f>IF(AE$5="Real",INDEX('Informacion de Sam'!$37:$37,MATCH(AE$6,'Informacion de Sam'!$1:$1,0)),AE$10*'Supuestos Proyeccion'!$F$35)</f>
        <v>1243643.8200000003</v>
      </c>
      <c r="AF42" s="23">
        <f>IF(AF$5="Real",INDEX('Informacion de Sam'!$37:$37,MATCH(AF$6,'Informacion de Sam'!$1:$1,0)),AF$10*'Supuestos Proyeccion'!$F$35)</f>
        <v>1081387.3799999999</v>
      </c>
      <c r="AG42" s="23">
        <f>IF(AG$5="Real",INDEX('Informacion de Sam'!$37:$37,MATCH(AG$6,'Informacion de Sam'!$1:$1,0)),AG$10*'Supuestos Proyeccion'!$F$35)</f>
        <v>1807967.46</v>
      </c>
      <c r="AH42" s="23">
        <f>IF(AH$5="Real",INDEX('Informacion de Sam'!$37:$37,MATCH(AH$6,'Informacion de Sam'!$1:$1,0)),AH$10*'Supuestos Proyeccion'!$F$35)</f>
        <v>1530037.5699999984</v>
      </c>
      <c r="AI42" s="23">
        <f>IF(AI$5="Real",INDEX('Informacion de Sam'!$37:$37,MATCH(AI$6,'Informacion de Sam'!$1:$1,0)),AI$10*'Supuestos Proyeccion'!$F$35)</f>
        <v>1253467.0000000019</v>
      </c>
      <c r="AJ42" s="23">
        <f>IF(AJ$5="Real",INDEX('Informacion de Sam'!$37:$37,MATCH(AJ$6,'Informacion de Sam'!$1:$1,0)),AJ$10*'Supuestos Proyeccion'!$F$35)</f>
        <v>1266922.9699999988</v>
      </c>
      <c r="AK42" s="23">
        <f>IF(AK$5="Real",INDEX('Informacion de Sam'!$37:$37,MATCH(AK$6,'Informacion de Sam'!$1:$1,0)),AK$10*'Supuestos Proyeccion'!$F$35)</f>
        <v>1156436.4299999997</v>
      </c>
      <c r="AL42" s="23">
        <f>IF(AL$5="Real",INDEX('Informacion de Sam'!$37:$37,MATCH(AL$6,'Informacion de Sam'!$1:$1,0)),AL$10*'Supuestos Proyeccion'!$F$35)</f>
        <v>1070552.5300000031</v>
      </c>
      <c r="AM42" s="23">
        <f>IF(AM$5="Real",INDEX('Informacion de Sam'!$37:$37,MATCH(AM$6,'Informacion de Sam'!$1:$1,0)),AM$10*'Supuestos Proyeccion'!$F$35)</f>
        <v>1148718.4899999984</v>
      </c>
      <c r="AN42" s="23">
        <f>SUM(AB42:AM42)</f>
        <v>16036696.560000001</v>
      </c>
      <c r="AO42" s="23">
        <f>IF(AO$5="Real",INDEX('Informacion de Sam'!$37:$37,MATCH(AO$6,'Informacion de Sam'!$1:$1,0)),AO$10*'Supuestos Proyeccion'!$F$35)</f>
        <v>1419581.26</v>
      </c>
      <c r="AP42" s="23">
        <f>IF(AP$5="Real",INDEX('Informacion de Sam'!$37:$37,MATCH(AP$6,'Informacion de Sam'!$1:$1,0)),AP$10*'Supuestos Proyeccion'!$F$35)</f>
        <v>2191044.2800000003</v>
      </c>
      <c r="AQ42" s="23">
        <f>IF(AQ$5="Real",INDEX('Informacion de Sam'!$37:$37,MATCH(AQ$6,'Informacion de Sam'!$1:$1,0)),AQ$10*'Supuestos Proyeccion'!$F$35)</f>
        <v>1276373.1199999992</v>
      </c>
      <c r="AR42" s="23">
        <f>IF(AR$5="Real",INDEX('Informacion de Sam'!$37:$37,MATCH(AR$6,'Informacion de Sam'!$1:$1,0)),AR$10*'Supuestos Proyeccion'!$F$35)</f>
        <v>1481203.6600000011</v>
      </c>
      <c r="AS42" s="23">
        <f>IF(AS$5="Real",INDEX('Informacion de Sam'!$37:$37,MATCH(AS$6,'Informacion de Sam'!$1:$1,0)),AS$10*'Supuestos Proyeccion'!$F$35)</f>
        <v>1380895.5700000003</v>
      </c>
      <c r="AT42" s="23">
        <f>IF(AT$5="Real",INDEX('Informacion de Sam'!$37:$37,MATCH(AT$6,'Informacion de Sam'!$1:$1,0)),AT$10*'Supuestos Proyeccion'!$F$35)</f>
        <v>1490407.209999999</v>
      </c>
      <c r="AU42" s="23">
        <f>IF(AU$5="Real",INDEX('Informacion de Sam'!$37:$37,MATCH(AU$6,'Informacion de Sam'!$1:$1,0)),AU$10*'Supuestos Proyeccion'!$F$35)</f>
        <v>1287190</v>
      </c>
      <c r="AV42" s="23">
        <f>IF(AV$5="Real",INDEX('Informacion de Sam'!$37:$37,MATCH(AV$6,'Informacion de Sam'!$1:$1,0)),AV$10*'Supuestos Proyeccion'!$F$35)</f>
        <v>1683881.2000000011</v>
      </c>
      <c r="AW42" s="23">
        <f>IF(AW$5="Real",INDEX('Informacion de Sam'!$37:$37,MATCH(AW$6,'Informacion de Sam'!$1:$1,0)),AW$10*'Supuestos Proyeccion'!$F$35)</f>
        <v>1273709.6599999983</v>
      </c>
      <c r="AX42" s="23">
        <f>IF(AX$5="Real",INDEX('Informacion de Sam'!$37:$37,MATCH(AX$6,'Informacion de Sam'!$1:$1,0)),AX$10*'Supuestos Proyeccion'!$F$35)</f>
        <v>1407716.4700000007</v>
      </c>
      <c r="AY42" s="23">
        <f>IF(AY$5="Real",INDEX('Informacion de Sam'!$37:$37,MATCH(AY$6,'Informacion de Sam'!$1:$1,0)),AY$10*'Supuestos Proyeccion'!$F$35)</f>
        <v>1910493.6300000027</v>
      </c>
      <c r="AZ42" s="23">
        <f>IF(AZ$5="Real",INDEX('Informacion de Sam'!$37:$37,MATCH(AZ$6,'Informacion de Sam'!$1:$1,0)),AZ$10*'Supuestos Proyeccion'!$F$35)</f>
        <v>1675268.9499999993</v>
      </c>
      <c r="BA42" s="23">
        <f>SUM(AO42:AZ42)</f>
        <v>18477765.010000002</v>
      </c>
      <c r="BB42" s="23">
        <f>IF(BB$5="Real",INDEX('Informacion de Sam'!$37:$37,MATCH(BB$6,'Informacion de Sam'!$1:$1,0)),BB$10*'Supuestos Proyeccion'!$F$35)</f>
        <v>1677218.59</v>
      </c>
      <c r="BC42" s="23">
        <f>IF(BC$5="Real",INDEX('Informacion de Sam'!$37:$37,MATCH(BC$6,'Informacion de Sam'!$1:$1,0)),BC$10*'Supuestos Proyeccion'!$F$35)</f>
        <v>2607731.7600000007</v>
      </c>
      <c r="BD42" s="23">
        <f>IF(BD$5="Real",INDEX('Informacion de Sam'!$37:$37,MATCH(BD$6,'Informacion de Sam'!$1:$1,0)),BD$10*'Supuestos Proyeccion'!$F$35)</f>
        <v>1374760.2999999989</v>
      </c>
      <c r="BE42" s="23">
        <f>IF(BE$5="Real",INDEX('Informacion de Sam'!$37:$37,MATCH(BE$6,'Informacion de Sam'!$1:$1,0)),BE$10*'Supuestos Proyeccion'!$F$35)</f>
        <v>1501556.7200000007</v>
      </c>
      <c r="BF42" s="23">
        <f>IF(BF$5="Real",INDEX('Informacion de Sam'!$37:$37,MATCH(BF$6,'Informacion de Sam'!$1:$1,0)),BF$10*'Supuestos Proyeccion'!$F$35)</f>
        <v>1394899.7699999986</v>
      </c>
      <c r="BG42" s="23">
        <f>IF(BG$5="Real",INDEX('Informacion de Sam'!$37:$37,MATCH(BG$6,'Informacion de Sam'!$1:$1,0)),BG$10*'Supuestos Proyeccion'!$F$35)</f>
        <v>1569887.4700000025</v>
      </c>
      <c r="BH42" s="23">
        <f>IF(BH$5="Real",INDEX('Informacion de Sam'!$37:$37,MATCH(BH$6,'Informacion de Sam'!$1:$1,0)),BH$10*'Supuestos Proyeccion'!$F$35)</f>
        <v>1659507.1499999985</v>
      </c>
      <c r="BI42" s="23">
        <f>IF(BI$5="Real",INDEX('Informacion de Sam'!$37:$37,MATCH(BI$6,'Informacion de Sam'!$1:$1,0)),BI$10*'Supuestos Proyeccion'!$F$35)</f>
        <v>2015139.0300000012</v>
      </c>
      <c r="BJ42" s="23">
        <f>IF(BJ$5="Real",INDEX('Informacion de Sam'!$37:$37,MATCH(BJ$6,'Informacion de Sam'!$1:$1,0)),BJ$10*'Supuestos Proyeccion'!$F$35)</f>
        <v>1488892.2599999998</v>
      </c>
      <c r="BK42" s="23">
        <f>IF(BK$5="Real",INDEX('Informacion de Sam'!$37:$37,MATCH(BK$6,'Informacion de Sam'!$1:$1,0)),BK$10*'Supuestos Proyeccion'!$F$35)</f>
        <v>1795349.9699999988</v>
      </c>
      <c r="BL42" s="23">
        <f>IF(BL$5="Real",INDEX('Informacion de Sam'!$37:$37,MATCH(BL$6,'Informacion de Sam'!$1:$1,0)),BL$10*'Supuestos Proyeccion'!$F$35)</f>
        <v>2062317.2600000016</v>
      </c>
      <c r="BM42" s="23">
        <f>IF(BM$5="Real",INDEX('Informacion de Sam'!$37:$37,MATCH(BM$6,'Informacion de Sam'!$1:$1,0)),BM$10*'Supuestos Proyeccion'!$F$35)</f>
        <v>1334486.8699999973</v>
      </c>
      <c r="BN42" s="23">
        <f>SUM(BB42:BM42)</f>
        <v>20481747.149999999</v>
      </c>
      <c r="BO42" s="23">
        <f>IF(BO$5="Real",INDEX('Informacion de Sam'!$37:$37,MATCH(BO$6,'Informacion de Sam'!$1:$1,0)),BO$10*'Supuestos Proyeccion'!$F$35)</f>
        <v>2409683.96</v>
      </c>
      <c r="BP42" s="23">
        <f>IF(BP$5="Real",INDEX('Informacion de Sam'!$37:$37,MATCH(BP$6,'Informacion de Sam'!$1:$1,0)),BP$10*'Supuestos Proyeccion'!$F$35)</f>
        <v>2591779.0099999998</v>
      </c>
      <c r="BQ42" s="23">
        <f>IF(BQ$5="Real",INDEX('Informacion de Sam'!$37:$37,MATCH(BQ$6,'Informacion de Sam'!$1:$1,0)),BQ$10*'Supuestos Proyeccion'!$F$35)</f>
        <v>1703738.6499999994</v>
      </c>
      <c r="BR42" s="23">
        <f>IF(BR$5="Real",INDEX('Informacion de Sam'!$37:$37,MATCH(BR$6,'Informacion de Sam'!$1:$1,0)),BR$10*'Supuestos Proyeccion'!$F$35)</f>
        <v>1406250.87</v>
      </c>
      <c r="BS42" s="23">
        <f>IF(BS$5="Real",INDEX('Informacion de Sam'!$37:$37,MATCH(BS$6,'Informacion de Sam'!$1:$1,0)),BS$10*'Supuestos Proyeccion'!$F$35)</f>
        <v>1321922.5300000021</v>
      </c>
      <c r="BT42" s="23">
        <f>IF(BT$5="Real",INDEX('Informacion de Sam'!$37:$37,MATCH(BT$6,'Informacion de Sam'!$1:$1,0)),BT$10*'Supuestos Proyeccion'!$F$35)</f>
        <v>1649469.6399999987</v>
      </c>
      <c r="BU42" s="23">
        <f>IF(BU$5="Real",INDEX('Informacion de Sam'!$37:$37,MATCH(BU$6,'Informacion de Sam'!$1:$1,0)),BU$10*'Supuestos Proyeccion'!$F$35)</f>
        <v>1586503.5099999998</v>
      </c>
      <c r="BV42" s="23">
        <f>IF(BV$5="Real",INDEX('Informacion de Sam'!$37:$37,MATCH(BV$6,'Informacion de Sam'!$1:$1,0)),BV$10*'Supuestos Proyeccion'!$F$35)</f>
        <v>1568421.3200000022</v>
      </c>
      <c r="BW42" s="23">
        <f>IF(BW$5="Real",INDEX('Informacion de Sam'!$37:$37,MATCH(BW$6,'Informacion de Sam'!$1:$1,0)),BW$10*'Supuestos Proyeccion'!$F$35)</f>
        <v>1864506.2199999951</v>
      </c>
      <c r="BX42" s="23">
        <f>IF(BX$5="Real",INDEX('Informacion de Sam'!$37:$37,MATCH(BX$6,'Informacion de Sam'!$1:$1,0)),BX$10*'Supuestos Proyeccion'!$F$35)</f>
        <v>1359650.4400000013</v>
      </c>
      <c r="BY42" s="23">
        <f>IF(BY$5="Real",INDEX('Informacion de Sam'!$37:$37,MATCH(BY$6,'Informacion de Sam'!$1:$1,0)),BY$10*'Supuestos Proyeccion'!$F$35)</f>
        <v>1469935.700000003</v>
      </c>
      <c r="BZ42" s="23">
        <f>IF(BZ$5="Real",INDEX('Informacion de Sam'!$37:$37,MATCH(BZ$6,'Informacion de Sam'!$1:$1,0)),BZ$10*'Supuestos Proyeccion'!$F$35)</f>
        <v>1161308.8200000003</v>
      </c>
      <c r="CA42" s="23">
        <f>SUM(BO42:BZ42)</f>
        <v>20093170.670000002</v>
      </c>
      <c r="CB42" s="23">
        <f>IF(CB$5="Real",INDEX('Informacion de Sam'!$37:$37,MATCH(CB$6,'Informacion de Sam'!$1:$1,0)),CB$10*'Supuestos Proyeccion'!$F$35)</f>
        <v>1446077.52</v>
      </c>
      <c r="CC42" s="23">
        <f>IF(CC$5="Real",INDEX('Informacion de Sam'!$37:$37,MATCH(CC$6,'Informacion de Sam'!$1:$1,0)),CC$10*'Supuestos Proyeccion'!$F$35)</f>
        <v>2646245.3299999996</v>
      </c>
      <c r="CD42" s="23">
        <f>IF(CD$5="Real",INDEX('Informacion de Sam'!$37:$37,MATCH(CD$6,'Informacion de Sam'!$1:$1,0)),CD$10*'Supuestos Proyeccion'!$F$35)</f>
        <v>1452361.5700000003</v>
      </c>
      <c r="CE42" s="23">
        <f>IF(CE$5="Real",INDEX('Informacion de Sam'!$37:$37,MATCH(CE$6,'Informacion de Sam'!$1:$1,0)),CE$10*'Supuestos Proyeccion'!$F$35)</f>
        <v>1006211.8200000003</v>
      </c>
      <c r="CF42" s="23">
        <f>IF(CF$5="Real",INDEX('Informacion de Sam'!$37:$37,MATCH(CF$6,'Informacion de Sam'!$1:$1,0)),CF$10*'Supuestos Proyeccion'!$F$35)</f>
        <v>983873.35000000056</v>
      </c>
      <c r="CG42" s="23">
        <f>IF(CG$5="Real",INDEX('Informacion de Sam'!$37:$37,MATCH(CG$6,'Informacion de Sam'!$1:$1,0)),CG$10*'Supuestos Proyeccion'!$F$35)</f>
        <v>1162652.5499999998</v>
      </c>
      <c r="CH42" s="23">
        <f>IF(CH$5="Real",INDEX('Informacion de Sam'!$37:$37,MATCH(CH$6,'Informacion de Sam'!$1:$1,0)),CH$10*'Supuestos Proyeccion'!$F$35)</f>
        <v>1218717.7200000007</v>
      </c>
      <c r="CI42" s="23">
        <f>IF(CI$5="Real",INDEX('Informacion de Sam'!$37:$37,MATCH(CI$6,'Informacion de Sam'!$1:$1,0)),CI$10*'Supuestos Proyeccion'!$F$35)</f>
        <v>1099866.0099999998</v>
      </c>
      <c r="CJ42" s="23">
        <f>IF(CJ$5="Real",INDEX('Informacion de Sam'!$37:$37,MATCH(CJ$6,'Informacion de Sam'!$1:$1,0)),CJ$10*'Supuestos Proyeccion'!$F$35)</f>
        <v>1422505.0629159363</v>
      </c>
      <c r="CK42" s="23">
        <f>IF(CK$5="Real",INDEX('Informacion de Sam'!$37:$37,MATCH(CK$6,'Informacion de Sam'!$1:$1,0)),CK$10*'Supuestos Proyeccion'!$F$35)</f>
        <v>1373199.1042294651</v>
      </c>
      <c r="CL42" s="23">
        <f>IF(CL$5="Real",INDEX('Informacion de Sam'!$37:$37,MATCH(CL$6,'Informacion de Sam'!$1:$1,0)),CL$10*'Supuestos Proyeccion'!$F$35)</f>
        <v>1415459.8926697299</v>
      </c>
      <c r="CM42" s="23">
        <f>IF(CM$5="Real",INDEX('Informacion de Sam'!$37:$37,MATCH(CM$6,'Informacion de Sam'!$1:$1,0)),CM$10*'Supuestos Proyeccion'!$F$35)</f>
        <v>1310130.6872640369</v>
      </c>
      <c r="CN42" s="23">
        <f>SUM(CB42:CM42)</f>
        <v>16537300.617079169</v>
      </c>
      <c r="CO42" s="23">
        <f>IF(CO$5="Real",INDEX('Informacion de Sam'!$37:$37,MATCH(CO$6,'Informacion de Sam'!$1:$1,0)),CO$10*'Supuestos Proyeccion'!$F$35)</f>
        <v>1715194.5323022371</v>
      </c>
      <c r="CP42" s="23">
        <f>IF(CP$5="Real",INDEX('Informacion de Sam'!$37:$37,MATCH(CP$6,'Informacion de Sam'!$1:$1,0)),CP$10*'Supuestos Proyeccion'!$F$35)</f>
        <v>2431328.5020415676</v>
      </c>
      <c r="CQ42" s="23">
        <f>IF(CQ$5="Real",INDEX('Informacion de Sam'!$37:$37,MATCH(CQ$6,'Informacion de Sam'!$1:$1,0)),CQ$10*'Supuestos Proyeccion'!$F$35)</f>
        <v>1744891.3066830267</v>
      </c>
      <c r="CR42" s="23">
        <f>IF(CR$5="Real",INDEX('Informacion de Sam'!$37:$37,MATCH(CR$6,'Informacion de Sam'!$1:$1,0)),CR$10*'Supuestos Proyeccion'!$F$35)</f>
        <v>1785065.9661273572</v>
      </c>
      <c r="CS42" s="23">
        <f>IF(CS$5="Real",INDEX('Informacion de Sam'!$37:$37,MATCH(CS$6,'Informacion de Sam'!$1:$1,0)),CS$10*'Supuestos Proyeccion'!$F$35)</f>
        <v>1570540.5186777059</v>
      </c>
      <c r="CT42" s="23">
        <f>IF(CT$5="Real",INDEX('Informacion de Sam'!$37:$37,MATCH(CT$6,'Informacion de Sam'!$1:$1,0)),CT$10*'Supuestos Proyeccion'!$F$35)</f>
        <v>1796088.1251074369</v>
      </c>
      <c r="CU42" s="23">
        <f>IF(CU$5="Real",INDEX('Informacion de Sam'!$37:$37,MATCH(CU$6,'Informacion de Sam'!$1:$1,0)),CU$10*'Supuestos Proyeccion'!$F$35)</f>
        <v>1938719.8159867362</v>
      </c>
      <c r="CV42" s="23">
        <f>IF(CV$5="Real",INDEX('Informacion de Sam'!$37:$37,MATCH(CV$6,'Informacion de Sam'!$1:$1,0)),CV$10*'Supuestos Proyeccion'!$F$35)</f>
        <v>2913308.2020106125</v>
      </c>
      <c r="CW42" s="23">
        <f>IF(CW$5="Real",INDEX('Informacion de Sam'!$37:$37,MATCH(CW$6,'Informacion de Sam'!$1:$1,0)),CW$10*'Supuestos Proyeccion'!$F$35)</f>
        <v>1778131.3286449204</v>
      </c>
      <c r="CX42" s="23">
        <f>IF(CX$5="Real",INDEX('Informacion de Sam'!$37:$37,MATCH(CX$6,'Informacion de Sam'!$1:$1,0)),CX$10*'Supuestos Proyeccion'!$F$35)</f>
        <v>1716498.8802868312</v>
      </c>
      <c r="CY42" s="23">
        <f>IF(CY$5="Real",INDEX('Informacion de Sam'!$37:$37,MATCH(CY$6,'Informacion de Sam'!$1:$1,0)),CY$10*'Supuestos Proyeccion'!$F$35)</f>
        <v>1769324.8658371624</v>
      </c>
      <c r="CZ42" s="23">
        <f>IF(CZ$5="Real",INDEX('Informacion de Sam'!$37:$37,MATCH(CZ$6,'Informacion de Sam'!$1:$1,0)),CZ$10*'Supuestos Proyeccion'!$F$35)</f>
        <v>1637663.3590800459</v>
      </c>
      <c r="DA42" s="23">
        <f>SUM(CO42:CZ42)</f>
        <v>22796755.402785644</v>
      </c>
      <c r="DB42" s="23">
        <f>IF(DB$5="Real",INDEX('Informacion de Sam'!$37:$37,MATCH(DB$6,'Informacion de Sam'!$1:$1,0)),DB$10*'Supuestos Proyeccion'!$F$35)</f>
        <v>2143993.1653777966</v>
      </c>
      <c r="DC42" s="23">
        <f>IF(DC$5="Real",INDEX('Informacion de Sam'!$37:$37,MATCH(DC$6,'Informacion de Sam'!$1:$1,0)),DC$10*'Supuestos Proyeccion'!$F$35)</f>
        <v>3039160.6275519594</v>
      </c>
      <c r="DD42" s="23">
        <f>IF(DD$5="Real",INDEX('Informacion de Sam'!$37:$37,MATCH(DD$6,'Informacion de Sam'!$1:$1,0)),DD$10*'Supuestos Proyeccion'!$F$35)</f>
        <v>2181114.1333537833</v>
      </c>
      <c r="DE42" s="23">
        <f>IF(DE$5="Real",INDEX('Informacion de Sam'!$37:$37,MATCH(DE$6,'Informacion de Sam'!$1:$1,0)),DE$10*'Supuestos Proyeccion'!$F$35)</f>
        <v>2231332.4576591966</v>
      </c>
      <c r="DF42" s="23">
        <f>IF(DF$5="Real",INDEX('Informacion de Sam'!$37:$37,MATCH(DF$6,'Informacion de Sam'!$1:$1,0)),DF$10*'Supuestos Proyeccion'!$F$35)</f>
        <v>1963175.6483471324</v>
      </c>
      <c r="DG42" s="23">
        <f>IF(DG$5="Real",INDEX('Informacion de Sam'!$37:$37,MATCH(DG$6,'Informacion de Sam'!$1:$1,0)),DG$10*'Supuestos Proyeccion'!$F$35)</f>
        <v>2245110.1563842958</v>
      </c>
      <c r="DH42" s="23">
        <f>IF(DH$5="Real",INDEX('Informacion de Sam'!$37:$37,MATCH(DH$6,'Informacion de Sam'!$1:$1,0)),DH$10*'Supuestos Proyeccion'!$F$35)</f>
        <v>2423399.7699834201</v>
      </c>
      <c r="DI42" s="23">
        <f>IF(DI$5="Real",INDEX('Informacion de Sam'!$37:$37,MATCH(DI$6,'Informacion de Sam'!$1:$1,0)),DI$10*'Supuestos Proyeccion'!$F$35)</f>
        <v>3641635.2525132657</v>
      </c>
      <c r="DJ42" s="23">
        <f>IF(DJ$5="Real",INDEX('Informacion de Sam'!$37:$37,MATCH(DJ$6,'Informacion de Sam'!$1:$1,0)),DJ$10*'Supuestos Proyeccion'!$F$35)</f>
        <v>2222664.1608061506</v>
      </c>
      <c r="DK42" s="23">
        <f>IF(DK$5="Real",INDEX('Informacion de Sam'!$37:$37,MATCH(DK$6,'Informacion de Sam'!$1:$1,0)),DK$10*'Supuestos Proyeccion'!$F$35)</f>
        <v>2145623.6003585393</v>
      </c>
      <c r="DL42" s="23">
        <f>IF(DL$5="Real",INDEX('Informacion de Sam'!$37:$37,MATCH(DL$6,'Informacion de Sam'!$1:$1,0)),DL$10*'Supuestos Proyeccion'!$F$35)</f>
        <v>2211656.082296453</v>
      </c>
      <c r="DM42" s="23">
        <f>IF(DM$5="Real",INDEX('Informacion de Sam'!$37:$37,MATCH(DM$6,'Informacion de Sam'!$1:$1,0)),DM$10*'Supuestos Proyeccion'!$F$35)</f>
        <v>2047079.1988500576</v>
      </c>
      <c r="DN42" s="23">
        <f>SUM(DB42:DM42)</f>
        <v>28495944.253482047</v>
      </c>
      <c r="DO42" s="23">
        <f>IF(DO$5="Real",INDEX('Informacion de Sam'!$37:$37,MATCH(DO$6,'Informacion de Sam'!$1:$1,0)),DO$10*'Supuestos Proyeccion'!$F$35)</f>
        <v>2679991.456722246</v>
      </c>
      <c r="DP42" s="23">
        <f>IF(DP$5="Real",INDEX('Informacion de Sam'!$37:$37,MATCH(DP$6,'Informacion de Sam'!$1:$1,0)),DP$10*'Supuestos Proyeccion'!$F$35)</f>
        <v>3798950.7844399498</v>
      </c>
      <c r="DQ42" s="23">
        <f>IF(DQ$5="Real",INDEX('Informacion de Sam'!$37:$37,MATCH(DQ$6,'Informacion de Sam'!$1:$1,0)),DQ$10*'Supuestos Proyeccion'!$F$35)</f>
        <v>2726392.666692229</v>
      </c>
      <c r="DR42" s="23">
        <f>IF(DR$5="Real",INDEX('Informacion de Sam'!$37:$37,MATCH(DR$6,'Informacion de Sam'!$1:$1,0)),DR$10*'Supuestos Proyeccion'!$F$35)</f>
        <v>2789165.5720739956</v>
      </c>
      <c r="DS42" s="23">
        <f>IF(DS$5="Real",INDEX('Informacion de Sam'!$37:$37,MATCH(DS$6,'Informacion de Sam'!$1:$1,0)),DS$10*'Supuestos Proyeccion'!$F$35)</f>
        <v>2453969.5604339154</v>
      </c>
      <c r="DT42" s="23">
        <f>IF(DT$5="Real",INDEX('Informacion de Sam'!$37:$37,MATCH(DT$6,'Informacion de Sam'!$1:$1,0)),DT$10*'Supuestos Proyeccion'!$F$35)</f>
        <v>2806387.6954803704</v>
      </c>
      <c r="DU42" s="23">
        <f>IF(DU$5="Real",INDEX('Informacion de Sam'!$37:$37,MATCH(DU$6,'Informacion de Sam'!$1:$1,0)),DU$10*'Supuestos Proyeccion'!$F$35)</f>
        <v>3029249.7124792757</v>
      </c>
      <c r="DV42" s="23">
        <f>IF(DV$5="Real",INDEX('Informacion de Sam'!$37:$37,MATCH(DV$6,'Informacion de Sam'!$1:$1,0)),DV$10*'Supuestos Proyeccion'!$F$35)</f>
        <v>4552044.065641582</v>
      </c>
      <c r="DW42" s="23">
        <f>IF(DW$5="Real",INDEX('Informacion de Sam'!$37:$37,MATCH(DW$6,'Informacion de Sam'!$1:$1,0)),DW$10*'Supuestos Proyeccion'!$F$35)</f>
        <v>2778330.2010076884</v>
      </c>
      <c r="DX42" s="23">
        <f>IF(DX$5="Real",INDEX('Informacion de Sam'!$37:$37,MATCH(DX$6,'Informacion de Sam'!$1:$1,0)),DX$10*'Supuestos Proyeccion'!$F$35)</f>
        <v>2682029.5004481743</v>
      </c>
      <c r="DY42" s="23">
        <f>IF(DY$5="Real",INDEX('Informacion de Sam'!$37:$37,MATCH(DY$6,'Informacion de Sam'!$1:$1,0)),DY$10*'Supuestos Proyeccion'!$F$35)</f>
        <v>2764570.1028705663</v>
      </c>
      <c r="DZ42" s="23">
        <f>IF(DZ$5="Real",INDEX('Informacion de Sam'!$37:$37,MATCH(DZ$6,'Informacion de Sam'!$1:$1,0)),DZ$10*'Supuestos Proyeccion'!$F$35)</f>
        <v>2558848.9985625721</v>
      </c>
      <c r="EA42" s="23">
        <f>SUM(DO42:DZ42)</f>
        <v>35619930.316852562</v>
      </c>
      <c r="EB42" s="23">
        <f>IF(EB$5="Real",INDEX('Informacion de Sam'!$37:$37,MATCH(EB$6,'Informacion de Sam'!$1:$1,0)),EB$10*'Supuestos Proyeccion'!$F$35)</f>
        <v>3349989.3209028072</v>
      </c>
      <c r="EC42" s="23">
        <f>IF(EC$5="Real",INDEX('Informacion de Sam'!$37:$37,MATCH(EC$6,'Informacion de Sam'!$1:$1,0)),EC$10*'Supuestos Proyeccion'!$F$35)</f>
        <v>4748688.4805499371</v>
      </c>
      <c r="ED42" s="23">
        <f>IF(ED$5="Real",INDEX('Informacion de Sam'!$37:$37,MATCH(ED$6,'Informacion de Sam'!$1:$1,0)),ED$10*'Supuestos Proyeccion'!$F$35)</f>
        <v>3407990.8333652862</v>
      </c>
      <c r="EE42" s="23">
        <f>IF(EE$5="Real",INDEX('Informacion de Sam'!$37:$37,MATCH(EE$6,'Informacion de Sam'!$1:$1,0)),EE$10*'Supuestos Proyeccion'!$F$35)</f>
        <v>3486456.9650924951</v>
      </c>
      <c r="EF42" s="23">
        <f>IF(EF$5="Real",INDEX('Informacion de Sam'!$37:$37,MATCH(EF$6,'Informacion de Sam'!$1:$1,0)),EF$10*'Supuestos Proyeccion'!$F$35)</f>
        <v>3067461.9505423945</v>
      </c>
      <c r="EG42" s="23">
        <f>IF(EG$5="Real",INDEX('Informacion de Sam'!$37:$37,MATCH(EG$6,'Informacion de Sam'!$1:$1,0)),EG$10*'Supuestos Proyeccion'!$F$35)</f>
        <v>3507984.6193504627</v>
      </c>
      <c r="EH42" s="23">
        <f>IF(EH$5="Real",INDEX('Informacion de Sam'!$37:$37,MATCH(EH$6,'Informacion de Sam'!$1:$1,0)),EH$10*'Supuestos Proyeccion'!$F$35)</f>
        <v>3786562.1405990948</v>
      </c>
      <c r="EI42" s="23">
        <f>IF(EI$5="Real",INDEX('Informacion de Sam'!$37:$37,MATCH(EI$6,'Informacion de Sam'!$1:$1,0)),EI$10*'Supuestos Proyeccion'!$F$35)</f>
        <v>5690055.0820519784</v>
      </c>
      <c r="EJ42" s="23">
        <f>IF(EJ$5="Real",INDEX('Informacion de Sam'!$37:$37,MATCH(EJ$6,'Informacion de Sam'!$1:$1,0)),EJ$10*'Supuestos Proyeccion'!$F$35)</f>
        <v>3472912.7512596105</v>
      </c>
      <c r="EK42" s="23">
        <f>IF(EK$5="Real",INDEX('Informacion de Sam'!$37:$37,MATCH(EK$6,'Informacion de Sam'!$1:$1,0)),EK$10*'Supuestos Proyeccion'!$F$35)</f>
        <v>3352536.8755602175</v>
      </c>
      <c r="EL42" s="23">
        <f>IF(EL$5="Real",INDEX('Informacion de Sam'!$37:$37,MATCH(EL$6,'Informacion de Sam'!$1:$1,0)),EL$10*'Supuestos Proyeccion'!$F$35)</f>
        <v>3455712.6285882075</v>
      </c>
      <c r="EM42" s="23">
        <f>IF(EM$5="Real",INDEX('Informacion de Sam'!$37:$37,MATCH(EM$6,'Informacion de Sam'!$1:$1,0)),EM$10*'Supuestos Proyeccion'!$F$35)</f>
        <v>3198561.2482032152</v>
      </c>
      <c r="EN42" s="23">
        <f>SUM(EB42:EM42)</f>
        <v>44524912.896065712</v>
      </c>
      <c r="EO42" s="23">
        <f>IF(EO$5="Real",INDEX('Informacion de Sam'!$37:$37,MATCH(EO$6,'Informacion de Sam'!$1:$1,0)),EO$10*'Supuestos Proyeccion'!$F$35)</f>
        <v>4187486.6511285086</v>
      </c>
      <c r="EP42" s="23">
        <f>IF(EP$5="Real",INDEX('Informacion de Sam'!$37:$37,MATCH(EP$6,'Informacion de Sam'!$1:$1,0)),EP$10*'Supuestos Proyeccion'!$F$35)</f>
        <v>5935860.6006874209</v>
      </c>
      <c r="EQ42" s="23">
        <f>IF(EQ$5="Real",INDEX('Informacion de Sam'!$37:$37,MATCH(EQ$6,'Informacion de Sam'!$1:$1,0)),EQ$10*'Supuestos Proyeccion'!$F$35)</f>
        <v>4259988.5417066077</v>
      </c>
      <c r="ER42" s="23">
        <f>IF(ER$5="Real",INDEX('Informacion de Sam'!$37:$37,MATCH(ER$6,'Informacion de Sam'!$1:$1,0)),ER$10*'Supuestos Proyeccion'!$F$35)</f>
        <v>4358071.2063656179</v>
      </c>
      <c r="ES42" s="23">
        <f>IF(ES$5="Real",INDEX('Informacion de Sam'!$37:$37,MATCH(ES$6,'Informacion de Sam'!$1:$1,0)),ES$10*'Supuestos Proyeccion'!$F$35)</f>
        <v>3834327.4381779926</v>
      </c>
      <c r="ET42" s="23">
        <f>IF(ET$5="Real",INDEX('Informacion de Sam'!$37:$37,MATCH(ET$6,'Informacion de Sam'!$1:$1,0)),ET$10*'Supuestos Proyeccion'!$F$35)</f>
        <v>4384980.774188078</v>
      </c>
      <c r="EU42" s="23">
        <f>IF(EU$5="Real",INDEX('Informacion de Sam'!$37:$37,MATCH(EU$6,'Informacion de Sam'!$1:$1,0)),EU$10*'Supuestos Proyeccion'!$F$35)</f>
        <v>4733202.6757488679</v>
      </c>
      <c r="EV42" s="23">
        <f>IF(EV$5="Real",INDEX('Informacion de Sam'!$37:$37,MATCH(EV$6,'Informacion de Sam'!$1:$1,0)),EV$10*'Supuestos Proyeccion'!$F$35)</f>
        <v>7112568.8525649719</v>
      </c>
      <c r="EW42" s="23">
        <f>IF(EW$5="Real",INDEX('Informacion de Sam'!$37:$37,MATCH(EW$6,'Informacion de Sam'!$1:$1,0)),EW$10*'Supuestos Proyeccion'!$F$35)</f>
        <v>4341140.9390745126</v>
      </c>
      <c r="EX42" s="23">
        <f>IF(EX$5="Real",INDEX('Informacion de Sam'!$37:$37,MATCH(EX$6,'Informacion de Sam'!$1:$1,0)),EX$10*'Supuestos Proyeccion'!$F$35)</f>
        <v>4190671.0944502717</v>
      </c>
      <c r="EY42" s="23">
        <f>IF(EY$5="Real",INDEX('Informacion de Sam'!$37:$37,MATCH(EY$6,'Informacion de Sam'!$1:$1,0)),EY$10*'Supuestos Proyeccion'!$F$35)</f>
        <v>4319640.7857352588</v>
      </c>
      <c r="EZ42" s="23">
        <f>IF(EZ$5="Real",INDEX('Informacion de Sam'!$37:$37,MATCH(EZ$6,'Informacion de Sam'!$1:$1,0)),EZ$10*'Supuestos Proyeccion'!$F$35)</f>
        <v>3998201.5602540188</v>
      </c>
      <c r="FA42" s="23">
        <f>SUM(EO42:EZ42)</f>
        <v>55656141.12008214</v>
      </c>
      <c r="FB42" s="23">
        <f>IF(FB$5="Real",INDEX('Informacion de Sam'!$37:$37,MATCH(FB$6,'Informacion de Sam'!$1:$1,0)),FB$10*'Supuestos Proyeccion'!$F$35)</f>
        <v>5234358.3139106371</v>
      </c>
      <c r="FC42" s="23">
        <f>IF(FC$5="Real",INDEX('Informacion de Sam'!$37:$37,MATCH(FC$6,'Informacion de Sam'!$1:$1,0)),FC$10*'Supuestos Proyeccion'!$F$35)</f>
        <v>7419825.7508592764</v>
      </c>
      <c r="FD42" s="23">
        <f>IF(FD$5="Real",INDEX('Informacion de Sam'!$37:$37,MATCH(FD$6,'Informacion de Sam'!$1:$1,0)),FD$10*'Supuestos Proyeccion'!$F$35)</f>
        <v>5324985.6771332603</v>
      </c>
      <c r="FE42" s="23">
        <f>IF(FE$5="Real",INDEX('Informacion de Sam'!$37:$37,MATCH(FE$6,'Informacion de Sam'!$1:$1,0)),FE$10*'Supuestos Proyeccion'!$F$35)</f>
        <v>5447589.0079570236</v>
      </c>
      <c r="FF42" s="23">
        <f>IF(FF$5="Real",INDEX('Informacion de Sam'!$37:$37,MATCH(FF$6,'Informacion de Sam'!$1:$1,0)),FF$10*'Supuestos Proyeccion'!$F$35)</f>
        <v>4792909.2977224905</v>
      </c>
      <c r="FG42" s="23">
        <f>IF(FG$5="Real",INDEX('Informacion de Sam'!$37:$37,MATCH(FG$6,'Informacion de Sam'!$1:$1,0)),FG$10*'Supuestos Proyeccion'!$F$35)</f>
        <v>5481225.9677350987</v>
      </c>
      <c r="FH42" s="23">
        <f>IF(FH$5="Real",INDEX('Informacion de Sam'!$37:$37,MATCH(FH$6,'Informacion de Sam'!$1:$1,0)),FH$10*'Supuestos Proyeccion'!$F$35)</f>
        <v>5916503.3446860844</v>
      </c>
      <c r="FI42" s="23">
        <f>IF(FI$5="Real",INDEX('Informacion de Sam'!$37:$37,MATCH(FI$6,'Informacion de Sam'!$1:$1,0)),FI$10*'Supuestos Proyeccion'!$F$35)</f>
        <v>8890711.0657062158</v>
      </c>
      <c r="FJ42" s="23">
        <f>IF(FJ$5="Real",INDEX('Informacion de Sam'!$37:$37,MATCH(FJ$6,'Informacion de Sam'!$1:$1,0)),FJ$10*'Supuestos Proyeccion'!$F$35)</f>
        <v>5426426.1738431416</v>
      </c>
      <c r="FK42" s="23">
        <f>IF(FK$5="Real",INDEX('Informacion de Sam'!$37:$37,MATCH(FK$6,'Informacion de Sam'!$1:$1,0)),FK$10*'Supuestos Proyeccion'!$F$35)</f>
        <v>5238338.8680628398</v>
      </c>
      <c r="FL42" s="23">
        <f>IF(FL$5="Real",INDEX('Informacion de Sam'!$37:$37,MATCH(FL$6,'Informacion de Sam'!$1:$1,0)),FL$10*'Supuestos Proyeccion'!$F$35)</f>
        <v>5399550.9821690749</v>
      </c>
      <c r="FM42" s="23">
        <f>IF(FM$5="Real",INDEX('Informacion de Sam'!$37:$37,MATCH(FM$6,'Informacion de Sam'!$1:$1,0)),FM$10*'Supuestos Proyeccion'!$F$35)</f>
        <v>4997751.9503175244</v>
      </c>
      <c r="FN42" s="23">
        <f>SUM(FB42:FM42)</f>
        <v>69570176.400102675</v>
      </c>
      <c r="FO42" s="23">
        <f>IF(FO$5="Real",INDEX('Informacion de Sam'!$37:$37,MATCH(FO$6,'Informacion de Sam'!$1:$1,0)),FO$10*'Supuestos Proyeccion'!$F$35)</f>
        <v>6542947.8923882954</v>
      </c>
      <c r="FP42" s="23">
        <f>IF(FP$5="Real",INDEX('Informacion de Sam'!$37:$37,MATCH(FP$6,'Informacion de Sam'!$1:$1,0)),FP$10*'Supuestos Proyeccion'!$F$35)</f>
        <v>9274782.1885740962</v>
      </c>
      <c r="FQ42" s="23">
        <f>IF(FQ$5="Real",INDEX('Informacion de Sam'!$37:$37,MATCH(FQ$6,'Informacion de Sam'!$1:$1,0)),FQ$10*'Supuestos Proyeccion'!$F$35)</f>
        <v>6656232.0964165749</v>
      </c>
      <c r="FR42" s="23">
        <f>IF(FR$5="Real",INDEX('Informacion de Sam'!$37:$37,MATCH(FR$6,'Informacion de Sam'!$1:$1,0)),FR$10*'Supuestos Proyeccion'!$F$35)</f>
        <v>6809486.2599462792</v>
      </c>
      <c r="FS42" s="23">
        <f>IF(FS$5="Real",INDEX('Informacion de Sam'!$37:$37,MATCH(FS$6,'Informacion de Sam'!$1:$1,0)),FS$10*'Supuestos Proyeccion'!$F$35)</f>
        <v>5991136.6221531145</v>
      </c>
      <c r="FT42" s="23">
        <f>IF(FT$5="Real",INDEX('Informacion de Sam'!$37:$37,MATCH(FT$6,'Informacion de Sam'!$1:$1,0)),FT$10*'Supuestos Proyeccion'!$F$35)</f>
        <v>6851532.4596688719</v>
      </c>
      <c r="FU42" s="23">
        <f>IF(FU$5="Real",INDEX('Informacion de Sam'!$37:$37,MATCH(FU$6,'Informacion de Sam'!$1:$1,0)),FU$10*'Supuestos Proyeccion'!$F$35)</f>
        <v>7395629.1808576062</v>
      </c>
      <c r="FV42" s="23">
        <f>IF(FV$5="Real",INDEX('Informacion de Sam'!$37:$37,MATCH(FV$6,'Informacion de Sam'!$1:$1,0)),FV$10*'Supuestos Proyeccion'!$F$35)</f>
        <v>11113388.83213277</v>
      </c>
      <c r="FW42" s="23">
        <f>IF(FW$5="Real",INDEX('Informacion de Sam'!$37:$37,MATCH(FW$6,'Informacion de Sam'!$1:$1,0)),FW$10*'Supuestos Proyeccion'!$F$35)</f>
        <v>6783032.7173039261</v>
      </c>
      <c r="FX42" s="23">
        <f>IF(FX$5="Real",INDEX('Informacion de Sam'!$37:$37,MATCH(FX$6,'Informacion de Sam'!$1:$1,0)),FX$10*'Supuestos Proyeccion'!$F$35)</f>
        <v>6547923.5850785496</v>
      </c>
      <c r="FY42" s="23">
        <f>IF(FY$5="Real",INDEX('Informacion de Sam'!$37:$37,MATCH(FY$6,'Informacion de Sam'!$1:$1,0)),FY$10*'Supuestos Proyeccion'!$F$35)</f>
        <v>6749438.7277113432</v>
      </c>
      <c r="FZ42" s="23">
        <f>IF(FZ$5="Real",INDEX('Informacion de Sam'!$37:$37,MATCH(FZ$6,'Informacion de Sam'!$1:$1,0)),FZ$10*'Supuestos Proyeccion'!$F$35)</f>
        <v>6247189.9378969045</v>
      </c>
      <c r="GA42" s="23">
        <f>SUM(FO42:FZ42)</f>
        <v>86962720.500128344</v>
      </c>
      <c r="GB42" s="23">
        <f>IF(GB$5="Real",INDEX('Informacion de Sam'!$37:$37,MATCH(GB$6,'Informacion de Sam'!$1:$1,0)),GB$10*'Supuestos Proyeccion'!$F$35)</f>
        <v>8178684.8654853692</v>
      </c>
      <c r="GC42" s="23">
        <f>IF(GC$5="Real",INDEX('Informacion de Sam'!$37:$37,MATCH(GC$6,'Informacion de Sam'!$1:$1,0)),GC$10*'Supuestos Proyeccion'!$F$35)</f>
        <v>11593477.735717621</v>
      </c>
      <c r="GD42" s="23">
        <f>IF(GD$5="Real",INDEX('Informacion de Sam'!$37:$37,MATCH(GD$6,'Informacion de Sam'!$1:$1,0)),GD$10*'Supuestos Proyeccion'!$F$35)</f>
        <v>8320290.1205207184</v>
      </c>
      <c r="GE42" s="23">
        <f>IF(GE$5="Real",INDEX('Informacion de Sam'!$37:$37,MATCH(GE$6,'Informacion de Sam'!$1:$1,0)),GE$10*'Supuestos Proyeccion'!$F$35)</f>
        <v>8511857.824932849</v>
      </c>
      <c r="GF42" s="23">
        <f>IF(GF$5="Real",INDEX('Informacion de Sam'!$37:$37,MATCH(GF$6,'Informacion de Sam'!$1:$1,0)),GF$10*'Supuestos Proyeccion'!$F$35)</f>
        <v>7488920.7776913922</v>
      </c>
      <c r="GG42" s="23">
        <f>IF(GG$5="Real",INDEX('Informacion de Sam'!$37:$37,MATCH(GG$6,'Informacion de Sam'!$1:$1,0)),GG$10*'Supuestos Proyeccion'!$F$35)</f>
        <v>8564415.5745860897</v>
      </c>
      <c r="GH42" s="23">
        <f>IF(GH$5="Real",INDEX('Informacion de Sam'!$37:$37,MATCH(GH$6,'Informacion de Sam'!$1:$1,0)),GH$10*'Supuestos Proyeccion'!$F$35)</f>
        <v>9244536.4760720097</v>
      </c>
      <c r="GI42" s="23">
        <f>IF(GI$5="Real",INDEX('Informacion de Sam'!$37:$37,MATCH(GI$6,'Informacion de Sam'!$1:$1,0)),GI$10*'Supuestos Proyeccion'!$F$35)</f>
        <v>13891736.040165963</v>
      </c>
      <c r="GJ42" s="23">
        <f>IF(GJ$5="Real",INDEX('Informacion de Sam'!$37:$37,MATCH(GJ$6,'Informacion de Sam'!$1:$1,0)),GJ$10*'Supuestos Proyeccion'!$F$35)</f>
        <v>8478790.8966299091</v>
      </c>
      <c r="GK42" s="23">
        <f>IF(GK$5="Real",INDEX('Informacion de Sam'!$37:$37,MATCH(GK$6,'Informacion de Sam'!$1:$1,0)),GK$10*'Supuestos Proyeccion'!$F$35)</f>
        <v>8184904.4813481877</v>
      </c>
      <c r="GL42" s="23">
        <f>IF(GL$5="Real",INDEX('Informacion de Sam'!$37:$37,MATCH(GL$6,'Informacion de Sam'!$1:$1,0)),GL$10*'Supuestos Proyeccion'!$F$35)</f>
        <v>8436798.4096391797</v>
      </c>
      <c r="GM42" s="23">
        <f>IF(GM$5="Real",INDEX('Informacion de Sam'!$37:$37,MATCH(GM$6,'Informacion de Sam'!$1:$1,0)),GM$10*'Supuestos Proyeccion'!$F$35)</f>
        <v>7808987.4223711314</v>
      </c>
      <c r="GN42" s="23">
        <f>SUM(GB42:GM42)</f>
        <v>108703400.62516043</v>
      </c>
      <c r="GO42" s="23">
        <f>IF(GO$5="Real",INDEX('Informacion de Sam'!$37:$37,MATCH(GO$6,'Informacion de Sam'!$1:$1,0)),GO$10*'Supuestos Proyeccion'!$F$35)</f>
        <v>10223356.081856711</v>
      </c>
      <c r="GP42" s="23">
        <f>IF(GP$5="Real",INDEX('Informacion de Sam'!$37:$37,MATCH(GP$6,'Informacion de Sam'!$1:$1,0)),GP$10*'Supuestos Proyeccion'!$F$35)</f>
        <v>14491847.169647023</v>
      </c>
      <c r="GQ42" s="23">
        <f>IF(GQ$5="Real",INDEX('Informacion de Sam'!$37:$37,MATCH(GQ$6,'Informacion de Sam'!$1:$1,0)),GQ$10*'Supuestos Proyeccion'!$F$35)</f>
        <v>10400362.650650896</v>
      </c>
      <c r="GR42" s="23">
        <f>IF(GR$5="Real",INDEX('Informacion de Sam'!$37:$37,MATCH(GR$6,'Informacion de Sam'!$1:$1,0)),GR$10*'Supuestos Proyeccion'!$F$35)</f>
        <v>10639822.281166062</v>
      </c>
      <c r="GS42" s="23">
        <f>IF(GS$5="Real",INDEX('Informacion de Sam'!$37:$37,MATCH(GS$6,'Informacion de Sam'!$1:$1,0)),GS$10*'Supuestos Proyeccion'!$F$35)</f>
        <v>9361150.9721142389</v>
      </c>
      <c r="GT42" s="23">
        <f>IF(GT$5="Real",INDEX('Informacion de Sam'!$37:$37,MATCH(GT$6,'Informacion de Sam'!$1:$1,0)),GT$10*'Supuestos Proyeccion'!$F$35)</f>
        <v>10705519.468232611</v>
      </c>
      <c r="GU42" s="23">
        <f>IF(GU$5="Real",INDEX('Informacion de Sam'!$37:$37,MATCH(GU$6,'Informacion de Sam'!$1:$1,0)),GU$10*'Supuestos Proyeccion'!$F$35)</f>
        <v>11555670.595090009</v>
      </c>
      <c r="GV42" s="23">
        <f>IF(GV$5="Real",INDEX('Informacion de Sam'!$37:$37,MATCH(GV$6,'Informacion de Sam'!$1:$1,0)),GV$10*'Supuestos Proyeccion'!$F$35)</f>
        <v>17364670.050207451</v>
      </c>
      <c r="GW42" s="23">
        <f>IF(GW$5="Real",INDEX('Informacion de Sam'!$37:$37,MATCH(GW$6,'Informacion de Sam'!$1:$1,0)),GW$10*'Supuestos Proyeccion'!$F$35)</f>
        <v>10598488.620787386</v>
      </c>
      <c r="GX42" s="23">
        <f>IF(GX$5="Real",INDEX('Informacion de Sam'!$37:$37,MATCH(GX$6,'Informacion de Sam'!$1:$1,0)),GX$10*'Supuestos Proyeccion'!$F$35)</f>
        <v>10231130.601685235</v>
      </c>
      <c r="GY42" s="23">
        <f>IF(GY$5="Real",INDEX('Informacion de Sam'!$37:$37,MATCH(GY$6,'Informacion de Sam'!$1:$1,0)),GY$10*'Supuestos Proyeccion'!$F$35)</f>
        <v>10545998.012048973</v>
      </c>
      <c r="GZ42" s="23">
        <f>IF(GZ$5="Real",INDEX('Informacion de Sam'!$37:$37,MATCH(GZ$6,'Informacion de Sam'!$1:$1,0)),GZ$10*'Supuestos Proyeccion'!$F$35)</f>
        <v>9761234.277963914</v>
      </c>
      <c r="HA42" s="23">
        <f>SUM(GO42:GZ42)</f>
        <v>135879250.78145051</v>
      </c>
      <c r="HB42" s="23"/>
      <c r="HC42" s="51">
        <f t="shared" ref="HC42:HR44" si="13">SUMIFS($B42:$HA42,$B$4:$HA$4,HC$6,$B$5:$HA$5,"Acumulado")</f>
        <v>13231236.860000001</v>
      </c>
      <c r="HD42" s="51">
        <f t="shared" si="13"/>
        <v>13099286.4</v>
      </c>
      <c r="HE42" s="51">
        <f t="shared" si="13"/>
        <v>16036696.560000001</v>
      </c>
      <c r="HF42" s="51">
        <f t="shared" si="13"/>
        <v>18477765.010000002</v>
      </c>
      <c r="HG42" s="51">
        <f t="shared" si="13"/>
        <v>20481747.149999999</v>
      </c>
      <c r="HH42" s="51">
        <f t="shared" si="13"/>
        <v>20093170.670000002</v>
      </c>
      <c r="HI42" s="51">
        <f t="shared" si="13"/>
        <v>16537300.617079169</v>
      </c>
      <c r="HJ42" s="51">
        <f t="shared" si="13"/>
        <v>22796755.402785644</v>
      </c>
      <c r="HK42" s="51">
        <f t="shared" si="13"/>
        <v>28495944.253482047</v>
      </c>
      <c r="HL42" s="51">
        <f t="shared" si="13"/>
        <v>35619930.316852562</v>
      </c>
      <c r="HM42" s="51">
        <f t="shared" si="13"/>
        <v>44524912.896065712</v>
      </c>
      <c r="HN42" s="51">
        <f t="shared" si="13"/>
        <v>55656141.12008214</v>
      </c>
      <c r="HO42" s="51">
        <f t="shared" si="13"/>
        <v>69570176.400102675</v>
      </c>
      <c r="HP42" s="51">
        <f t="shared" si="13"/>
        <v>86962720.500128344</v>
      </c>
      <c r="HQ42" s="51">
        <f t="shared" si="13"/>
        <v>108703400.62516043</v>
      </c>
      <c r="HR42" s="51">
        <f t="shared" si="13"/>
        <v>135879250.78145051</v>
      </c>
    </row>
    <row r="43" spans="1:226" x14ac:dyDescent="0.35">
      <c r="A43" t="s">
        <v>75</v>
      </c>
      <c r="B43" s="23">
        <f>IF(B$5="Real",INDEX('Informacion de Sam'!$38:$38,MATCH(B$6,'Informacion de Sam'!$1:$1,0)),B$10*'Supuestos Proyeccion'!$F$36)</f>
        <v>580920.13</v>
      </c>
      <c r="C43" s="23">
        <f>IF(C$5="Real",INDEX('Informacion de Sam'!$38:$38,MATCH(C$6,'Informacion de Sam'!$1:$1,0)),C$10*'Supuestos Proyeccion'!$F$36)</f>
        <v>578034.43000000005</v>
      </c>
      <c r="D43" s="23">
        <f>IF(D$5="Real",INDEX('Informacion de Sam'!$38:$38,MATCH(D$6,'Informacion de Sam'!$1:$1,0)),D$10*'Supuestos Proyeccion'!$F$36)</f>
        <v>554153.29</v>
      </c>
      <c r="E43" s="23">
        <f>IF(E$5="Real",INDEX('Informacion de Sam'!$38:$38,MATCH(E$6,'Informacion de Sam'!$1:$1,0)),E$10*'Supuestos Proyeccion'!$F$36)</f>
        <v>531164.81999999983</v>
      </c>
      <c r="F43" s="23">
        <f>IF(F$5="Real",INDEX('Informacion de Sam'!$38:$38,MATCH(F$6,'Informacion de Sam'!$1:$1,0)),F$10*'Supuestos Proyeccion'!$F$36)</f>
        <v>602098.28000000026</v>
      </c>
      <c r="G43" s="23">
        <f>IF(G$5="Real",INDEX('Informacion de Sam'!$38:$38,MATCH(G$6,'Informacion de Sam'!$1:$1,0)),G$10*'Supuestos Proyeccion'!$F$36)</f>
        <v>672435.48</v>
      </c>
      <c r="H43" s="23">
        <f>IF(H$5="Real",INDEX('Informacion de Sam'!$38:$38,MATCH(H$6,'Informacion de Sam'!$1:$1,0)),H$10*'Supuestos Proyeccion'!$F$36)</f>
        <v>657102.57999999961</v>
      </c>
      <c r="I43" s="23">
        <f>IF(I$5="Real",INDEX('Informacion de Sam'!$38:$38,MATCH(I$6,'Informacion de Sam'!$1:$1,0)),I$10*'Supuestos Proyeccion'!$F$36)</f>
        <v>662220.15000000037</v>
      </c>
      <c r="J43" s="23">
        <f>IF(J$5="Real",INDEX('Informacion de Sam'!$38:$38,MATCH(J$6,'Informacion de Sam'!$1:$1,0)),J$10*'Supuestos Proyeccion'!$F$36)</f>
        <v>651678.3599999994</v>
      </c>
      <c r="K43" s="23">
        <f>IF(K$5="Real",INDEX('Informacion de Sam'!$38:$38,MATCH(K$6,'Informacion de Sam'!$1:$1,0)),K$10*'Supuestos Proyeccion'!$F$36)</f>
        <v>755885.04</v>
      </c>
      <c r="L43" s="23">
        <f>IF(L$5="Real",INDEX('Informacion de Sam'!$38:$38,MATCH(L$6,'Informacion de Sam'!$1:$1,0)),L$10*'Supuestos Proyeccion'!$F$36)</f>
        <v>659624.1400000006</v>
      </c>
      <c r="M43" s="23">
        <f>IF(M$5="Real",INDEX('Informacion de Sam'!$38:$38,MATCH(M$6,'Informacion de Sam'!$1:$1,0)),M$10*'Supuestos Proyeccion'!$F$36)</f>
        <v>670105.26999999955</v>
      </c>
      <c r="N43" s="23">
        <f>SUM(B43:M43)</f>
        <v>7575421.9699999997</v>
      </c>
      <c r="O43" s="23">
        <f>IF(O$5="Real",INDEX('Informacion de Sam'!$38:$38,MATCH(O$6,'Informacion de Sam'!$1:$1,0)),O$10*'Supuestos Proyeccion'!$F$36)</f>
        <v>664799.06999999995</v>
      </c>
      <c r="P43" s="23">
        <f>IF(P$5="Real",INDEX('Informacion de Sam'!$38:$38,MATCH(P$6,'Informacion de Sam'!$1:$1,0)),P$10*'Supuestos Proyeccion'!$F$36)</f>
        <v>612026.82999999996</v>
      </c>
      <c r="Q43" s="23">
        <f>IF(Q$5="Real",INDEX('Informacion de Sam'!$38:$38,MATCH(Q$6,'Informacion de Sam'!$1:$1,0)),Q$10*'Supuestos Proyeccion'!$F$36)</f>
        <v>673726.55</v>
      </c>
      <c r="R43" s="23">
        <f>IF(R$5="Real",INDEX('Informacion de Sam'!$38:$38,MATCH(R$6,'Informacion de Sam'!$1:$1,0)),R$10*'Supuestos Proyeccion'!$F$36)</f>
        <v>648688.05000000005</v>
      </c>
      <c r="S43" s="23">
        <f>IF(S$5="Real",INDEX('Informacion de Sam'!$38:$38,MATCH(S$6,'Informacion de Sam'!$1:$1,0)),S$10*'Supuestos Proyeccion'!$F$36)</f>
        <v>642035.48</v>
      </c>
      <c r="T43" s="23">
        <f>IF(T$5="Real",INDEX('Informacion de Sam'!$38:$38,MATCH(T$6,'Informacion de Sam'!$1:$1,0)),T$10*'Supuestos Proyeccion'!$F$36)</f>
        <v>681540.77</v>
      </c>
      <c r="U43" s="23">
        <f>IF(U$5="Real",INDEX('Informacion de Sam'!$38:$38,MATCH(U$6,'Informacion de Sam'!$1:$1,0)),U$10*'Supuestos Proyeccion'!$F$36)</f>
        <v>629790.24000000022</v>
      </c>
      <c r="V43" s="23">
        <f>IF(V$5="Real",INDEX('Informacion de Sam'!$38:$38,MATCH(V$6,'Informacion de Sam'!$1:$1,0)),V$10*'Supuestos Proyeccion'!$F$36)</f>
        <v>615540.64999999944</v>
      </c>
      <c r="W43" s="23">
        <f>IF(W$5="Real",INDEX('Informacion de Sam'!$38:$38,MATCH(W$6,'Informacion de Sam'!$1:$1,0)),W$10*'Supuestos Proyeccion'!$F$36)</f>
        <v>603526.29</v>
      </c>
      <c r="X43" s="23">
        <f>IF(X$5="Real",INDEX('Informacion de Sam'!$38:$38,MATCH(X$6,'Informacion de Sam'!$1:$1,0)),X$10*'Supuestos Proyeccion'!$F$36)</f>
        <v>678604</v>
      </c>
      <c r="Y43" s="23">
        <f>IF(Y$5="Real",INDEX('Informacion de Sam'!$38:$38,MATCH(Y$6,'Informacion de Sam'!$1:$1,0)),Y$10*'Supuestos Proyeccion'!$F$36)</f>
        <v>593232</v>
      </c>
      <c r="Z43" s="23">
        <f>IF(Z$5="Real",INDEX('Informacion de Sam'!$38:$38,MATCH(Z$6,'Informacion de Sam'!$1:$1,0)),Z$10*'Supuestos Proyeccion'!$F$36)</f>
        <v>687796.48000000045</v>
      </c>
      <c r="AA43" s="23">
        <f>SUM(O43:Z43)</f>
        <v>7731306.4100000001</v>
      </c>
      <c r="AB43" s="23">
        <f>IF(AB$5="Real",INDEX('Informacion de Sam'!$38:$38,MATCH(AB$6,'Informacion de Sam'!$1:$1,0)),AB$10*'Supuestos Proyeccion'!$F$36)</f>
        <v>610063.37</v>
      </c>
      <c r="AC43" s="23">
        <f>IF(AC$5="Real",INDEX('Informacion de Sam'!$38:$38,MATCH(AC$6,'Informacion de Sam'!$1:$1,0)),AC$10*'Supuestos Proyeccion'!$F$36)</f>
        <v>638443.81999999995</v>
      </c>
      <c r="AD43" s="23">
        <f>IF(AD$5="Real",INDEX('Informacion de Sam'!$38:$38,MATCH(AD$6,'Informacion de Sam'!$1:$1,0)),AD$10*'Supuestos Proyeccion'!$F$36)</f>
        <v>613753.71</v>
      </c>
      <c r="AE43" s="23">
        <f>IF(AE$5="Real",INDEX('Informacion de Sam'!$38:$38,MATCH(AE$6,'Informacion de Sam'!$1:$1,0)),AE$10*'Supuestos Proyeccion'!$F$36)</f>
        <v>650637.02</v>
      </c>
      <c r="AF43" s="23">
        <f>IF(AF$5="Real",INDEX('Informacion de Sam'!$38:$38,MATCH(AF$6,'Informacion de Sam'!$1:$1,0)),AF$10*'Supuestos Proyeccion'!$F$36)</f>
        <v>671255.03000000026</v>
      </c>
      <c r="AG43" s="23">
        <f>IF(AG$5="Real",INDEX('Informacion de Sam'!$38:$38,MATCH(AG$6,'Informacion de Sam'!$1:$1,0)),AG$10*'Supuestos Proyeccion'!$F$36)</f>
        <v>691815.0299999998</v>
      </c>
      <c r="AH43" s="23">
        <f>IF(AH$5="Real",INDEX('Informacion de Sam'!$38:$38,MATCH(AH$6,'Informacion de Sam'!$1:$1,0)),AH$10*'Supuestos Proyeccion'!$F$36)</f>
        <v>646022.30000000028</v>
      </c>
      <c r="AI43" s="23">
        <f>IF(AI$5="Real",INDEX('Informacion de Sam'!$38:$38,MATCH(AI$6,'Informacion de Sam'!$1:$1,0)),AI$10*'Supuestos Proyeccion'!$F$36)</f>
        <v>638292.83000000007</v>
      </c>
      <c r="AJ43" s="23">
        <f>IF(AJ$5="Real",INDEX('Informacion de Sam'!$38:$38,MATCH(AJ$6,'Informacion de Sam'!$1:$1,0)),AJ$10*'Supuestos Proyeccion'!$F$36)</f>
        <v>671329.6099999994</v>
      </c>
      <c r="AK43" s="23">
        <f>IF(AK$5="Real",INDEX('Informacion de Sam'!$38:$38,MATCH(AK$6,'Informacion de Sam'!$1:$1,0)),AK$10*'Supuestos Proyeccion'!$F$36)</f>
        <v>787526.66999999993</v>
      </c>
      <c r="AL43" s="23">
        <f>IF(AL$5="Real",INDEX('Informacion de Sam'!$38:$38,MATCH(AL$6,'Informacion de Sam'!$1:$1,0)),AL$10*'Supuestos Proyeccion'!$F$36)</f>
        <v>685325.12000000011</v>
      </c>
      <c r="AM43" s="23">
        <f>IF(AM$5="Real",INDEX('Informacion de Sam'!$38:$38,MATCH(AM$6,'Informacion de Sam'!$1:$1,0)),AM$10*'Supuestos Proyeccion'!$F$36)</f>
        <v>1057145.0300000003</v>
      </c>
      <c r="AN43" s="23">
        <f>SUM(AB43:AM43)</f>
        <v>8361609.54</v>
      </c>
      <c r="AO43" s="23">
        <f>IF(AO$5="Real",INDEX('Informacion de Sam'!$38:$38,MATCH(AO$6,'Informacion de Sam'!$1:$1,0)),AO$10*'Supuestos Proyeccion'!$F$36)</f>
        <v>850818.5</v>
      </c>
      <c r="AP43" s="23">
        <f>IF(AP$5="Real",INDEX('Informacion de Sam'!$38:$38,MATCH(AP$6,'Informacion de Sam'!$1:$1,0)),AP$10*'Supuestos Proyeccion'!$F$36)</f>
        <v>814519.94</v>
      </c>
      <c r="AQ43" s="23">
        <f>IF(AQ$5="Real",INDEX('Informacion de Sam'!$38:$38,MATCH(AQ$6,'Informacion de Sam'!$1:$1,0)),AQ$10*'Supuestos Proyeccion'!$F$36)</f>
        <v>829792.85000000009</v>
      </c>
      <c r="AR43" s="23">
        <f>IF(AR$5="Real",INDEX('Informacion de Sam'!$38:$38,MATCH(AR$6,'Informacion de Sam'!$1:$1,0)),AR$10*'Supuestos Proyeccion'!$F$36)</f>
        <v>936805.83999999985</v>
      </c>
      <c r="AS43" s="23">
        <f>IF(AS$5="Real",INDEX('Informacion de Sam'!$38:$38,MATCH(AS$6,'Informacion de Sam'!$1:$1,0)),AS$10*'Supuestos Proyeccion'!$F$36)</f>
        <v>1026205.3200000003</v>
      </c>
      <c r="AT43" s="23">
        <f>IF(AT$5="Real",INDEX('Informacion de Sam'!$38:$38,MATCH(AT$6,'Informacion de Sam'!$1:$1,0)),AT$10*'Supuestos Proyeccion'!$F$36)</f>
        <v>1068070.5699999994</v>
      </c>
      <c r="AU43" s="23">
        <f>IF(AU$5="Real",INDEX('Informacion de Sam'!$38:$38,MATCH(AU$6,'Informacion de Sam'!$1:$1,0)),AU$10*'Supuestos Proyeccion'!$F$36)</f>
        <v>1042835.2000000002</v>
      </c>
      <c r="AV43" s="23">
        <f>IF(AV$5="Real",INDEX('Informacion de Sam'!$38:$38,MATCH(AV$6,'Informacion de Sam'!$1:$1,0)),AV$10*'Supuestos Proyeccion'!$F$36)</f>
        <v>1043148.4300000006</v>
      </c>
      <c r="AW43" s="23">
        <f>IF(AW$5="Real",INDEX('Informacion de Sam'!$38:$38,MATCH(AW$6,'Informacion de Sam'!$1:$1,0)),AW$10*'Supuestos Proyeccion'!$F$36)</f>
        <v>961267.51999999955</v>
      </c>
      <c r="AX43" s="23">
        <f>IF(AX$5="Real",INDEX('Informacion de Sam'!$38:$38,MATCH(AX$6,'Informacion de Sam'!$1:$1,0)),AX$10*'Supuestos Proyeccion'!$F$36)</f>
        <v>1165992.3100000005</v>
      </c>
      <c r="AY43" s="23">
        <f>IF(AY$5="Real",INDEX('Informacion de Sam'!$38:$38,MATCH(AY$6,'Informacion de Sam'!$1:$1,0)),AY$10*'Supuestos Proyeccion'!$F$36)</f>
        <v>1108937.0899999999</v>
      </c>
      <c r="AZ43" s="23">
        <f>IF(AZ$5="Real",INDEX('Informacion de Sam'!$38:$38,MATCH(AZ$6,'Informacion de Sam'!$1:$1,0)),AZ$10*'Supuestos Proyeccion'!$F$36)</f>
        <v>1185337.3499999996</v>
      </c>
      <c r="BA43" s="23">
        <f>SUM(AO43:AZ43)</f>
        <v>12033730.92</v>
      </c>
      <c r="BB43" s="23">
        <f>IF(BB$5="Real",INDEX('Informacion de Sam'!$38:$38,MATCH(BB$6,'Informacion de Sam'!$1:$1,0)),BB$10*'Supuestos Proyeccion'!$F$36)</f>
        <v>1158865.3799999999</v>
      </c>
      <c r="BC43" s="23">
        <f>IF(BC$5="Real",INDEX('Informacion de Sam'!$38:$38,MATCH(BC$6,'Informacion de Sam'!$1:$1,0)),BC$10*'Supuestos Proyeccion'!$F$36)</f>
        <v>1110992.69</v>
      </c>
      <c r="BD43" s="23">
        <f>IF(BD$5="Real",INDEX('Informacion de Sam'!$38:$38,MATCH(BD$6,'Informacion de Sam'!$1:$1,0)),BD$10*'Supuestos Proyeccion'!$F$36)</f>
        <v>1091319.1500000004</v>
      </c>
      <c r="BE43" s="23">
        <f>IF(BE$5="Real",INDEX('Informacion de Sam'!$38:$38,MATCH(BE$6,'Informacion de Sam'!$1:$1,0)),BE$10*'Supuestos Proyeccion'!$F$36)</f>
        <v>1189478.1999999997</v>
      </c>
      <c r="BF43" s="23">
        <f>IF(BF$5="Real",INDEX('Informacion de Sam'!$38:$38,MATCH(BF$6,'Informacion de Sam'!$1:$1,0)),BF$10*'Supuestos Proyeccion'!$F$36)</f>
        <v>1214039.8499999996</v>
      </c>
      <c r="BG43" s="23">
        <f>IF(BG$5="Real",INDEX('Informacion de Sam'!$38:$38,MATCH(BG$6,'Informacion de Sam'!$1:$1,0)),BG$10*'Supuestos Proyeccion'!$F$36)</f>
        <v>1302085.3100000005</v>
      </c>
      <c r="BH43" s="23">
        <f>IF(BH$5="Real",INDEX('Informacion de Sam'!$38:$38,MATCH(BH$6,'Informacion de Sam'!$1:$1,0)),BH$10*'Supuestos Proyeccion'!$F$36)</f>
        <v>1211314.3399999999</v>
      </c>
      <c r="BI43" s="23">
        <f>IF(BI$5="Real",INDEX('Informacion de Sam'!$38:$38,MATCH(BI$6,'Informacion de Sam'!$1:$1,0)),BI$10*'Supuestos Proyeccion'!$F$36)</f>
        <v>1216012.4299999997</v>
      </c>
      <c r="BJ43" s="23">
        <f>IF(BJ$5="Real",INDEX('Informacion de Sam'!$38:$38,MATCH(BJ$6,'Informacion de Sam'!$1:$1,0)),BJ$10*'Supuestos Proyeccion'!$F$36)</f>
        <v>1030954.6899999995</v>
      </c>
      <c r="BK43" s="23">
        <f>IF(BK$5="Real",INDEX('Informacion de Sam'!$38:$38,MATCH(BK$6,'Informacion de Sam'!$1:$1,0)),BK$10*'Supuestos Proyeccion'!$F$36)</f>
        <v>1501547.1000000015</v>
      </c>
      <c r="BL43" s="23">
        <f>IF(BL$5="Real",INDEX('Informacion de Sam'!$38:$38,MATCH(BL$6,'Informacion de Sam'!$1:$1,0)),BL$10*'Supuestos Proyeccion'!$F$36)</f>
        <v>1126123.5499999989</v>
      </c>
      <c r="BM43" s="23">
        <f>IF(BM$5="Real",INDEX('Informacion de Sam'!$38:$38,MATCH(BM$6,'Informacion de Sam'!$1:$1,0)),BM$10*'Supuestos Proyeccion'!$F$36)</f>
        <v>1336888.58</v>
      </c>
      <c r="BN43" s="23">
        <f>SUM(BB43:BM43)</f>
        <v>14489621.27</v>
      </c>
      <c r="BO43" s="23">
        <f>IF(BO$5="Real",INDEX('Informacion de Sam'!$38:$38,MATCH(BO$6,'Informacion de Sam'!$1:$1,0)),BO$10*'Supuestos Proyeccion'!$F$36)</f>
        <v>1200780.5</v>
      </c>
      <c r="BP43" s="23">
        <f>IF(BP$5="Real",INDEX('Informacion de Sam'!$38:$38,MATCH(BP$6,'Informacion de Sam'!$1:$1,0)),BP$10*'Supuestos Proyeccion'!$F$36)</f>
        <v>1026659.2200000002</v>
      </c>
      <c r="BQ43" s="23">
        <f>IF(BQ$5="Real",INDEX('Informacion de Sam'!$38:$38,MATCH(BQ$6,'Informacion de Sam'!$1:$1,0)),BQ$10*'Supuestos Proyeccion'!$F$36)</f>
        <v>873521.83999999985</v>
      </c>
      <c r="BR43" s="23">
        <f>IF(BR$5="Real",INDEX('Informacion de Sam'!$38:$38,MATCH(BR$6,'Informacion de Sam'!$1:$1,0)),BR$10*'Supuestos Proyeccion'!$F$36)</f>
        <v>1101120.6400000001</v>
      </c>
      <c r="BS43" s="23">
        <f>IF(BS$5="Real",INDEX('Informacion de Sam'!$38:$38,MATCH(BS$6,'Informacion de Sam'!$1:$1,0)),BS$10*'Supuestos Proyeccion'!$F$36)</f>
        <v>1224653.75</v>
      </c>
      <c r="BT43" s="23">
        <f>IF(BT$5="Real",INDEX('Informacion de Sam'!$38:$38,MATCH(BT$6,'Informacion de Sam'!$1:$1,0)),BT$10*'Supuestos Proyeccion'!$F$36)</f>
        <v>1024730.7699999996</v>
      </c>
      <c r="BU43" s="23">
        <f>IF(BU$5="Real",INDEX('Informacion de Sam'!$38:$38,MATCH(BU$6,'Informacion de Sam'!$1:$1,0)),BU$10*'Supuestos Proyeccion'!$F$36)</f>
        <v>1225538.5600000005</v>
      </c>
      <c r="BV43" s="23">
        <f>IF(BV$5="Real",INDEX('Informacion de Sam'!$38:$38,MATCH(BV$6,'Informacion de Sam'!$1:$1,0)),BV$10*'Supuestos Proyeccion'!$F$36)</f>
        <v>1164596.419999999</v>
      </c>
      <c r="BW43" s="23">
        <f>IF(BW$5="Real",INDEX('Informacion de Sam'!$38:$38,MATCH(BW$6,'Informacion de Sam'!$1:$1,0)),BW$10*'Supuestos Proyeccion'!$F$36)</f>
        <v>1793326.2100000009</v>
      </c>
      <c r="BX43" s="23">
        <f>IF(BX$5="Real",INDEX('Informacion de Sam'!$38:$38,MATCH(BX$6,'Informacion de Sam'!$1:$1,0)),BX$10*'Supuestos Proyeccion'!$F$36)</f>
        <v>1222638.2799999993</v>
      </c>
      <c r="BY43" s="23">
        <f>IF(BY$5="Real",INDEX('Informacion de Sam'!$38:$38,MATCH(BY$6,'Informacion de Sam'!$1:$1,0)),BY$10*'Supuestos Proyeccion'!$F$36)</f>
        <v>1149739.3600000013</v>
      </c>
      <c r="BZ43" s="23">
        <f>IF(BZ$5="Real",INDEX('Informacion de Sam'!$38:$38,MATCH(BZ$6,'Informacion de Sam'!$1:$1,0)),BZ$10*'Supuestos Proyeccion'!$F$36)</f>
        <v>1213886.33</v>
      </c>
      <c r="CA43" s="23">
        <f>SUM(BO43:BZ43)</f>
        <v>14221191.880000001</v>
      </c>
      <c r="CB43" s="23">
        <f>IF(CB$5="Real",INDEX('Informacion de Sam'!$38:$38,MATCH(CB$6,'Informacion de Sam'!$1:$1,0)),CB$10*'Supuestos Proyeccion'!$F$36)</f>
        <v>1235900.3600000001</v>
      </c>
      <c r="CC43" s="23">
        <f>IF(CC$5="Real",INDEX('Informacion de Sam'!$38:$38,MATCH(CC$6,'Informacion de Sam'!$1:$1,0)),CC$10*'Supuestos Proyeccion'!$F$36)</f>
        <v>1167223.8499999999</v>
      </c>
      <c r="CD43" s="23">
        <f>IF(CD$5="Real",INDEX('Informacion de Sam'!$38:$38,MATCH(CD$6,'Informacion de Sam'!$1:$1,0)),CD$10*'Supuestos Proyeccion'!$F$36)</f>
        <v>1560161.8199999998</v>
      </c>
      <c r="CE43" s="23">
        <f>IF(CE$5="Real",INDEX('Informacion de Sam'!$38:$38,MATCH(CE$6,'Informacion de Sam'!$1:$1,0)),CE$10*'Supuestos Proyeccion'!$F$36)</f>
        <v>1151584.52</v>
      </c>
      <c r="CF43" s="23">
        <f>IF(CF$5="Real",INDEX('Informacion de Sam'!$38:$38,MATCH(CF$6,'Informacion de Sam'!$1:$1,0)),CF$10*'Supuestos Proyeccion'!$F$36)</f>
        <v>1163166.3399999999</v>
      </c>
      <c r="CG43" s="23">
        <f>IF(CG$5="Real",INDEX('Informacion de Sam'!$38:$38,MATCH(CG$6,'Informacion de Sam'!$1:$1,0)),CG$10*'Supuestos Proyeccion'!$F$36)</f>
        <v>1098038.3400000008</v>
      </c>
      <c r="CH43" s="23">
        <f>IF(CH$5="Real",INDEX('Informacion de Sam'!$38:$38,MATCH(CH$6,'Informacion de Sam'!$1:$1,0)),CH$10*'Supuestos Proyeccion'!$F$36)</f>
        <v>1214001.5499999989</v>
      </c>
      <c r="CI43" s="23">
        <f>IF(CI$5="Real",INDEX('Informacion de Sam'!$38:$38,MATCH(CI$6,'Informacion de Sam'!$1:$1,0)),CI$10*'Supuestos Proyeccion'!$F$36)</f>
        <v>1205272.08</v>
      </c>
      <c r="CJ43" s="23">
        <f>IF(CJ$5="Real",INDEX('Informacion de Sam'!$38:$38,MATCH(CJ$6,'Informacion de Sam'!$1:$1,0)),CJ$10*'Supuestos Proyeccion'!$F$36)</f>
        <v>1577318.2262375173</v>
      </c>
      <c r="CK43" s="23">
        <f>IF(CK$5="Real",INDEX('Informacion de Sam'!$38:$38,MATCH(CK$6,'Informacion de Sam'!$1:$1,0)),CK$10*'Supuestos Proyeccion'!$F$36)</f>
        <v>1522646.2329168995</v>
      </c>
      <c r="CL43" s="23">
        <f>IF(CL$5="Real",INDEX('Informacion de Sam'!$38:$38,MATCH(CL$6,'Informacion de Sam'!$1:$1,0)),CL$10*'Supuestos Proyeccion'!$F$36)</f>
        <v>1569506.3205185256</v>
      </c>
      <c r="CM43" s="23">
        <f>IF(CM$5="Real",INDEX('Informacion de Sam'!$38:$38,MATCH(CM$6,'Informacion de Sam'!$1:$1,0)),CM$10*'Supuestos Proyeccion'!$F$36)</f>
        <v>1452713.9942395906</v>
      </c>
      <c r="CN43" s="23">
        <f>SUM(CB43:CM43)</f>
        <v>15917533.633912532</v>
      </c>
      <c r="CO43" s="23">
        <f>IF(CO$5="Real",INDEX('Informacion de Sam'!$38:$38,MATCH(CO$6,'Informacion de Sam'!$1:$1,0)),CO$10*'Supuestos Proyeccion'!$F$36)</f>
        <v>1901861.4891939617</v>
      </c>
      <c r="CP43" s="23">
        <f>IF(CP$5="Real",INDEX('Informacion de Sam'!$38:$38,MATCH(CP$6,'Informacion de Sam'!$1:$1,0)),CP$10*'Supuestos Proyeccion'!$F$36)</f>
        <v>2695933.2941703247</v>
      </c>
      <c r="CQ43" s="23">
        <f>IF(CQ$5="Real",INDEX('Informacion de Sam'!$38:$38,MATCH(CQ$6,'Informacion de Sam'!$1:$1,0)),CQ$10*'Supuestos Proyeccion'!$F$36)</f>
        <v>1934790.2039749583</v>
      </c>
      <c r="CR43" s="23">
        <f>IF(CR$5="Real",INDEX('Informacion de Sam'!$38:$38,MATCH(CR$6,'Informacion de Sam'!$1:$1,0)),CR$10*'Supuestos Proyeccion'!$F$36)</f>
        <v>1979337.1263209018</v>
      </c>
      <c r="CS43" s="23">
        <f>IF(CS$5="Real",INDEX('Informacion de Sam'!$38:$38,MATCH(CS$6,'Informacion de Sam'!$1:$1,0)),CS$10*'Supuestos Proyeccion'!$F$36)</f>
        <v>1741464.5822608669</v>
      </c>
      <c r="CT43" s="23">
        <f>IF(CT$5="Real",INDEX('Informacion de Sam'!$38:$38,MATCH(CT$6,'Informacion de Sam'!$1:$1,0)),CT$10*'Supuestos Proyeccion'!$F$36)</f>
        <v>1991558.8418739766</v>
      </c>
      <c r="CU43" s="23">
        <f>IF(CU$5="Real",INDEX('Informacion de Sam'!$38:$38,MATCH(CU$6,'Informacion de Sam'!$1:$1,0)),CU$10*'Supuestos Proyeccion'!$F$36)</f>
        <v>2149713.3339232532</v>
      </c>
      <c r="CV43" s="23">
        <f>IF(CV$5="Real",INDEX('Informacion de Sam'!$38:$38,MATCH(CV$6,'Informacion de Sam'!$1:$1,0)),CV$10*'Supuestos Proyeccion'!$F$36)</f>
        <v>3230367.5013001668</v>
      </c>
      <c r="CW43" s="23">
        <f>IF(CW$5="Real",INDEX('Informacion de Sam'!$38:$38,MATCH(CW$6,'Informacion de Sam'!$1:$1,0)),CW$10*'Supuestos Proyeccion'!$F$36)</f>
        <v>1971647.7827968965</v>
      </c>
      <c r="CX43" s="23">
        <f>IF(CX$5="Real",INDEX('Informacion de Sam'!$38:$38,MATCH(CX$6,'Informacion de Sam'!$1:$1,0)),CX$10*'Supuestos Proyeccion'!$F$36)</f>
        <v>1903307.791146124</v>
      </c>
      <c r="CY43" s="23">
        <f>IF(CY$5="Real",INDEX('Informacion de Sam'!$38:$38,MATCH(CY$6,'Informacion de Sam'!$1:$1,0)),CY$10*'Supuestos Proyeccion'!$F$36)</f>
        <v>1961882.9006481569</v>
      </c>
      <c r="CZ43" s="23">
        <f>IF(CZ$5="Real",INDEX('Informacion de Sam'!$38:$38,MATCH(CZ$6,'Informacion de Sam'!$1:$1,0)),CZ$10*'Supuestos Proyeccion'!$F$36)</f>
        <v>1815892.4927994884</v>
      </c>
      <c r="DA43" s="23">
        <f>SUM(CO43:CZ43)</f>
        <v>25277757.340409081</v>
      </c>
      <c r="DB43" s="23">
        <f>IF(DB$5="Real",INDEX('Informacion de Sam'!$38:$38,MATCH(DB$6,'Informacion de Sam'!$1:$1,0)),DB$10*'Supuestos Proyeccion'!$F$36)</f>
        <v>2377326.8614924522</v>
      </c>
      <c r="DC43" s="23">
        <f>IF(DC$5="Real",INDEX('Informacion de Sam'!$38:$38,MATCH(DC$6,'Informacion de Sam'!$1:$1,0)),DC$10*'Supuestos Proyeccion'!$F$36)</f>
        <v>3369916.6177129056</v>
      </c>
      <c r="DD43" s="23">
        <f>IF(DD$5="Real",INDEX('Informacion de Sam'!$38:$38,MATCH(DD$6,'Informacion de Sam'!$1:$1,0)),DD$10*'Supuestos Proyeccion'!$F$36)</f>
        <v>2418487.7549686977</v>
      </c>
      <c r="DE43" s="23">
        <f>IF(DE$5="Real",INDEX('Informacion de Sam'!$38:$38,MATCH(DE$6,'Informacion de Sam'!$1:$1,0)),DE$10*'Supuestos Proyeccion'!$F$36)</f>
        <v>2474171.4079011274</v>
      </c>
      <c r="DF43" s="23">
        <f>IF(DF$5="Real",INDEX('Informacion de Sam'!$38:$38,MATCH(DF$6,'Informacion de Sam'!$1:$1,0)),DF$10*'Supuestos Proyeccion'!$F$36)</f>
        <v>2176830.7278260835</v>
      </c>
      <c r="DG43" s="23">
        <f>IF(DG$5="Real",INDEX('Informacion de Sam'!$38:$38,MATCH(DG$6,'Informacion de Sam'!$1:$1,0)),DG$10*'Supuestos Proyeccion'!$F$36)</f>
        <v>2489448.5523424703</v>
      </c>
      <c r="DH43" s="23">
        <f>IF(DH$5="Real",INDEX('Informacion de Sam'!$38:$38,MATCH(DH$6,'Informacion de Sam'!$1:$1,0)),DH$10*'Supuestos Proyeccion'!$F$36)</f>
        <v>2687141.6674040668</v>
      </c>
      <c r="DI43" s="23">
        <f>IF(DI$5="Real",INDEX('Informacion de Sam'!$38:$38,MATCH(DI$6,'Informacion de Sam'!$1:$1,0)),DI$10*'Supuestos Proyeccion'!$F$36)</f>
        <v>4037959.3766252086</v>
      </c>
      <c r="DJ43" s="23">
        <f>IF(DJ$5="Real",INDEX('Informacion de Sam'!$38:$38,MATCH(DJ$6,'Informacion de Sam'!$1:$1,0)),DJ$10*'Supuestos Proyeccion'!$F$36)</f>
        <v>2464559.7284961208</v>
      </c>
      <c r="DK43" s="23">
        <f>IF(DK$5="Real",INDEX('Informacion de Sam'!$38:$38,MATCH(DK$6,'Informacion de Sam'!$1:$1,0)),DK$10*'Supuestos Proyeccion'!$F$36)</f>
        <v>2379134.7389326552</v>
      </c>
      <c r="DL43" s="23">
        <f>IF(DL$5="Real",INDEX('Informacion de Sam'!$38:$38,MATCH(DL$6,'Informacion de Sam'!$1:$1,0)),DL$10*'Supuestos Proyeccion'!$F$36)</f>
        <v>2452353.6258101962</v>
      </c>
      <c r="DM43" s="23">
        <f>IF(DM$5="Real",INDEX('Informacion de Sam'!$38:$38,MATCH(DM$6,'Informacion de Sam'!$1:$1,0)),DM$10*'Supuestos Proyeccion'!$F$36)</f>
        <v>2269865.6159993606</v>
      </c>
      <c r="DN43" s="23">
        <f>SUM(DB43:DM43)</f>
        <v>31597196.675511342</v>
      </c>
      <c r="DO43" s="23">
        <f>IF(DO$5="Real",INDEX('Informacion de Sam'!$38:$38,MATCH(DO$6,'Informacion de Sam'!$1:$1,0)),DO$10*'Supuestos Proyeccion'!$F$36)</f>
        <v>2971658.5768655655</v>
      </c>
      <c r="DP43" s="23">
        <f>IF(DP$5="Real",INDEX('Informacion de Sam'!$38:$38,MATCH(DP$6,'Informacion de Sam'!$1:$1,0)),DP$10*'Supuestos Proyeccion'!$F$36)</f>
        <v>4212395.7721411325</v>
      </c>
      <c r="DQ43" s="23">
        <f>IF(DQ$5="Real",INDEX('Informacion de Sam'!$38:$38,MATCH(DQ$6,'Informacion de Sam'!$1:$1,0)),DQ$10*'Supuestos Proyeccion'!$F$36)</f>
        <v>3023109.693710872</v>
      </c>
      <c r="DR43" s="23">
        <f>IF(DR$5="Real",INDEX('Informacion de Sam'!$38:$38,MATCH(DR$6,'Informacion de Sam'!$1:$1,0)),DR$10*'Supuestos Proyeccion'!$F$36)</f>
        <v>3092714.2598764091</v>
      </c>
      <c r="DS43" s="23">
        <f>IF(DS$5="Real",INDEX('Informacion de Sam'!$38:$38,MATCH(DS$6,'Informacion de Sam'!$1:$1,0)),DS$10*'Supuestos Proyeccion'!$F$36)</f>
        <v>2721038.4097826043</v>
      </c>
      <c r="DT43" s="23">
        <f>IF(DT$5="Real",INDEX('Informacion de Sam'!$38:$38,MATCH(DT$6,'Informacion de Sam'!$1:$1,0)),DT$10*'Supuestos Proyeccion'!$F$36)</f>
        <v>3111810.6904280884</v>
      </c>
      <c r="DU43" s="23">
        <f>IF(DU$5="Real",INDEX('Informacion de Sam'!$38:$38,MATCH(DU$6,'Informacion de Sam'!$1:$1,0)),DU$10*'Supuestos Proyeccion'!$F$36)</f>
        <v>3358927.0842550835</v>
      </c>
      <c r="DV43" s="23">
        <f>IF(DV$5="Real",INDEX('Informacion de Sam'!$38:$38,MATCH(DV$6,'Informacion de Sam'!$1:$1,0)),DV$10*'Supuestos Proyeccion'!$F$36)</f>
        <v>5047449.2207815107</v>
      </c>
      <c r="DW43" s="23">
        <f>IF(DW$5="Real",INDEX('Informacion de Sam'!$38:$38,MATCH(DW$6,'Informacion de Sam'!$1:$1,0)),DW$10*'Supuestos Proyeccion'!$F$36)</f>
        <v>3080699.6606201511</v>
      </c>
      <c r="DX43" s="23">
        <f>IF(DX$5="Real",INDEX('Informacion de Sam'!$38:$38,MATCH(DX$6,'Informacion de Sam'!$1:$1,0)),DX$10*'Supuestos Proyeccion'!$F$36)</f>
        <v>2973918.4236658192</v>
      </c>
      <c r="DY43" s="23">
        <f>IF(DY$5="Real",INDEX('Informacion de Sam'!$38:$38,MATCH(DY$6,'Informacion de Sam'!$1:$1,0)),DY$10*'Supuestos Proyeccion'!$F$36)</f>
        <v>3065442.0322627453</v>
      </c>
      <c r="DZ43" s="23">
        <f>IF(DZ$5="Real",INDEX('Informacion de Sam'!$38:$38,MATCH(DZ$6,'Informacion de Sam'!$1:$1,0)),DZ$10*'Supuestos Proyeccion'!$F$36)</f>
        <v>2837332.0199992005</v>
      </c>
      <c r="EA43" s="23">
        <f>SUM(DO43:DZ43)</f>
        <v>39496495.844389185</v>
      </c>
      <c r="EB43" s="23">
        <f>IF(EB$5="Real",INDEX('Informacion de Sam'!$38:$38,MATCH(EB$6,'Informacion de Sam'!$1:$1,0)),EB$10*'Supuestos Proyeccion'!$F$36)</f>
        <v>3714573.2210819568</v>
      </c>
      <c r="EC43" s="23">
        <f>IF(EC$5="Real",INDEX('Informacion de Sam'!$38:$38,MATCH(EC$6,'Informacion de Sam'!$1:$1,0)),EC$10*'Supuestos Proyeccion'!$F$36)</f>
        <v>5265494.7151764156</v>
      </c>
      <c r="ED43" s="23">
        <f>IF(ED$5="Real",INDEX('Informacion de Sam'!$38:$38,MATCH(ED$6,'Informacion de Sam'!$1:$1,0)),ED$10*'Supuestos Proyeccion'!$F$36)</f>
        <v>3778887.1171385902</v>
      </c>
      <c r="EE43" s="23">
        <f>IF(EE$5="Real",INDEX('Informacion de Sam'!$38:$38,MATCH(EE$6,'Informacion de Sam'!$1:$1,0)),EE$10*'Supuestos Proyeccion'!$F$36)</f>
        <v>3865892.8248455119</v>
      </c>
      <c r="EF43" s="23">
        <f>IF(EF$5="Real",INDEX('Informacion de Sam'!$38:$38,MATCH(EF$6,'Informacion de Sam'!$1:$1,0)),EF$10*'Supuestos Proyeccion'!$F$36)</f>
        <v>3401298.0122282561</v>
      </c>
      <c r="EG43" s="23">
        <f>IF(EG$5="Real",INDEX('Informacion de Sam'!$38:$38,MATCH(EG$6,'Informacion de Sam'!$1:$1,0)),EG$10*'Supuestos Proyeccion'!$F$36)</f>
        <v>3889763.3630351108</v>
      </c>
      <c r="EH43" s="23">
        <f>IF(EH$5="Real",INDEX('Informacion de Sam'!$38:$38,MATCH(EH$6,'Informacion de Sam'!$1:$1,0)),EH$10*'Supuestos Proyeccion'!$F$36)</f>
        <v>4198658.8553188546</v>
      </c>
      <c r="EI43" s="23">
        <f>IF(EI$5="Real",INDEX('Informacion de Sam'!$38:$38,MATCH(EI$6,'Informacion de Sam'!$1:$1,0)),EI$10*'Supuestos Proyeccion'!$F$36)</f>
        <v>6309311.5259768888</v>
      </c>
      <c r="EJ43" s="23">
        <f>IF(EJ$5="Real",INDEX('Informacion de Sam'!$38:$38,MATCH(EJ$6,'Informacion de Sam'!$1:$1,0)),EJ$10*'Supuestos Proyeccion'!$F$36)</f>
        <v>3850874.5757751889</v>
      </c>
      <c r="EK43" s="23">
        <f>IF(EK$5="Real",INDEX('Informacion de Sam'!$38:$38,MATCH(EK$6,'Informacion de Sam'!$1:$1,0)),EK$10*'Supuestos Proyeccion'!$F$36)</f>
        <v>3717398.0295822741</v>
      </c>
      <c r="EL43" s="23">
        <f>IF(EL$5="Real",INDEX('Informacion de Sam'!$38:$38,MATCH(EL$6,'Informacion de Sam'!$1:$1,0)),EL$10*'Supuestos Proyeccion'!$F$36)</f>
        <v>3831802.5403284314</v>
      </c>
      <c r="EM43" s="23">
        <f>IF(EM$5="Real",INDEX('Informacion de Sam'!$38:$38,MATCH(EM$6,'Informacion de Sam'!$1:$1,0)),EM$10*'Supuestos Proyeccion'!$F$36)</f>
        <v>3546665.0249990011</v>
      </c>
      <c r="EN43" s="23">
        <f>SUM(EB43:EM43)</f>
        <v>49370619.805486478</v>
      </c>
      <c r="EO43" s="23">
        <f>IF(EO$5="Real",INDEX('Informacion de Sam'!$38:$38,MATCH(EO$6,'Informacion de Sam'!$1:$1,0)),EO$10*'Supuestos Proyeccion'!$F$36)</f>
        <v>4643216.5263524456</v>
      </c>
      <c r="EP43" s="23">
        <f>IF(EP$5="Real",INDEX('Informacion de Sam'!$38:$38,MATCH(EP$6,'Informacion de Sam'!$1:$1,0)),EP$10*'Supuestos Proyeccion'!$F$36)</f>
        <v>6581868.3939705193</v>
      </c>
      <c r="EQ43" s="23">
        <f>IF(EQ$5="Real",INDEX('Informacion de Sam'!$38:$38,MATCH(EQ$6,'Informacion de Sam'!$1:$1,0)),EQ$10*'Supuestos Proyeccion'!$F$36)</f>
        <v>4723608.8964232374</v>
      </c>
      <c r="ER43" s="23">
        <f>IF(ER$5="Real",INDEX('Informacion de Sam'!$38:$38,MATCH(ER$6,'Informacion de Sam'!$1:$1,0)),ER$10*'Supuestos Proyeccion'!$F$36)</f>
        <v>4832366.0310568893</v>
      </c>
      <c r="ES43" s="23">
        <f>IF(ES$5="Real",INDEX('Informacion de Sam'!$38:$38,MATCH(ES$6,'Informacion de Sam'!$1:$1,0)),ES$10*'Supuestos Proyeccion'!$F$36)</f>
        <v>4251622.5152853196</v>
      </c>
      <c r="ET43" s="23">
        <f>IF(ET$5="Real",INDEX('Informacion de Sam'!$38:$38,MATCH(ET$6,'Informacion de Sam'!$1:$1,0)),ET$10*'Supuestos Proyeccion'!$F$36)</f>
        <v>4862204.203793888</v>
      </c>
      <c r="EU43" s="23">
        <f>IF(EU$5="Real",INDEX('Informacion de Sam'!$38:$38,MATCH(EU$6,'Informacion de Sam'!$1:$1,0)),EU$10*'Supuestos Proyeccion'!$F$36)</f>
        <v>5248323.5691485675</v>
      </c>
      <c r="EV43" s="23">
        <f>IF(EV$5="Real",INDEX('Informacion de Sam'!$38:$38,MATCH(EV$6,'Informacion de Sam'!$1:$1,0)),EV$10*'Supuestos Proyeccion'!$F$36)</f>
        <v>7886639.407471111</v>
      </c>
      <c r="EW43" s="23">
        <f>IF(EW$5="Real",INDEX('Informacion de Sam'!$38:$38,MATCH(EW$6,'Informacion de Sam'!$1:$1,0)),EW$10*'Supuestos Proyeccion'!$F$36)</f>
        <v>4813593.2197189862</v>
      </c>
      <c r="EX43" s="23">
        <f>IF(EX$5="Real",INDEX('Informacion de Sam'!$38:$38,MATCH(EX$6,'Informacion de Sam'!$1:$1,0)),EX$10*'Supuestos Proyeccion'!$F$36)</f>
        <v>4646747.5369778425</v>
      </c>
      <c r="EY43" s="23">
        <f>IF(EY$5="Real",INDEX('Informacion de Sam'!$38:$38,MATCH(EY$6,'Informacion de Sam'!$1:$1,0)),EY$10*'Supuestos Proyeccion'!$F$36)</f>
        <v>4789753.1754105389</v>
      </c>
      <c r="EZ43" s="23">
        <f>IF(EZ$5="Real",INDEX('Informacion de Sam'!$38:$38,MATCH(EZ$6,'Informacion de Sam'!$1:$1,0)),EZ$10*'Supuestos Proyeccion'!$F$36)</f>
        <v>4433331.2812487502</v>
      </c>
      <c r="FA43" s="23">
        <f>SUM(EO43:EZ43)</f>
        <v>61713274.756858096</v>
      </c>
      <c r="FB43" s="23">
        <f>IF(FB$5="Real",INDEX('Informacion de Sam'!$38:$38,MATCH(FB$6,'Informacion de Sam'!$1:$1,0)),FB$10*'Supuestos Proyeccion'!$F$36)</f>
        <v>5804020.6579405572</v>
      </c>
      <c r="FC43" s="23">
        <f>IF(FC$5="Real",INDEX('Informacion de Sam'!$38:$38,MATCH(FC$6,'Informacion de Sam'!$1:$1,0)),FC$10*'Supuestos Proyeccion'!$F$36)</f>
        <v>8227335.4924631501</v>
      </c>
      <c r="FD43" s="23">
        <f>IF(FD$5="Real",INDEX('Informacion de Sam'!$38:$38,MATCH(FD$6,'Informacion de Sam'!$1:$1,0)),FD$10*'Supuestos Proyeccion'!$F$36)</f>
        <v>5904511.1205290472</v>
      </c>
      <c r="FE43" s="23">
        <f>IF(FE$5="Real",INDEX('Informacion de Sam'!$38:$38,MATCH(FE$6,'Informacion de Sam'!$1:$1,0)),FE$10*'Supuestos Proyeccion'!$F$36)</f>
        <v>6040457.5388211124</v>
      </c>
      <c r="FF43" s="23">
        <f>IF(FF$5="Real",INDEX('Informacion de Sam'!$38:$38,MATCH(FF$6,'Informacion de Sam'!$1:$1,0)),FF$10*'Supuestos Proyeccion'!$F$36)</f>
        <v>5314528.1441066498</v>
      </c>
      <c r="FG43" s="23">
        <f>IF(FG$5="Real",INDEX('Informacion de Sam'!$38:$38,MATCH(FG$6,'Informacion de Sam'!$1:$1,0)),FG$10*'Supuestos Proyeccion'!$F$36)</f>
        <v>6077755.2547423607</v>
      </c>
      <c r="FH43" s="23">
        <f>IF(FH$5="Real",INDEX('Informacion de Sam'!$38:$38,MATCH(FH$6,'Informacion de Sam'!$1:$1,0)),FH$10*'Supuestos Proyeccion'!$F$36)</f>
        <v>6560404.4614357091</v>
      </c>
      <c r="FI43" s="23">
        <f>IF(FI$5="Real",INDEX('Informacion de Sam'!$38:$38,MATCH(FI$6,'Informacion de Sam'!$1:$1,0)),FI$10*'Supuestos Proyeccion'!$F$36)</f>
        <v>9858299.2593388893</v>
      </c>
      <c r="FJ43" s="23">
        <f>IF(FJ$5="Real",INDEX('Informacion de Sam'!$38:$38,MATCH(FJ$6,'Informacion de Sam'!$1:$1,0)),FJ$10*'Supuestos Proyeccion'!$F$36)</f>
        <v>6016991.5246487325</v>
      </c>
      <c r="FK43" s="23">
        <f>IF(FK$5="Real",INDEX('Informacion de Sam'!$38:$38,MATCH(FK$6,'Informacion de Sam'!$1:$1,0)),FK$10*'Supuestos Proyeccion'!$F$36)</f>
        <v>5808434.4212223031</v>
      </c>
      <c r="FL43" s="23">
        <f>IF(FL$5="Real",INDEX('Informacion de Sam'!$38:$38,MATCH(FL$6,'Informacion de Sam'!$1:$1,0)),FL$10*'Supuestos Proyeccion'!$F$36)</f>
        <v>5987191.4692631736</v>
      </c>
      <c r="FM43" s="23">
        <f>IF(FM$5="Real",INDEX('Informacion de Sam'!$38:$38,MATCH(FM$6,'Informacion de Sam'!$1:$1,0)),FM$10*'Supuestos Proyeccion'!$F$36)</f>
        <v>5541664.1015609391</v>
      </c>
      <c r="FN43" s="23">
        <f>SUM(FB43:FM43)</f>
        <v>77141593.446072623</v>
      </c>
      <c r="FO43" s="23">
        <f>IF(FO$5="Real",INDEX('Informacion de Sam'!$38:$38,MATCH(FO$6,'Informacion de Sam'!$1:$1,0)),FO$10*'Supuestos Proyeccion'!$F$36)</f>
        <v>7255025.8224256961</v>
      </c>
      <c r="FP43" s="23">
        <f>IF(FP$5="Real",INDEX('Informacion de Sam'!$38:$38,MATCH(FP$6,'Informacion de Sam'!$1:$1,0)),FP$10*'Supuestos Proyeccion'!$F$36)</f>
        <v>10284169.365578936</v>
      </c>
      <c r="FQ43" s="23">
        <f>IF(FQ$5="Real",INDEX('Informacion de Sam'!$38:$38,MATCH(FQ$6,'Informacion de Sam'!$1:$1,0)),FQ$10*'Supuestos Proyeccion'!$F$36)</f>
        <v>7380638.9006613092</v>
      </c>
      <c r="FR43" s="23">
        <f>IF(FR$5="Real",INDEX('Informacion de Sam'!$38:$38,MATCH(FR$6,'Informacion de Sam'!$1:$1,0)),FR$10*'Supuestos Proyeccion'!$F$36)</f>
        <v>7550571.9235263895</v>
      </c>
      <c r="FS43" s="23">
        <f>IF(FS$5="Real",INDEX('Informacion de Sam'!$38:$38,MATCH(FS$6,'Informacion de Sam'!$1:$1,0)),FS$10*'Supuestos Proyeccion'!$F$36)</f>
        <v>6643160.1801333129</v>
      </c>
      <c r="FT43" s="23">
        <f>IF(FT$5="Real",INDEX('Informacion de Sam'!$38:$38,MATCH(FT$6,'Informacion de Sam'!$1:$1,0)),FT$10*'Supuestos Proyeccion'!$F$36)</f>
        <v>7597194.0684279501</v>
      </c>
      <c r="FU43" s="23">
        <f>IF(FU$5="Real",INDEX('Informacion de Sam'!$38:$38,MATCH(FU$6,'Informacion de Sam'!$1:$1,0)),FU$10*'Supuestos Proyeccion'!$F$36)</f>
        <v>8200505.5767946374</v>
      </c>
      <c r="FV43" s="23">
        <f>IF(FV$5="Real",INDEX('Informacion de Sam'!$38:$38,MATCH(FV$6,'Informacion de Sam'!$1:$1,0)),FV$10*'Supuestos Proyeccion'!$F$36)</f>
        <v>12322874.074173611</v>
      </c>
      <c r="FW43" s="23">
        <f>IF(FW$5="Real",INDEX('Informacion de Sam'!$38:$38,MATCH(FW$6,'Informacion de Sam'!$1:$1,0)),FW$10*'Supuestos Proyeccion'!$F$36)</f>
        <v>7521239.4058109149</v>
      </c>
      <c r="FX43" s="23">
        <f>IF(FX$5="Real",INDEX('Informacion de Sam'!$38:$38,MATCH(FX$6,'Informacion de Sam'!$1:$1,0)),FX$10*'Supuestos Proyeccion'!$F$36)</f>
        <v>7260543.0265278788</v>
      </c>
      <c r="FY43" s="23">
        <f>IF(FY$5="Real",INDEX('Informacion de Sam'!$38:$38,MATCH(FY$6,'Informacion de Sam'!$1:$1,0)),FY$10*'Supuestos Proyeccion'!$F$36)</f>
        <v>7483989.336578968</v>
      </c>
      <c r="FZ43" s="23">
        <f>IF(FZ$5="Real",INDEX('Informacion de Sam'!$38:$38,MATCH(FZ$6,'Informacion de Sam'!$1:$1,0)),FZ$10*'Supuestos Proyeccion'!$F$36)</f>
        <v>6927080.1269511729</v>
      </c>
      <c r="GA43" s="23">
        <f>SUM(FO43:FZ43)</f>
        <v>96426991.807590768</v>
      </c>
      <c r="GB43" s="23">
        <f>IF(GB$5="Real",INDEX('Informacion de Sam'!$38:$38,MATCH(GB$6,'Informacion de Sam'!$1:$1,0)),GB$10*'Supuestos Proyeccion'!$F$36)</f>
        <v>9068782.2780321203</v>
      </c>
      <c r="GC43" s="23">
        <f>IF(GC$5="Real",INDEX('Informacion de Sam'!$38:$38,MATCH(GC$6,'Informacion de Sam'!$1:$1,0)),GC$10*'Supuestos Proyeccion'!$F$36)</f>
        <v>12855211.706973672</v>
      </c>
      <c r="GD43" s="23">
        <f>IF(GD$5="Real",INDEX('Informacion de Sam'!$38:$38,MATCH(GD$6,'Informacion de Sam'!$1:$1,0)),GD$10*'Supuestos Proyeccion'!$F$36)</f>
        <v>9225798.6258266363</v>
      </c>
      <c r="GE43" s="23">
        <f>IF(GE$5="Real",INDEX('Informacion de Sam'!$38:$38,MATCH(GE$6,'Informacion de Sam'!$1:$1,0)),GE$10*'Supuestos Proyeccion'!$F$36)</f>
        <v>9438214.9044079892</v>
      </c>
      <c r="GF43" s="23">
        <f>IF(GF$5="Real",INDEX('Informacion de Sam'!$38:$38,MATCH(GF$6,'Informacion de Sam'!$1:$1,0)),GF$10*'Supuestos Proyeccion'!$F$36)</f>
        <v>8303950.2251666402</v>
      </c>
      <c r="GG43" s="23">
        <f>IF(GG$5="Real",INDEX('Informacion de Sam'!$38:$38,MATCH(GG$6,'Informacion de Sam'!$1:$1,0)),GG$10*'Supuestos Proyeccion'!$F$36)</f>
        <v>9496492.5855349377</v>
      </c>
      <c r="GH43" s="23">
        <f>IF(GH$5="Real",INDEX('Informacion de Sam'!$38:$38,MATCH(GH$6,'Informacion de Sam'!$1:$1,0)),GH$10*'Supuestos Proyeccion'!$F$36)</f>
        <v>10250631.970993297</v>
      </c>
      <c r="GI43" s="23">
        <f>IF(GI$5="Real",INDEX('Informacion de Sam'!$38:$38,MATCH(GI$6,'Informacion de Sam'!$1:$1,0)),GI$10*'Supuestos Proyeccion'!$F$36)</f>
        <v>15403592.592717014</v>
      </c>
      <c r="GJ43" s="23">
        <f>IF(GJ$5="Real",INDEX('Informacion de Sam'!$38:$38,MATCH(GJ$6,'Informacion de Sam'!$1:$1,0)),GJ$10*'Supuestos Proyeccion'!$F$36)</f>
        <v>9401549.2572636455</v>
      </c>
      <c r="GK43" s="23">
        <f>IF(GK$5="Real",INDEX('Informacion de Sam'!$38:$38,MATCH(GK$6,'Informacion de Sam'!$1:$1,0)),GK$10*'Supuestos Proyeccion'!$F$36)</f>
        <v>9075678.7831598483</v>
      </c>
      <c r="GL43" s="23">
        <f>IF(GL$5="Real",INDEX('Informacion de Sam'!$38:$38,MATCH(GL$6,'Informacion de Sam'!$1:$1,0)),GL$10*'Supuestos Proyeccion'!$F$36)</f>
        <v>9354986.6707237102</v>
      </c>
      <c r="GM43" s="23">
        <f>IF(GM$5="Real",INDEX('Informacion de Sam'!$38:$38,MATCH(GM$6,'Informacion de Sam'!$1:$1,0)),GM$10*'Supuestos Proyeccion'!$F$36)</f>
        <v>8658850.158688968</v>
      </c>
      <c r="GN43" s="23">
        <f>SUM(GB43:GM43)</f>
        <v>120533739.75948848</v>
      </c>
      <c r="GO43" s="23">
        <f>IF(GO$5="Real",INDEX('Informacion de Sam'!$38:$38,MATCH(GO$6,'Informacion de Sam'!$1:$1,0)),GO$10*'Supuestos Proyeccion'!$F$36)</f>
        <v>11335977.847540149</v>
      </c>
      <c r="GP43" s="23">
        <f>IF(GP$5="Real",INDEX('Informacion de Sam'!$38:$38,MATCH(GP$6,'Informacion de Sam'!$1:$1,0)),GP$10*'Supuestos Proyeccion'!$F$36)</f>
        <v>16069014.633717088</v>
      </c>
      <c r="GQ43" s="23">
        <f>IF(GQ$5="Real",INDEX('Informacion de Sam'!$38:$38,MATCH(GQ$6,'Informacion de Sam'!$1:$1,0)),GQ$10*'Supuestos Proyeccion'!$F$36)</f>
        <v>11532248.282283293</v>
      </c>
      <c r="GR43" s="23">
        <f>IF(GR$5="Real",INDEX('Informacion de Sam'!$38:$38,MATCH(GR$6,'Informacion de Sam'!$1:$1,0)),GR$10*'Supuestos Proyeccion'!$F$36)</f>
        <v>11797768.630509984</v>
      </c>
      <c r="GS43" s="23">
        <f>IF(GS$5="Real",INDEX('Informacion de Sam'!$38:$38,MATCH(GS$6,'Informacion de Sam'!$1:$1,0)),GS$10*'Supuestos Proyeccion'!$F$36)</f>
        <v>10379937.781458298</v>
      </c>
      <c r="GT43" s="23">
        <f>IF(GT$5="Real",INDEX('Informacion de Sam'!$38:$38,MATCH(GT$6,'Informacion de Sam'!$1:$1,0)),GT$10*'Supuestos Proyeccion'!$F$36)</f>
        <v>11870615.73191867</v>
      </c>
      <c r="GU43" s="23">
        <f>IF(GU$5="Real",INDEX('Informacion de Sam'!$38:$38,MATCH(GU$6,'Informacion de Sam'!$1:$1,0)),GU$10*'Supuestos Proyeccion'!$F$36)</f>
        <v>12813289.963741619</v>
      </c>
      <c r="GV43" s="23">
        <f>IF(GV$5="Real",INDEX('Informacion de Sam'!$38:$38,MATCH(GV$6,'Informacion de Sam'!$1:$1,0)),GV$10*'Supuestos Proyeccion'!$F$36)</f>
        <v>19254490.740896266</v>
      </c>
      <c r="GW43" s="23">
        <f>IF(GW$5="Real",INDEX('Informacion de Sam'!$38:$38,MATCH(GW$6,'Informacion de Sam'!$1:$1,0)),GW$10*'Supuestos Proyeccion'!$F$36)</f>
        <v>11751936.571579555</v>
      </c>
      <c r="GX43" s="23">
        <f>IF(GX$5="Real",INDEX('Informacion de Sam'!$38:$38,MATCH(GX$6,'Informacion de Sam'!$1:$1,0)),GX$10*'Supuestos Proyeccion'!$F$36)</f>
        <v>11344598.478949811</v>
      </c>
      <c r="GY43" s="23">
        <f>IF(GY$5="Real",INDEX('Informacion de Sam'!$38:$38,MATCH(GY$6,'Informacion de Sam'!$1:$1,0)),GY$10*'Supuestos Proyeccion'!$F$36)</f>
        <v>11693733.338404637</v>
      </c>
      <c r="GZ43" s="23">
        <f>IF(GZ$5="Real",INDEX('Informacion de Sam'!$38:$38,MATCH(GZ$6,'Informacion de Sam'!$1:$1,0)),GZ$10*'Supuestos Proyeccion'!$F$36)</f>
        <v>10823562.698361209</v>
      </c>
      <c r="HA43" s="23">
        <f>SUM(GO43:GZ43)</f>
        <v>150667174.69936058</v>
      </c>
      <c r="HB43" s="23"/>
      <c r="HC43" s="51">
        <f t="shared" si="13"/>
        <v>7575421.9699999997</v>
      </c>
      <c r="HD43" s="51">
        <f t="shared" si="13"/>
        <v>7731306.4100000001</v>
      </c>
      <c r="HE43" s="51">
        <f t="shared" si="13"/>
        <v>8361609.54</v>
      </c>
      <c r="HF43" s="51">
        <f t="shared" si="13"/>
        <v>12033730.92</v>
      </c>
      <c r="HG43" s="51">
        <f t="shared" si="13"/>
        <v>14489621.27</v>
      </c>
      <c r="HH43" s="51">
        <f t="shared" si="13"/>
        <v>14221191.880000001</v>
      </c>
      <c r="HI43" s="51">
        <f t="shared" si="13"/>
        <v>15917533.633912532</v>
      </c>
      <c r="HJ43" s="51">
        <f t="shared" si="13"/>
        <v>25277757.340409081</v>
      </c>
      <c r="HK43" s="51">
        <f t="shared" si="13"/>
        <v>31597196.675511342</v>
      </c>
      <c r="HL43" s="51">
        <f t="shared" si="13"/>
        <v>39496495.844389185</v>
      </c>
      <c r="HM43" s="51">
        <f t="shared" si="13"/>
        <v>49370619.805486478</v>
      </c>
      <c r="HN43" s="51">
        <f t="shared" si="13"/>
        <v>61713274.756858096</v>
      </c>
      <c r="HO43" s="51">
        <f t="shared" si="13"/>
        <v>77141593.446072623</v>
      </c>
      <c r="HP43" s="51">
        <f t="shared" si="13"/>
        <v>96426991.807590768</v>
      </c>
      <c r="HQ43" s="51">
        <f t="shared" si="13"/>
        <v>120533739.75948848</v>
      </c>
      <c r="HR43" s="51">
        <f t="shared" si="13"/>
        <v>150667174.69936058</v>
      </c>
    </row>
    <row r="44" spans="1:226" x14ac:dyDescent="0.35">
      <c r="A44" s="25" t="s">
        <v>76</v>
      </c>
      <c r="B44" s="29">
        <f>IF(B$5="Real",INDEX('Informacion de Sam'!$39:$39,MATCH(B$6,'Informacion de Sam'!$1:$1,0)),B$35-B$38)</f>
        <v>4494231.21</v>
      </c>
      <c r="C44" s="29">
        <f>IF(C$5="Real",INDEX('Informacion de Sam'!$39:$39,MATCH(C$6,'Informacion de Sam'!$1:$1,0)),C$35-C$38)</f>
        <v>3017442.480000006</v>
      </c>
      <c r="D44" s="29">
        <f>IF(D$5="Real",INDEX('Informacion de Sam'!$39:$39,MATCH(D$6,'Informacion de Sam'!$1:$1,0)),D$35-D$38)</f>
        <v>3249333.8199999984</v>
      </c>
      <c r="E44" s="29">
        <f>IF(E$5="Real",INDEX('Informacion de Sam'!$39:$39,MATCH(E$6,'Informacion de Sam'!$1:$1,0)),E$35-E$38)</f>
        <v>4830728.8799999971</v>
      </c>
      <c r="F44" s="29">
        <f>IF(F$5="Real",INDEX('Informacion de Sam'!$39:$39,MATCH(F$6,'Informacion de Sam'!$1:$1,0)),F$35-F$38)</f>
        <v>3362979.6099999882</v>
      </c>
      <c r="G44" s="29">
        <f>IF(G$5="Real",INDEX('Informacion de Sam'!$39:$39,MATCH(G$6,'Informacion de Sam'!$1:$1,0)),G$35-G$38)</f>
        <v>6490757.5900000064</v>
      </c>
      <c r="H44" s="29">
        <f>IF(H$5="Real",INDEX('Informacion de Sam'!$39:$39,MATCH(H$6,'Informacion de Sam'!$1:$1,0)),H$35-H$38)</f>
        <v>5064826.4300000006</v>
      </c>
      <c r="I44" s="29">
        <f>IF(I$5="Real",INDEX('Informacion de Sam'!$39:$39,MATCH(I$6,'Informacion de Sam'!$1:$1,0)),I$35-I$38)</f>
        <v>5231302.8800000092</v>
      </c>
      <c r="J44" s="29">
        <f>IF(J$5="Real",INDEX('Informacion de Sam'!$39:$39,MATCH(J$6,'Informacion de Sam'!$1:$1,0)),J$35-J$38)</f>
        <v>-868535.77999999654</v>
      </c>
      <c r="K44" s="29">
        <f>IF(K$5="Real",INDEX('Informacion de Sam'!$39:$39,MATCH(K$6,'Informacion de Sam'!$1:$1,0)),K$35-K$38)</f>
        <v>2817174.5199999791</v>
      </c>
      <c r="L44" s="29">
        <f>IF(L$5="Real",INDEX('Informacion de Sam'!$39:$39,MATCH(L$6,'Informacion de Sam'!$1:$1,0)),L$35-L$38)</f>
        <v>1478656.7600000082</v>
      </c>
      <c r="M44" s="29">
        <f>IF(M$5="Real",INDEX('Informacion de Sam'!$39:$39,MATCH(M$6,'Informacion de Sam'!$1:$1,0)),M$35-M$38)</f>
        <v>4068663.5700000143</v>
      </c>
      <c r="N44" s="29">
        <f>SUM(B44:M44)</f>
        <v>43237561.970000014</v>
      </c>
      <c r="O44" s="29">
        <f>IF(O$5="Real",INDEX('Informacion de Sam'!$39:$39,MATCH(O$6,'Informacion de Sam'!$1:$1,0)),O$35-O$38)</f>
        <v>4136445.0400000028</v>
      </c>
      <c r="P44" s="29">
        <f>IF(P$5="Real",INDEX('Informacion de Sam'!$39:$39,MATCH(P$6,'Informacion de Sam'!$1:$1,0)),P$35-P$38)</f>
        <v>5851005.9300000062</v>
      </c>
      <c r="Q44" s="29">
        <f>IF(Q$5="Real",INDEX('Informacion de Sam'!$39:$39,MATCH(Q$6,'Informacion de Sam'!$1:$1,0)),Q$35-Q$38)</f>
        <v>-627039.54000001121</v>
      </c>
      <c r="R44" s="29">
        <f>IF(R$5="Real",INDEX('Informacion de Sam'!$39:$39,MATCH(R$6,'Informacion de Sam'!$1:$1,0)),R$35-R$38)</f>
        <v>1381767.9200000158</v>
      </c>
      <c r="S44" s="29">
        <f>IF(S$5="Real",INDEX('Informacion de Sam'!$39:$39,MATCH(S$6,'Informacion de Sam'!$1:$1,0)),S$35-S$38)</f>
        <v>357602.99999998324</v>
      </c>
      <c r="T44" s="29">
        <f>IF(T$5="Real",INDEX('Informacion de Sam'!$39:$39,MATCH(T$6,'Informacion de Sam'!$1:$1,0)),T$35-T$38)</f>
        <v>1001283.7000000058</v>
      </c>
      <c r="U44" s="29">
        <f>IF(U$5="Real",INDEX('Informacion de Sam'!$39:$39,MATCH(U$6,'Informacion de Sam'!$1:$1,0)),U$35-U$38)</f>
        <v>2375660.5099999877</v>
      </c>
      <c r="V44" s="29">
        <f>IF(V$5="Real",INDEX('Informacion de Sam'!$39:$39,MATCH(V$6,'Informacion de Sam'!$1:$1,0)),V$35-V$38)</f>
        <v>4388674.270000048</v>
      </c>
      <c r="W44" s="29">
        <f>IF(W$5="Real",INDEX('Informacion de Sam'!$39:$39,MATCH(W$6,'Informacion de Sam'!$1:$1,0)),W$35-W$38)</f>
        <v>-81764.440000023693</v>
      </c>
      <c r="X44" s="29">
        <f>IF(X$5="Real",INDEX('Informacion de Sam'!$39:$39,MATCH(X$6,'Informacion de Sam'!$1:$1,0)),X$35-X$38)</f>
        <v>952502.09999997914</v>
      </c>
      <c r="Y44" s="29">
        <f>IF(Y$5="Real",INDEX('Informacion de Sam'!$39:$39,MATCH(Y$6,'Informacion de Sam'!$1:$1,0)),Y$35-Y$38)</f>
        <v>618855.77000003308</v>
      </c>
      <c r="Z44" s="29">
        <f>IF(Z$5="Real",INDEX('Informacion de Sam'!$39:$39,MATCH(Z$6,'Informacion de Sam'!$1:$1,0)),Z$35-Z$38)</f>
        <v>333256.40000000317</v>
      </c>
      <c r="AA44" s="29">
        <f>SUM(O44:Z44)</f>
        <v>20688250.66000003</v>
      </c>
      <c r="AB44" s="29">
        <f>IF(AB$5="Real",INDEX('Informacion de Sam'!$39:$39,MATCH(AB$6,'Informacion de Sam'!$1:$1,0)),AB$35-AB$38)</f>
        <v>1307606.3299999973</v>
      </c>
      <c r="AC44" s="29">
        <f>IF(AC$5="Real",INDEX('Informacion de Sam'!$39:$39,MATCH(AC$6,'Informacion de Sam'!$1:$1,0)),AC$35-AC$38)</f>
        <v>3122196.1900000032</v>
      </c>
      <c r="AD44" s="29">
        <f>IF(AD$5="Real",INDEX('Informacion de Sam'!$39:$39,MATCH(AD$6,'Informacion de Sam'!$1:$1,0)),AD$35-AD$38)</f>
        <v>4941025.7300000004</v>
      </c>
      <c r="AE44" s="29">
        <f>IF(AE$5="Real",INDEX('Informacion de Sam'!$39:$39,MATCH(AE$6,'Informacion de Sam'!$1:$1,0)),AE$35-AE$38)</f>
        <v>3330336.209999999</v>
      </c>
      <c r="AF44" s="29">
        <f>IF(AF$5="Real",INDEX('Informacion de Sam'!$39:$39,MATCH(AF$6,'Informacion de Sam'!$1:$1,0)),AF$35-AF$38)</f>
        <v>1777373.3599999929</v>
      </c>
      <c r="AG44" s="29">
        <f>IF(AG$5="Real",INDEX('Informacion de Sam'!$39:$39,MATCH(AG$6,'Informacion de Sam'!$1:$1,0)),AG$35-AG$38)</f>
        <v>5296393.4499999937</v>
      </c>
      <c r="AH44" s="29">
        <f>IF(AH$5="Real",INDEX('Informacion de Sam'!$39:$39,MATCH(AH$6,'Informacion de Sam'!$1:$1,0)),AH$35-AH$38)</f>
        <v>3310609.8999999966</v>
      </c>
      <c r="AI44" s="29">
        <f>IF(AI$5="Real",INDEX('Informacion de Sam'!$39:$39,MATCH(AI$6,'Informacion de Sam'!$1:$1,0)),AI$35-AI$38)</f>
        <v>2198292.360000005</v>
      </c>
      <c r="AJ44" s="29">
        <f>IF(AJ$5="Real",INDEX('Informacion de Sam'!$39:$39,MATCH(AJ$6,'Informacion de Sam'!$1:$1,0)),AJ$35-AJ$38)</f>
        <v>-19046.679999997839</v>
      </c>
      <c r="AK44" s="29">
        <f>IF(AK$5="Real",INDEX('Informacion de Sam'!$39:$39,MATCH(AK$6,'Informacion de Sam'!$1:$1,0)),AK$35-AK$38)</f>
        <v>2626033.5000000522</v>
      </c>
      <c r="AL44" s="29">
        <f>IF(AL$5="Real",INDEX('Informacion de Sam'!$39:$39,MATCH(AL$6,'Informacion de Sam'!$1:$1,0)),AL$35-AL$38)</f>
        <v>-582353.18000002578</v>
      </c>
      <c r="AM44" s="29">
        <f>IF(AM$5="Real",INDEX('Informacion de Sam'!$39:$39,MATCH(AM$6,'Informacion de Sam'!$1:$1,0)),AM$35-AM$38)</f>
        <v>6840382.2099999692</v>
      </c>
      <c r="AN44" s="29">
        <f>SUM(AB44:AM44)</f>
        <v>34148849.379999988</v>
      </c>
      <c r="AO44" s="29">
        <f>IF(AO$5="Real",INDEX('Informacion de Sam'!$39:$39,MATCH(AO$6,'Informacion de Sam'!$1:$1,0)),AO$35-AO$38)</f>
        <v>6017259.2300000042</v>
      </c>
      <c r="AP44" s="29">
        <f>IF(AP$5="Real",INDEX('Informacion de Sam'!$39:$39,MATCH(AP$6,'Informacion de Sam'!$1:$1,0)),AP$35-AP$38)</f>
        <v>4107217.3999999948</v>
      </c>
      <c r="AQ44" s="29">
        <f>IF(AQ$5="Real",INDEX('Informacion de Sam'!$39:$39,MATCH(AQ$6,'Informacion de Sam'!$1:$1,0)),AQ$35-AQ$38)</f>
        <v>1761990.3199999891</v>
      </c>
      <c r="AR44" s="29">
        <f>IF(AR$5="Real",INDEX('Informacion de Sam'!$39:$39,MATCH(AR$6,'Informacion de Sam'!$1:$1,0)),AR$35-AR$38)</f>
        <v>6931619.1300000008</v>
      </c>
      <c r="AS44" s="29">
        <f>IF(AS$5="Real",INDEX('Informacion de Sam'!$39:$39,MATCH(AS$6,'Informacion de Sam'!$1:$1,0)),AS$35-AS$38)</f>
        <v>3887286.9900000226</v>
      </c>
      <c r="AT44" s="29">
        <f>IF(AT$5="Real",INDEX('Informacion de Sam'!$39:$39,MATCH(AT$6,'Informacion de Sam'!$1:$1,0)),AT$35-AT$38)</f>
        <v>2972433.1399999429</v>
      </c>
      <c r="AU44" s="29">
        <f>IF(AU$5="Real",INDEX('Informacion de Sam'!$39:$39,MATCH(AU$6,'Informacion de Sam'!$1:$1,0)),AU$35-AU$38)</f>
        <v>3249322.9400000544</v>
      </c>
      <c r="AV44" s="29">
        <f>IF(AV$5="Real",INDEX('Informacion de Sam'!$39:$39,MATCH(AV$6,'Informacion de Sam'!$1:$1,0)),AV$35-AV$38)</f>
        <v>3846990.4099999582</v>
      </c>
      <c r="AW44" s="29">
        <f>IF(AW$5="Real",INDEX('Informacion de Sam'!$39:$39,MATCH(AW$6,'Informacion de Sam'!$1:$1,0)),AW$35-AW$38)</f>
        <v>2350790.0799999945</v>
      </c>
      <c r="AX44" s="29">
        <f>IF(AX$5="Real",INDEX('Informacion de Sam'!$39:$39,MATCH(AX$6,'Informacion de Sam'!$1:$1,0)),AX$35-AX$38)</f>
        <v>1752818.450000044</v>
      </c>
      <c r="AY44" s="29">
        <f>IF(AY$5="Real",INDEX('Informacion de Sam'!$39:$39,MATCH(AY$6,'Informacion de Sam'!$1:$1,0)),AY$35-AY$38)</f>
        <v>424231.30999997072</v>
      </c>
      <c r="AZ44" s="29">
        <f>IF(AZ$5="Real",INDEX('Informacion de Sam'!$39:$39,MATCH(AZ$6,'Informacion de Sam'!$1:$1,0)),AZ$35-AZ$38)</f>
        <v>8031207.9100001045</v>
      </c>
      <c r="BA44" s="29">
        <f>SUM(AO44:AZ44)</f>
        <v>45333167.310000077</v>
      </c>
      <c r="BB44" s="29">
        <f>IF(BB$5="Real",INDEX('Informacion de Sam'!$39:$39,MATCH(BB$6,'Informacion de Sam'!$1:$1,0)),BB$35-BB$38)</f>
        <v>2904340.45</v>
      </c>
      <c r="BC44" s="29">
        <f>IF(BC$5="Real",INDEX('Informacion de Sam'!$39:$39,MATCH(BC$6,'Informacion de Sam'!$1:$1,0)),BC$35-BC$38)</f>
        <v>1160146.8600000124</v>
      </c>
      <c r="BD44" s="29">
        <f>IF(BD$5="Real",INDEX('Informacion de Sam'!$39:$39,MATCH(BD$6,'Informacion de Sam'!$1:$1,0)),BD$35-BD$38)</f>
        <v>-1119664.040000001</v>
      </c>
      <c r="BE44" s="29">
        <f>IF(BE$5="Real",INDEX('Informacion de Sam'!$39:$39,MATCH(BE$6,'Informacion de Sam'!$1:$1,0)),BE$35-BE$38)</f>
        <v>7007550.2599999998</v>
      </c>
      <c r="BF44" s="29">
        <f>IF(BF$5="Real",INDEX('Informacion de Sam'!$39:$39,MATCH(BF$6,'Informacion de Sam'!$1:$1,0)),BF$35-BF$38)</f>
        <v>822059.03999996185</v>
      </c>
      <c r="BG44" s="29">
        <f>IF(BG$5="Real",INDEX('Informacion de Sam'!$39:$39,MATCH(BG$6,'Informacion de Sam'!$1:$1,0)),BG$35-BG$38)</f>
        <v>4553982.5400000084</v>
      </c>
      <c r="BH44" s="29">
        <f>IF(BH$5="Real",INDEX('Informacion de Sam'!$39:$39,MATCH(BH$6,'Informacion de Sam'!$1:$1,0)),BH$35-BH$38)</f>
        <v>1722906.7700000256</v>
      </c>
      <c r="BI44" s="29">
        <f>IF(BI$5="Real",INDEX('Informacion de Sam'!$39:$39,MATCH(BI$6,'Informacion de Sam'!$1:$1,0)),BI$35-BI$38)</f>
        <v>4854251.2999999896</v>
      </c>
      <c r="BJ44" s="29">
        <f>IF(BJ$5="Real",INDEX('Informacion de Sam'!$39:$39,MATCH(BJ$6,'Informacion de Sam'!$1:$1,0)),BJ$35-BJ$38)</f>
        <v>191028.08999998681</v>
      </c>
      <c r="BK44" s="29">
        <f>IF(BK$5="Real",INDEX('Informacion de Sam'!$39:$39,MATCH(BK$6,'Informacion de Sam'!$1:$1,0)),BK$35-BK$38)</f>
        <v>8655872.7199999932</v>
      </c>
      <c r="BL44" s="29">
        <f>IF(BL$5="Real",INDEX('Informacion de Sam'!$39:$39,MATCH(BL$6,'Informacion de Sam'!$1:$1,0)),BL$35-BL$38)</f>
        <v>-3008971.6699999832</v>
      </c>
      <c r="BM44" s="29">
        <f>IF(BM$5="Real",INDEX('Informacion de Sam'!$39:$39,MATCH(BM$6,'Informacion de Sam'!$1:$1,0)),BM$35-BM$38)</f>
        <v>-8198847.0299999714</v>
      </c>
      <c r="BN44" s="29">
        <f>SUM(BB44:BM44)</f>
        <v>19544655.290000025</v>
      </c>
      <c r="BO44" s="29">
        <f>IF(BO$5="Real",INDEX('Informacion de Sam'!$39:$39,MATCH(BO$6,'Informacion de Sam'!$1:$1,0)),BO$35-BO$38)</f>
        <v>3638523.5800000038</v>
      </c>
      <c r="BP44" s="29">
        <f>IF(BP$5="Real",INDEX('Informacion de Sam'!$39:$39,MATCH(BP$6,'Informacion de Sam'!$1:$1,0)),BP$35-BP$38)</f>
        <v>1574750.5599999931</v>
      </c>
      <c r="BQ44" s="29">
        <f>IF(BQ$5="Real",INDEX('Informacion de Sam'!$39:$39,MATCH(BQ$6,'Informacion de Sam'!$1:$1,0)),BQ$35-BQ$38)</f>
        <v>-956817.07999998517</v>
      </c>
      <c r="BR44" s="29">
        <f>IF(BR$5="Real",INDEX('Informacion de Sam'!$39:$39,MATCH(BR$6,'Informacion de Sam'!$1:$1,0)),BR$35-BR$38)</f>
        <v>861437.26999999583</v>
      </c>
      <c r="BS44" s="29">
        <f>IF(BS$5="Real",INDEX('Informacion de Sam'!$39:$39,MATCH(BS$6,'Informacion de Sam'!$1:$1,0)),BS$35-BS$38)</f>
        <v>2000059.5399999712</v>
      </c>
      <c r="BT44" s="29">
        <f>IF(BT$5="Real",INDEX('Informacion de Sam'!$39:$39,MATCH(BT$6,'Informacion de Sam'!$1:$1,0)),BT$35-BT$38)</f>
        <v>1973304.5600000396</v>
      </c>
      <c r="BU44" s="29">
        <f>IF(BU$5="Real",INDEX('Informacion de Sam'!$39:$39,MATCH(BU$6,'Informacion de Sam'!$1:$1,0)),BU$35-BU$38)</f>
        <v>-4209322.8100000024</v>
      </c>
      <c r="BV44" s="29">
        <f>IF(BV$5="Real",INDEX('Informacion de Sam'!$39:$39,MATCH(BV$6,'Informacion de Sam'!$1:$1,0)),BV$35-BV$38)</f>
        <v>1627110.5800000094</v>
      </c>
      <c r="BW44" s="29">
        <f>IF(BW$5="Real",INDEX('Informacion de Sam'!$39:$39,MATCH(BW$6,'Informacion de Sam'!$1:$1,0)),BW$35-BW$38)</f>
        <v>6143104.6999999881</v>
      </c>
      <c r="BX44" s="29">
        <f>IF(BX$5="Real",INDEX('Informacion de Sam'!$39:$39,MATCH(BX$6,'Informacion de Sam'!$1:$1,0)),BX$35-BX$38)</f>
        <v>164771.02000003681</v>
      </c>
      <c r="BY44" s="29">
        <f>IF(BY$5="Real",INDEX('Informacion de Sam'!$39:$39,MATCH(BY$6,'Informacion de Sam'!$1:$1,0)),BY$35-BY$38)</f>
        <v>4750823.3099999689</v>
      </c>
      <c r="BZ44" s="29">
        <f>IF(BZ$5="Real",INDEX('Informacion de Sam'!$39:$39,MATCH(BZ$6,'Informacion de Sam'!$1:$1,0)),BZ$35-BZ$38)</f>
        <v>1450674.3400000371</v>
      </c>
      <c r="CA44" s="29">
        <f>SUM(BO44:BZ44)</f>
        <v>19018419.570000056</v>
      </c>
      <c r="CB44" s="29">
        <f>IF(CB$5="Real",INDEX('Informacion de Sam'!$39:$39,MATCH(CB$6,'Informacion de Sam'!$1:$1,0)),CB$35-CB$38)</f>
        <v>4045024.120000001</v>
      </c>
      <c r="CC44" s="29">
        <f>IF(CC$5="Real",INDEX('Informacion de Sam'!$39:$39,MATCH(CC$6,'Informacion de Sam'!$1:$1,0)),CC$35-CC$38)</f>
        <v>7256658.0199999902</v>
      </c>
      <c r="CD44" s="29">
        <f>IF(CD$5="Real",INDEX('Informacion de Sam'!$39:$39,MATCH(CD$6,'Informacion de Sam'!$1:$1,0)),CD$35-CD$38)</f>
        <v>6365539.7500000056</v>
      </c>
      <c r="CE44" s="29">
        <f>IF(CE$5="Real",INDEX('Informacion de Sam'!$39:$39,MATCH(CE$6,'Informacion de Sam'!$1:$1,0)),CE$35-CE$38)</f>
        <v>1550998.9500000011</v>
      </c>
      <c r="CF44" s="29">
        <f>IF(CF$5="Real",INDEX('Informacion de Sam'!$39:$39,MATCH(CF$6,'Informacion de Sam'!$1:$1,0)),CF$35-CF$38)</f>
        <v>3753404.0600000098</v>
      </c>
      <c r="CG44" s="29">
        <f>IF(CG$5="Real",INDEX('Informacion de Sam'!$39:$39,MATCH(CG$6,'Informacion de Sam'!$1:$1,0)),CG$35-CG$38)</f>
        <v>3273928.2900000289</v>
      </c>
      <c r="CH44" s="29">
        <f>IF(CH$5="Real",INDEX('Informacion de Sam'!$39:$39,MATCH(CH$6,'Informacion de Sam'!$1:$1,0)),CH$35-CH$38)</f>
        <v>3174779.1199999657</v>
      </c>
      <c r="CI44" s="29">
        <f>IF(CI$5="Real",INDEX('Informacion de Sam'!$39:$39,MATCH(CI$6,'Informacion de Sam'!$1:$1,0)),CI$35-CI$38)</f>
        <v>11090.640000030398</v>
      </c>
      <c r="CJ44" s="29">
        <f>IF(CJ$5="Real",INDEX('Informacion de Sam'!$39:$39,MATCH(CJ$6,'Informacion de Sam'!$1:$1,0)),CJ$35-CJ$38)</f>
        <v>8570892.0495862961</v>
      </c>
      <c r="CK44" s="29">
        <f>IF(CK$5="Real",INDEX('Informacion de Sam'!$39:$39,MATCH(CK$6,'Informacion de Sam'!$1:$1,0)),CK$35-CK$38)</f>
        <v>3330986.5518438723</v>
      </c>
      <c r="CL44" s="29">
        <f>IF(CL$5="Real",INDEX('Informacion de Sam'!$39:$39,MATCH(CL$6,'Informacion de Sam'!$1:$1,0)),CL$35-CL$38)</f>
        <v>2536093.9863418713</v>
      </c>
      <c r="CM44" s="29">
        <f>IF(CM$5="Real",INDEX('Informacion de Sam'!$39:$39,MATCH(CM$6,'Informacion de Sam'!$1:$1,0)),CM$35-CM$38)</f>
        <v>-1094920.1053928845</v>
      </c>
      <c r="CN44" s="29">
        <f>SUM(CB44:CM44)</f>
        <v>42774475.432379186</v>
      </c>
      <c r="CO44" s="29">
        <f>IF(CO$5="Real",INDEX('Informacion de Sam'!$39:$39,MATCH(CO$6,'Informacion de Sam'!$1:$1,0)),CO$35-CO$38)</f>
        <v>5124921.0405544937</v>
      </c>
      <c r="CP44" s="29">
        <f>IF(CP$5="Real",INDEX('Informacion de Sam'!$39:$39,MATCH(CP$6,'Informacion de Sam'!$1:$1,0)),CP$35-CP$38)</f>
        <v>7653537.9240650013</v>
      </c>
      <c r="CQ44" s="29">
        <f>IF(CQ$5="Real",INDEX('Informacion de Sam'!$39:$39,MATCH(CQ$6,'Informacion de Sam'!$1:$1,0)),CQ$35-CQ$38)</f>
        <v>3260101.7281013913</v>
      </c>
      <c r="CR44" s="29">
        <f>IF(CR$5="Real",INDEX('Informacion de Sam'!$39:$39,MATCH(CR$6,'Informacion de Sam'!$1:$1,0)),CR$35-CR$38)</f>
        <v>1465898.9744832441</v>
      </c>
      <c r="CS44" s="29">
        <f>IF(CS$5="Real",INDEX('Informacion de Sam'!$39:$39,MATCH(CS$6,'Informacion de Sam'!$1:$1,0)),CS$35-CS$38)</f>
        <v>1968556.5250144191</v>
      </c>
      <c r="CT44" s="29">
        <f>IF(CT$5="Real",INDEX('Informacion de Sam'!$39:$39,MATCH(CT$6,'Informacion de Sam'!$1:$1,0)),CT$35-CT$38)</f>
        <v>-1258986.1731923018</v>
      </c>
      <c r="CU44" s="29">
        <f>IF(CU$5="Real",INDEX('Informacion de Sam'!$39:$39,MATCH(CU$6,'Informacion de Sam'!$1:$1,0)),CU$35-CU$38)</f>
        <v>-1391925.5691988878</v>
      </c>
      <c r="CV44" s="29">
        <f>IF(CV$5="Real",INDEX('Informacion de Sam'!$39:$39,MATCH(CV$6,'Informacion de Sam'!$1:$1,0)),CV$35-CV$38)</f>
        <v>-5332283.5974747352</v>
      </c>
      <c r="CW44" s="29">
        <f>IF(CW$5="Real",INDEX('Informacion de Sam'!$39:$39,MATCH(CW$6,'Informacion de Sam'!$1:$1,0)),CW$35-CW$38)</f>
        <v>1285324.5906601697</v>
      </c>
      <c r="CX44" s="29">
        <f>IF(CX$5="Real",INDEX('Informacion de Sam'!$39:$39,MATCH(CX$6,'Informacion de Sam'!$1:$1,0)),CX$35-CX$38)</f>
        <v>1240773.4935724102</v>
      </c>
      <c r="CY44" s="29">
        <f>IF(CY$5="Real",INDEX('Informacion de Sam'!$39:$39,MATCH(CY$6,'Informacion de Sam'!$1:$1,0)),CY$35-CY$38)</f>
        <v>1278958.8273325674</v>
      </c>
      <c r="CZ44" s="29">
        <f>IF(CZ$5="Real",INDEX('Informacion de Sam'!$39:$39,MATCH(CZ$6,'Informacion de Sam'!$1:$1,0)),CZ$35-CZ$38)</f>
        <v>1183787.1324458625</v>
      </c>
      <c r="DA44" s="29">
        <f>SUM(CO44:CZ44)</f>
        <v>16478664.896363636</v>
      </c>
      <c r="DB44" s="29">
        <f>IF(DB$5="Real",INDEX('Informacion de Sam'!$39:$39,MATCH(DB$6,'Informacion de Sam'!$1:$1,0)),DB$35-DB$38)</f>
        <v>1549788.3048759364</v>
      </c>
      <c r="DC44" s="29">
        <f>IF(DC$5="Real",INDEX('Informacion de Sam'!$39:$39,MATCH(DC$6,'Informacion de Sam'!$1:$1,0)),DC$35-DC$38)</f>
        <v>2196861.2928807884</v>
      </c>
      <c r="DD44" s="29">
        <f>IF(DD$5="Real",INDEX('Informacion de Sam'!$39:$39,MATCH(DD$6,'Informacion de Sam'!$1:$1,0)),DD$35-DD$38)</f>
        <v>1576621.2458404377</v>
      </c>
      <c r="DE44" s="29">
        <f>IF(DE$5="Real",INDEX('Informacion de Sam'!$39:$39,MATCH(DE$6,'Informacion de Sam'!$1:$1,0)),DE$35-DE$38)</f>
        <v>1612921.628209088</v>
      </c>
      <c r="DF44" s="29">
        <f>IF(DF$5="Real",INDEX('Informacion de Sam'!$39:$39,MATCH(DF$6,'Informacion de Sam'!$1:$1,0)),DF$35-DF$38)</f>
        <v>1419084.1227283012</v>
      </c>
      <c r="DG44" s="29">
        <f>IF(DG$5="Real",INDEX('Informacion de Sam'!$39:$39,MATCH(DG$6,'Informacion de Sam'!$1:$1,0)),DG$35-DG$38)</f>
        <v>1622880.8560168408</v>
      </c>
      <c r="DH44" s="29">
        <f>IF(DH$5="Real",INDEX('Informacion de Sam'!$39:$39,MATCH(DH$6,'Informacion de Sam'!$1:$1,0)),DH$35-DH$38)</f>
        <v>1751757.7398142274</v>
      </c>
      <c r="DI44" s="29">
        <f>IF(DI$5="Real",INDEX('Informacion de Sam'!$39:$39,MATCH(DI$6,'Informacion de Sam'!$1:$1,0)),DI$35-DI$38)</f>
        <v>2632360.8750751391</v>
      </c>
      <c r="DJ44" s="29">
        <f>IF(DJ$5="Real",INDEX('Informacion de Sam'!$39:$39,MATCH(DJ$6,'Informacion de Sam'!$1:$1,0)),DJ$35-DJ$38)</f>
        <v>1606655.7383252122</v>
      </c>
      <c r="DK44" s="29">
        <f>IF(DK$5="Real",INDEX('Informacion de Sam'!$39:$39,MATCH(DK$6,'Informacion de Sam'!$1:$1,0)),DK$35-DK$38)</f>
        <v>1550966.8669655174</v>
      </c>
      <c r="DL44" s="29">
        <f>IF(DL$5="Real",INDEX('Informacion de Sam'!$39:$39,MATCH(DL$6,'Informacion de Sam'!$1:$1,0)),DL$35-DL$38)</f>
        <v>1598698.5341657158</v>
      </c>
      <c r="DM44" s="29">
        <f>IF(DM$5="Real",INDEX('Informacion de Sam'!$39:$39,MATCH(DM$6,'Informacion de Sam'!$1:$1,0)),DM$35-DM$38)</f>
        <v>1479733.9155573212</v>
      </c>
      <c r="DN44" s="29">
        <f>SUM(DB44:DM44)</f>
        <v>20598331.120454524</v>
      </c>
      <c r="DO44" s="29">
        <f>IF(DO$5="Real",INDEX('Informacion de Sam'!$39:$39,MATCH(DO$6,'Informacion de Sam'!$1:$1,0)),DO$35-DO$38)</f>
        <v>1937235.3810949288</v>
      </c>
      <c r="DP44" s="29">
        <f>IF(DP$5="Real",INDEX('Informacion de Sam'!$39:$39,MATCH(DP$6,'Informacion de Sam'!$1:$1,0)),DP$35-DP$38)</f>
        <v>2746076.6161009856</v>
      </c>
      <c r="DQ44" s="29">
        <f>IF(DQ$5="Real",INDEX('Informacion de Sam'!$39:$39,MATCH(DQ$6,'Informacion de Sam'!$1:$1,0)),DQ$35-DQ$38)</f>
        <v>1970776.5573005415</v>
      </c>
      <c r="DR44" s="29">
        <f>IF(DR$5="Real",INDEX('Informacion de Sam'!$39:$39,MATCH(DR$6,'Informacion de Sam'!$1:$1,0)),DR$35-DR$38)</f>
        <v>2016152.0352613647</v>
      </c>
      <c r="DS44" s="29">
        <f>IF(DS$5="Real",INDEX('Informacion de Sam'!$39:$39,MATCH(DS$6,'Informacion de Sam'!$1:$1,0)),DS$35-DS$38)</f>
        <v>1773855.1534103751</v>
      </c>
      <c r="DT44" s="29">
        <f>IF(DT$5="Real",INDEX('Informacion de Sam'!$39:$39,MATCH(DT$6,'Informacion de Sam'!$1:$1,0)),DT$35-DT$38)</f>
        <v>2028601.0700210445</v>
      </c>
      <c r="DU44" s="29">
        <f>IF(DU$5="Real",INDEX('Informacion de Sam'!$39:$39,MATCH(DU$6,'Informacion de Sam'!$1:$1,0)),DU$35-DU$38)</f>
        <v>2189697.1747677848</v>
      </c>
      <c r="DV44" s="29">
        <f>IF(DV$5="Real",INDEX('Informacion de Sam'!$39:$39,MATCH(DV$6,'Informacion de Sam'!$1:$1,0)),DV$35-DV$38)</f>
        <v>3290451.0938439295</v>
      </c>
      <c r="DW44" s="29">
        <f>IF(DW$5="Real",INDEX('Informacion de Sam'!$39:$39,MATCH(DW$6,'Informacion de Sam'!$1:$1,0)),DW$35-DW$38)</f>
        <v>2008319.6729065161</v>
      </c>
      <c r="DX44" s="29">
        <f>IF(DX$5="Real",INDEX('Informacion de Sam'!$39:$39,MATCH(DX$6,'Informacion de Sam'!$1:$1,0)),DX$35-DX$38)</f>
        <v>1938708.5837068912</v>
      </c>
      <c r="DY44" s="29">
        <f>IF(DY$5="Real",INDEX('Informacion de Sam'!$39:$39,MATCH(DY$6,'Informacion de Sam'!$1:$1,0)),DY$35-DY$38)</f>
        <v>1998373.1677071452</v>
      </c>
      <c r="DZ44" s="29">
        <f>IF(DZ$5="Real",INDEX('Informacion de Sam'!$39:$39,MATCH(DZ$6,'Informacion de Sam'!$1:$1,0)),DZ$35-DZ$38)</f>
        <v>1849667.3944466617</v>
      </c>
      <c r="EA44" s="29">
        <f>SUM(DO44:DZ44)</f>
        <v>25747913.900568172</v>
      </c>
      <c r="EB44" s="29">
        <f>IF(EB$5="Real",INDEX('Informacion de Sam'!$39:$39,MATCH(EB$6,'Informacion de Sam'!$1:$1,0)),EB$35-EB$38)</f>
        <v>2421544.2263686545</v>
      </c>
      <c r="EC44" s="29">
        <f>IF(EC$5="Real",INDEX('Informacion de Sam'!$39:$39,MATCH(EC$6,'Informacion de Sam'!$1:$1,0)),EC$35-EC$38)</f>
        <v>3432595.7701262422</v>
      </c>
      <c r="ED44" s="29">
        <f>IF(ED$5="Real",INDEX('Informacion de Sam'!$39:$39,MATCH(ED$6,'Informacion de Sam'!$1:$1,0)),ED$35-ED$38)</f>
        <v>2463470.6966256797</v>
      </c>
      <c r="EE44" s="29">
        <f>IF(EE$5="Real",INDEX('Informacion de Sam'!$39:$39,MATCH(EE$6,'Informacion de Sam'!$1:$1,0)),EE$35-EE$38)</f>
        <v>2520190.044076696</v>
      </c>
      <c r="EF44" s="29">
        <f>IF(EF$5="Real",INDEX('Informacion de Sam'!$39:$39,MATCH(EF$6,'Informacion de Sam'!$1:$1,0)),EF$35-EF$38)</f>
        <v>2217318.9417629763</v>
      </c>
      <c r="EG44" s="29">
        <f>IF(EG$5="Real",INDEX('Informacion de Sam'!$39:$39,MATCH(EG$6,'Informacion de Sam'!$1:$1,0)),EG$35-EG$38)</f>
        <v>2535751.3375263214</v>
      </c>
      <c r="EH44" s="29">
        <f>IF(EH$5="Real",INDEX('Informacion de Sam'!$39:$39,MATCH(EH$6,'Informacion de Sam'!$1:$1,0)),EH$35-EH$38)</f>
        <v>2737121.4684597217</v>
      </c>
      <c r="EI44" s="29">
        <f>IF(EI$5="Real",INDEX('Informacion de Sam'!$39:$39,MATCH(EI$6,'Informacion de Sam'!$1:$1,0)),EI$35-EI$38)</f>
        <v>4113063.8673048988</v>
      </c>
      <c r="EJ44" s="29">
        <f>IF(EJ$5="Real",INDEX('Informacion de Sam'!$39:$39,MATCH(EJ$6,'Informacion de Sam'!$1:$1,0)),EJ$35-EJ$38)</f>
        <v>2510399.5911331438</v>
      </c>
      <c r="EK44" s="29">
        <f>IF(EK$5="Real",INDEX('Informacion de Sam'!$39:$39,MATCH(EK$6,'Informacion de Sam'!$1:$1,0)),EK$35-EK$38)</f>
        <v>2423385.729633607</v>
      </c>
      <c r="EL44" s="29">
        <f>IF(EL$5="Real",INDEX('Informacion de Sam'!$39:$39,MATCH(EL$6,'Informacion de Sam'!$1:$1,0)),EL$35-EL$38)</f>
        <v>2497966.4596339203</v>
      </c>
      <c r="EM44" s="29">
        <f>IF(EM$5="Real",INDEX('Informacion de Sam'!$39:$39,MATCH(EM$6,'Informacion de Sam'!$1:$1,0)),EM$35-EM$38)</f>
        <v>2312084.2430583127</v>
      </c>
      <c r="EN44" s="29">
        <f>SUM(EB44:EM44)</f>
        <v>32184892.375710174</v>
      </c>
      <c r="EO44" s="29">
        <f>IF(EO$5="Real",INDEX('Informacion de Sam'!$39:$39,MATCH(EO$6,'Informacion de Sam'!$1:$1,0)),EO$35-EO$38)</f>
        <v>3026930.2829608321</v>
      </c>
      <c r="EP44" s="29">
        <f>IF(EP$5="Real",INDEX('Informacion de Sam'!$39:$39,MATCH(EP$6,'Informacion de Sam'!$1:$1,0)),EP$35-EP$38)</f>
        <v>4290744.7126578018</v>
      </c>
      <c r="EQ44" s="29">
        <f>IF(EQ$5="Real",INDEX('Informacion de Sam'!$39:$39,MATCH(EQ$6,'Informacion de Sam'!$1:$1,0)),EQ$35-EQ$38)</f>
        <v>3079338.3707821071</v>
      </c>
      <c r="ER44" s="29">
        <f>IF(ER$5="Real",INDEX('Informacion de Sam'!$39:$39,MATCH(ER$6,'Informacion de Sam'!$1:$1,0)),ER$35-ER$38)</f>
        <v>3150237.5550958812</v>
      </c>
      <c r="ES44" s="29">
        <f>IF(ES$5="Real",INDEX('Informacion de Sam'!$39:$39,MATCH(ES$6,'Informacion de Sam'!$1:$1,0)),ES$35-ES$38)</f>
        <v>2771648.6772037186</v>
      </c>
      <c r="ET44" s="29">
        <f>IF(ET$5="Real",INDEX('Informacion de Sam'!$39:$39,MATCH(ET$6,'Informacion de Sam'!$1:$1,0)),ET$35-ET$38)</f>
        <v>3169689.1719078943</v>
      </c>
      <c r="EU44" s="29">
        <f>IF(EU$5="Real",INDEX('Informacion de Sam'!$39:$39,MATCH(EU$6,'Informacion de Sam'!$1:$1,0)),EU$35-EU$38)</f>
        <v>3421401.8355746754</v>
      </c>
      <c r="EV44" s="29">
        <f>IF(EV$5="Real",INDEX('Informacion de Sam'!$39:$39,MATCH(EV$6,'Informacion de Sam'!$1:$1,0)),EV$35-EV$38)</f>
        <v>5141329.8341311291</v>
      </c>
      <c r="EW44" s="29">
        <f>IF(EW$5="Real",INDEX('Informacion de Sam'!$39:$39,MATCH(EW$6,'Informacion de Sam'!$1:$1,0)),EW$35-EW$38)</f>
        <v>3137999.4889164232</v>
      </c>
      <c r="EX44" s="29">
        <f>IF(EX$5="Real",INDEX('Informacion de Sam'!$39:$39,MATCH(EX$6,'Informacion de Sam'!$1:$1,0)),EX$35-EX$38)</f>
        <v>3029232.1620420143</v>
      </c>
      <c r="EY44" s="29">
        <f>IF(EY$5="Real",INDEX('Informacion de Sam'!$39:$39,MATCH(EY$6,'Informacion de Sam'!$1:$1,0)),EY$35-EY$38)</f>
        <v>3122458.0745424181</v>
      </c>
      <c r="EZ44" s="29">
        <f>IF(EZ$5="Real",INDEX('Informacion de Sam'!$39:$39,MATCH(EZ$6,'Informacion de Sam'!$1:$1,0)),EZ$35-EZ$38)</f>
        <v>2890105.3038229048</v>
      </c>
      <c r="FA44" s="29">
        <f>SUM(EO44:EZ44)</f>
        <v>40231115.469637796</v>
      </c>
      <c r="FB44" s="29">
        <f>IF(FB$5="Real",INDEX('Informacion de Sam'!$39:$39,MATCH(FB$6,'Informacion de Sam'!$1:$1,0)),FB$35-FB$38)</f>
        <v>3783662.8537010178</v>
      </c>
      <c r="FC44" s="29">
        <f>IF(FC$5="Real",INDEX('Informacion de Sam'!$39:$39,MATCH(FC$6,'Informacion de Sam'!$1:$1,0)),FC$35-FC$38)</f>
        <v>5363430.8908222541</v>
      </c>
      <c r="FD44" s="29">
        <f>IF(FD$5="Real",INDEX('Informacion de Sam'!$39:$39,MATCH(FD$6,'Informacion de Sam'!$1:$1,0)),FD$35-FD$38)</f>
        <v>3849172.9634776264</v>
      </c>
      <c r="FE44" s="29">
        <f>IF(FE$5="Real",INDEX('Informacion de Sam'!$39:$39,MATCH(FE$6,'Informacion de Sam'!$1:$1,0)),FE$35-FE$38)</f>
        <v>3937796.9438698255</v>
      </c>
      <c r="FF44" s="29">
        <f>IF(FF$5="Real",INDEX('Informacion de Sam'!$39:$39,MATCH(FF$6,'Informacion de Sam'!$1:$1,0)),FF$35-FF$38)</f>
        <v>3464560.8465046436</v>
      </c>
      <c r="FG44" s="29">
        <f>IF(FG$5="Real",INDEX('Informacion de Sam'!$39:$39,MATCH(FG$6,'Informacion de Sam'!$1:$1,0)),FG$35-FG$38)</f>
        <v>3962111.4648848623</v>
      </c>
      <c r="FH44" s="29">
        <f>IF(FH$5="Real",INDEX('Informacion de Sam'!$39:$39,MATCH(FH$6,'Informacion de Sam'!$1:$1,0)),FH$35-FH$38)</f>
        <v>4276752.2944683395</v>
      </c>
      <c r="FI44" s="29">
        <f>IF(FI$5="Real",INDEX('Informacion de Sam'!$39:$39,MATCH(FI$6,'Informacion de Sam'!$1:$1,0)),FI$35-FI$38)</f>
        <v>6426662.2926639467</v>
      </c>
      <c r="FJ44" s="29">
        <f>IF(FJ$5="Real",INDEX('Informacion de Sam'!$39:$39,MATCH(FJ$6,'Informacion de Sam'!$1:$1,0)),FJ$35-FJ$38)</f>
        <v>3922499.3611455485</v>
      </c>
      <c r="FK44" s="29">
        <f>IF(FK$5="Real",INDEX('Informacion de Sam'!$39:$39,MATCH(FK$6,'Informacion de Sam'!$1:$1,0)),FK$35-FK$38)</f>
        <v>3786540.202552516</v>
      </c>
      <c r="FL44" s="29">
        <f>IF(FL$5="Real",INDEX('Informacion de Sam'!$39:$39,MATCH(FL$6,'Informacion de Sam'!$1:$1,0)),FL$35-FL$38)</f>
        <v>3903072.5931780115</v>
      </c>
      <c r="FM44" s="29">
        <f>IF(FM$5="Real",INDEX('Informacion de Sam'!$39:$39,MATCH(FM$6,'Informacion de Sam'!$1:$1,0)),FM$35-FM$38)</f>
        <v>3612631.6297786124</v>
      </c>
      <c r="FN44" s="29">
        <f>SUM(FB44:FM44)</f>
        <v>50288894.337047204</v>
      </c>
      <c r="FO44" s="29">
        <f>IF(FO$5="Real",INDEX('Informacion de Sam'!$39:$39,MATCH(FO$6,'Informacion de Sam'!$1:$1,0)),FO$35-FO$38)</f>
        <v>4729578.567126289</v>
      </c>
      <c r="FP44" s="29">
        <f>IF(FP$5="Real",INDEX('Informacion de Sam'!$39:$39,MATCH(FP$6,'Informacion de Sam'!$1:$1,0)),FP$35-FP$38)</f>
        <v>6704288.613527827</v>
      </c>
      <c r="FQ44" s="29">
        <f>IF(FQ$5="Real",INDEX('Informacion de Sam'!$39:$39,MATCH(FQ$6,'Informacion de Sam'!$1:$1,0)),FQ$35-FQ$38)</f>
        <v>4811466.2043470442</v>
      </c>
      <c r="FR44" s="29">
        <f>IF(FR$5="Real",INDEX('Informacion de Sam'!$39:$39,MATCH(FR$6,'Informacion de Sam'!$1:$1,0)),FR$35-FR$38)</f>
        <v>4922246.1798372939</v>
      </c>
      <c r="FS44" s="29">
        <f>IF(FS$5="Real",INDEX('Informacion de Sam'!$39:$39,MATCH(FS$6,'Informacion de Sam'!$1:$1,0)),FS$35-FS$38)</f>
        <v>4330701.0581307858</v>
      </c>
      <c r="FT44" s="29">
        <f>IF(FT$5="Real",INDEX('Informacion de Sam'!$39:$39,MATCH(FT$6,'Informacion de Sam'!$1:$1,0)),FT$35-FT$38)</f>
        <v>4952639.3311060891</v>
      </c>
      <c r="FU44" s="29">
        <f>IF(FU$5="Real",INDEX('Informacion de Sam'!$39:$39,MATCH(FU$6,'Informacion de Sam'!$1:$1,0)),FU$35-FU$38)</f>
        <v>5345940.3680854067</v>
      </c>
      <c r="FV44" s="29">
        <f>IF(FV$5="Real",INDEX('Informacion de Sam'!$39:$39,MATCH(FV$6,'Informacion de Sam'!$1:$1,0)),FV$35-FV$38)</f>
        <v>8033327.865829885</v>
      </c>
      <c r="FW44" s="29">
        <f>IF(FW$5="Real",INDEX('Informacion de Sam'!$39:$39,MATCH(FW$6,'Informacion de Sam'!$1:$1,0)),FW$35-FW$38)</f>
        <v>4903124.2014319301</v>
      </c>
      <c r="FX44" s="29">
        <f>IF(FX$5="Real",INDEX('Informacion de Sam'!$39:$39,MATCH(FX$6,'Informacion de Sam'!$1:$1,0)),FX$35-FX$38)</f>
        <v>4733175.2531906366</v>
      </c>
      <c r="FY44" s="29">
        <f>IF(FY$5="Real",INDEX('Informacion de Sam'!$39:$39,MATCH(FY$6,'Informacion de Sam'!$1:$1,0)),FY$35-FY$38)</f>
        <v>4878840.7414725125</v>
      </c>
      <c r="FZ44" s="29">
        <f>IF(FZ$5="Real",INDEX('Informacion de Sam'!$39:$39,MATCH(FZ$6,'Informacion de Sam'!$1:$1,0)),FZ$35-FZ$38)</f>
        <v>4515789.5372232869</v>
      </c>
      <c r="GA44" s="29">
        <f>SUM(FO44:FZ44)</f>
        <v>62861117.921308987</v>
      </c>
      <c r="GB44" s="29">
        <f>IF(GB$5="Real",INDEX('Informacion de Sam'!$39:$39,MATCH(GB$6,'Informacion de Sam'!$1:$1,0)),GB$35-GB$38)</f>
        <v>5911973.2089078575</v>
      </c>
      <c r="GC44" s="29">
        <f>IF(GC$5="Real",INDEX('Informacion de Sam'!$39:$39,MATCH(GC$6,'Informacion de Sam'!$1:$1,0)),GC$35-GC$38)</f>
        <v>8380360.7669097483</v>
      </c>
      <c r="GD44" s="29">
        <f>IF(GD$5="Real",INDEX('Informacion de Sam'!$39:$39,MATCH(GD$6,'Informacion de Sam'!$1:$1,0)),GD$35-GD$38)</f>
        <v>6014332.7554337755</v>
      </c>
      <c r="GE44" s="29">
        <f>IF(GE$5="Real",INDEX('Informacion de Sam'!$39:$39,MATCH(GE$6,'Informacion de Sam'!$1:$1,0)),GE$35-GE$38)</f>
        <v>6152807.724796623</v>
      </c>
      <c r="GF44" s="29">
        <f>IF(GF$5="Real",INDEX('Informacion de Sam'!$39:$39,MATCH(GF$6,'Informacion de Sam'!$1:$1,0)),GF$35-GF$38)</f>
        <v>5413376.3226635158</v>
      </c>
      <c r="GG44" s="29">
        <f>IF(GG$5="Real",INDEX('Informacion de Sam'!$39:$39,MATCH(GG$6,'Informacion de Sam'!$1:$1,0)),GG$35-GG$38)</f>
        <v>6190799.1638826355</v>
      </c>
      <c r="GH44" s="29">
        <f>IF(GH$5="Real",INDEX('Informacion de Sam'!$39:$39,MATCH(GH$6,'Informacion de Sam'!$1:$1,0)),GH$35-GH$38)</f>
        <v>6682425.4601067454</v>
      </c>
      <c r="GI44" s="29">
        <f>IF(GI$5="Real",INDEX('Informacion de Sam'!$39:$39,MATCH(GI$6,'Informacion de Sam'!$1:$1,0)),GI$35-GI$38)</f>
        <v>10041659.832287341</v>
      </c>
      <c r="GJ44" s="29">
        <f>IF(GJ$5="Real",INDEX('Informacion de Sam'!$39:$39,MATCH(GJ$6,'Informacion de Sam'!$1:$1,0)),GJ$35-GJ$38)</f>
        <v>6128905.2517898977</v>
      </c>
      <c r="GK44" s="29">
        <f>IF(GK$5="Real",INDEX('Informacion de Sam'!$39:$39,MATCH(GK$6,'Informacion de Sam'!$1:$1,0)),GK$35-GK$38)</f>
        <v>5916469.0664883256</v>
      </c>
      <c r="GL44" s="29">
        <f>IF(GL$5="Real",INDEX('Informacion de Sam'!$39:$39,MATCH(GL$6,'Informacion de Sam'!$1:$1,0)),GL$35-GL$38)</f>
        <v>6098550.9268406034</v>
      </c>
      <c r="GM44" s="29">
        <f>IF(GM$5="Real",INDEX('Informacion de Sam'!$39:$39,MATCH(GM$6,'Informacion de Sam'!$1:$1,0)),GM$35-GM$38)</f>
        <v>5644736.9215290919</v>
      </c>
      <c r="GN44" s="29">
        <f>SUM(GB44:GM44)</f>
        <v>78576397.401636153</v>
      </c>
      <c r="GO44" s="29">
        <f>IF(GO$5="Real",INDEX('Informacion de Sam'!$39:$39,MATCH(GO$6,'Informacion de Sam'!$1:$1,0)),GO$35-GO$38)</f>
        <v>7389966.5111348256</v>
      </c>
      <c r="GP44" s="29">
        <f>IF(GP$5="Real",INDEX('Informacion de Sam'!$39:$39,MATCH(GP$6,'Informacion de Sam'!$1:$1,0)),GP$35-GP$38)</f>
        <v>10475450.958637223</v>
      </c>
      <c r="GQ44" s="29">
        <f>IF(GQ$5="Real",INDEX('Informacion de Sam'!$39:$39,MATCH(GQ$6,'Informacion de Sam'!$1:$1,0)),GQ$35-GQ$38)</f>
        <v>7517915.9442922175</v>
      </c>
      <c r="GR44" s="29">
        <f>IF(GR$5="Real",INDEX('Informacion de Sam'!$39:$39,MATCH(GR$6,'Informacion de Sam'!$1:$1,0)),GR$35-GR$38)</f>
        <v>7691009.6559958309</v>
      </c>
      <c r="GS44" s="29">
        <f>IF(GS$5="Real",INDEX('Informacion de Sam'!$39:$39,MATCH(GS$6,'Informacion de Sam'!$1:$1,0)),GS$35-GS$38)</f>
        <v>6766720.4033293948</v>
      </c>
      <c r="GT44" s="29">
        <f>IF(GT$5="Real",INDEX('Informacion de Sam'!$39:$39,MATCH(GT$6,'Informacion de Sam'!$1:$1,0)),GT$35-GT$38)</f>
        <v>7738498.9548533037</v>
      </c>
      <c r="GU44" s="29">
        <f>IF(GU$5="Real",INDEX('Informacion de Sam'!$39:$39,MATCH(GU$6,'Informacion de Sam'!$1:$1,0)),GU$35-GU$38)</f>
        <v>8353031.825133428</v>
      </c>
      <c r="GV44" s="29">
        <f>IF(GV$5="Real",INDEX('Informacion de Sam'!$39:$39,MATCH(GV$6,'Informacion de Sam'!$1:$1,0)),GV$35-GV$38)</f>
        <v>12552074.790359184</v>
      </c>
      <c r="GW44" s="29">
        <f>IF(GW$5="Real",INDEX('Informacion de Sam'!$39:$39,MATCH(GW$6,'Informacion de Sam'!$1:$1,0)),GW$35-GW$38)</f>
        <v>7661131.564737387</v>
      </c>
      <c r="GX44" s="29">
        <f>IF(GX$5="Real",INDEX('Informacion de Sam'!$39:$39,MATCH(GX$6,'Informacion de Sam'!$1:$1,0)),GX$35-GX$38)</f>
        <v>7395586.333110407</v>
      </c>
      <c r="GY44" s="29">
        <f>IF(GY$5="Real",INDEX('Informacion de Sam'!$39:$39,MATCH(GY$6,'Informacion de Sam'!$1:$1,0)),GY$35-GY$38)</f>
        <v>7623188.6585508138</v>
      </c>
      <c r="GZ44" s="29">
        <f>IF(GZ$5="Real",INDEX('Informacion de Sam'!$39:$39,MATCH(GZ$6,'Informacion de Sam'!$1:$1,0)),GZ$35-GZ$38)</f>
        <v>7055921.1519114077</v>
      </c>
      <c r="HA44" s="29">
        <f>SUM(GO44:GZ44)</f>
        <v>98220496.752045423</v>
      </c>
      <c r="HB44" s="29"/>
      <c r="HC44" s="52">
        <f t="shared" si="13"/>
        <v>43237561.970000014</v>
      </c>
      <c r="HD44" s="52">
        <f t="shared" si="13"/>
        <v>20688250.66000003</v>
      </c>
      <c r="HE44" s="52">
        <f t="shared" si="13"/>
        <v>34148849.379999988</v>
      </c>
      <c r="HF44" s="52">
        <f t="shared" si="13"/>
        <v>45333167.310000077</v>
      </c>
      <c r="HG44" s="52">
        <f t="shared" si="13"/>
        <v>19544655.290000025</v>
      </c>
      <c r="HH44" s="52">
        <f t="shared" si="13"/>
        <v>19018419.570000056</v>
      </c>
      <c r="HI44" s="52">
        <f t="shared" si="13"/>
        <v>42774475.432379186</v>
      </c>
      <c r="HJ44" s="52">
        <f t="shared" si="13"/>
        <v>16478664.896363636</v>
      </c>
      <c r="HK44" s="52">
        <f t="shared" si="13"/>
        <v>20598331.120454524</v>
      </c>
      <c r="HL44" s="52">
        <f t="shared" si="13"/>
        <v>25747913.900568172</v>
      </c>
      <c r="HM44" s="52">
        <f t="shared" si="13"/>
        <v>32184892.375710174</v>
      </c>
      <c r="HN44" s="52">
        <f t="shared" si="13"/>
        <v>40231115.469637796</v>
      </c>
      <c r="HO44" s="52">
        <f t="shared" si="13"/>
        <v>50288894.337047204</v>
      </c>
      <c r="HP44" s="52">
        <f t="shared" si="13"/>
        <v>62861117.921308987</v>
      </c>
      <c r="HQ44" s="52">
        <f t="shared" si="13"/>
        <v>78576397.401636153</v>
      </c>
      <c r="HR44" s="52">
        <f t="shared" si="13"/>
        <v>98220496.752045423</v>
      </c>
    </row>
    <row r="45" spans="1:226" x14ac:dyDescent="0.35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51"/>
      <c r="HD45" s="51"/>
      <c r="HE45" s="51"/>
      <c r="HF45" s="51"/>
      <c r="HG45" s="51"/>
      <c r="HH45" s="51"/>
      <c r="HI45" s="51"/>
      <c r="HJ45" s="51"/>
      <c r="HK45" s="51"/>
      <c r="HL45" s="51"/>
      <c r="HM45" s="51"/>
      <c r="HN45" s="51"/>
      <c r="HO45" s="51"/>
      <c r="HP45" s="51"/>
      <c r="HQ45" s="51"/>
      <c r="HR45" s="51"/>
    </row>
    <row r="46" spans="1:226" x14ac:dyDescent="0.35">
      <c r="A46" s="24" t="s">
        <v>35</v>
      </c>
      <c r="B46" s="29">
        <f>IF(B$5="Real",INDEX('Informacion de Sam'!$41:$41,MATCH(B$6,'Informacion de Sam'!$1:$1,0)),B$48-B$50)</f>
        <v>498163.81999999995</v>
      </c>
      <c r="C46" s="29">
        <f>IF(C$5="Real",INDEX('Informacion de Sam'!$41:$41,MATCH(C$6,'Informacion de Sam'!$1:$1,0)),C$48-C$50)</f>
        <v>335694.24000000005</v>
      </c>
      <c r="D46" s="29">
        <f>IF(D$5="Real",INDEX('Informacion de Sam'!$41:$41,MATCH(D$6,'Informacion de Sam'!$1:$1,0)),D$48-D$50)</f>
        <v>399417.54</v>
      </c>
      <c r="E46" s="29">
        <f>IF(E$5="Real",INDEX('Informacion de Sam'!$41:$41,MATCH(E$6,'Informacion de Sam'!$1:$1,0)),E$48-E$50)</f>
        <v>388356.7999999997</v>
      </c>
      <c r="F46" s="29">
        <f>IF(F$5="Real",INDEX('Informacion de Sam'!$41:$41,MATCH(F$6,'Informacion de Sam'!$1:$1,0)),F$48-F$50)</f>
        <v>289282.00000000041</v>
      </c>
      <c r="G46" s="29">
        <f>IF(G$5="Real",INDEX('Informacion de Sam'!$41:$41,MATCH(G$6,'Informacion de Sam'!$1:$1,0)),G$48-G$50)</f>
        <v>394289.54000000004</v>
      </c>
      <c r="H46" s="29">
        <f>IF(H$5="Real",INDEX('Informacion de Sam'!$41:$41,MATCH(H$6,'Informacion de Sam'!$1:$1,0)),H$48-H$50)</f>
        <v>329208.41000000003</v>
      </c>
      <c r="I46" s="29">
        <f>IF(I$5="Real",INDEX('Informacion de Sam'!$41:$41,MATCH(I$6,'Informacion de Sam'!$1:$1,0)),I$48-I$50)</f>
        <v>963261.33000000054</v>
      </c>
      <c r="J46" s="29">
        <f>IF(J$5="Real",INDEX('Informacion de Sam'!$41:$41,MATCH(J$6,'Informacion de Sam'!$1:$1,0)),J$48-J$50)</f>
        <v>614190.8899999999</v>
      </c>
      <c r="K46" s="29">
        <f>IF(K$5="Real",INDEX('Informacion de Sam'!$41:$41,MATCH(K$6,'Informacion de Sam'!$1:$1,0)),K$48-K$50)</f>
        <v>395623.84999999939</v>
      </c>
      <c r="L46" s="29">
        <f>IF(L$5="Real",INDEX('Informacion de Sam'!$41:$41,MATCH(L$6,'Informacion de Sam'!$1:$1,0)),L$48-L$50)</f>
        <v>548393.40000000037</v>
      </c>
      <c r="M46" s="29">
        <f>IF(M$5="Real",INDEX('Informacion de Sam'!$41:$41,MATCH(M$6,'Informacion de Sam'!$1:$1,0)),M$48-M$50)</f>
        <v>736196.04999999981</v>
      </c>
      <c r="N46" s="29">
        <f>SUM(B46:M46)</f>
        <v>5892077.870000001</v>
      </c>
      <c r="O46" s="29">
        <f>IF(O$5="Real",INDEX('Informacion de Sam'!$41:$41,MATCH(O$6,'Informacion de Sam'!$1:$1,0)),O$48-O$50)</f>
        <v>346549.79000000004</v>
      </c>
      <c r="P46" s="29">
        <f>IF(P$5="Real",INDEX('Informacion de Sam'!$41:$41,MATCH(P$6,'Informacion de Sam'!$1:$1,0)),P$48-P$50)</f>
        <v>54334.109999999928</v>
      </c>
      <c r="Q46" s="29">
        <f>IF(Q$5="Real",INDEX('Informacion de Sam'!$41:$41,MATCH(Q$6,'Informacion de Sam'!$1:$1,0)),Q$48-Q$50)</f>
        <v>411270.74000000011</v>
      </c>
      <c r="R46" s="29">
        <f>IF(R$5="Real",INDEX('Informacion de Sam'!$41:$41,MATCH(R$6,'Informacion de Sam'!$1:$1,0)),R$48-R$50)</f>
        <v>271669.49999999988</v>
      </c>
      <c r="S46" s="29">
        <f>IF(S$5="Real",INDEX('Informacion de Sam'!$41:$41,MATCH(S$6,'Informacion de Sam'!$1:$1,0)),S$48-S$50)</f>
        <v>310258.43000000005</v>
      </c>
      <c r="T46" s="29">
        <f>IF(T$5="Real",INDEX('Informacion de Sam'!$41:$41,MATCH(T$6,'Informacion de Sam'!$1:$1,0)),T$48-T$50)</f>
        <v>498941.59000000008</v>
      </c>
      <c r="U46" s="29">
        <f>IF(U$5="Real",INDEX('Informacion de Sam'!$41:$41,MATCH(U$6,'Informacion de Sam'!$1:$1,0)),U$48-U$50)</f>
        <v>318798.92999999947</v>
      </c>
      <c r="V46" s="29">
        <f>IF(V$5="Real",INDEX('Informacion de Sam'!$41:$41,MATCH(V$6,'Informacion de Sam'!$1:$1,0)),V$48-V$50)</f>
        <v>527415.57000000041</v>
      </c>
      <c r="W46" s="29">
        <f>IF(W$5="Real",INDEX('Informacion de Sam'!$41:$41,MATCH(W$6,'Informacion de Sam'!$1:$1,0)),W$48-W$50)</f>
        <v>314476.46999999986</v>
      </c>
      <c r="X46" s="29">
        <f>IF(X$5="Real",INDEX('Informacion de Sam'!$41:$41,MATCH(X$6,'Informacion de Sam'!$1:$1,0)),X$48-X$50)</f>
        <v>249915.55999999959</v>
      </c>
      <c r="Y46" s="29">
        <f>IF(Y$5="Real",INDEX('Informacion de Sam'!$41:$41,MATCH(Y$6,'Informacion de Sam'!$1:$1,0)),Y$48-Y$50)</f>
        <v>524899.46000000031</v>
      </c>
      <c r="Z46" s="29">
        <f>IF(Z$5="Real",INDEX('Informacion de Sam'!$41:$41,MATCH(Z$6,'Informacion de Sam'!$1:$1,0)),Z$48-Z$50)</f>
        <v>425850.77000000014</v>
      </c>
      <c r="AA46" s="29">
        <f>SUM(O46:Z46)</f>
        <v>4254380.92</v>
      </c>
      <c r="AB46" s="29">
        <f>IF(AB$5="Real",INDEX('Informacion de Sam'!$41:$41,MATCH(AB$6,'Informacion de Sam'!$1:$1,0)),AB$48-AB$50)</f>
        <v>199326.65000000002</v>
      </c>
      <c r="AC46" s="29">
        <f>IF(AC$5="Real",INDEX('Informacion de Sam'!$41:$41,MATCH(AC$6,'Informacion de Sam'!$1:$1,0)),AC$48-AC$50)</f>
        <v>529815.76</v>
      </c>
      <c r="AD46" s="29">
        <f>IF(AD$5="Real",INDEX('Informacion de Sam'!$41:$41,MATCH(AD$6,'Informacion de Sam'!$1:$1,0)),AD$48-AD$50)</f>
        <v>-7333.0599999995902</v>
      </c>
      <c r="AE46" s="29">
        <f>IF(AE$5="Real",INDEX('Informacion de Sam'!$41:$41,MATCH(AE$6,'Informacion de Sam'!$1:$1,0)),AE$48-AE$50)</f>
        <v>141074.48999999953</v>
      </c>
      <c r="AF46" s="29">
        <f>IF(AF$5="Real",INDEX('Informacion de Sam'!$41:$41,MATCH(AF$6,'Informacion de Sam'!$1:$1,0)),AF$48-AF$50)</f>
        <v>342732.48</v>
      </c>
      <c r="AG46" s="29">
        <f>IF(AG$5="Real",INDEX('Informacion de Sam'!$41:$41,MATCH(AG$6,'Informacion de Sam'!$1:$1,0)),AG$48-AG$50)</f>
        <v>662251.03000000049</v>
      </c>
      <c r="AH46" s="29">
        <f>IF(AH$5="Real",INDEX('Informacion de Sam'!$41:$41,MATCH(AH$6,'Informacion de Sam'!$1:$1,0)),AH$48-AH$50)</f>
        <v>359693.75999999954</v>
      </c>
      <c r="AI46" s="29">
        <f>IF(AI$5="Real",INDEX('Informacion de Sam'!$41:$41,MATCH(AI$6,'Informacion de Sam'!$1:$1,0)),AI$48-AI$50)</f>
        <v>41436.030000000261</v>
      </c>
      <c r="AJ46" s="29">
        <f>IF(AJ$5="Real",INDEX('Informacion de Sam'!$41:$41,MATCH(AJ$6,'Informacion de Sam'!$1:$1,0)),AJ$48-AJ$50)</f>
        <v>843234.46</v>
      </c>
      <c r="AK46" s="29">
        <f>IF(AK$5="Real",INDEX('Informacion de Sam'!$41:$41,MATCH(AK$6,'Informacion de Sam'!$1:$1,0)),AK$48-AK$50)</f>
        <v>36715.989999999991</v>
      </c>
      <c r="AL46" s="29">
        <f>IF(AL$5="Real",INDEX('Informacion de Sam'!$41:$41,MATCH(AL$6,'Informacion de Sam'!$1:$1,0)),AL$48-AL$50)</f>
        <v>376935.20999999996</v>
      </c>
      <c r="AM46" s="29">
        <f>IF(AM$5="Real",INDEX('Informacion de Sam'!$41:$41,MATCH(AM$6,'Informacion de Sam'!$1:$1,0)),AM$48-AM$50)</f>
        <v>776671.67000000086</v>
      </c>
      <c r="AN46" s="29">
        <f>SUM(AB46:AM46)</f>
        <v>4302554.4700000007</v>
      </c>
      <c r="AO46" s="29">
        <f>IF(AO$5="Real",INDEX('Informacion de Sam'!$41:$41,MATCH(AO$6,'Informacion de Sam'!$1:$1,0)),AO$48-AO$50)</f>
        <v>203007.74999999997</v>
      </c>
      <c r="AP46" s="29">
        <f>IF(AP$5="Real",INDEX('Informacion de Sam'!$41:$41,MATCH(AP$6,'Informacion de Sam'!$1:$1,0)),AP$48-AP$50)</f>
        <v>329722.98999999993</v>
      </c>
      <c r="AQ46" s="29">
        <f>IF(AQ$5="Real",INDEX('Informacion de Sam'!$41:$41,MATCH(AQ$6,'Informacion de Sam'!$1:$1,0)),AQ$48-AQ$50)</f>
        <v>474465.90000000008</v>
      </c>
      <c r="AR46" s="29">
        <f>IF(AR$5="Real",INDEX('Informacion de Sam'!$41:$41,MATCH(AR$6,'Informacion de Sam'!$1:$1,0)),AR$48-AR$50)</f>
        <v>213358.15000000002</v>
      </c>
      <c r="AS46" s="29">
        <f>IF(AS$5="Real",INDEX('Informacion de Sam'!$41:$41,MATCH(AS$6,'Informacion de Sam'!$1:$1,0)),AS$48-AS$50)</f>
        <v>961361.16999999981</v>
      </c>
      <c r="AT46" s="29">
        <f>IF(AT$5="Real",INDEX('Informacion de Sam'!$41:$41,MATCH(AT$6,'Informacion de Sam'!$1:$1,0)),AT$48-AT$50)</f>
        <v>42465.640000000043</v>
      </c>
      <c r="AU46" s="29">
        <f>IF(AU$5="Real",INDEX('Informacion de Sam'!$41:$41,MATCH(AU$6,'Informacion de Sam'!$1:$1,0)),AU$48-AU$50)</f>
        <v>460033.50000000006</v>
      </c>
      <c r="AV46" s="29">
        <f>IF(AV$5="Real",INDEX('Informacion de Sam'!$41:$41,MATCH(AV$6,'Informacion de Sam'!$1:$1,0)),AV$48-AV$50)</f>
        <v>579382.14</v>
      </c>
      <c r="AW46" s="29">
        <f>IF(AW$5="Real",INDEX('Informacion de Sam'!$41:$41,MATCH(AW$6,'Informacion de Sam'!$1:$1,0)),AW$48-AW$50)</f>
        <v>228199.76999999979</v>
      </c>
      <c r="AX46" s="29">
        <f>IF(AX$5="Real",INDEX('Informacion de Sam'!$41:$41,MATCH(AX$6,'Informacion de Sam'!$1:$1,0)),AX$48-AX$50)</f>
        <v>110408.12000000058</v>
      </c>
      <c r="AY46" s="29">
        <f>IF(AY$5="Real",INDEX('Informacion de Sam'!$41:$41,MATCH(AY$6,'Informacion de Sam'!$1:$1,0)),AY$48-AY$50)</f>
        <v>235211.4499999994</v>
      </c>
      <c r="AZ46" s="29">
        <f>IF(AZ$5="Real",INDEX('Informacion de Sam'!$41:$41,MATCH(AZ$6,'Informacion de Sam'!$1:$1,0)),AZ$48-AZ$50)</f>
        <v>1020893.2700000004</v>
      </c>
      <c r="BA46" s="29">
        <f>SUM(AO46:AZ46)</f>
        <v>4858509.8499999996</v>
      </c>
      <c r="BB46" s="29">
        <f>IF(BB$5="Real",INDEX('Informacion de Sam'!$41:$41,MATCH(BB$6,'Informacion de Sam'!$1:$1,0)),BB$48-BB$50)</f>
        <v>294199.89</v>
      </c>
      <c r="BC46" s="29">
        <f>IF(BC$5="Real",INDEX('Informacion de Sam'!$41:$41,MATCH(BC$6,'Informacion de Sam'!$1:$1,0)),BC$48-BC$50)</f>
        <v>261668.05000000002</v>
      </c>
      <c r="BD46" s="29">
        <f>IF(BD$5="Real",INDEX('Informacion de Sam'!$41:$41,MATCH(BD$6,'Informacion de Sam'!$1:$1,0)),BD$48-BD$50)</f>
        <v>80538.119999999879</v>
      </c>
      <c r="BE46" s="29">
        <f>IF(BE$5="Real",INDEX('Informacion de Sam'!$41:$41,MATCH(BE$6,'Informacion de Sam'!$1:$1,0)),BE$48-BE$50)</f>
        <v>-103651.16000000009</v>
      </c>
      <c r="BF46" s="29">
        <f>IF(BF$5="Real",INDEX('Informacion de Sam'!$41:$41,MATCH(BF$6,'Informacion de Sam'!$1:$1,0)),BF$48-BF$50)</f>
        <v>25387.960000000225</v>
      </c>
      <c r="BG46" s="29">
        <f>IF(BG$5="Real",INDEX('Informacion de Sam'!$41:$41,MATCH(BG$6,'Informacion de Sam'!$1:$1,0)),BG$48-BG$50)</f>
        <v>262696.95</v>
      </c>
      <c r="BH46" s="29">
        <f>IF(BH$5="Real",INDEX('Informacion de Sam'!$41:$41,MATCH(BH$6,'Informacion de Sam'!$1:$1,0)),BH$48-BH$50)</f>
        <v>228211.97999999998</v>
      </c>
      <c r="BI46" s="29">
        <f>IF(BI$5="Real",INDEX('Informacion de Sam'!$41:$41,MATCH(BI$6,'Informacion de Sam'!$1:$1,0)),BI$48-BI$50)</f>
        <v>383694.47999999981</v>
      </c>
      <c r="BJ46" s="29">
        <f>IF(BJ$5="Real",INDEX('Informacion de Sam'!$41:$41,MATCH(BJ$6,'Informacion de Sam'!$1:$1,0)),BJ$48-BJ$50)</f>
        <v>339006.63999999984</v>
      </c>
      <c r="BK46" s="29">
        <f>IF(BK$5="Real",INDEX('Informacion de Sam'!$41:$41,MATCH(BK$6,'Informacion de Sam'!$1:$1,0)),BK$48-BK$50)</f>
        <v>250236.89000000036</v>
      </c>
      <c r="BL46" s="29">
        <f>IF(BL$5="Real",INDEX('Informacion de Sam'!$41:$41,MATCH(BL$6,'Informacion de Sam'!$1:$1,0)),BL$48-BL$50)</f>
        <v>700872.31000000017</v>
      </c>
      <c r="BM46" s="29">
        <f>IF(BM$5="Real",INDEX('Informacion de Sam'!$41:$41,MATCH(BM$6,'Informacion de Sam'!$1:$1,0)),BM$48-BM$50)</f>
        <v>281115.64999999973</v>
      </c>
      <c r="BN46" s="29">
        <f>SUM(BB46:BM46)</f>
        <v>3003977.7600000002</v>
      </c>
      <c r="BO46" s="29">
        <f>IF(BO$5="Real",INDEX('Informacion de Sam'!$41:$41,MATCH(BO$6,'Informacion de Sam'!$1:$1,0)),BO$48-BO$50)</f>
        <v>336190</v>
      </c>
      <c r="BP46" s="29">
        <f>IF(BP$5="Real",INDEX('Informacion de Sam'!$41:$41,MATCH(BP$6,'Informacion de Sam'!$1:$1,0)),BP$48-BP$50)</f>
        <v>50808.719999999943</v>
      </c>
      <c r="BQ46" s="29">
        <f>IF(BQ$5="Real",INDEX('Informacion de Sam'!$41:$41,MATCH(BQ$6,'Informacion de Sam'!$1:$1,0)),BQ$48-BQ$50)</f>
        <v>644509.9600000002</v>
      </c>
      <c r="BR46" s="29">
        <f>IF(BR$5="Real",INDEX('Informacion de Sam'!$41:$41,MATCH(BR$6,'Informacion de Sam'!$1:$1,0)),BR$48-BR$50)</f>
        <v>407734.8899999999</v>
      </c>
      <c r="BS46" s="29">
        <f>IF(BS$5="Real",INDEX('Informacion de Sam'!$41:$41,MATCH(BS$6,'Informacion de Sam'!$1:$1,0)),BS$48-BS$50)</f>
        <v>167822.87000000017</v>
      </c>
      <c r="BT46" s="29">
        <f>IF(BT$5="Real",INDEX('Informacion de Sam'!$41:$41,MATCH(BT$6,'Informacion de Sam'!$1:$1,0)),BT$48-BT$50)</f>
        <v>164354.85000000003</v>
      </c>
      <c r="BU46" s="29">
        <f>IF(BU$5="Real",INDEX('Informacion de Sam'!$41:$41,MATCH(BU$6,'Informacion de Sam'!$1:$1,0)),BU$48-BU$50)</f>
        <v>167540.99999999953</v>
      </c>
      <c r="BV46" s="29">
        <f>IF(BV$5="Real",INDEX('Informacion de Sam'!$41:$41,MATCH(BV$6,'Informacion de Sam'!$1:$1,0)),BV$48-BV$50)</f>
        <v>112902.04000000015</v>
      </c>
      <c r="BW46" s="29">
        <f>IF(BW$5="Real",INDEX('Informacion de Sam'!$41:$41,MATCH(BW$6,'Informacion de Sam'!$1:$1,0)),BW$48-BW$50)</f>
        <v>138680</v>
      </c>
      <c r="BX46" s="29">
        <f>IF(BX$5="Real",INDEX('Informacion de Sam'!$41:$41,MATCH(BX$6,'Informacion de Sam'!$1:$1,0)),BX$48-BX$50)</f>
        <v>235782.92999999982</v>
      </c>
      <c r="BY46" s="29">
        <f>IF(BY$5="Real",INDEX('Informacion de Sam'!$41:$41,MATCH(BY$6,'Informacion de Sam'!$1:$1,0)),BY$48-BY$50)</f>
        <v>170872.40000000008</v>
      </c>
      <c r="BZ46" s="29">
        <f>IF(BZ$5="Real",INDEX('Informacion de Sam'!$41:$41,MATCH(BZ$6,'Informacion de Sam'!$1:$1,0)),BZ$48-BZ$50)</f>
        <v>-477604.94999999937</v>
      </c>
      <c r="CA46" s="29">
        <f>SUM(BO46:BZ46)</f>
        <v>2119594.7100000004</v>
      </c>
      <c r="CB46" s="29">
        <f>IF(CB$5="Real",INDEX('Informacion de Sam'!$41:$41,MATCH(CB$6,'Informacion de Sam'!$1:$1,0)),CB$48-CB$50)</f>
        <v>-1521705.8199999998</v>
      </c>
      <c r="CC46" s="29">
        <f>IF(CC$5="Real",INDEX('Informacion de Sam'!$41:$41,MATCH(CC$6,'Informacion de Sam'!$1:$1,0)),CC$48-CC$50)</f>
        <v>460386.48999999987</v>
      </c>
      <c r="CD46" s="29">
        <f>IF(CD$5="Real",INDEX('Informacion de Sam'!$41:$41,MATCH(CD$6,'Informacion de Sam'!$1:$1,0)),CD$48-CD$50)</f>
        <v>1021026.0300000003</v>
      </c>
      <c r="CE46" s="29">
        <f>IF(CE$5="Real",INDEX('Informacion de Sam'!$41:$41,MATCH(CE$6,'Informacion de Sam'!$1:$1,0)),CE$48-CE$50)</f>
        <v>216952.05999999959</v>
      </c>
      <c r="CF46" s="29">
        <f>IF(CF$5="Real",INDEX('Informacion de Sam'!$41:$41,MATCH(CF$6,'Informacion de Sam'!$1:$1,0)),CF$48-CF$50)</f>
        <v>72726.350000000093</v>
      </c>
      <c r="CG46" s="29">
        <f>IF(CG$5="Real",INDEX('Informacion de Sam'!$41:$41,MATCH(CG$6,'Informacion de Sam'!$1:$1,0)),CG$48-CG$50)</f>
        <v>382322.29999999958</v>
      </c>
      <c r="CH46" s="29">
        <f>IF(CH$5="Real",INDEX('Informacion de Sam'!$41:$41,MATCH(CH$6,'Informacion de Sam'!$1:$1,0)),CH$48-CH$50)</f>
        <v>426705.80000000075</v>
      </c>
      <c r="CI46" s="29">
        <f>IF(CI$5="Real",INDEX('Informacion de Sam'!$41:$41,MATCH(CI$6,'Informacion de Sam'!$1:$1,0)),CI$48-CI$50)</f>
        <v>90361.519999999553</v>
      </c>
      <c r="CJ46" s="29">
        <f>IF(CJ$5="Real",INDEX('Informacion de Sam'!$41:$41,MATCH(CJ$6,'Informacion de Sam'!$1:$1,0)),CJ$48-CJ$50)</f>
        <v>601445.21708397963</v>
      </c>
      <c r="CK46" s="29">
        <f>IF(CK$5="Real",INDEX('Informacion de Sam'!$41:$41,MATCH(CK$6,'Informacion de Sam'!$1:$1,0)),CK$48-CK$50)</f>
        <v>580598.30848674057</v>
      </c>
      <c r="CL46" s="29">
        <f>IF(CL$5="Real",INDEX('Informacion de Sam'!$41:$41,MATCH(CL$6,'Informacion de Sam'!$1:$1,0)),CL$48-CL$50)</f>
        <v>598466.46919858572</v>
      </c>
      <c r="CM46" s="29">
        <f>IF(CM$5="Real",INDEX('Informacion de Sam'!$41:$41,MATCH(CM$6,'Informacion de Sam'!$1:$1,0)),CM$48-CM$50)</f>
        <v>553932.53504115483</v>
      </c>
      <c r="CN46" s="29">
        <f>SUM(CB46:CM46)</f>
        <v>3483217.2598104603</v>
      </c>
      <c r="CO46" s="29">
        <f>IF(CO$5="Real",INDEX('Informacion de Sam'!$41:$41,MATCH(CO$6,'Informacion de Sam'!$1:$1,0)),CO$48-CO$50)</f>
        <v>725196.39804103575</v>
      </c>
      <c r="CP46" s="29">
        <f>IF(CP$5="Real",INDEX('Informacion de Sam'!$41:$41,MATCH(CP$6,'Informacion de Sam'!$1:$1,0)),CP$48-CP$50)</f>
        <v>1027982.9132666319</v>
      </c>
      <c r="CQ46" s="29">
        <f>IF(CQ$5="Real",INDEX('Informacion de Sam'!$41:$41,MATCH(CQ$6,'Informacion de Sam'!$1:$1,0)),CQ$48-CQ$50)</f>
        <v>737752.40460985282</v>
      </c>
      <c r="CR46" s="29">
        <f>IF(CR$5="Real",INDEX('Informacion de Sam'!$41:$41,MATCH(CR$6,'Informacion de Sam'!$1:$1,0)),CR$48-CR$50)</f>
        <v>754738.53520487493</v>
      </c>
      <c r="CS46" s="29">
        <f>IF(CS$5="Real",INDEX('Informacion de Sam'!$41:$41,MATCH(CS$6,'Informacion de Sam'!$1:$1,0)),CS$48-CS$50)</f>
        <v>664035.65640674299</v>
      </c>
      <c r="CT46" s="29">
        <f>IF(CT$5="Real",INDEX('Informacion de Sam'!$41:$41,MATCH(CT$6,'Informacion de Sam'!$1:$1,0)),CT$48-CT$50)</f>
        <v>759398.78209842148</v>
      </c>
      <c r="CU46" s="29">
        <f>IF(CU$5="Real",INDEX('Informacion de Sam'!$41:$41,MATCH(CU$6,'Informacion de Sam'!$1:$1,0)),CU$48-CU$50)</f>
        <v>819704.47135066753</v>
      </c>
      <c r="CV46" s="29">
        <f>IF(CV$5="Real",INDEX('Informacion de Sam'!$41:$41,MATCH(CV$6,'Informacion de Sam'!$1:$1,0)),CV$48-CV$50)</f>
        <v>1231767.344573844</v>
      </c>
      <c r="CW46" s="29">
        <f>IF(CW$5="Real",INDEX('Informacion de Sam'!$41:$41,MATCH(CW$6,'Informacion de Sam'!$1:$1,0)),CW$48-CW$50)</f>
        <v>751806.5213549746</v>
      </c>
      <c r="CX46" s="29">
        <f>IF(CX$5="Real",INDEX('Informacion de Sam'!$41:$41,MATCH(CX$6,'Informacion de Sam'!$1:$1,0)),CX$48-CX$50)</f>
        <v>725747.8856084256</v>
      </c>
      <c r="CY46" s="29">
        <f>IF(CY$5="Real",INDEX('Informacion de Sam'!$41:$41,MATCH(CY$6,'Informacion de Sam'!$1:$1,0)),CY$48-CY$50)</f>
        <v>748083.08649823209</v>
      </c>
      <c r="CZ46" s="29">
        <f>IF(CZ$5="Real",INDEX('Informacion de Sam'!$41:$41,MATCH(CZ$6,'Informacion de Sam'!$1:$1,0)),CZ$48-CZ$50)</f>
        <v>692415.66880144353</v>
      </c>
      <c r="DA46" s="29">
        <f>SUM(CO46:CZ46)</f>
        <v>9638629.667815147</v>
      </c>
      <c r="DB46" s="29">
        <f>IF(DB$5="Real",INDEX('Informacion de Sam'!$41:$41,MATCH(DB$6,'Informacion de Sam'!$1:$1,0)),DB$48-DB$50)</f>
        <v>906495.49755129486</v>
      </c>
      <c r="DC46" s="29">
        <f>IF(DC$5="Real",INDEX('Informacion de Sam'!$41:$41,MATCH(DC$6,'Informacion de Sam'!$1:$1,0)),DC$48-DC$50)</f>
        <v>1284978.64158329</v>
      </c>
      <c r="DD46" s="29">
        <f>IF(DD$5="Real",INDEX('Informacion de Sam'!$41:$41,MATCH(DD$6,'Informacion de Sam'!$1:$1,0)),DD$48-DD$50)</f>
        <v>922190.50576231605</v>
      </c>
      <c r="DE46" s="29">
        <f>IF(DE$5="Real",INDEX('Informacion de Sam'!$41:$41,MATCH(DE$6,'Informacion de Sam'!$1:$1,0)),DE$48-DE$50)</f>
        <v>943423.16900609387</v>
      </c>
      <c r="DF46" s="29">
        <f>IF(DF$5="Real",INDEX('Informacion de Sam'!$41:$41,MATCH(DF$6,'Informacion de Sam'!$1:$1,0)),DF$48-DF$50)</f>
        <v>830044.5705084285</v>
      </c>
      <c r="DG46" s="29">
        <f>IF(DG$5="Real",INDEX('Informacion de Sam'!$41:$41,MATCH(DG$6,'Informacion de Sam'!$1:$1,0)),DG$48-DG$50)</f>
        <v>949248.4776230267</v>
      </c>
      <c r="DH46" s="29">
        <f>IF(DH$5="Real",INDEX('Informacion de Sam'!$41:$41,MATCH(DH$6,'Informacion de Sam'!$1:$1,0)),DH$48-DH$50)</f>
        <v>1024630.5891883344</v>
      </c>
      <c r="DI46" s="29">
        <f>IF(DI$5="Real",INDEX('Informacion de Sam'!$41:$41,MATCH(DI$6,'Informacion de Sam'!$1:$1,0)),DI$48-DI$50)</f>
        <v>1539709.1807173046</v>
      </c>
      <c r="DJ46" s="29">
        <f>IF(DJ$5="Real",INDEX('Informacion de Sam'!$41:$41,MATCH(DJ$6,'Informacion de Sam'!$1:$1,0)),DJ$48-DJ$50)</f>
        <v>939758.15169371828</v>
      </c>
      <c r="DK46" s="29">
        <f>IF(DK$5="Real",INDEX('Informacion de Sam'!$41:$41,MATCH(DK$6,'Informacion de Sam'!$1:$1,0)),DK$48-DK$50)</f>
        <v>907184.85701053205</v>
      </c>
      <c r="DL46" s="29">
        <f>IF(DL$5="Real",INDEX('Informacion de Sam'!$41:$41,MATCH(DL$6,'Informacion de Sam'!$1:$1,0)),DL$48-DL$50)</f>
        <v>935103.85812279</v>
      </c>
      <c r="DM46" s="29">
        <f>IF(DM$5="Real",INDEX('Informacion de Sam'!$41:$41,MATCH(DM$6,'Informacion de Sam'!$1:$1,0)),DM$48-DM$50)</f>
        <v>865519.58600180456</v>
      </c>
      <c r="DN46" s="29">
        <f>SUM(DB46:DM46)</f>
        <v>12048287.084768934</v>
      </c>
      <c r="DO46" s="29">
        <f>IF(DO$5="Real",INDEX('Informacion de Sam'!$41:$41,MATCH(DO$6,'Informacion de Sam'!$1:$1,0)),DO$48-DO$50)</f>
        <v>1133119.3719391185</v>
      </c>
      <c r="DP46" s="29">
        <f>IF(DP$5="Real",INDEX('Informacion de Sam'!$41:$41,MATCH(DP$6,'Informacion de Sam'!$1:$1,0)),DP$48-DP$50)</f>
        <v>1606223.3019791122</v>
      </c>
      <c r="DQ46" s="29">
        <f>IF(DQ$5="Real",INDEX('Informacion de Sam'!$41:$41,MATCH(DQ$6,'Informacion de Sam'!$1:$1,0)),DQ$48-DQ$50)</f>
        <v>1152738.1322028949</v>
      </c>
      <c r="DR46" s="29">
        <f>IF(DR$5="Real",INDEX('Informacion de Sam'!$41:$41,MATCH(DR$6,'Informacion de Sam'!$1:$1,0)),DR$48-DR$50)</f>
        <v>1179278.9612576172</v>
      </c>
      <c r="DS46" s="29">
        <f>IF(DS$5="Real",INDEX('Informacion de Sam'!$41:$41,MATCH(DS$6,'Informacion de Sam'!$1:$1,0)),DS$48-DS$50)</f>
        <v>1037555.7131355356</v>
      </c>
      <c r="DT46" s="29">
        <f>IF(DT$5="Real",INDEX('Informacion de Sam'!$41:$41,MATCH(DT$6,'Informacion de Sam'!$1:$1,0)),DT$48-DT$50)</f>
        <v>1186560.5970287835</v>
      </c>
      <c r="DU46" s="29">
        <f>IF(DU$5="Real",INDEX('Informacion de Sam'!$41:$41,MATCH(DU$6,'Informacion de Sam'!$1:$1,0)),DU$48-DU$50)</f>
        <v>1280788.2364854184</v>
      </c>
      <c r="DV46" s="29">
        <f>IF(DV$5="Real",INDEX('Informacion de Sam'!$41:$41,MATCH(DV$6,'Informacion de Sam'!$1:$1,0)),DV$48-DV$50)</f>
        <v>1924636.4758966309</v>
      </c>
      <c r="DW46" s="29">
        <f>IF(DW$5="Real",INDEX('Informacion de Sam'!$41:$41,MATCH(DW$6,'Informacion de Sam'!$1:$1,0)),DW$48-DW$50)</f>
        <v>1174697.6896171481</v>
      </c>
      <c r="DX46" s="29">
        <f>IF(DX$5="Real",INDEX('Informacion de Sam'!$41:$41,MATCH(DX$6,'Informacion de Sam'!$1:$1,0)),DX$48-DX$50)</f>
        <v>1133981.0712631652</v>
      </c>
      <c r="DY46" s="29">
        <f>IF(DY$5="Real",INDEX('Informacion de Sam'!$41:$41,MATCH(DY$6,'Informacion de Sam'!$1:$1,0)),DY$48-DY$50)</f>
        <v>1168879.8226534876</v>
      </c>
      <c r="DZ46" s="29">
        <f>IF(DZ$5="Real",INDEX('Informacion de Sam'!$41:$41,MATCH(DZ$6,'Informacion de Sam'!$1:$1,0)),DZ$48-DZ$50)</f>
        <v>1081899.4825022556</v>
      </c>
      <c r="EA46" s="29">
        <f>SUM(DO46:DZ46)</f>
        <v>15060358.855961166</v>
      </c>
      <c r="EB46" s="29">
        <f>IF(EB$5="Real",INDEX('Informacion de Sam'!$41:$41,MATCH(EB$6,'Informacion de Sam'!$1:$1,0)),EB$48-EB$50)</f>
        <v>1416399.2149238985</v>
      </c>
      <c r="EC46" s="29">
        <f>IF(EC$5="Real",INDEX('Informacion de Sam'!$41:$41,MATCH(EC$6,'Informacion de Sam'!$1:$1,0)),EC$48-EC$50)</f>
        <v>2007779.1274738905</v>
      </c>
      <c r="ED46" s="29">
        <f>IF(ED$5="Real",INDEX('Informacion de Sam'!$41:$41,MATCH(ED$6,'Informacion de Sam'!$1:$1,0)),ED$48-ED$50)</f>
        <v>1440922.6652536187</v>
      </c>
      <c r="EE46" s="29">
        <f>IF(EE$5="Real",INDEX('Informacion de Sam'!$41:$41,MATCH(EE$6,'Informacion de Sam'!$1:$1,0)),EE$48-EE$50)</f>
        <v>1474098.7015720215</v>
      </c>
      <c r="EF46" s="29">
        <f>IF(EF$5="Real",INDEX('Informacion de Sam'!$41:$41,MATCH(EF$6,'Informacion de Sam'!$1:$1,0)),EF$48-EF$50)</f>
        <v>1296944.64141942</v>
      </c>
      <c r="EG46" s="29">
        <f>IF(EG$5="Real",INDEX('Informacion de Sam'!$41:$41,MATCH(EG$6,'Informacion de Sam'!$1:$1,0)),EG$48-EG$50)</f>
        <v>1483200.7462859794</v>
      </c>
      <c r="EH46" s="29">
        <f>IF(EH$5="Real",INDEX('Informacion de Sam'!$41:$41,MATCH(EH$6,'Informacion de Sam'!$1:$1,0)),EH$48-EH$50)</f>
        <v>1600985.2956067729</v>
      </c>
      <c r="EI46" s="29">
        <f>IF(EI$5="Real",INDEX('Informacion de Sam'!$41:$41,MATCH(EI$6,'Informacion de Sam'!$1:$1,0)),EI$48-EI$50)</f>
        <v>2405795.594870789</v>
      </c>
      <c r="EJ46" s="29">
        <f>IF(EJ$5="Real",INDEX('Informacion de Sam'!$41:$41,MATCH(EJ$6,'Informacion de Sam'!$1:$1,0)),EJ$48-EJ$50)</f>
        <v>1468372.1120214348</v>
      </c>
      <c r="EK46" s="29">
        <f>IF(EK$5="Real",INDEX('Informacion de Sam'!$41:$41,MATCH(EK$6,'Informacion de Sam'!$1:$1,0)),EK$48-EK$50)</f>
        <v>1417476.3390789565</v>
      </c>
      <c r="EL46" s="29">
        <f>IF(EL$5="Real",INDEX('Informacion de Sam'!$41:$41,MATCH(EL$6,'Informacion de Sam'!$1:$1,0)),EL$48-EL$50)</f>
        <v>1461099.7783168592</v>
      </c>
      <c r="EM46" s="29">
        <f>IF(EM$5="Real",INDEX('Informacion de Sam'!$41:$41,MATCH(EM$6,'Informacion de Sam'!$1:$1,0)),EM$48-EM$50)</f>
        <v>1352374.35312782</v>
      </c>
      <c r="EN46" s="29">
        <f>SUM(EB46:EM46)</f>
        <v>18825448.56995146</v>
      </c>
      <c r="EO46" s="29">
        <f>IF(EO$5="Real",INDEX('Informacion de Sam'!$41:$41,MATCH(EO$6,'Informacion de Sam'!$1:$1,0)),EO$48-EO$50)</f>
        <v>1770499.0186548727</v>
      </c>
      <c r="EP46" s="29">
        <f>IF(EP$5="Real",INDEX('Informacion de Sam'!$41:$41,MATCH(EP$6,'Informacion de Sam'!$1:$1,0)),EP$48-EP$50)</f>
        <v>2509723.9093423635</v>
      </c>
      <c r="EQ46" s="29">
        <f>IF(EQ$5="Real",INDEX('Informacion de Sam'!$41:$41,MATCH(EQ$6,'Informacion de Sam'!$1:$1,0)),EQ$48-EQ$50)</f>
        <v>1801153.3315670232</v>
      </c>
      <c r="ER46" s="29">
        <f>IF(ER$5="Real",INDEX('Informacion de Sam'!$41:$41,MATCH(ER$6,'Informacion de Sam'!$1:$1,0)),ER$48-ER$50)</f>
        <v>1842623.3769650268</v>
      </c>
      <c r="ES46" s="29">
        <f>IF(ES$5="Real",INDEX('Informacion de Sam'!$41:$41,MATCH(ES$6,'Informacion de Sam'!$1:$1,0)),ES$48-ES$50)</f>
        <v>1621180.8017742743</v>
      </c>
      <c r="ET46" s="29">
        <f>IF(ET$5="Real",INDEX('Informacion de Sam'!$41:$41,MATCH(ET$6,'Informacion de Sam'!$1:$1,0)),ET$48-ET$50)</f>
        <v>1854000.9328574743</v>
      </c>
      <c r="EU46" s="29">
        <f>IF(EU$5="Real",INDEX('Informacion de Sam'!$41:$41,MATCH(EU$6,'Informacion de Sam'!$1:$1,0)),EU$48-EU$50)</f>
        <v>2001231.6195084658</v>
      </c>
      <c r="EV46" s="29">
        <f>IF(EV$5="Real",INDEX('Informacion de Sam'!$41:$41,MATCH(EV$6,'Informacion de Sam'!$1:$1,0)),EV$48-EV$50)</f>
        <v>3007244.4935884862</v>
      </c>
      <c r="EW46" s="29">
        <f>IF(EW$5="Real",INDEX('Informacion de Sam'!$41:$41,MATCH(EW$6,'Informacion de Sam'!$1:$1,0)),EW$48-EW$50)</f>
        <v>1835465.1400267933</v>
      </c>
      <c r="EX46" s="29">
        <f>IF(EX$5="Real",INDEX('Informacion de Sam'!$41:$41,MATCH(EX$6,'Informacion de Sam'!$1:$1,0)),EX$48-EX$50)</f>
        <v>1771845.4238486956</v>
      </c>
      <c r="EY46" s="29">
        <f>IF(EY$5="Real",INDEX('Informacion de Sam'!$41:$41,MATCH(EY$6,'Informacion de Sam'!$1:$1,0)),EY$48-EY$50)</f>
        <v>1826374.7228960739</v>
      </c>
      <c r="EZ46" s="29">
        <f>IF(EZ$5="Real",INDEX('Informacion de Sam'!$41:$41,MATCH(EZ$6,'Informacion de Sam'!$1:$1,0)),EZ$48-EZ$50)</f>
        <v>1690467.9414097744</v>
      </c>
      <c r="FA46" s="29">
        <f>SUM(EO46:EZ46)</f>
        <v>23531810.712439325</v>
      </c>
      <c r="FB46" s="29">
        <f>IF(FB$5="Real",INDEX('Informacion de Sam'!$41:$41,MATCH(FB$6,'Informacion de Sam'!$1:$1,0)),FB$48-FB$50)</f>
        <v>2213123.7733185915</v>
      </c>
      <c r="FC46" s="29">
        <f>IF(FC$5="Real",INDEX('Informacion de Sam'!$41:$41,MATCH(FC$6,'Informacion de Sam'!$1:$1,0)),FC$48-FC$50)</f>
        <v>3137154.8866779539</v>
      </c>
      <c r="FD46" s="29">
        <f>IF(FD$5="Real",INDEX('Informacion de Sam'!$41:$41,MATCH(FD$6,'Informacion de Sam'!$1:$1,0)),FD$48-FD$50)</f>
        <v>2251441.6644587792</v>
      </c>
      <c r="FE46" s="29">
        <f>IF(FE$5="Real",INDEX('Informacion de Sam'!$41:$41,MATCH(FE$6,'Informacion de Sam'!$1:$1,0)),FE$48-FE$50)</f>
        <v>2303279.2212062841</v>
      </c>
      <c r="FF46" s="29">
        <f>IF(FF$5="Real",INDEX('Informacion de Sam'!$41:$41,MATCH(FF$6,'Informacion de Sam'!$1:$1,0)),FF$48-FF$50)</f>
        <v>2026476.0022178432</v>
      </c>
      <c r="FG46" s="29">
        <f>IF(FG$5="Real",INDEX('Informacion de Sam'!$41:$41,MATCH(FG$6,'Informacion de Sam'!$1:$1,0)),FG$48-FG$50)</f>
        <v>2317501.1660718434</v>
      </c>
      <c r="FH46" s="29">
        <f>IF(FH$5="Real",INDEX('Informacion de Sam'!$41:$41,MATCH(FH$6,'Informacion de Sam'!$1:$1,0)),FH$48-FH$50)</f>
        <v>2501539.5243855827</v>
      </c>
      <c r="FI46" s="29">
        <f>IF(FI$5="Real",INDEX('Informacion de Sam'!$41:$41,MATCH(FI$6,'Informacion de Sam'!$1:$1,0)),FI$48-FI$50)</f>
        <v>3759055.6169856084</v>
      </c>
      <c r="FJ46" s="29">
        <f>IF(FJ$5="Real",INDEX('Informacion de Sam'!$41:$41,MATCH(FJ$6,'Informacion de Sam'!$1:$1,0)),FJ$48-FJ$50)</f>
        <v>2294331.425033492</v>
      </c>
      <c r="FK46" s="29">
        <f>IF(FK$5="Real",INDEX('Informacion de Sam'!$41:$41,MATCH(FK$6,'Informacion de Sam'!$1:$1,0)),FK$48-FK$50)</f>
        <v>2214806.7798108701</v>
      </c>
      <c r="FL46" s="29">
        <f>IF(FL$5="Real",INDEX('Informacion de Sam'!$41:$41,MATCH(FL$6,'Informacion de Sam'!$1:$1,0)),FL$48-FL$50)</f>
        <v>2282968.4036200931</v>
      </c>
      <c r="FM46" s="29">
        <f>IF(FM$5="Real",INDEX('Informacion de Sam'!$41:$41,MATCH(FM$6,'Informacion de Sam'!$1:$1,0)),FM$48-FM$50)</f>
        <v>2113084.9267622186</v>
      </c>
      <c r="FN46" s="29">
        <f>SUM(FB46:FM46)</f>
        <v>29414763.390549164</v>
      </c>
      <c r="FO46" s="29">
        <f>IF(FO$5="Real",INDEX('Informacion de Sam'!$41:$41,MATCH(FO$6,'Informacion de Sam'!$1:$1,0)),FO$48-FO$50)</f>
        <v>2766404.7166482387</v>
      </c>
      <c r="FP46" s="29">
        <f>IF(FP$5="Real",INDEX('Informacion de Sam'!$41:$41,MATCH(FP$6,'Informacion de Sam'!$1:$1,0)),FP$48-FP$50)</f>
        <v>3921443.6083474425</v>
      </c>
      <c r="FQ46" s="29">
        <f>IF(FQ$5="Real",INDEX('Informacion de Sam'!$41:$41,MATCH(FQ$6,'Informacion de Sam'!$1:$1,0)),FQ$48-FQ$50)</f>
        <v>2814302.0805734741</v>
      </c>
      <c r="FR46" s="29">
        <f>IF(FR$5="Real",INDEX('Informacion de Sam'!$41:$41,MATCH(FR$6,'Informacion de Sam'!$1:$1,0)),FR$48-FR$50)</f>
        <v>2879099.0265078545</v>
      </c>
      <c r="FS46" s="29">
        <f>IF(FS$5="Real",INDEX('Informacion de Sam'!$41:$41,MATCH(FS$6,'Informacion de Sam'!$1:$1,0)),FS$48-FS$50)</f>
        <v>2533095.0027723042</v>
      </c>
      <c r="FT46" s="29">
        <f>IF(FT$5="Real",INDEX('Informacion de Sam'!$41:$41,MATCH(FT$6,'Informacion de Sam'!$1:$1,0)),FT$48-FT$50)</f>
        <v>2896876.4575898033</v>
      </c>
      <c r="FU46" s="29">
        <f>IF(FU$5="Real",INDEX('Informacion de Sam'!$41:$41,MATCH(FU$6,'Informacion de Sam'!$1:$1,0)),FU$48-FU$50)</f>
        <v>3126924.4054819783</v>
      </c>
      <c r="FV46" s="29">
        <f>IF(FV$5="Real",INDEX('Informacion de Sam'!$41:$41,MATCH(FV$6,'Informacion de Sam'!$1:$1,0)),FV$48-FV$50)</f>
        <v>4698819.5212320089</v>
      </c>
      <c r="FW46" s="29">
        <f>IF(FW$5="Real",INDEX('Informacion de Sam'!$41:$41,MATCH(FW$6,'Informacion de Sam'!$1:$1,0)),FW$48-FW$50)</f>
        <v>2867914.2812918653</v>
      </c>
      <c r="FX46" s="29">
        <f>IF(FX$5="Real",INDEX('Informacion de Sam'!$41:$41,MATCH(FX$6,'Informacion de Sam'!$1:$1,0)),FX$48-FX$50)</f>
        <v>2768508.4747635871</v>
      </c>
      <c r="FY46" s="29">
        <f>IF(FY$5="Real",INDEX('Informacion de Sam'!$41:$41,MATCH(FY$6,'Informacion de Sam'!$1:$1,0)),FY$48-FY$50)</f>
        <v>2853710.5045251157</v>
      </c>
      <c r="FZ46" s="29">
        <f>IF(FZ$5="Real",INDEX('Informacion de Sam'!$41:$41,MATCH(FZ$6,'Informacion de Sam'!$1:$1,0)),FZ$48-FZ$50)</f>
        <v>2641356.1584527725</v>
      </c>
      <c r="GA46" s="29">
        <f>SUM(FO46:FZ46)</f>
        <v>36768454.238186449</v>
      </c>
      <c r="GB46" s="29">
        <f>IF(GB$5="Real",INDEX('Informacion de Sam'!$41:$41,MATCH(GB$6,'Informacion de Sam'!$1:$1,0)),GB$48-GB$50)</f>
        <v>3458005.8958102986</v>
      </c>
      <c r="GC46" s="29">
        <f>IF(GC$5="Real",INDEX('Informacion de Sam'!$41:$41,MATCH(GC$6,'Informacion de Sam'!$1:$1,0)),GC$48-GC$50)</f>
        <v>4901804.5104343034</v>
      </c>
      <c r="GD46" s="29">
        <f>IF(GD$5="Real",INDEX('Informacion de Sam'!$41:$41,MATCH(GD$6,'Informacion de Sam'!$1:$1,0)),GD$48-GD$50)</f>
        <v>3517877.6007168428</v>
      </c>
      <c r="GE46" s="29">
        <f>IF(GE$5="Real",INDEX('Informacion de Sam'!$41:$41,MATCH(GE$6,'Informacion de Sam'!$1:$1,0)),GE$48-GE$50)</f>
        <v>3598873.7831348185</v>
      </c>
      <c r="GF46" s="29">
        <f>IF(GF$5="Real",INDEX('Informacion de Sam'!$41:$41,MATCH(GF$6,'Informacion de Sam'!$1:$1,0)),GF$48-GF$50)</f>
        <v>3166368.7534653805</v>
      </c>
      <c r="GG46" s="29">
        <f>IF(GG$5="Real",INDEX('Informacion de Sam'!$41:$41,MATCH(GG$6,'Informacion de Sam'!$1:$1,0)),GG$48-GG$50)</f>
        <v>3621095.5719872545</v>
      </c>
      <c r="GH46" s="29">
        <f>IF(GH$5="Real",INDEX('Informacion de Sam'!$41:$41,MATCH(GH$6,'Informacion de Sam'!$1:$1,0)),GH$48-GH$50)</f>
        <v>3908655.5068524731</v>
      </c>
      <c r="GI46" s="29">
        <f>IF(GI$5="Real",INDEX('Informacion de Sam'!$41:$41,MATCH(GI$6,'Informacion de Sam'!$1:$1,0)),GI$48-GI$50)</f>
        <v>5873524.4015400112</v>
      </c>
      <c r="GJ46" s="29">
        <f>IF(GJ$5="Real",INDEX('Informacion de Sam'!$41:$41,MATCH(GJ$6,'Informacion de Sam'!$1:$1,0)),GJ$48-GJ$50)</f>
        <v>3584892.8516148319</v>
      </c>
      <c r="GK46" s="29">
        <f>IF(GK$5="Real",INDEX('Informacion de Sam'!$41:$41,MATCH(GK$6,'Informacion de Sam'!$1:$1,0)),GK$48-GK$50)</f>
        <v>3460635.5934544834</v>
      </c>
      <c r="GL46" s="29">
        <f>IF(GL$5="Real",INDEX('Informacion de Sam'!$41:$41,MATCH(GL$6,'Informacion de Sam'!$1:$1,0)),GL$48-GL$50)</f>
        <v>3567138.1306563951</v>
      </c>
      <c r="GM46" s="29">
        <f>IF(GM$5="Real",INDEX('Informacion de Sam'!$41:$41,MATCH(GM$6,'Informacion de Sam'!$1:$1,0)),GM$48-GM$50)</f>
        <v>3301695.1980659659</v>
      </c>
      <c r="GN46" s="29">
        <f>SUM(GB46:GM46)</f>
        <v>45960567.797733054</v>
      </c>
      <c r="GO46" s="29">
        <f>IF(GO$5="Real",INDEX('Informacion de Sam'!$41:$41,MATCH(GO$6,'Informacion de Sam'!$1:$1,0)),GO$48-GO$50)</f>
        <v>4322507.3697628723</v>
      </c>
      <c r="GP46" s="29">
        <f>IF(GP$5="Real",INDEX('Informacion de Sam'!$41:$41,MATCH(GP$6,'Informacion de Sam'!$1:$1,0)),GP$48-GP$50)</f>
        <v>6127255.6380428784</v>
      </c>
      <c r="GQ46" s="29">
        <f>IF(GQ$5="Real",INDEX('Informacion de Sam'!$41:$41,MATCH(GQ$6,'Informacion de Sam'!$1:$1,0)),GQ$48-GQ$50)</f>
        <v>4397347.0008960515</v>
      </c>
      <c r="GR46" s="29">
        <f>IF(GR$5="Real",INDEX('Informacion de Sam'!$41:$41,MATCH(GR$6,'Informacion de Sam'!$1:$1,0)),GR$48-GR$50)</f>
        <v>4498592.2289185226</v>
      </c>
      <c r="GS46" s="29">
        <f>IF(GS$5="Real",INDEX('Informacion de Sam'!$41:$41,MATCH(GS$6,'Informacion de Sam'!$1:$1,0)),GS$48-GS$50)</f>
        <v>3957960.9418317247</v>
      </c>
      <c r="GT46" s="29">
        <f>IF(GT$5="Real",INDEX('Informacion de Sam'!$41:$41,MATCH(GT$6,'Informacion de Sam'!$1:$1,0)),GT$48-GT$50)</f>
        <v>4526369.4649840677</v>
      </c>
      <c r="GU46" s="29">
        <f>IF(GU$5="Real",INDEX('Informacion de Sam'!$41:$41,MATCH(GU$6,'Informacion de Sam'!$1:$1,0)),GU$48-GU$50)</f>
        <v>4885819.3835655898</v>
      </c>
      <c r="GV46" s="29">
        <f>IF(GV$5="Real",INDEX('Informacion de Sam'!$41:$41,MATCH(GV$6,'Informacion de Sam'!$1:$1,0)),GV$48-GV$50)</f>
        <v>7341905.501925014</v>
      </c>
      <c r="GW46" s="29">
        <f>IF(GW$5="Real",INDEX('Informacion de Sam'!$41:$41,MATCH(GW$6,'Informacion de Sam'!$1:$1,0)),GW$48-GW$50)</f>
        <v>4481116.0645185392</v>
      </c>
      <c r="GX46" s="29">
        <f>IF(GX$5="Real",INDEX('Informacion de Sam'!$41:$41,MATCH(GX$6,'Informacion de Sam'!$1:$1,0)),GX$48-GX$50)</f>
        <v>4325794.4918181049</v>
      </c>
      <c r="GY46" s="29">
        <f>IF(GY$5="Real",INDEX('Informacion de Sam'!$41:$41,MATCH(GY$6,'Informacion de Sam'!$1:$1,0)),GY$48-GY$50)</f>
        <v>4458922.6633204939</v>
      </c>
      <c r="GZ46" s="29">
        <f>IF(GZ$5="Real",INDEX('Informacion de Sam'!$41:$41,MATCH(GZ$6,'Informacion de Sam'!$1:$1,0)),GZ$48-GZ$50)</f>
        <v>4127118.997582458</v>
      </c>
      <c r="HA46" s="29">
        <f>SUM(GO46:GZ46)</f>
        <v>57450709.747166321</v>
      </c>
      <c r="HB46" s="29"/>
      <c r="HC46" s="52">
        <f t="shared" ref="HC46:HR46" si="14">SUMIFS($B46:$HA46,$B$4:$HA$4,HC$6,$B$5:$HA$5,"Acumulado")</f>
        <v>5892077.870000001</v>
      </c>
      <c r="HD46" s="52">
        <f t="shared" si="14"/>
        <v>4254380.92</v>
      </c>
      <c r="HE46" s="52">
        <f t="shared" si="14"/>
        <v>4302554.4700000007</v>
      </c>
      <c r="HF46" s="52">
        <f t="shared" si="14"/>
        <v>4858509.8499999996</v>
      </c>
      <c r="HG46" s="52">
        <f t="shared" si="14"/>
        <v>3003977.7600000002</v>
      </c>
      <c r="HH46" s="52">
        <f t="shared" si="14"/>
        <v>2119594.7100000004</v>
      </c>
      <c r="HI46" s="52">
        <f t="shared" si="14"/>
        <v>3483217.2598104603</v>
      </c>
      <c r="HJ46" s="52">
        <f t="shared" si="14"/>
        <v>9638629.667815147</v>
      </c>
      <c r="HK46" s="52">
        <f t="shared" si="14"/>
        <v>12048287.084768934</v>
      </c>
      <c r="HL46" s="52">
        <f t="shared" si="14"/>
        <v>15060358.855961166</v>
      </c>
      <c r="HM46" s="52">
        <f t="shared" si="14"/>
        <v>18825448.56995146</v>
      </c>
      <c r="HN46" s="52">
        <f t="shared" si="14"/>
        <v>23531810.712439325</v>
      </c>
      <c r="HO46" s="52">
        <f t="shared" si="14"/>
        <v>29414763.390549164</v>
      </c>
      <c r="HP46" s="52">
        <f t="shared" si="14"/>
        <v>36768454.238186449</v>
      </c>
      <c r="HQ46" s="52">
        <f t="shared" si="14"/>
        <v>45960567.797733054</v>
      </c>
      <c r="HR46" s="52">
        <f t="shared" si="14"/>
        <v>57450709.747166321</v>
      </c>
    </row>
    <row r="47" spans="1:226" x14ac:dyDescent="0.35">
      <c r="A47" t="s">
        <v>77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51"/>
      <c r="HD47" s="51"/>
      <c r="HE47" s="51"/>
      <c r="HF47" s="51"/>
      <c r="HG47" s="51"/>
      <c r="HH47" s="51"/>
      <c r="HI47" s="51"/>
      <c r="HJ47" s="51"/>
      <c r="HK47" s="51"/>
      <c r="HL47" s="51"/>
      <c r="HM47" s="51"/>
      <c r="HN47" s="51"/>
      <c r="HO47" s="51"/>
      <c r="HP47" s="51"/>
      <c r="HQ47" s="51"/>
      <c r="HR47" s="51"/>
    </row>
    <row r="48" spans="1:226" x14ac:dyDescent="0.35">
      <c r="A48" t="s">
        <v>78</v>
      </c>
      <c r="B48" s="23">
        <f>IF(B$5="Real",INDEX('Informacion de Sam'!$43:$43,MATCH(B$6,'Informacion de Sam'!$1:$1,0)),B$10*'Supuestos Proyeccion'!$F$37)</f>
        <v>756598.98</v>
      </c>
      <c r="C48" s="23">
        <f>IF(C$5="Real",INDEX('Informacion de Sam'!$43:$43,MATCH(C$6,'Informacion de Sam'!$1:$1,0)),C$10*'Supuestos Proyeccion'!$F$37)</f>
        <v>327136.63</v>
      </c>
      <c r="D48" s="23">
        <f>IF(D$5="Real",INDEX('Informacion de Sam'!$43:$43,MATCH(D$6,'Informacion de Sam'!$1:$1,0)),D$10*'Supuestos Proyeccion'!$F$37)</f>
        <v>647825.23</v>
      </c>
      <c r="E48" s="23">
        <f>IF(E$5="Real",INDEX('Informacion de Sam'!$43:$43,MATCH(E$6,'Informacion de Sam'!$1:$1,0)),E$10*'Supuestos Proyeccion'!$F$37)</f>
        <v>467217.97999999975</v>
      </c>
      <c r="F48" s="23">
        <f>IF(F$5="Real",INDEX('Informacion de Sam'!$43:$43,MATCH(F$6,'Informacion de Sam'!$1:$1,0)),F$10*'Supuestos Proyeccion'!$F$37)</f>
        <v>374218.38000000041</v>
      </c>
      <c r="G48" s="23">
        <f>IF(G$5="Real",INDEX('Informacion de Sam'!$43:$43,MATCH(G$6,'Informacion de Sam'!$1:$1,0)),G$10*'Supuestos Proyeccion'!$F$37)</f>
        <v>499327.68999999994</v>
      </c>
      <c r="H48" s="23">
        <f>IF(H$5="Real",INDEX('Informacion de Sam'!$43:$43,MATCH(H$6,'Informacion de Sam'!$1:$1,0)),H$10*'Supuestos Proyeccion'!$F$37)</f>
        <v>497476.31000000006</v>
      </c>
      <c r="I48" s="23">
        <f>IF(I$5="Real",INDEX('Informacion de Sam'!$43:$43,MATCH(I$6,'Informacion de Sam'!$1:$1,0)),I$10*'Supuestos Proyeccion'!$F$37)</f>
        <v>1032555.9100000006</v>
      </c>
      <c r="J48" s="23">
        <f>IF(J$5="Real",INDEX('Informacion de Sam'!$43:$43,MATCH(J$6,'Informacion de Sam'!$1:$1,0)),J$10*'Supuestos Proyeccion'!$F$37)</f>
        <v>734816.33999999985</v>
      </c>
      <c r="K48" s="23">
        <f>IF(K$5="Real",INDEX('Informacion de Sam'!$43:$43,MATCH(K$6,'Informacion de Sam'!$1:$1,0)),K$10*'Supuestos Proyeccion'!$F$37)</f>
        <v>451989.26999999955</v>
      </c>
      <c r="L48" s="23">
        <f>IF(L$5="Real",INDEX('Informacion de Sam'!$43:$43,MATCH(L$6,'Informacion de Sam'!$1:$1,0)),L$10*'Supuestos Proyeccion'!$F$37)</f>
        <v>724575.03000000026</v>
      </c>
      <c r="M48" s="23">
        <f>IF(M$5="Real",INDEX('Informacion de Sam'!$43:$43,MATCH(M$6,'Informacion de Sam'!$1:$1,0)),M$10*'Supuestos Proyeccion'!$F$37)</f>
        <v>827750.46</v>
      </c>
      <c r="N48" s="23">
        <f>SUM(B48:M48)</f>
        <v>7341488.21</v>
      </c>
      <c r="O48" s="23">
        <f>IF(O$5="Real",INDEX('Informacion de Sam'!$43:$43,MATCH(O$6,'Informacion de Sam'!$1:$1,0)),O$10*'Supuestos Proyeccion'!$F$37)</f>
        <v>450202.38</v>
      </c>
      <c r="P48" s="23">
        <f>IF(P$5="Real",INDEX('Informacion de Sam'!$43:$43,MATCH(P$6,'Informacion de Sam'!$1:$1,0)),P$10*'Supuestos Proyeccion'!$F$37)</f>
        <v>392331.30999999988</v>
      </c>
      <c r="Q48" s="23">
        <f>IF(Q$5="Real",INDEX('Informacion de Sam'!$43:$43,MATCH(Q$6,'Informacion de Sam'!$1:$1,0)),Q$10*'Supuestos Proyeccion'!$F$37)</f>
        <v>505502.85000000021</v>
      </c>
      <c r="R48" s="23">
        <f>IF(R$5="Real",INDEX('Informacion de Sam'!$43:$43,MATCH(R$6,'Informacion de Sam'!$1:$1,0)),R$10*'Supuestos Proyeccion'!$F$37)</f>
        <v>326695.15999999992</v>
      </c>
      <c r="S48" s="23">
        <f>IF(S$5="Real",INDEX('Informacion de Sam'!$43:$43,MATCH(S$6,'Informacion de Sam'!$1:$1,0)),S$10*'Supuestos Proyeccion'!$F$37)</f>
        <v>345594.45999999996</v>
      </c>
      <c r="T48" s="23">
        <f>IF(T$5="Real",INDEX('Informacion de Sam'!$43:$43,MATCH(T$6,'Informacion de Sam'!$1:$1,0)),T$10*'Supuestos Proyeccion'!$F$37)</f>
        <v>450723.33000000007</v>
      </c>
      <c r="U48" s="23">
        <f>IF(U$5="Real",INDEX('Informacion de Sam'!$43:$43,MATCH(U$6,'Informacion de Sam'!$1:$1,0)),U$10*'Supuestos Proyeccion'!$F$37)</f>
        <v>390806.51999999955</v>
      </c>
      <c r="V48" s="23">
        <f>IF(V$5="Real",INDEX('Informacion de Sam'!$43:$43,MATCH(V$6,'Informacion de Sam'!$1:$1,0)),V$10*'Supuestos Proyeccion'!$F$37)</f>
        <v>709851.90000000037</v>
      </c>
      <c r="W48" s="23">
        <f>IF(W$5="Real",INDEX('Informacion de Sam'!$43:$43,MATCH(W$6,'Informacion de Sam'!$1:$1,0)),W$10*'Supuestos Proyeccion'!$F$37)</f>
        <v>345482.35999999987</v>
      </c>
      <c r="X48" s="23">
        <f>IF(X$5="Real",INDEX('Informacion de Sam'!$43:$43,MATCH(X$6,'Informacion de Sam'!$1:$1,0)),X$10*'Supuestos Proyeccion'!$F$37)</f>
        <v>340685.07999999961</v>
      </c>
      <c r="Y48" s="23">
        <f>IF(Y$5="Real",INDEX('Informacion de Sam'!$43:$43,MATCH(Y$6,'Informacion de Sam'!$1:$1,0)),Y$10*'Supuestos Proyeccion'!$F$37)</f>
        <v>564015.49000000022</v>
      </c>
      <c r="Z48" s="23">
        <f>IF(Z$5="Real",INDEX('Informacion de Sam'!$43:$43,MATCH(Z$6,'Informacion de Sam'!$1:$1,0)),Z$10*'Supuestos Proyeccion'!$F$37)</f>
        <v>539973.62000000011</v>
      </c>
      <c r="AA48" s="23">
        <f>SUM(O48:Z48)</f>
        <v>5361864.46</v>
      </c>
      <c r="AB48" s="23">
        <f>IF(AB$5="Real",INDEX('Informacion de Sam'!$43:$43,MATCH(AB$6,'Informacion de Sam'!$1:$1,0)),AB$10*'Supuestos Proyeccion'!$F$37)</f>
        <v>406159.83</v>
      </c>
      <c r="AC48" s="23">
        <f>IF(AC$5="Real",INDEX('Informacion de Sam'!$43:$43,MATCH(AC$6,'Informacion de Sam'!$1:$1,0)),AC$10*'Supuestos Proyeccion'!$F$37)</f>
        <v>490251.92000000004</v>
      </c>
      <c r="AD48" s="23">
        <f>IF(AD$5="Real",INDEX('Informacion de Sam'!$43:$43,MATCH(AD$6,'Informacion de Sam'!$1:$1,0)),AD$10*'Supuestos Proyeccion'!$F$37)</f>
        <v>1065482.5700000003</v>
      </c>
      <c r="AE48" s="23">
        <f>IF(AE$5="Real",INDEX('Informacion de Sam'!$43:$43,MATCH(AE$6,'Informacion de Sam'!$1:$1,0)),AE$10*'Supuestos Proyeccion'!$F$37)</f>
        <v>260842.09999999963</v>
      </c>
      <c r="AF48" s="23">
        <f>IF(AF$5="Real",INDEX('Informacion de Sam'!$43:$43,MATCH(AF$6,'Informacion de Sam'!$1:$1,0)),AF$10*'Supuestos Proyeccion'!$F$37)</f>
        <v>336188.25</v>
      </c>
      <c r="AG48" s="23">
        <f>IF(AG$5="Real",INDEX('Informacion de Sam'!$43:$43,MATCH(AG$6,'Informacion de Sam'!$1:$1,0)),AG$10*'Supuestos Proyeccion'!$F$37)</f>
        <v>649026.0700000003</v>
      </c>
      <c r="AH48" s="23">
        <f>IF(AH$5="Real",INDEX('Informacion de Sam'!$43:$43,MATCH(AH$6,'Informacion de Sam'!$1:$1,0)),AH$10*'Supuestos Proyeccion'!$F$37)</f>
        <v>416385.19999999972</v>
      </c>
      <c r="AI48" s="23">
        <f>IF(AI$5="Real",INDEX('Informacion de Sam'!$43:$43,MATCH(AI$6,'Informacion de Sam'!$1:$1,0)),AI$10*'Supuestos Proyeccion'!$F$37)</f>
        <v>1713263.2600000002</v>
      </c>
      <c r="AJ48" s="23">
        <f>IF(AJ$5="Real",INDEX('Informacion de Sam'!$43:$43,MATCH(AJ$6,'Informacion de Sam'!$1:$1,0)),AJ$10*'Supuestos Proyeccion'!$F$37)</f>
        <v>923631.71999999974</v>
      </c>
      <c r="AK48" s="23">
        <f>IF(AK$5="Real",INDEX('Informacion de Sam'!$43:$43,MATCH(AK$6,'Informacion de Sam'!$1:$1,0)),AK$10*'Supuestos Proyeccion'!$F$37)</f>
        <v>262979.05000000005</v>
      </c>
      <c r="AL48" s="23">
        <f>IF(AL$5="Real",INDEX('Informacion de Sam'!$43:$43,MATCH(AL$6,'Informacion de Sam'!$1:$1,0)),AL$10*'Supuestos Proyeccion'!$F$37)</f>
        <v>495044.29000000004</v>
      </c>
      <c r="AM48" s="23">
        <f>IF(AM$5="Real",INDEX('Informacion de Sam'!$43:$43,MATCH(AM$6,'Informacion de Sam'!$1:$1,0)),AM$10*'Supuestos Proyeccion'!$F$37)</f>
        <v>881338.60000000102</v>
      </c>
      <c r="AN48" s="23">
        <f>SUM(AB48:AM48)</f>
        <v>7900592.8600000013</v>
      </c>
      <c r="AO48" s="23">
        <f>IF(AO$5="Real",INDEX('Informacion de Sam'!$43:$43,MATCH(AO$6,'Informacion de Sam'!$1:$1,0)),AO$10*'Supuestos Proyeccion'!$F$37)</f>
        <v>353481.41</v>
      </c>
      <c r="AP48" s="23">
        <f>IF(AP$5="Real",INDEX('Informacion de Sam'!$43:$43,MATCH(AP$6,'Informacion de Sam'!$1:$1,0)),AP$10*'Supuestos Proyeccion'!$F$37)</f>
        <v>526045.03999999992</v>
      </c>
      <c r="AQ48" s="23">
        <f>IF(AQ$5="Real",INDEX('Informacion de Sam'!$43:$43,MATCH(AQ$6,'Informacion de Sam'!$1:$1,0)),AQ$10*'Supuestos Proyeccion'!$F$37)</f>
        <v>575849.83000000007</v>
      </c>
      <c r="AR48" s="23">
        <f>IF(AR$5="Real",INDEX('Informacion de Sam'!$43:$43,MATCH(AR$6,'Informacion de Sam'!$1:$1,0)),AR$10*'Supuestos Proyeccion'!$F$37)</f>
        <v>257462.91999999998</v>
      </c>
      <c r="AS48" s="23">
        <f>IF(AS$5="Real",INDEX('Informacion de Sam'!$43:$43,MATCH(AS$6,'Informacion de Sam'!$1:$1,0)),AS$10*'Supuestos Proyeccion'!$F$37)</f>
        <v>979879.37999999989</v>
      </c>
      <c r="AT48" s="23">
        <f>IF(AT$5="Real",INDEX('Informacion de Sam'!$43:$43,MATCH(AT$6,'Informacion de Sam'!$1:$1,0)),AT$10*'Supuestos Proyeccion'!$F$37)</f>
        <v>77019.729999999981</v>
      </c>
      <c r="AU48" s="23">
        <f>IF(AU$5="Real",INDEX('Informacion de Sam'!$43:$43,MATCH(AU$6,'Informacion de Sam'!$1:$1,0)),AU$10*'Supuestos Proyeccion'!$F$37)</f>
        <v>450003.5400000001</v>
      </c>
      <c r="AV48" s="23">
        <f>IF(AV$5="Real",INDEX('Informacion de Sam'!$43:$43,MATCH(AV$6,'Informacion de Sam'!$1:$1,0)),AV$10*'Supuestos Proyeccion'!$F$37)</f>
        <v>654197.04</v>
      </c>
      <c r="AW48" s="23">
        <f>IF(AW$5="Real",INDEX('Informacion de Sam'!$43:$43,MATCH(AW$6,'Informacion de Sam'!$1:$1,0)),AW$10*'Supuestos Proyeccion'!$F$37)</f>
        <v>304395.33999999973</v>
      </c>
      <c r="AX48" s="23">
        <f>IF(AX$5="Real",INDEX('Informacion de Sam'!$43:$43,MATCH(AX$6,'Informacion de Sam'!$1:$1,0)),AX$10*'Supuestos Proyeccion'!$F$37)</f>
        <v>432063.3900000006</v>
      </c>
      <c r="AY48" s="23">
        <f>IF(AY$5="Real",INDEX('Informacion de Sam'!$43:$43,MATCH(AY$6,'Informacion de Sam'!$1:$1,0)),AY$10*'Supuestos Proyeccion'!$F$37)</f>
        <v>330501.04999999946</v>
      </c>
      <c r="AZ48" s="23">
        <f>IF(AZ$5="Real",INDEX('Informacion de Sam'!$43:$43,MATCH(AZ$6,'Informacion de Sam'!$1:$1,0)),AZ$10*'Supuestos Proyeccion'!$F$37)</f>
        <v>1176100.3400000003</v>
      </c>
      <c r="BA48" s="23">
        <f>SUM(AO48:AZ48)</f>
        <v>6116999.0100000016</v>
      </c>
      <c r="BB48" s="23">
        <f>IF(BB$5="Real",INDEX('Informacion de Sam'!$43:$43,MATCH(BB$6,'Informacion de Sam'!$1:$1,0)),BB$10*'Supuestos Proyeccion'!$F$37)</f>
        <v>451554.09</v>
      </c>
      <c r="BC48" s="23">
        <f>IF(BC$5="Real",INDEX('Informacion de Sam'!$43:$43,MATCH(BC$6,'Informacion de Sam'!$1:$1,0)),BC$10*'Supuestos Proyeccion'!$F$37)</f>
        <v>266254.95</v>
      </c>
      <c r="BD48" s="23">
        <f>IF(BD$5="Real",INDEX('Informacion de Sam'!$43:$43,MATCH(BD$6,'Informacion de Sam'!$1:$1,0)),BD$10*'Supuestos Proyeccion'!$F$37)</f>
        <v>394778.37999999989</v>
      </c>
      <c r="BE48" s="23">
        <f>IF(BE$5="Real",INDEX('Informacion de Sam'!$43:$43,MATCH(BE$6,'Informacion de Sam'!$1:$1,0)),BE$10*'Supuestos Proyeccion'!$F$37)</f>
        <v>235714.99999999994</v>
      </c>
      <c r="BF48" s="23">
        <f>IF(BF$5="Real",INDEX('Informacion de Sam'!$43:$43,MATCH(BF$6,'Informacion de Sam'!$1:$1,0)),BF$10*'Supuestos Proyeccion'!$F$37)</f>
        <v>261227.12000000014</v>
      </c>
      <c r="BG48" s="23">
        <f>IF(BG$5="Real",INDEX('Informacion de Sam'!$43:$43,MATCH(BG$6,'Informacion de Sam'!$1:$1,0)),BG$10*'Supuestos Proyeccion'!$F$37)</f>
        <v>309543.7900000001</v>
      </c>
      <c r="BH48" s="23">
        <f>IF(BH$5="Real",INDEX('Informacion de Sam'!$43:$43,MATCH(BH$6,'Informacion de Sam'!$1:$1,0)),BH$10*'Supuestos Proyeccion'!$F$37)</f>
        <v>390321.79000000004</v>
      </c>
      <c r="BI48" s="23">
        <f>IF(BI$5="Real",INDEX('Informacion de Sam'!$43:$43,MATCH(BI$6,'Informacion de Sam'!$1:$1,0)),BI$10*'Supuestos Proyeccion'!$F$37)</f>
        <v>521203.72999999981</v>
      </c>
      <c r="BJ48" s="23">
        <f>IF(BJ$5="Real",INDEX('Informacion de Sam'!$43:$43,MATCH(BJ$6,'Informacion de Sam'!$1:$1,0)),BJ$10*'Supuestos Proyeccion'!$F$37)</f>
        <v>261330.67999999988</v>
      </c>
      <c r="BK48" s="23">
        <f>IF(BK$5="Real",INDEX('Informacion de Sam'!$43:$43,MATCH(BK$6,'Informacion de Sam'!$1:$1,0)),BK$10*'Supuestos Proyeccion'!$F$37)</f>
        <v>363524.34000000032</v>
      </c>
      <c r="BL48" s="23">
        <f>IF(BL$5="Real",INDEX('Informacion de Sam'!$43:$43,MATCH(BL$6,'Informacion de Sam'!$1:$1,0)),BL$10*'Supuestos Proyeccion'!$F$37)</f>
        <v>860360.57000000018</v>
      </c>
      <c r="BM48" s="23">
        <f>IF(BM$5="Real",INDEX('Informacion de Sam'!$43:$43,MATCH(BM$6,'Informacion de Sam'!$1:$1,0)),BM$10*'Supuestos Proyeccion'!$F$37)</f>
        <v>362365.02999999968</v>
      </c>
      <c r="BN48" s="23">
        <f>SUM(BB48:BM48)</f>
        <v>4678179.47</v>
      </c>
      <c r="BO48" s="23">
        <f>IF(BO$5="Real",INDEX('Informacion de Sam'!$43:$43,MATCH(BO$6,'Informacion de Sam'!$1:$1,0)),BO$10*'Supuestos Proyeccion'!$F$37)</f>
        <v>574209.01</v>
      </c>
      <c r="BP48" s="23">
        <f>IF(BP$5="Real",INDEX('Informacion de Sam'!$43:$43,MATCH(BP$6,'Informacion de Sam'!$1:$1,0)),BP$10*'Supuestos Proyeccion'!$F$37)</f>
        <v>215087.21999999994</v>
      </c>
      <c r="BQ48" s="23">
        <f>IF(BQ$5="Real",INDEX('Informacion de Sam'!$43:$43,MATCH(BQ$6,'Informacion de Sam'!$1:$1,0)),BQ$10*'Supuestos Proyeccion'!$F$37)</f>
        <v>738158.38000000012</v>
      </c>
      <c r="BR48" s="23">
        <f>IF(BR$5="Real",INDEX('Informacion de Sam'!$43:$43,MATCH(BR$6,'Informacion de Sam'!$1:$1,0)),BR$10*'Supuestos Proyeccion'!$F$37)</f>
        <v>729482.30999999982</v>
      </c>
      <c r="BS48" s="23">
        <f>IF(BS$5="Real",INDEX('Informacion de Sam'!$43:$43,MATCH(BS$6,'Informacion de Sam'!$1:$1,0)),BS$10*'Supuestos Proyeccion'!$F$37)</f>
        <v>220552.4700000002</v>
      </c>
      <c r="BT48" s="23">
        <f>IF(BT$5="Real",INDEX('Informacion de Sam'!$43:$43,MATCH(BT$6,'Informacion de Sam'!$1:$1,0)),BT$10*'Supuestos Proyeccion'!$F$37)</f>
        <v>250953.25</v>
      </c>
      <c r="BU48" s="23">
        <f>IF(BU$5="Real",INDEX('Informacion de Sam'!$43:$43,MATCH(BU$6,'Informacion de Sam'!$1:$1,0)),BU$10*'Supuestos Proyeccion'!$F$37)</f>
        <v>271688.65999999968</v>
      </c>
      <c r="BV48" s="23">
        <f>IF(BV$5="Real",INDEX('Informacion de Sam'!$43:$43,MATCH(BV$6,'Informacion de Sam'!$1:$1,0)),BV$10*'Supuestos Proyeccion'!$F$37)</f>
        <v>199177.71999999997</v>
      </c>
      <c r="BW48" s="23">
        <f>IF(BW$5="Real",INDEX('Informacion de Sam'!$43:$43,MATCH(BW$6,'Informacion de Sam'!$1:$1,0)),BW$10*'Supuestos Proyeccion'!$F$37)</f>
        <v>198037.41000000015</v>
      </c>
      <c r="BX48" s="23">
        <f>IF(BX$5="Real",INDEX('Informacion de Sam'!$43:$43,MATCH(BX$6,'Informacion de Sam'!$1:$1,0)),BX$10*'Supuestos Proyeccion'!$F$37)</f>
        <v>327356.41999999993</v>
      </c>
      <c r="BY48" s="23">
        <f>IF(BY$5="Real",INDEX('Informacion de Sam'!$43:$43,MATCH(BY$6,'Informacion de Sam'!$1:$1,0)),BY$10*'Supuestos Proyeccion'!$F$37)</f>
        <v>303654.25</v>
      </c>
      <c r="BZ48" s="23">
        <f>IF(BZ$5="Real",INDEX('Informacion de Sam'!$43:$43,MATCH(BZ$6,'Informacion de Sam'!$1:$1,0)),BZ$10*'Supuestos Proyeccion'!$F$37)</f>
        <v>115001.2900000005</v>
      </c>
      <c r="CA48" s="23">
        <f>SUM(BO48:BZ48)</f>
        <v>4143358.39</v>
      </c>
      <c r="CB48" s="23">
        <f>IF(CB$5="Real",INDEX('Informacion de Sam'!$43:$43,MATCH(CB$6,'Informacion de Sam'!$1:$1,0)),CB$10*'Supuestos Proyeccion'!$F$37)</f>
        <v>1029539.85</v>
      </c>
      <c r="CC48" s="23">
        <f>IF(CC$5="Real",INDEX('Informacion de Sam'!$43:$43,MATCH(CC$6,'Informacion de Sam'!$1:$1,0)),CC$10*'Supuestos Proyeccion'!$F$37)</f>
        <v>581480.86</v>
      </c>
      <c r="CD48" s="23">
        <f>IF(CD$5="Real",INDEX('Informacion de Sam'!$43:$43,MATCH(CD$6,'Informacion de Sam'!$1:$1,0)),CD$10*'Supuestos Proyeccion'!$F$37)</f>
        <v>1155984.56</v>
      </c>
      <c r="CE48" s="23">
        <f>IF(CE$5="Real",INDEX('Informacion de Sam'!$43:$43,MATCH(CE$6,'Informacion de Sam'!$1:$1,0)),CE$10*'Supuestos Proyeccion'!$F$37)</f>
        <v>339670.91999999993</v>
      </c>
      <c r="CF48" s="23">
        <f>IF(CF$5="Real",INDEX('Informacion de Sam'!$43:$43,MATCH(CF$6,'Informacion de Sam'!$1:$1,0)),CF$10*'Supuestos Proyeccion'!$F$37)</f>
        <v>270037.77</v>
      </c>
      <c r="CG48" s="23">
        <f>IF(CG$5="Real",INDEX('Informacion de Sam'!$43:$43,MATCH(CG$6,'Informacion de Sam'!$1:$1,0)),CG$10*'Supuestos Proyeccion'!$F$37)</f>
        <v>505385.39999999967</v>
      </c>
      <c r="CH48" s="23">
        <f>IF(CH$5="Real",INDEX('Informacion de Sam'!$43:$43,MATCH(CH$6,'Informacion de Sam'!$1:$1,0)),CH$10*'Supuestos Proyeccion'!$F$37)</f>
        <v>474341.88000000035</v>
      </c>
      <c r="CI48" s="23">
        <f>IF(CI$5="Real",INDEX('Informacion de Sam'!$43:$43,MATCH(CI$6,'Informacion de Sam'!$1:$1,0)),CI$10*'Supuestos Proyeccion'!$F$37)</f>
        <v>181083.2799999998</v>
      </c>
      <c r="CJ48" s="23">
        <f>IF(CJ$5="Real",INDEX('Informacion de Sam'!$43:$43,MATCH(CJ$6,'Informacion de Sam'!$1:$1,0)),CJ$10*'Supuestos Proyeccion'!$F$37)</f>
        <v>1052959.4084750749</v>
      </c>
      <c r="CK48" s="23">
        <f>IF(CK$5="Real",INDEX('Informacion de Sam'!$43:$43,MATCH(CK$6,'Informacion de Sam'!$1:$1,0)),CK$10*'Supuestos Proyeccion'!$F$37)</f>
        <v>1016462.4043896341</v>
      </c>
      <c r="CL48" s="23">
        <f>IF(CL$5="Real",INDEX('Informacion de Sam'!$43:$43,MATCH(CL$6,'Informacion de Sam'!$1:$1,0)),CL$10*'Supuestos Proyeccion'!$F$37)</f>
        <v>1047744.4686562702</v>
      </c>
      <c r="CM48" s="23">
        <f>IF(CM$5="Real",INDEX('Informacion de Sam'!$43:$43,MATCH(CM$6,'Informacion de Sam'!$1:$1,0)),CM$10*'Supuestos Proyeccion'!$F$37)</f>
        <v>969778.22395849472</v>
      </c>
      <c r="CN48" s="23">
        <f>SUM(CB48:CM48)</f>
        <v>8624469.0254794732</v>
      </c>
      <c r="CO48" s="23">
        <f>IF(CO$5="Real",INDEX('Informacion de Sam'!$43:$43,MATCH(CO$6,'Informacion de Sam'!$1:$1,0)),CO$10*'Supuestos Proyeccion'!$F$37)</f>
        <v>1269612.5077056226</v>
      </c>
      <c r="CP48" s="23">
        <f>IF(CP$5="Real",INDEX('Informacion de Sam'!$43:$43,MATCH(CP$6,'Informacion de Sam'!$1:$1,0)),CP$10*'Supuestos Proyeccion'!$F$37)</f>
        <v>1799705.5251743372</v>
      </c>
      <c r="CQ48" s="23">
        <f>IF(CQ$5="Real",INDEX('Informacion de Sam'!$43:$43,MATCH(CQ$6,'Informacion de Sam'!$1:$1,0)),CQ$10*'Supuestos Proyeccion'!$F$37)</f>
        <v>1291594.5018656405</v>
      </c>
      <c r="CR48" s="23">
        <f>IF(CR$5="Real",INDEX('Informacion de Sam'!$43:$43,MATCH(CR$6,'Informacion de Sam'!$1:$1,0)),CR$10*'Supuestos Proyeccion'!$F$37)</f>
        <v>1321332.3824166425</v>
      </c>
      <c r="CS48" s="23">
        <f>IF(CS$5="Real",INDEX('Informacion de Sam'!$43:$43,MATCH(CS$6,'Informacion de Sam'!$1:$1,0)),CS$10*'Supuestos Proyeccion'!$F$37)</f>
        <v>1162537.4549761738</v>
      </c>
      <c r="CT48" s="23">
        <f>IF(CT$5="Real",INDEX('Informacion de Sam'!$43:$43,MATCH(CT$6,'Informacion de Sam'!$1:$1,0)),CT$10*'Supuestos Proyeccion'!$F$37)</f>
        <v>1329491.1484571602</v>
      </c>
      <c r="CU48" s="23">
        <f>IF(CU$5="Real",INDEX('Informacion de Sam'!$43:$43,MATCH(CU$6,'Informacion de Sam'!$1:$1,0)),CU$10*'Supuestos Proyeccion'!$F$37)</f>
        <v>1435069.2478069142</v>
      </c>
      <c r="CV48" s="23">
        <f>IF(CV$5="Real",INDEX('Informacion de Sam'!$43:$43,MATCH(CV$6,'Informacion de Sam'!$1:$1,0)),CV$10*'Supuestos Proyeccion'!$F$37)</f>
        <v>2156474.0689263614</v>
      </c>
      <c r="CW48" s="23">
        <f>IF(CW$5="Real",INDEX('Informacion de Sam'!$43:$43,MATCH(CW$6,'Informacion de Sam'!$1:$1,0)),CW$10*'Supuestos Proyeccion'!$F$37)</f>
        <v>1316199.2605938436</v>
      </c>
      <c r="CX48" s="23">
        <f>IF(CX$5="Real",INDEX('Informacion de Sam'!$43:$43,MATCH(CX$6,'Informacion de Sam'!$1:$1,0)),CX$10*'Supuestos Proyeccion'!$F$37)</f>
        <v>1270578.0054870425</v>
      </c>
      <c r="CY48" s="23">
        <f>IF(CY$5="Real",INDEX('Informacion de Sam'!$43:$43,MATCH(CY$6,'Informacion de Sam'!$1:$1,0)),CY$10*'Supuestos Proyeccion'!$F$37)</f>
        <v>1309680.5858203378</v>
      </c>
      <c r="CZ48" s="23">
        <f>IF(CZ$5="Real",INDEX('Informacion de Sam'!$43:$43,MATCH(CZ$6,'Informacion de Sam'!$1:$1,0)),CZ$10*'Supuestos Proyeccion'!$F$37)</f>
        <v>1212222.7799481184</v>
      </c>
      <c r="DA48" s="23">
        <f>SUM(CO48:CZ48)</f>
        <v>16874497.469178192</v>
      </c>
      <c r="DB48" s="23">
        <f>IF(DB$5="Real",INDEX('Informacion de Sam'!$43:$43,MATCH(DB$6,'Informacion de Sam'!$1:$1,0)),DB$10*'Supuestos Proyeccion'!$F$37)</f>
        <v>1587015.6346320284</v>
      </c>
      <c r="DC48" s="23">
        <f>IF(DC$5="Real",INDEX('Informacion de Sam'!$43:$43,MATCH(DC$6,'Informacion de Sam'!$1:$1,0)),DC$10*'Supuestos Proyeccion'!$F$37)</f>
        <v>2249631.9064679216</v>
      </c>
      <c r="DD48" s="23">
        <f>IF(DD$5="Real",INDEX('Informacion de Sam'!$43:$43,MATCH(DD$6,'Informacion de Sam'!$1:$1,0)),DD$10*'Supuestos Proyeccion'!$F$37)</f>
        <v>1614493.1273320506</v>
      </c>
      <c r="DE48" s="23">
        <f>IF(DE$5="Real",INDEX('Informacion de Sam'!$43:$43,MATCH(DE$6,'Informacion de Sam'!$1:$1,0)),DE$10*'Supuestos Proyeccion'!$F$37)</f>
        <v>1651665.4780208033</v>
      </c>
      <c r="DF48" s="23">
        <f>IF(DF$5="Real",INDEX('Informacion de Sam'!$43:$43,MATCH(DF$6,'Informacion de Sam'!$1:$1,0)),DF$10*'Supuestos Proyeccion'!$F$37)</f>
        <v>1453171.8187202171</v>
      </c>
      <c r="DG48" s="23">
        <f>IF(DG$5="Real",INDEX('Informacion de Sam'!$43:$43,MATCH(DG$6,'Informacion de Sam'!$1:$1,0)),DG$10*'Supuestos Proyeccion'!$F$37)</f>
        <v>1661863.93557145</v>
      </c>
      <c r="DH48" s="23">
        <f>IF(DH$5="Real",INDEX('Informacion de Sam'!$43:$43,MATCH(DH$6,'Informacion de Sam'!$1:$1,0)),DH$10*'Supuestos Proyeccion'!$F$37)</f>
        <v>1793836.5597586427</v>
      </c>
      <c r="DI48" s="23">
        <f>IF(DI$5="Real",INDEX('Informacion de Sam'!$43:$43,MATCH(DI$6,'Informacion de Sam'!$1:$1,0)),DI$10*'Supuestos Proyeccion'!$F$37)</f>
        <v>2695592.5861579515</v>
      </c>
      <c r="DJ48" s="23">
        <f>IF(DJ$5="Real",INDEX('Informacion de Sam'!$43:$43,MATCH(DJ$6,'Informacion de Sam'!$1:$1,0)),DJ$10*'Supuestos Proyeccion'!$F$37)</f>
        <v>1645249.0757423046</v>
      </c>
      <c r="DK48" s="23">
        <f>IF(DK$5="Real",INDEX('Informacion de Sam'!$43:$43,MATCH(DK$6,'Informacion de Sam'!$1:$1,0)),DK$10*'Supuestos Proyeccion'!$F$37)</f>
        <v>1588222.5068588031</v>
      </c>
      <c r="DL48" s="23">
        <f>IF(DL$5="Real",INDEX('Informacion de Sam'!$43:$43,MATCH(DL$6,'Informacion de Sam'!$1:$1,0)),DL$10*'Supuestos Proyeccion'!$F$37)</f>
        <v>1637100.732275422</v>
      </c>
      <c r="DM48" s="23">
        <f>IF(DM$5="Real",INDEX('Informacion de Sam'!$43:$43,MATCH(DM$6,'Informacion de Sam'!$1:$1,0)),DM$10*'Supuestos Proyeccion'!$F$37)</f>
        <v>1515278.4749351481</v>
      </c>
      <c r="DN48" s="23">
        <f>SUM(DB48:DM48)</f>
        <v>21093121.836472742</v>
      </c>
      <c r="DO48" s="23">
        <f>IF(DO$5="Real",INDEX('Informacion de Sam'!$43:$43,MATCH(DO$6,'Informacion de Sam'!$1:$1,0)),DO$10*'Supuestos Proyeccion'!$F$37)</f>
        <v>1983769.5432900356</v>
      </c>
      <c r="DP48" s="23">
        <f>IF(DP$5="Real",INDEX('Informacion de Sam'!$43:$43,MATCH(DP$6,'Informacion de Sam'!$1:$1,0)),DP$10*'Supuestos Proyeccion'!$F$37)</f>
        <v>2812039.8830849021</v>
      </c>
      <c r="DQ48" s="23">
        <f>IF(DQ$5="Real",INDEX('Informacion de Sam'!$43:$43,MATCH(DQ$6,'Informacion de Sam'!$1:$1,0)),DQ$10*'Supuestos Proyeccion'!$F$37)</f>
        <v>2018116.4091650629</v>
      </c>
      <c r="DR48" s="23">
        <f>IF(DR$5="Real",INDEX('Informacion de Sam'!$43:$43,MATCH(DR$6,'Informacion de Sam'!$1:$1,0)),DR$10*'Supuestos Proyeccion'!$F$37)</f>
        <v>2064581.8475260041</v>
      </c>
      <c r="DS48" s="23">
        <f>IF(DS$5="Real",INDEX('Informacion de Sam'!$43:$43,MATCH(DS$6,'Informacion de Sam'!$1:$1,0)),DS$10*'Supuestos Proyeccion'!$F$37)</f>
        <v>1816464.7734002713</v>
      </c>
      <c r="DT48" s="23">
        <f>IF(DT$5="Real",INDEX('Informacion de Sam'!$43:$43,MATCH(DT$6,'Informacion de Sam'!$1:$1,0)),DT$10*'Supuestos Proyeccion'!$F$37)</f>
        <v>2077329.919464313</v>
      </c>
      <c r="DU48" s="23">
        <f>IF(DU$5="Real",INDEX('Informacion de Sam'!$43:$43,MATCH(DU$6,'Informacion de Sam'!$1:$1,0)),DU$10*'Supuestos Proyeccion'!$F$37)</f>
        <v>2242295.6996983038</v>
      </c>
      <c r="DV48" s="23">
        <f>IF(DV$5="Real",INDEX('Informacion de Sam'!$43:$43,MATCH(DV$6,'Informacion de Sam'!$1:$1,0)),DV$10*'Supuestos Proyeccion'!$F$37)</f>
        <v>3369490.7326974394</v>
      </c>
      <c r="DW48" s="23">
        <f>IF(DW$5="Real",INDEX('Informacion de Sam'!$43:$43,MATCH(DW$6,'Informacion de Sam'!$1:$1,0)),DW$10*'Supuestos Proyeccion'!$F$37)</f>
        <v>2056561.3446778809</v>
      </c>
      <c r="DX48" s="23">
        <f>IF(DX$5="Real",INDEX('Informacion de Sam'!$43:$43,MATCH(DX$6,'Informacion de Sam'!$1:$1,0)),DX$10*'Supuestos Proyeccion'!$F$37)</f>
        <v>1985278.1335735042</v>
      </c>
      <c r="DY48" s="23">
        <f>IF(DY$5="Real",INDEX('Informacion de Sam'!$43:$43,MATCH(DY$6,'Informacion de Sam'!$1:$1,0)),DY$10*'Supuestos Proyeccion'!$F$37)</f>
        <v>2046375.9153442776</v>
      </c>
      <c r="DZ48" s="23">
        <f>IF(DZ$5="Real",INDEX('Informacion de Sam'!$43:$43,MATCH(DZ$6,'Informacion de Sam'!$1:$1,0)),DZ$10*'Supuestos Proyeccion'!$F$37)</f>
        <v>1894098.0936689351</v>
      </c>
      <c r="EA48" s="23">
        <f>SUM(DO48:DZ48)</f>
        <v>26366402.29559093</v>
      </c>
      <c r="EB48" s="23">
        <f>IF(EB$5="Real",INDEX('Informacion de Sam'!$43:$43,MATCH(EB$6,'Informacion de Sam'!$1:$1,0)),EB$10*'Supuestos Proyeccion'!$F$37)</f>
        <v>2479711.9291125447</v>
      </c>
      <c r="EC48" s="23">
        <f>IF(EC$5="Real",INDEX('Informacion de Sam'!$43:$43,MATCH(EC$6,'Informacion de Sam'!$1:$1,0)),EC$10*'Supuestos Proyeccion'!$F$37)</f>
        <v>3515049.8538561277</v>
      </c>
      <c r="ED48" s="23">
        <f>IF(ED$5="Real",INDEX('Informacion de Sam'!$43:$43,MATCH(ED$6,'Informacion de Sam'!$1:$1,0)),ED$10*'Supuestos Proyeccion'!$F$37)</f>
        <v>2522645.5114563289</v>
      </c>
      <c r="EE48" s="23">
        <f>IF(EE$5="Real",INDEX('Informacion de Sam'!$43:$43,MATCH(EE$6,'Informacion de Sam'!$1:$1,0)),EE$10*'Supuestos Proyeccion'!$F$37)</f>
        <v>2580727.3094075052</v>
      </c>
      <c r="EF48" s="23">
        <f>IF(EF$5="Real",INDEX('Informacion de Sam'!$43:$43,MATCH(EF$6,'Informacion de Sam'!$1:$1,0)),EF$10*'Supuestos Proyeccion'!$F$37)</f>
        <v>2270580.9667503396</v>
      </c>
      <c r="EG48" s="23">
        <f>IF(EG$5="Real",INDEX('Informacion de Sam'!$43:$43,MATCH(EG$6,'Informacion de Sam'!$1:$1,0)),EG$10*'Supuestos Proyeccion'!$F$37)</f>
        <v>2596662.3993303911</v>
      </c>
      <c r="EH48" s="23">
        <f>IF(EH$5="Real",INDEX('Informacion de Sam'!$43:$43,MATCH(EH$6,'Informacion de Sam'!$1:$1,0)),EH$10*'Supuestos Proyeccion'!$F$37)</f>
        <v>2802869.6246228795</v>
      </c>
      <c r="EI48" s="23">
        <f>IF(EI$5="Real",INDEX('Informacion de Sam'!$43:$43,MATCH(EI$6,'Informacion de Sam'!$1:$1,0)),EI$10*'Supuestos Proyeccion'!$F$37)</f>
        <v>4211863.4158717999</v>
      </c>
      <c r="EJ48" s="23">
        <f>IF(EJ$5="Real",INDEX('Informacion de Sam'!$43:$43,MATCH(EJ$6,'Informacion de Sam'!$1:$1,0)),EJ$10*'Supuestos Proyeccion'!$F$37)</f>
        <v>2570701.680847351</v>
      </c>
      <c r="EK48" s="23">
        <f>IF(EK$5="Real",INDEX('Informacion de Sam'!$43:$43,MATCH(EK$6,'Informacion de Sam'!$1:$1,0)),EK$10*'Supuestos Proyeccion'!$F$37)</f>
        <v>2481597.6669668802</v>
      </c>
      <c r="EL48" s="23">
        <f>IF(EL$5="Real",INDEX('Informacion de Sam'!$43:$43,MATCH(EL$6,'Informacion de Sam'!$1:$1,0)),EL$10*'Supuestos Proyeccion'!$F$37)</f>
        <v>2557969.8941803467</v>
      </c>
      <c r="EM48" s="23">
        <f>IF(EM$5="Real",INDEX('Informacion de Sam'!$43:$43,MATCH(EM$6,'Informacion de Sam'!$1:$1,0)),EM$10*'Supuestos Proyeccion'!$F$37)</f>
        <v>2367622.6170861693</v>
      </c>
      <c r="EN48" s="23">
        <f>SUM(EB48:EM48)</f>
        <v>32958002.86948866</v>
      </c>
      <c r="EO48" s="23">
        <f>IF(EO$5="Real",INDEX('Informacion de Sam'!$43:$43,MATCH(EO$6,'Informacion de Sam'!$1:$1,0)),EO$10*'Supuestos Proyeccion'!$F$37)</f>
        <v>3099639.9113906804</v>
      </c>
      <c r="EP48" s="23">
        <f>IF(EP$5="Real",INDEX('Informacion de Sam'!$43:$43,MATCH(EP$6,'Informacion de Sam'!$1:$1,0)),EP$10*'Supuestos Proyeccion'!$F$37)</f>
        <v>4393812.3173201596</v>
      </c>
      <c r="EQ48" s="23">
        <f>IF(EQ$5="Real",INDEX('Informacion de Sam'!$43:$43,MATCH(EQ$6,'Informacion de Sam'!$1:$1,0)),EQ$10*'Supuestos Proyeccion'!$F$37)</f>
        <v>3153306.8893204108</v>
      </c>
      <c r="ER48" s="23">
        <f>IF(ER$5="Real",INDEX('Informacion de Sam'!$43:$43,MATCH(ER$6,'Informacion de Sam'!$1:$1,0)),ER$10*'Supuestos Proyeccion'!$F$37)</f>
        <v>3225909.1367593813</v>
      </c>
      <c r="ES48" s="23">
        <f>IF(ES$5="Real",INDEX('Informacion de Sam'!$43:$43,MATCH(ES$6,'Informacion de Sam'!$1:$1,0)),ES$10*'Supuestos Proyeccion'!$F$37)</f>
        <v>2838226.2084379238</v>
      </c>
      <c r="ET48" s="23">
        <f>IF(ET$5="Real",INDEX('Informacion de Sam'!$43:$43,MATCH(ET$6,'Informacion de Sam'!$1:$1,0)),ET$10*'Supuestos Proyeccion'!$F$37)</f>
        <v>3245827.9991629887</v>
      </c>
      <c r="EU48" s="23">
        <f>IF(EU$5="Real",INDEX('Informacion de Sam'!$43:$43,MATCH(EU$6,'Informacion de Sam'!$1:$1,0)),EU$10*'Supuestos Proyeccion'!$F$37)</f>
        <v>3503587.030778599</v>
      </c>
      <c r="EV48" s="23">
        <f>IF(EV$5="Real",INDEX('Informacion de Sam'!$43:$43,MATCH(EV$6,'Informacion de Sam'!$1:$1,0)),EV$10*'Supuestos Proyeccion'!$F$37)</f>
        <v>5264829.2698397497</v>
      </c>
      <c r="EW48" s="23">
        <f>IF(EW$5="Real",INDEX('Informacion de Sam'!$43:$43,MATCH(EW$6,'Informacion de Sam'!$1:$1,0)),EW$10*'Supuestos Proyeccion'!$F$37)</f>
        <v>3213377.1010591886</v>
      </c>
      <c r="EX48" s="23">
        <f>IF(EX$5="Real",INDEX('Informacion de Sam'!$43:$43,MATCH(EX$6,'Informacion de Sam'!$1:$1,0)),EX$10*'Supuestos Proyeccion'!$F$37)</f>
        <v>3101997.0837086001</v>
      </c>
      <c r="EY48" s="23">
        <f>IF(EY$5="Real",INDEX('Informacion de Sam'!$43:$43,MATCH(EY$6,'Informacion de Sam'!$1:$1,0)),EY$10*'Supuestos Proyeccion'!$F$37)</f>
        <v>3197462.3677254333</v>
      </c>
      <c r="EZ48" s="23">
        <f>IF(EZ$5="Real",INDEX('Informacion de Sam'!$43:$43,MATCH(EZ$6,'Informacion de Sam'!$1:$1,0)),EZ$10*'Supuestos Proyeccion'!$F$37)</f>
        <v>2959528.2713577109</v>
      </c>
      <c r="FA48" s="23">
        <f>SUM(EO48:EZ48)</f>
        <v>41197503.586860821</v>
      </c>
      <c r="FB48" s="23">
        <f>IF(FB$5="Real",INDEX('Informacion de Sam'!$43:$43,MATCH(FB$6,'Informacion de Sam'!$1:$1,0)),FB$10*'Supuestos Proyeccion'!$F$37)</f>
        <v>3874549.889238351</v>
      </c>
      <c r="FC48" s="23">
        <f>IF(FC$5="Real",INDEX('Informacion de Sam'!$43:$43,MATCH(FC$6,'Informacion de Sam'!$1:$1,0)),FC$10*'Supuestos Proyeccion'!$F$37)</f>
        <v>5492265.3966501998</v>
      </c>
      <c r="FD48" s="23">
        <f>IF(FD$5="Real",INDEX('Informacion de Sam'!$43:$43,MATCH(FD$6,'Informacion de Sam'!$1:$1,0)),FD$10*'Supuestos Proyeccion'!$F$37)</f>
        <v>3941633.611650514</v>
      </c>
      <c r="FE48" s="23">
        <f>IF(FE$5="Real",INDEX('Informacion de Sam'!$43:$43,MATCH(FE$6,'Informacion de Sam'!$1:$1,0)),FE$10*'Supuestos Proyeccion'!$F$37)</f>
        <v>4032386.4209492272</v>
      </c>
      <c r="FF48" s="23">
        <f>IF(FF$5="Real",INDEX('Informacion de Sam'!$43:$43,MATCH(FF$6,'Informacion de Sam'!$1:$1,0)),FF$10*'Supuestos Proyeccion'!$F$37)</f>
        <v>3547782.7605474051</v>
      </c>
      <c r="FG48" s="23">
        <f>IF(FG$5="Real",INDEX('Informacion de Sam'!$43:$43,MATCH(FG$6,'Informacion de Sam'!$1:$1,0)),FG$10*'Supuestos Proyeccion'!$F$37)</f>
        <v>4057284.9989537364</v>
      </c>
      <c r="FH48" s="23">
        <f>IF(FH$5="Real",INDEX('Informacion de Sam'!$43:$43,MATCH(FH$6,'Informacion de Sam'!$1:$1,0)),FH$10*'Supuestos Proyeccion'!$F$37)</f>
        <v>4379483.7884732494</v>
      </c>
      <c r="FI48" s="23">
        <f>IF(FI$5="Real",INDEX('Informacion de Sam'!$43:$43,MATCH(FI$6,'Informacion de Sam'!$1:$1,0)),FI$10*'Supuestos Proyeccion'!$F$37)</f>
        <v>6581036.5872996878</v>
      </c>
      <c r="FJ48" s="23">
        <f>IF(FJ$5="Real",INDEX('Informacion de Sam'!$43:$43,MATCH(FJ$6,'Informacion de Sam'!$1:$1,0)),FJ$10*'Supuestos Proyeccion'!$F$37)</f>
        <v>4016721.3763239863</v>
      </c>
      <c r="FK48" s="23">
        <f>IF(FK$5="Real",INDEX('Informacion de Sam'!$43:$43,MATCH(FK$6,'Informacion de Sam'!$1:$1,0)),FK$10*'Supuestos Proyeccion'!$F$37)</f>
        <v>3877496.3546357504</v>
      </c>
      <c r="FL48" s="23">
        <f>IF(FL$5="Real",INDEX('Informacion de Sam'!$43:$43,MATCH(FL$6,'Informacion de Sam'!$1:$1,0)),FL$10*'Supuestos Proyeccion'!$F$37)</f>
        <v>3996827.9596567922</v>
      </c>
      <c r="FM48" s="23">
        <f>IF(FM$5="Real",INDEX('Informacion de Sam'!$43:$43,MATCH(FM$6,'Informacion de Sam'!$1:$1,0)),FM$10*'Supuestos Proyeccion'!$F$37)</f>
        <v>3699410.3391971393</v>
      </c>
      <c r="FN48" s="23">
        <f>SUM(FB48:FM48)</f>
        <v>51496879.483576037</v>
      </c>
      <c r="FO48" s="23">
        <f>IF(FO$5="Real",INDEX('Informacion de Sam'!$43:$43,MATCH(FO$6,'Informacion de Sam'!$1:$1,0)),FO$10*'Supuestos Proyeccion'!$F$37)</f>
        <v>4843187.3615479385</v>
      </c>
      <c r="FP48" s="23">
        <f>IF(FP$5="Real",INDEX('Informacion de Sam'!$43:$43,MATCH(FP$6,'Informacion de Sam'!$1:$1,0)),FP$10*'Supuestos Proyeccion'!$F$37)</f>
        <v>6865331.7458127495</v>
      </c>
      <c r="FQ48" s="23">
        <f>IF(FQ$5="Real",INDEX('Informacion de Sam'!$43:$43,MATCH(FQ$6,'Informacion de Sam'!$1:$1,0)),FQ$10*'Supuestos Proyeccion'!$F$37)</f>
        <v>4927042.0145631423</v>
      </c>
      <c r="FR48" s="23">
        <f>IF(FR$5="Real",INDEX('Informacion de Sam'!$43:$43,MATCH(FR$6,'Informacion de Sam'!$1:$1,0)),FR$10*'Supuestos Proyeccion'!$F$37)</f>
        <v>5040483.0261865333</v>
      </c>
      <c r="FS48" s="23">
        <f>IF(FS$5="Real",INDEX('Informacion de Sam'!$43:$43,MATCH(FS$6,'Informacion de Sam'!$1:$1,0)),FS$10*'Supuestos Proyeccion'!$F$37)</f>
        <v>4434728.4506842569</v>
      </c>
      <c r="FT48" s="23">
        <f>IF(FT$5="Real",INDEX('Informacion de Sam'!$43:$43,MATCH(FT$6,'Informacion de Sam'!$1:$1,0)),FT$10*'Supuestos Proyeccion'!$F$37)</f>
        <v>5071606.2486921698</v>
      </c>
      <c r="FU48" s="23">
        <f>IF(FU$5="Real",INDEX('Informacion de Sam'!$43:$43,MATCH(FU$6,'Informacion de Sam'!$1:$1,0)),FU$10*'Supuestos Proyeccion'!$F$37)</f>
        <v>5474354.7355915615</v>
      </c>
      <c r="FV48" s="23">
        <f>IF(FV$5="Real",INDEX('Informacion de Sam'!$43:$43,MATCH(FV$6,'Informacion de Sam'!$1:$1,0)),FV$10*'Supuestos Proyeccion'!$F$37)</f>
        <v>8226295.7341246083</v>
      </c>
      <c r="FW48" s="23">
        <f>IF(FW$5="Real",INDEX('Informacion de Sam'!$43:$43,MATCH(FW$6,'Informacion de Sam'!$1:$1,0)),FW$10*'Supuestos Proyeccion'!$F$37)</f>
        <v>5020901.7204049826</v>
      </c>
      <c r="FX48" s="23">
        <f>IF(FX$5="Real",INDEX('Informacion de Sam'!$43:$43,MATCH(FX$6,'Informacion de Sam'!$1:$1,0)),FX$10*'Supuestos Proyeccion'!$F$37)</f>
        <v>4846870.4432946881</v>
      </c>
      <c r="FY48" s="23">
        <f>IF(FY$5="Real",INDEX('Informacion de Sam'!$43:$43,MATCH(FY$6,'Informacion de Sam'!$1:$1,0)),FY$10*'Supuestos Proyeccion'!$F$37)</f>
        <v>4996034.9495709902</v>
      </c>
      <c r="FZ48" s="23">
        <f>IF(FZ$5="Real",INDEX('Informacion de Sam'!$43:$43,MATCH(FZ$6,'Informacion de Sam'!$1:$1,0)),FZ$10*'Supuestos Proyeccion'!$F$37)</f>
        <v>4624262.9239964234</v>
      </c>
      <c r="GA48" s="23">
        <f>SUM(FO48:FZ48)</f>
        <v>64371099.354470052</v>
      </c>
      <c r="GB48" s="23">
        <f>IF(GB$5="Real",INDEX('Informacion de Sam'!$43:$43,MATCH(GB$6,'Informacion de Sam'!$1:$1,0)),GB$10*'Supuestos Proyeccion'!$F$37)</f>
        <v>6053984.2019349234</v>
      </c>
      <c r="GC48" s="23">
        <f>IF(GC$5="Real",INDEX('Informacion de Sam'!$43:$43,MATCH(GC$6,'Informacion de Sam'!$1:$1,0)),GC$10*'Supuestos Proyeccion'!$F$37)</f>
        <v>8581664.6822659373</v>
      </c>
      <c r="GD48" s="23">
        <f>IF(GD$5="Real",INDEX('Informacion de Sam'!$43:$43,MATCH(GD$6,'Informacion de Sam'!$1:$1,0)),GD$10*'Supuestos Proyeccion'!$F$37)</f>
        <v>6158802.5182039281</v>
      </c>
      <c r="GE48" s="23">
        <f>IF(GE$5="Real",INDEX('Informacion de Sam'!$43:$43,MATCH(GE$6,'Informacion de Sam'!$1:$1,0)),GE$10*'Supuestos Proyeccion'!$F$37)</f>
        <v>6300603.7827331675</v>
      </c>
      <c r="GF48" s="23">
        <f>IF(GF$5="Real",INDEX('Informacion de Sam'!$43:$43,MATCH(GF$6,'Informacion de Sam'!$1:$1,0)),GF$10*'Supuestos Proyeccion'!$F$37)</f>
        <v>5543410.5633553211</v>
      </c>
      <c r="GG48" s="23">
        <f>IF(GG$5="Real",INDEX('Informacion de Sam'!$43:$43,MATCH(GG$6,'Informacion de Sam'!$1:$1,0)),GG$10*'Supuestos Proyeccion'!$F$37)</f>
        <v>6339507.8108652122</v>
      </c>
      <c r="GH48" s="23">
        <f>IF(GH$5="Real",INDEX('Informacion de Sam'!$43:$43,MATCH(GH$6,'Informacion de Sam'!$1:$1,0)),GH$10*'Supuestos Proyeccion'!$F$37)</f>
        <v>6842943.4194894526</v>
      </c>
      <c r="GI48" s="23">
        <f>IF(GI$5="Real",INDEX('Informacion de Sam'!$43:$43,MATCH(GI$6,'Informacion de Sam'!$1:$1,0)),GI$10*'Supuestos Proyeccion'!$F$37)</f>
        <v>10282869.66765576</v>
      </c>
      <c r="GJ48" s="23">
        <f>IF(GJ$5="Real",INDEX('Informacion de Sam'!$43:$43,MATCH(GJ$6,'Informacion de Sam'!$1:$1,0)),GJ$10*'Supuestos Proyeccion'!$F$37)</f>
        <v>6276127.1505062291</v>
      </c>
      <c r="GK48" s="23">
        <f>IF(GK$5="Real",INDEX('Informacion de Sam'!$43:$43,MATCH(GK$6,'Informacion de Sam'!$1:$1,0)),GK$10*'Supuestos Proyeccion'!$F$37)</f>
        <v>6058588.0541183595</v>
      </c>
      <c r="GL48" s="23">
        <f>IF(GL$5="Real",INDEX('Informacion de Sam'!$43:$43,MATCH(GL$6,'Informacion de Sam'!$1:$1,0)),GL$10*'Supuestos Proyeccion'!$F$37)</f>
        <v>6245043.6869637379</v>
      </c>
      <c r="GM48" s="23">
        <f>IF(GM$5="Real",INDEX('Informacion de Sam'!$43:$43,MATCH(GM$6,'Informacion de Sam'!$1:$1,0)),GM$10*'Supuestos Proyeccion'!$F$37)</f>
        <v>5780328.6549955299</v>
      </c>
      <c r="GN48" s="23">
        <f>SUM(GB48:GM48)</f>
        <v>80463874.193087563</v>
      </c>
      <c r="GO48" s="23">
        <f>IF(GO$5="Real",INDEX('Informacion de Sam'!$43:$43,MATCH(GO$6,'Informacion de Sam'!$1:$1,0)),GO$10*'Supuestos Proyeccion'!$F$37)</f>
        <v>7567480.2524186531</v>
      </c>
      <c r="GP48" s="23">
        <f>IF(GP$5="Real",INDEX('Informacion de Sam'!$43:$43,MATCH(GP$6,'Informacion de Sam'!$1:$1,0)),GP$10*'Supuestos Proyeccion'!$F$37)</f>
        <v>10727080.85283242</v>
      </c>
      <c r="GQ48" s="23">
        <f>IF(GQ$5="Real",INDEX('Informacion de Sam'!$43:$43,MATCH(GQ$6,'Informacion de Sam'!$1:$1,0)),GQ$10*'Supuestos Proyeccion'!$F$37)</f>
        <v>7698503.1477549085</v>
      </c>
      <c r="GR48" s="23">
        <f>IF(GR$5="Real",INDEX('Informacion de Sam'!$43:$43,MATCH(GR$6,'Informacion de Sam'!$1:$1,0)),GR$10*'Supuestos Proyeccion'!$F$37)</f>
        <v>7875754.7284164587</v>
      </c>
      <c r="GS48" s="23">
        <f>IF(GS$5="Real",INDEX('Informacion de Sam'!$43:$43,MATCH(GS$6,'Informacion de Sam'!$1:$1,0)),GS$10*'Supuestos Proyeccion'!$F$37)</f>
        <v>6929263.2041941499</v>
      </c>
      <c r="GT48" s="23">
        <f>IF(GT$5="Real",INDEX('Informacion de Sam'!$43:$43,MATCH(GT$6,'Informacion de Sam'!$1:$1,0)),GT$10*'Supuestos Proyeccion'!$F$37)</f>
        <v>7924384.7635815144</v>
      </c>
      <c r="GU48" s="23">
        <f>IF(GU$5="Real",INDEX('Informacion de Sam'!$43:$43,MATCH(GU$6,'Informacion de Sam'!$1:$1,0)),GU$10*'Supuestos Proyeccion'!$F$37)</f>
        <v>8553679.2743618134</v>
      </c>
      <c r="GV48" s="23">
        <f>IF(GV$5="Real",INDEX('Informacion de Sam'!$43:$43,MATCH(GV$6,'Informacion de Sam'!$1:$1,0)),GV$10*'Supuestos Proyeccion'!$F$37)</f>
        <v>12853587.0845697</v>
      </c>
      <c r="GW48" s="23">
        <f>IF(GW$5="Real",INDEX('Informacion de Sam'!$43:$43,MATCH(GW$6,'Informacion de Sam'!$1:$1,0)),GW$10*'Supuestos Proyeccion'!$F$37)</f>
        <v>7845158.9381327853</v>
      </c>
      <c r="GX48" s="23">
        <f>IF(GX$5="Real",INDEX('Informacion de Sam'!$43:$43,MATCH(GX$6,'Informacion de Sam'!$1:$1,0)),GX$10*'Supuestos Proyeccion'!$F$37)</f>
        <v>7573235.0676479498</v>
      </c>
      <c r="GY48" s="23">
        <f>IF(GY$5="Real",INDEX('Informacion de Sam'!$43:$43,MATCH(GY$6,'Informacion de Sam'!$1:$1,0)),GY$10*'Supuestos Proyeccion'!$F$37)</f>
        <v>7806304.6087046722</v>
      </c>
      <c r="GZ48" s="23">
        <f>IF(GZ$5="Real",INDEX('Informacion de Sam'!$43:$43,MATCH(GZ$6,'Informacion de Sam'!$1:$1,0)),GZ$10*'Supuestos Proyeccion'!$F$37)</f>
        <v>7225410.8187444126</v>
      </c>
      <c r="HA48" s="23">
        <f>SUM(GO48:GZ48)</f>
        <v>100579842.74135943</v>
      </c>
      <c r="HB48" s="23"/>
      <c r="HC48" s="51">
        <f t="shared" ref="HC48:HR48" si="15">SUMIFS($B48:$HA48,$B$4:$HA$4,HC$6,$B$5:$HA$5,"Acumulado")</f>
        <v>7341488.21</v>
      </c>
      <c r="HD48" s="51">
        <f t="shared" si="15"/>
        <v>5361864.46</v>
      </c>
      <c r="HE48" s="51">
        <f t="shared" si="15"/>
        <v>7900592.8600000013</v>
      </c>
      <c r="HF48" s="51">
        <f t="shared" si="15"/>
        <v>6116999.0100000016</v>
      </c>
      <c r="HG48" s="51">
        <f t="shared" si="15"/>
        <v>4678179.47</v>
      </c>
      <c r="HH48" s="51">
        <f t="shared" si="15"/>
        <v>4143358.39</v>
      </c>
      <c r="HI48" s="51">
        <f t="shared" si="15"/>
        <v>8624469.0254794732</v>
      </c>
      <c r="HJ48" s="51">
        <f t="shared" si="15"/>
        <v>16874497.469178192</v>
      </c>
      <c r="HK48" s="51">
        <f t="shared" si="15"/>
        <v>21093121.836472742</v>
      </c>
      <c r="HL48" s="51">
        <f t="shared" si="15"/>
        <v>26366402.29559093</v>
      </c>
      <c r="HM48" s="51">
        <f t="shared" si="15"/>
        <v>32958002.86948866</v>
      </c>
      <c r="HN48" s="51">
        <f t="shared" si="15"/>
        <v>41197503.586860821</v>
      </c>
      <c r="HO48" s="51">
        <f t="shared" si="15"/>
        <v>51496879.483576037</v>
      </c>
      <c r="HP48" s="51">
        <f t="shared" si="15"/>
        <v>64371099.354470052</v>
      </c>
      <c r="HQ48" s="51">
        <f t="shared" si="15"/>
        <v>80463874.193087563</v>
      </c>
      <c r="HR48" s="51">
        <f t="shared" si="15"/>
        <v>100579842.74135943</v>
      </c>
    </row>
    <row r="49" spans="1:226" x14ac:dyDescent="0.35">
      <c r="A49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51"/>
      <c r="HD49" s="51"/>
      <c r="HE49" s="51"/>
      <c r="HF49" s="51"/>
      <c r="HG49" s="51"/>
      <c r="HH49" s="51"/>
      <c r="HI49" s="51"/>
      <c r="HJ49" s="51"/>
      <c r="HK49" s="51"/>
      <c r="HL49" s="51"/>
      <c r="HM49" s="51"/>
      <c r="HN49" s="51"/>
      <c r="HO49" s="51"/>
      <c r="HP49" s="51"/>
      <c r="HQ49" s="51"/>
      <c r="HR49" s="51"/>
    </row>
    <row r="50" spans="1:226" x14ac:dyDescent="0.35">
      <c r="A50" t="s">
        <v>80</v>
      </c>
      <c r="B50" s="23">
        <f>IF(B$5="Real",INDEX('Informacion de Sam'!$45:$45,MATCH(B$6,'Informacion de Sam'!$1:$1,0)),B$10*'Supuestos Proyeccion'!$F$38)</f>
        <v>258435.16000000003</v>
      </c>
      <c r="C50" s="23">
        <f>IF(C$5="Real",INDEX('Informacion de Sam'!$45:$45,MATCH(C$6,'Informacion de Sam'!$1:$1,0)),C$10*'Supuestos Proyeccion'!$F$38)</f>
        <v>-8557.6100000000442</v>
      </c>
      <c r="D50" s="23">
        <f>IF(D$5="Real",INDEX('Informacion de Sam'!$45:$45,MATCH(D$6,'Informacion de Sam'!$1:$1,0)),D$10*'Supuestos Proyeccion'!$F$38)</f>
        <v>248407.69</v>
      </c>
      <c r="E50" s="23">
        <f>IF(E$5="Real",INDEX('Informacion de Sam'!$45:$45,MATCH(E$6,'Informacion de Sam'!$1:$1,0)),E$10*'Supuestos Proyeccion'!$F$38)</f>
        <v>78861.180000000051</v>
      </c>
      <c r="F50" s="23">
        <f>IF(F$5="Real",INDEX('Informacion de Sam'!$45:$45,MATCH(F$6,'Informacion de Sam'!$1:$1,0)),F$10*'Supuestos Proyeccion'!$F$38)</f>
        <v>84936.38</v>
      </c>
      <c r="G50" s="23">
        <f>IF(G$5="Real",INDEX('Informacion de Sam'!$45:$45,MATCH(G$6,'Informacion de Sam'!$1:$1,0)),G$10*'Supuestos Proyeccion'!$F$38)</f>
        <v>105038.14999999991</v>
      </c>
      <c r="H50" s="23">
        <f>IF(H$5="Real",INDEX('Informacion de Sam'!$45:$45,MATCH(H$6,'Informacion de Sam'!$1:$1,0)),H$10*'Supuestos Proyeccion'!$F$38)</f>
        <v>168267.90000000002</v>
      </c>
      <c r="I50" s="23">
        <f>IF(I$5="Real",INDEX('Informacion de Sam'!$45:$45,MATCH(I$6,'Informacion de Sam'!$1:$1,0)),I$10*'Supuestos Proyeccion'!$F$38)</f>
        <v>69294.580000000075</v>
      </c>
      <c r="J50" s="23">
        <f>IF(J$5="Real",INDEX('Informacion de Sam'!$45:$45,MATCH(J$6,'Informacion de Sam'!$1:$1,0)),J$10*'Supuestos Proyeccion'!$F$38)</f>
        <v>120625.44999999995</v>
      </c>
      <c r="K50" s="23">
        <f>IF(K$5="Real",INDEX('Informacion de Sam'!$45:$45,MATCH(K$6,'Informacion de Sam'!$1:$1,0)),K$10*'Supuestos Proyeccion'!$F$38)</f>
        <v>56365.420000000158</v>
      </c>
      <c r="L50" s="23">
        <f>IF(L$5="Real",INDEX('Informacion de Sam'!$45:$45,MATCH(L$6,'Informacion de Sam'!$1:$1,0)),L$10*'Supuestos Proyeccion'!$F$38)</f>
        <v>176181.62999999989</v>
      </c>
      <c r="M50" s="23">
        <f>IF(M$5="Real",INDEX('Informacion de Sam'!$45:$45,MATCH(M$6,'Informacion de Sam'!$1:$1,0)),M$10*'Supuestos Proyeccion'!$F$38)</f>
        <v>91554.410000000149</v>
      </c>
      <c r="N50" s="23">
        <f>SUM(B50:M50)</f>
        <v>1449410.34</v>
      </c>
      <c r="O50" s="23">
        <f>IF(O$5="Real",INDEX('Informacion de Sam'!$45:$45,MATCH(O$6,'Informacion de Sam'!$1:$1,0)),O$10*'Supuestos Proyeccion'!$F$38)</f>
        <v>103652.59</v>
      </c>
      <c r="P50" s="23">
        <f>IF(P$5="Real",INDEX('Informacion de Sam'!$45:$45,MATCH(P$6,'Informacion de Sam'!$1:$1,0)),P$10*'Supuestos Proyeccion'!$F$38)</f>
        <v>337997.19999999995</v>
      </c>
      <c r="Q50" s="23">
        <f>IF(Q$5="Real",INDEX('Informacion de Sam'!$45:$45,MATCH(Q$6,'Informacion de Sam'!$1:$1,0)),Q$10*'Supuestos Proyeccion'!$F$38)</f>
        <v>94232.110000000073</v>
      </c>
      <c r="R50" s="23">
        <f>IF(R$5="Real",INDEX('Informacion de Sam'!$45:$45,MATCH(R$6,'Informacion de Sam'!$1:$1,0)),R$10*'Supuestos Proyeccion'!$F$38)</f>
        <v>55025.660000000033</v>
      </c>
      <c r="S50" s="23">
        <f>IF(S$5="Real",INDEX('Informacion de Sam'!$45:$45,MATCH(S$6,'Informacion de Sam'!$1:$1,0)),S$10*'Supuestos Proyeccion'!$F$38)</f>
        <v>35336.029999999912</v>
      </c>
      <c r="T50" s="23">
        <f>IF(T$5="Real",INDEX('Informacion de Sam'!$45:$45,MATCH(T$6,'Informacion de Sam'!$1:$1,0)),T$10*'Supuestos Proyeccion'!$F$38)</f>
        <v>-48218.260000000009</v>
      </c>
      <c r="U50" s="23">
        <f>IF(U$5="Real",INDEX('Informacion de Sam'!$45:$45,MATCH(U$6,'Informacion de Sam'!$1:$1,0)),U$10*'Supuestos Proyeccion'!$F$38)</f>
        <v>72007.590000000084</v>
      </c>
      <c r="V50" s="23">
        <f>IF(V$5="Real",INDEX('Informacion de Sam'!$45:$45,MATCH(V$6,'Informacion de Sam'!$1:$1,0)),V$10*'Supuestos Proyeccion'!$F$38)</f>
        <v>182436.32999999996</v>
      </c>
      <c r="W50" s="23">
        <f>IF(W$5="Real",INDEX('Informacion de Sam'!$45:$45,MATCH(W$6,'Informacion de Sam'!$1:$1,0)),W$10*'Supuestos Proyeccion'!$F$38)</f>
        <v>31005.890000000014</v>
      </c>
      <c r="X50" s="23">
        <f>IF(X$5="Real",INDEX('Informacion de Sam'!$45:$45,MATCH(X$6,'Informacion de Sam'!$1:$1,0)),X$10*'Supuestos Proyeccion'!$F$38)</f>
        <v>90769.520000000019</v>
      </c>
      <c r="Y50" s="23">
        <f>IF(Y$5="Real",INDEX('Informacion de Sam'!$45:$45,MATCH(Y$6,'Informacion de Sam'!$1:$1,0)),Y$10*'Supuestos Proyeccion'!$F$38)</f>
        <v>39116.029999999912</v>
      </c>
      <c r="Z50" s="23">
        <f>IF(Z$5="Real",INDEX('Informacion de Sam'!$45:$45,MATCH(Z$6,'Informacion de Sam'!$1:$1,0)),Z$10*'Supuestos Proyeccion'!$F$38)</f>
        <v>114122.84999999998</v>
      </c>
      <c r="AA50" s="23">
        <f>SUM(O50:Z50)</f>
        <v>1107483.54</v>
      </c>
      <c r="AB50" s="23">
        <f>IF(AB$5="Real",INDEX('Informacion de Sam'!$45:$45,MATCH(AB$6,'Informacion de Sam'!$1:$1,0)),AB$10*'Supuestos Proyeccion'!$F$38)</f>
        <v>206833.18</v>
      </c>
      <c r="AC50" s="23">
        <f>IF(AC$5="Real",INDEX('Informacion de Sam'!$45:$45,MATCH(AC$6,'Informacion de Sam'!$1:$1,0)),AC$10*'Supuestos Proyeccion'!$F$38)</f>
        <v>-39563.839999999997</v>
      </c>
      <c r="AD50" s="23">
        <f>IF(AD$5="Real",INDEX('Informacion de Sam'!$45:$45,MATCH(AD$6,'Informacion de Sam'!$1:$1,0)),AD$10*'Supuestos Proyeccion'!$F$38)</f>
        <v>1072815.6299999999</v>
      </c>
      <c r="AE50" s="23">
        <f>IF(AE$5="Real",INDEX('Informacion de Sam'!$45:$45,MATCH(AE$6,'Informacion de Sam'!$1:$1,0)),AE$10*'Supuestos Proyeccion'!$F$38)</f>
        <v>119767.6100000001</v>
      </c>
      <c r="AF50" s="23">
        <f>IF(AF$5="Real",INDEX('Informacion de Sam'!$45:$45,MATCH(AF$6,'Informacion de Sam'!$1:$1,0)),AF$10*'Supuestos Proyeccion'!$F$38)</f>
        <v>-6544.2299999999814</v>
      </c>
      <c r="AG50" s="23">
        <f>IF(AG$5="Real",INDEX('Informacion de Sam'!$45:$45,MATCH(AG$6,'Informacion de Sam'!$1:$1,0)),AG$10*'Supuestos Proyeccion'!$F$38)</f>
        <v>-13224.960000000196</v>
      </c>
      <c r="AH50" s="23">
        <f>IF(AH$5="Real",INDEX('Informacion de Sam'!$45:$45,MATCH(AH$6,'Informacion de Sam'!$1:$1,0)),AH$10*'Supuestos Proyeccion'!$F$38)</f>
        <v>56691.440000000177</v>
      </c>
      <c r="AI50" s="23">
        <f>IF(AI$5="Real",INDEX('Informacion de Sam'!$45:$45,MATCH(AI$6,'Informacion de Sam'!$1:$1,0)),AI$10*'Supuestos Proyeccion'!$F$38)</f>
        <v>1671827.23</v>
      </c>
      <c r="AJ50" s="23">
        <f>IF(AJ$5="Real",INDEX('Informacion de Sam'!$45:$45,MATCH(AJ$6,'Informacion de Sam'!$1:$1,0)),AJ$10*'Supuestos Proyeccion'!$F$38)</f>
        <v>80397.259999999776</v>
      </c>
      <c r="AK50" s="23">
        <f>IF(AK$5="Real",INDEX('Informacion de Sam'!$45:$45,MATCH(AK$6,'Informacion de Sam'!$1:$1,0)),AK$10*'Supuestos Proyeccion'!$F$38)</f>
        <v>226263.06000000006</v>
      </c>
      <c r="AL50" s="23">
        <f>IF(AL$5="Real",INDEX('Informacion de Sam'!$45:$45,MATCH(AL$6,'Informacion de Sam'!$1:$1,0)),AL$10*'Supuestos Proyeccion'!$F$38)</f>
        <v>118109.08000000007</v>
      </c>
      <c r="AM50" s="23">
        <f>IF(AM$5="Real",INDEX('Informacion de Sam'!$45:$45,MATCH(AM$6,'Informacion de Sam'!$1:$1,0)),AM$10*'Supuestos Proyeccion'!$F$38)</f>
        <v>104666.93000000017</v>
      </c>
      <c r="AN50" s="23">
        <f>SUM(AB50:AM50)</f>
        <v>3598038.39</v>
      </c>
      <c r="AO50" s="23">
        <f>IF(AO$5="Real",INDEX('Informacion de Sam'!$45:$45,MATCH(AO$6,'Informacion de Sam'!$1:$1,0)),AO$10*'Supuestos Proyeccion'!$F$38)</f>
        <v>150473.66</v>
      </c>
      <c r="AP50" s="23">
        <f>IF(AP$5="Real",INDEX('Informacion de Sam'!$45:$45,MATCH(AP$6,'Informacion de Sam'!$1:$1,0)),AP$10*'Supuestos Proyeccion'!$F$38)</f>
        <v>196322.05</v>
      </c>
      <c r="AQ50" s="23">
        <f>IF(AQ$5="Real",INDEX('Informacion de Sam'!$45:$45,MATCH(AQ$6,'Informacion de Sam'!$1:$1,0)),AQ$10*'Supuestos Proyeccion'!$F$38)</f>
        <v>101383.93</v>
      </c>
      <c r="AR50" s="23">
        <f>IF(AR$5="Real",INDEX('Informacion de Sam'!$45:$45,MATCH(AR$6,'Informacion de Sam'!$1:$1,0)),AR$10*'Supuestos Proyeccion'!$F$38)</f>
        <v>44104.76999999996</v>
      </c>
      <c r="AS50" s="23">
        <f>IF(AS$5="Real",INDEX('Informacion de Sam'!$45:$45,MATCH(AS$6,'Informacion de Sam'!$1:$1,0)),AS$10*'Supuestos Proyeccion'!$F$38)</f>
        <v>18518.210000000028</v>
      </c>
      <c r="AT50" s="23">
        <f>IF(AT$5="Real",INDEX('Informacion de Sam'!$45:$45,MATCH(AT$6,'Informacion de Sam'!$1:$1,0)),AT$10*'Supuestos Proyeccion'!$F$38)</f>
        <v>34554.089999999938</v>
      </c>
      <c r="AU50" s="23">
        <f>IF(AU$5="Real",INDEX('Informacion de Sam'!$45:$45,MATCH(AU$6,'Informacion de Sam'!$1:$1,0)),AU$10*'Supuestos Proyeccion'!$F$38)</f>
        <v>-10029.959999999963</v>
      </c>
      <c r="AV50" s="23">
        <f>IF(AV$5="Real",INDEX('Informacion de Sam'!$45:$45,MATCH(AV$6,'Informacion de Sam'!$1:$1,0)),AV$10*'Supuestos Proyeccion'!$F$38)</f>
        <v>74814.900000000023</v>
      </c>
      <c r="AW50" s="23">
        <f>IF(AW$5="Real",INDEX('Informacion de Sam'!$45:$45,MATCH(AW$6,'Informacion de Sam'!$1:$1,0)),AW$10*'Supuestos Proyeccion'!$F$38)</f>
        <v>76195.569999999949</v>
      </c>
      <c r="AX50" s="23">
        <f>IF(AX$5="Real",INDEX('Informacion de Sam'!$45:$45,MATCH(AX$6,'Informacion de Sam'!$1:$1,0)),AX$10*'Supuestos Proyeccion'!$F$38)</f>
        <v>321655.27</v>
      </c>
      <c r="AY50" s="23">
        <f>IF(AY$5="Real",INDEX('Informacion de Sam'!$45:$45,MATCH(AY$6,'Informacion de Sam'!$1:$1,0)),AY$10*'Supuestos Proyeccion'!$F$38)</f>
        <v>95289.600000000064</v>
      </c>
      <c r="AZ50" s="23">
        <f>IF(AZ$5="Real",INDEX('Informacion de Sam'!$45:$45,MATCH(AZ$6,'Informacion de Sam'!$1:$1,0)),AZ$10*'Supuestos Proyeccion'!$F$38)</f>
        <v>155207.06999999992</v>
      </c>
      <c r="BA50" s="23">
        <f>SUM(AO50:AZ50)</f>
        <v>1258489.1599999997</v>
      </c>
      <c r="BB50" s="23">
        <f>IF(BB$5="Real",INDEX('Informacion de Sam'!$45:$45,MATCH(BB$6,'Informacion de Sam'!$1:$1,0)),BB$10*'Supuestos Proyeccion'!$F$38)</f>
        <v>157354.20000000001</v>
      </c>
      <c r="BC50" s="23">
        <f>IF(BC$5="Real",INDEX('Informacion de Sam'!$45:$45,MATCH(BC$6,'Informacion de Sam'!$1:$1,0)),BC$10*'Supuestos Proyeccion'!$F$38)</f>
        <v>4586.8999999999869</v>
      </c>
      <c r="BD50" s="23">
        <f>IF(BD$5="Real",INDEX('Informacion de Sam'!$45:$45,MATCH(BD$6,'Informacion de Sam'!$1:$1,0)),BD$10*'Supuestos Proyeccion'!$F$38)</f>
        <v>314240.26</v>
      </c>
      <c r="BE50" s="23">
        <f>IF(BE$5="Real",INDEX('Informacion de Sam'!$45:$45,MATCH(BE$6,'Informacion de Sam'!$1:$1,0)),BE$10*'Supuestos Proyeccion'!$F$38)</f>
        <v>339366.16000000003</v>
      </c>
      <c r="BF50" s="23">
        <f>IF(BF$5="Real",INDEX('Informacion de Sam'!$45:$45,MATCH(BF$6,'Informacion de Sam'!$1:$1,0)),BF$10*'Supuestos Proyeccion'!$F$38)</f>
        <v>235839.15999999992</v>
      </c>
      <c r="BG50" s="23">
        <f>IF(BG$5="Real",INDEX('Informacion de Sam'!$45:$45,MATCH(BG$6,'Informacion de Sam'!$1:$1,0)),BG$10*'Supuestos Proyeccion'!$F$38)</f>
        <v>46846.840000000084</v>
      </c>
      <c r="BH50" s="23">
        <f>IF(BH$5="Real",INDEX('Informacion de Sam'!$45:$45,MATCH(BH$6,'Informacion de Sam'!$1:$1,0)),BH$10*'Supuestos Proyeccion'!$F$38)</f>
        <v>162109.81000000006</v>
      </c>
      <c r="BI50" s="23">
        <f>IF(BI$5="Real",INDEX('Informacion de Sam'!$45:$45,MATCH(BI$6,'Informacion de Sam'!$1:$1,0)),BI$10*'Supuestos Proyeccion'!$F$38)</f>
        <v>137509.25</v>
      </c>
      <c r="BJ50" s="23">
        <f>IF(BJ$5="Real",INDEX('Informacion de Sam'!$45:$45,MATCH(BJ$6,'Informacion de Sam'!$1:$1,0)),BJ$10*'Supuestos Proyeccion'!$F$38)</f>
        <v>-77675.959999999963</v>
      </c>
      <c r="BK50" s="23">
        <f>IF(BK$5="Real",INDEX('Informacion de Sam'!$45:$45,MATCH(BK$6,'Informacion de Sam'!$1:$1,0)),BK$10*'Supuestos Proyeccion'!$F$38)</f>
        <v>113287.44999999995</v>
      </c>
      <c r="BL50" s="23">
        <f>IF(BL$5="Real",INDEX('Informacion de Sam'!$45:$45,MATCH(BL$6,'Informacion de Sam'!$1:$1,0)),BL$10*'Supuestos Proyeccion'!$F$38)</f>
        <v>159488.25999999998</v>
      </c>
      <c r="BM50" s="23">
        <f>IF(BM$5="Real",INDEX('Informacion de Sam'!$45:$45,MATCH(BM$6,'Informacion de Sam'!$1:$1,0)),BM$10*'Supuestos Proyeccion'!$F$38)</f>
        <v>81249.379999999946</v>
      </c>
      <c r="BN50" s="23">
        <f>SUM(BB50:BM50)</f>
        <v>1674201.71</v>
      </c>
      <c r="BO50" s="23">
        <f>IF(BO$5="Real",INDEX('Informacion de Sam'!$45:$45,MATCH(BO$6,'Informacion de Sam'!$1:$1,0)),BO$10*'Supuestos Proyeccion'!$F$38)</f>
        <v>238019.01</v>
      </c>
      <c r="BP50" s="23">
        <f>IF(BP$5="Real",INDEX('Informacion de Sam'!$45:$45,MATCH(BP$6,'Informacion de Sam'!$1:$1,0)),BP$10*'Supuestos Proyeccion'!$F$38)</f>
        <v>164278.5</v>
      </c>
      <c r="BQ50" s="23">
        <f>IF(BQ$5="Real",INDEX('Informacion de Sam'!$45:$45,MATCH(BQ$6,'Informacion de Sam'!$1:$1,0)),BQ$10*'Supuestos Proyeccion'!$F$38)</f>
        <v>93648.419999999984</v>
      </c>
      <c r="BR50" s="23">
        <f>IF(BR$5="Real",INDEX('Informacion de Sam'!$45:$45,MATCH(BR$6,'Informacion de Sam'!$1:$1,0)),BR$10*'Supuestos Proyeccion'!$F$38)</f>
        <v>321747.41999999993</v>
      </c>
      <c r="BS50" s="23">
        <f>IF(BS$5="Real",INDEX('Informacion de Sam'!$45:$45,MATCH(BS$6,'Informacion de Sam'!$1:$1,0)),BS$10*'Supuestos Proyeccion'!$F$38)</f>
        <v>52729.600000000035</v>
      </c>
      <c r="BT50" s="23">
        <f>IF(BT$5="Real",INDEX('Informacion de Sam'!$45:$45,MATCH(BT$6,'Informacion de Sam'!$1:$1,0)),BT$10*'Supuestos Proyeccion'!$F$38)</f>
        <v>86598.399999999965</v>
      </c>
      <c r="BU50" s="23">
        <f>IF(BU$5="Real",INDEX('Informacion de Sam'!$45:$45,MATCH(BU$6,'Informacion de Sam'!$1:$1,0)),BU$10*'Supuestos Proyeccion'!$F$38)</f>
        <v>104147.66000000015</v>
      </c>
      <c r="BV50" s="23">
        <f>IF(BV$5="Real",INDEX('Informacion de Sam'!$45:$45,MATCH(BV$6,'Informacion de Sam'!$1:$1,0)),BV$10*'Supuestos Proyeccion'!$F$38)</f>
        <v>86275.679999999818</v>
      </c>
      <c r="BW50" s="23">
        <f>IF(BW$5="Real",INDEX('Informacion de Sam'!$45:$45,MATCH(BW$6,'Informacion de Sam'!$1:$1,0)),BW$10*'Supuestos Proyeccion'!$F$38)</f>
        <v>59357.410000000149</v>
      </c>
      <c r="BX50" s="23">
        <f>IF(BX$5="Real",INDEX('Informacion de Sam'!$45:$45,MATCH(BX$6,'Informacion de Sam'!$1:$1,0)),BX$10*'Supuestos Proyeccion'!$F$38)</f>
        <v>91573.490000000107</v>
      </c>
      <c r="BY50" s="23">
        <f>IF(BY$5="Real",INDEX('Informacion de Sam'!$45:$45,MATCH(BY$6,'Informacion de Sam'!$1:$1,0)),BY$10*'Supuestos Proyeccion'!$F$38)</f>
        <v>132781.84999999992</v>
      </c>
      <c r="BZ50" s="23">
        <f>IF(BZ$5="Real",INDEX('Informacion de Sam'!$45:$45,MATCH(BZ$6,'Informacion de Sam'!$1:$1,0)),BZ$10*'Supuestos Proyeccion'!$F$38)</f>
        <v>592606.23999999987</v>
      </c>
      <c r="CA50" s="23">
        <f>SUM(BO50:BZ50)</f>
        <v>2023763.6800000002</v>
      </c>
      <c r="CB50" s="23">
        <f>IF(CB$5="Real",INDEX('Informacion de Sam'!$45:$45,MATCH(CB$6,'Informacion de Sam'!$1:$1,0)),CB$10*'Supuestos Proyeccion'!$F$38)</f>
        <v>2551245.67</v>
      </c>
      <c r="CC50" s="23">
        <f>IF(CC$5="Real",INDEX('Informacion de Sam'!$45:$45,MATCH(CC$6,'Informacion de Sam'!$1:$1,0)),CC$10*'Supuestos Proyeccion'!$F$38)</f>
        <v>121094.37000000011</v>
      </c>
      <c r="CD50" s="23">
        <f>IF(CD$5="Real",INDEX('Informacion de Sam'!$45:$45,MATCH(CD$6,'Informacion de Sam'!$1:$1,0)),CD$10*'Supuestos Proyeccion'!$F$38)</f>
        <v>134958.5299999998</v>
      </c>
      <c r="CE50" s="23">
        <f>IF(CE$5="Real",INDEX('Informacion de Sam'!$45:$45,MATCH(CE$6,'Informacion de Sam'!$1:$1,0)),CE$10*'Supuestos Proyeccion'!$F$38)</f>
        <v>122718.86000000034</v>
      </c>
      <c r="CF50" s="23">
        <f>IF(CF$5="Real",INDEX('Informacion de Sam'!$45:$45,MATCH(CF$6,'Informacion de Sam'!$1:$1,0)),CF$10*'Supuestos Proyeccion'!$F$38)</f>
        <v>197311.41999999993</v>
      </c>
      <c r="CG50" s="23">
        <f>IF(CG$5="Real",INDEX('Informacion de Sam'!$45:$45,MATCH(CG$6,'Informacion de Sam'!$1:$1,0)),CG$10*'Supuestos Proyeccion'!$F$38)</f>
        <v>123063.10000000009</v>
      </c>
      <c r="CH50" s="23">
        <f>IF(CH$5="Real",INDEX('Informacion de Sam'!$45:$45,MATCH(CH$6,'Informacion de Sam'!$1:$1,0)),CH$10*'Supuestos Proyeccion'!$F$38)</f>
        <v>47636.079999999609</v>
      </c>
      <c r="CI50" s="23">
        <f>IF(CI$5="Real",INDEX('Informacion de Sam'!$45:$45,MATCH(CI$6,'Informacion de Sam'!$1:$1,0)),CI$10*'Supuestos Proyeccion'!$F$38)</f>
        <v>90721.760000000242</v>
      </c>
      <c r="CJ50" s="23">
        <f>IF(CJ$5="Real",INDEX('Informacion de Sam'!$45:$45,MATCH(CJ$6,'Informacion de Sam'!$1:$1,0)),CJ$10*'Supuestos Proyeccion'!$F$38)</f>
        <v>451514.19139109523</v>
      </c>
      <c r="CK50" s="23">
        <f>IF(CK$5="Real",INDEX('Informacion de Sam'!$45:$45,MATCH(CK$6,'Informacion de Sam'!$1:$1,0)),CK$10*'Supuestos Proyeccion'!$F$38)</f>
        <v>435864.09590289352</v>
      </c>
      <c r="CL50" s="23">
        <f>IF(CL$5="Real",INDEX('Informacion de Sam'!$45:$45,MATCH(CL$6,'Informacion de Sam'!$1:$1,0)),CL$10*'Supuestos Proyeccion'!$F$38)</f>
        <v>449277.99945768452</v>
      </c>
      <c r="CM50" s="23">
        <f>IF(CM$5="Real",INDEX('Informacion de Sam'!$45:$45,MATCH(CM$6,'Informacion de Sam'!$1:$1,0)),CM$10*'Supuestos Proyeccion'!$F$38)</f>
        <v>415845.68891733984</v>
      </c>
      <c r="CN50" s="23">
        <f>SUM(CB50:CM50)</f>
        <v>5141251.7656690124</v>
      </c>
      <c r="CO50" s="23">
        <f>IF(CO$5="Real",INDEX('Informacion de Sam'!$45:$45,MATCH(CO$6,'Informacion de Sam'!$1:$1,0)),CO$10*'Supuestos Proyeccion'!$F$38)</f>
        <v>544416.10966458684</v>
      </c>
      <c r="CP50" s="23">
        <f>IF(CP$5="Real",INDEX('Informacion de Sam'!$45:$45,MATCH(CP$6,'Informacion de Sam'!$1:$1,0)),CP$10*'Supuestos Proyeccion'!$F$38)</f>
        <v>771722.61190770532</v>
      </c>
      <c r="CQ50" s="23">
        <f>IF(CQ$5="Real",INDEX('Informacion de Sam'!$45:$45,MATCH(CQ$6,'Informacion de Sam'!$1:$1,0)),CQ$10*'Supuestos Proyeccion'!$F$38)</f>
        <v>553842.0972557877</v>
      </c>
      <c r="CR50" s="23">
        <f>IF(CR$5="Real",INDEX('Informacion de Sam'!$45:$45,MATCH(CR$6,'Informacion de Sam'!$1:$1,0)),CR$10*'Supuestos Proyeccion'!$F$38)</f>
        <v>566593.84721176757</v>
      </c>
      <c r="CS50" s="23">
        <f>IF(CS$5="Real",INDEX('Informacion de Sam'!$45:$45,MATCH(CS$6,'Informacion de Sam'!$1:$1,0)),CS$10*'Supuestos Proyeccion'!$F$38)</f>
        <v>498501.79856943083</v>
      </c>
      <c r="CT50" s="23">
        <f>IF(CT$5="Real",INDEX('Informacion de Sam'!$45:$45,MATCH(CT$6,'Informacion de Sam'!$1:$1,0)),CT$10*'Supuestos Proyeccion'!$F$38)</f>
        <v>570092.36635873874</v>
      </c>
      <c r="CU50" s="23">
        <f>IF(CU$5="Real",INDEX('Informacion de Sam'!$45:$45,MATCH(CU$6,'Informacion de Sam'!$1:$1,0)),CU$10*'Supuestos Proyeccion'!$F$38)</f>
        <v>615364.77645624662</v>
      </c>
      <c r="CV50" s="23">
        <f>IF(CV$5="Real",INDEX('Informacion de Sam'!$45:$45,MATCH(CV$6,'Informacion de Sam'!$1:$1,0)),CV$10*'Supuestos Proyeccion'!$F$38)</f>
        <v>924706.7243525174</v>
      </c>
      <c r="CW50" s="23">
        <f>IF(CW$5="Real",INDEX('Informacion de Sam'!$45:$45,MATCH(CW$6,'Informacion de Sam'!$1:$1,0)),CW$10*'Supuestos Proyeccion'!$F$38)</f>
        <v>564392.73923886905</v>
      </c>
      <c r="CX50" s="23">
        <f>IF(CX$5="Real",INDEX('Informacion de Sam'!$45:$45,MATCH(CX$6,'Informacion de Sam'!$1:$1,0)),CX$10*'Supuestos Proyeccion'!$F$38)</f>
        <v>544830.11987861688</v>
      </c>
      <c r="CY50" s="23">
        <f>IF(CY$5="Real",INDEX('Informacion de Sam'!$45:$45,MATCH(CY$6,'Informacion de Sam'!$1:$1,0)),CY$10*'Supuestos Proyeccion'!$F$38)</f>
        <v>561597.49932210566</v>
      </c>
      <c r="CZ50" s="23">
        <f>IF(CZ$5="Real",INDEX('Informacion de Sam'!$45:$45,MATCH(CZ$6,'Informacion de Sam'!$1:$1,0)),CZ$10*'Supuestos Proyeccion'!$F$38)</f>
        <v>519807.11114667484</v>
      </c>
      <c r="DA50" s="23">
        <f>SUM(CO50:CZ50)</f>
        <v>7235867.8013630481</v>
      </c>
      <c r="DB50" s="23">
        <f>IF(DB$5="Real",INDEX('Informacion de Sam'!$45:$45,MATCH(DB$6,'Informacion de Sam'!$1:$1,0)),DB$10*'Supuestos Proyeccion'!$F$38)</f>
        <v>680520.13708073355</v>
      </c>
      <c r="DC50" s="23">
        <f>IF(DC$5="Real",INDEX('Informacion de Sam'!$45:$45,MATCH(DC$6,'Informacion de Sam'!$1:$1,0)),DC$10*'Supuestos Proyeccion'!$F$38)</f>
        <v>964653.26488463173</v>
      </c>
      <c r="DD50" s="23">
        <f>IF(DD$5="Real",INDEX('Informacion de Sam'!$45:$45,MATCH(DD$6,'Informacion de Sam'!$1:$1,0)),DD$10*'Supuestos Proyeccion'!$F$38)</f>
        <v>692302.62156973453</v>
      </c>
      <c r="DE50" s="23">
        <f>IF(DE$5="Real",INDEX('Informacion de Sam'!$45:$45,MATCH(DE$6,'Informacion de Sam'!$1:$1,0)),DE$10*'Supuestos Proyeccion'!$F$38)</f>
        <v>708242.30901470943</v>
      </c>
      <c r="DF50" s="23">
        <f>IF(DF$5="Real",INDEX('Informacion de Sam'!$45:$45,MATCH(DF$6,'Informacion de Sam'!$1:$1,0)),DF$10*'Supuestos Proyeccion'!$F$38)</f>
        <v>623127.2482117886</v>
      </c>
      <c r="DG50" s="23">
        <f>IF(DG$5="Real",INDEX('Informacion de Sam'!$45:$45,MATCH(DG$6,'Informacion de Sam'!$1:$1,0)),DG$10*'Supuestos Proyeccion'!$F$38)</f>
        <v>712615.45794842334</v>
      </c>
      <c r="DH50" s="23">
        <f>IF(DH$5="Real",INDEX('Informacion de Sam'!$45:$45,MATCH(DH$6,'Informacion de Sam'!$1:$1,0)),DH$10*'Supuestos Proyeccion'!$F$38)</f>
        <v>769205.97057030827</v>
      </c>
      <c r="DI50" s="23">
        <f>IF(DI$5="Real",INDEX('Informacion de Sam'!$45:$45,MATCH(DI$6,'Informacion de Sam'!$1:$1,0)),DI$10*'Supuestos Proyeccion'!$F$38)</f>
        <v>1155883.4054406469</v>
      </c>
      <c r="DJ50" s="23">
        <f>IF(DJ$5="Real",INDEX('Informacion de Sam'!$45:$45,MATCH(DJ$6,'Informacion de Sam'!$1:$1,0)),DJ$10*'Supuestos Proyeccion'!$F$38)</f>
        <v>705490.92404858628</v>
      </c>
      <c r="DK50" s="23">
        <f>IF(DK$5="Real",INDEX('Informacion de Sam'!$45:$45,MATCH(DK$6,'Informacion de Sam'!$1:$1,0)),DK$10*'Supuestos Proyeccion'!$F$38)</f>
        <v>681037.64984827104</v>
      </c>
      <c r="DL50" s="23">
        <f>IF(DL$5="Real",INDEX('Informacion de Sam'!$45:$45,MATCH(DL$6,'Informacion de Sam'!$1:$1,0)),DL$10*'Supuestos Proyeccion'!$F$38)</f>
        <v>701996.87415263196</v>
      </c>
      <c r="DM50" s="23">
        <f>IF(DM$5="Real",INDEX('Informacion de Sam'!$45:$45,MATCH(DM$6,'Informacion de Sam'!$1:$1,0)),DM$10*'Supuestos Proyeccion'!$F$38)</f>
        <v>649758.88893334358</v>
      </c>
      <c r="DN50" s="23">
        <f>SUM(DB50:DM50)</f>
        <v>9044834.7517038099</v>
      </c>
      <c r="DO50" s="23">
        <f>IF(DO$5="Real",INDEX('Informacion de Sam'!$45:$45,MATCH(DO$6,'Informacion de Sam'!$1:$1,0)),DO$10*'Supuestos Proyeccion'!$F$38)</f>
        <v>850650.17135091696</v>
      </c>
      <c r="DP50" s="23">
        <f>IF(DP$5="Real",INDEX('Informacion de Sam'!$45:$45,MATCH(DP$6,'Informacion de Sam'!$1:$1,0)),DP$10*'Supuestos Proyeccion'!$F$38)</f>
        <v>1205816.5811057899</v>
      </c>
      <c r="DQ50" s="23">
        <f>IF(DQ$5="Real",INDEX('Informacion de Sam'!$45:$45,MATCH(DQ$6,'Informacion de Sam'!$1:$1,0)),DQ$10*'Supuestos Proyeccion'!$F$38)</f>
        <v>865378.27696216805</v>
      </c>
      <c r="DR50" s="23">
        <f>IF(DR$5="Real",INDEX('Informacion de Sam'!$45:$45,MATCH(DR$6,'Informacion de Sam'!$1:$1,0)),DR$10*'Supuestos Proyeccion'!$F$38)</f>
        <v>885302.88626838685</v>
      </c>
      <c r="DS50" s="23">
        <f>IF(DS$5="Real",INDEX('Informacion de Sam'!$45:$45,MATCH(DS$6,'Informacion de Sam'!$1:$1,0)),DS$10*'Supuestos Proyeccion'!$F$38)</f>
        <v>778909.06026473572</v>
      </c>
      <c r="DT50" s="23">
        <f>IF(DT$5="Real",INDEX('Informacion de Sam'!$45:$45,MATCH(DT$6,'Informacion de Sam'!$1:$1,0)),DT$10*'Supuestos Proyeccion'!$F$38)</f>
        <v>890769.32243552932</v>
      </c>
      <c r="DU50" s="23">
        <f>IF(DU$5="Real",INDEX('Informacion de Sam'!$45:$45,MATCH(DU$6,'Informacion de Sam'!$1:$1,0)),DU$10*'Supuestos Proyeccion'!$F$38)</f>
        <v>961507.46321288531</v>
      </c>
      <c r="DV50" s="23">
        <f>IF(DV$5="Real",INDEX('Informacion de Sam'!$45:$45,MATCH(DV$6,'Informacion de Sam'!$1:$1,0)),DV$10*'Supuestos Proyeccion'!$F$38)</f>
        <v>1444854.2568008085</v>
      </c>
      <c r="DW50" s="23">
        <f>IF(DW$5="Real",INDEX('Informacion de Sam'!$45:$45,MATCH(DW$6,'Informacion de Sam'!$1:$1,0)),DW$10*'Supuestos Proyeccion'!$F$38)</f>
        <v>881863.65506073285</v>
      </c>
      <c r="DX50" s="23">
        <f>IF(DX$5="Real",INDEX('Informacion de Sam'!$45:$45,MATCH(DX$6,'Informacion de Sam'!$1:$1,0)),DX$10*'Supuestos Proyeccion'!$F$38)</f>
        <v>851297.06231033884</v>
      </c>
      <c r="DY50" s="23">
        <f>IF(DY$5="Real",INDEX('Informacion de Sam'!$45:$45,MATCH(DY$6,'Informacion de Sam'!$1:$1,0)),DY$10*'Supuestos Proyeccion'!$F$38)</f>
        <v>877496.09269079007</v>
      </c>
      <c r="DZ50" s="23">
        <f>IF(DZ$5="Real",INDEX('Informacion de Sam'!$45:$45,MATCH(DZ$6,'Informacion de Sam'!$1:$1,0)),DZ$10*'Supuestos Proyeccion'!$F$38)</f>
        <v>812198.61116667942</v>
      </c>
      <c r="EA50" s="23">
        <f>SUM(DO50:DZ50)</f>
        <v>11306043.439629762</v>
      </c>
      <c r="EB50" s="23">
        <f>IF(EB$5="Real",INDEX('Informacion de Sam'!$45:$45,MATCH(EB$6,'Informacion de Sam'!$1:$1,0)),EB$10*'Supuestos Proyeccion'!$F$38)</f>
        <v>1063312.7141886463</v>
      </c>
      <c r="EC50" s="23">
        <f>IF(EC$5="Real",INDEX('Informacion de Sam'!$45:$45,MATCH(EC$6,'Informacion de Sam'!$1:$1,0)),EC$10*'Supuestos Proyeccion'!$F$38)</f>
        <v>1507270.7263822372</v>
      </c>
      <c r="ED50" s="23">
        <f>IF(ED$5="Real",INDEX('Informacion de Sam'!$45:$45,MATCH(ED$6,'Informacion de Sam'!$1:$1,0)),ED$10*'Supuestos Proyeccion'!$F$38)</f>
        <v>1081722.8462027102</v>
      </c>
      <c r="EE50" s="23">
        <f>IF(EE$5="Real",INDEX('Informacion de Sam'!$45:$45,MATCH(EE$6,'Informacion de Sam'!$1:$1,0)),EE$10*'Supuestos Proyeccion'!$F$38)</f>
        <v>1106628.6078354837</v>
      </c>
      <c r="EF50" s="23">
        <f>IF(EF$5="Real",INDEX('Informacion de Sam'!$45:$45,MATCH(EF$6,'Informacion de Sam'!$1:$1,0)),EF$10*'Supuestos Proyeccion'!$F$38)</f>
        <v>973636.3253309197</v>
      </c>
      <c r="EG50" s="23">
        <f>IF(EG$5="Real",INDEX('Informacion de Sam'!$45:$45,MATCH(EG$6,'Informacion de Sam'!$1:$1,0)),EG$10*'Supuestos Proyeccion'!$F$38)</f>
        <v>1113461.6530444117</v>
      </c>
      <c r="EH50" s="23">
        <f>IF(EH$5="Real",INDEX('Informacion de Sam'!$45:$45,MATCH(EH$6,'Informacion de Sam'!$1:$1,0)),EH$10*'Supuestos Proyeccion'!$F$38)</f>
        <v>1201884.3290161067</v>
      </c>
      <c r="EI50" s="23">
        <f>IF(EI$5="Real",INDEX('Informacion de Sam'!$45:$45,MATCH(EI$6,'Informacion de Sam'!$1:$1,0)),EI$10*'Supuestos Proyeccion'!$F$38)</f>
        <v>1806067.8210010109</v>
      </c>
      <c r="EJ50" s="23">
        <f>IF(EJ$5="Real",INDEX('Informacion de Sam'!$45:$45,MATCH(EJ$6,'Informacion de Sam'!$1:$1,0)),EJ$10*'Supuestos Proyeccion'!$F$38)</f>
        <v>1102329.5688259162</v>
      </c>
      <c r="EK50" s="23">
        <f>IF(EK$5="Real",INDEX('Informacion de Sam'!$45:$45,MATCH(EK$6,'Informacion de Sam'!$1:$1,0)),EK$10*'Supuestos Proyeccion'!$F$38)</f>
        <v>1064121.3278879237</v>
      </c>
      <c r="EL50" s="23">
        <f>IF(EL$5="Real",INDEX('Informacion de Sam'!$45:$45,MATCH(EL$6,'Informacion de Sam'!$1:$1,0)),EL$10*'Supuestos Proyeccion'!$F$38)</f>
        <v>1096870.1158634876</v>
      </c>
      <c r="EM50" s="23">
        <f>IF(EM$5="Real",INDEX('Informacion de Sam'!$45:$45,MATCH(EM$6,'Informacion de Sam'!$1:$1,0)),EM$10*'Supuestos Proyeccion'!$F$38)</f>
        <v>1015248.2639583495</v>
      </c>
      <c r="EN50" s="23">
        <f>SUM(EB50:EM50)</f>
        <v>14132554.299537202</v>
      </c>
      <c r="EO50" s="23">
        <f>IF(EO$5="Real",INDEX('Informacion de Sam'!$45:$45,MATCH(EO$6,'Informacion de Sam'!$1:$1,0)),EO$10*'Supuestos Proyeccion'!$F$38)</f>
        <v>1329140.8927358077</v>
      </c>
      <c r="EP50" s="23">
        <f>IF(EP$5="Real",INDEX('Informacion de Sam'!$45:$45,MATCH(EP$6,'Informacion de Sam'!$1:$1,0)),EP$10*'Supuestos Proyeccion'!$F$38)</f>
        <v>1884088.4079777964</v>
      </c>
      <c r="EQ50" s="23">
        <f>IF(EQ$5="Real",INDEX('Informacion de Sam'!$45:$45,MATCH(EQ$6,'Informacion de Sam'!$1:$1,0)),EQ$10*'Supuestos Proyeccion'!$F$38)</f>
        <v>1352153.5577533876</v>
      </c>
      <c r="ER50" s="23">
        <f>IF(ER$5="Real",INDEX('Informacion de Sam'!$45:$45,MATCH(ER$6,'Informacion de Sam'!$1:$1,0)),ER$10*'Supuestos Proyeccion'!$F$38)</f>
        <v>1383285.7597943544</v>
      </c>
      <c r="ES50" s="23">
        <f>IF(ES$5="Real",INDEX('Informacion de Sam'!$45:$45,MATCH(ES$6,'Informacion de Sam'!$1:$1,0)),ES$10*'Supuestos Proyeccion'!$F$38)</f>
        <v>1217045.4066636495</v>
      </c>
      <c r="ET50" s="23">
        <f>IF(ET$5="Real",INDEX('Informacion de Sam'!$45:$45,MATCH(ET$6,'Informacion de Sam'!$1:$1,0)),ET$10*'Supuestos Proyeccion'!$F$38)</f>
        <v>1391827.0663055144</v>
      </c>
      <c r="EU50" s="23">
        <f>IF(EU$5="Real",INDEX('Informacion de Sam'!$45:$45,MATCH(EU$6,'Informacion de Sam'!$1:$1,0)),EU$10*'Supuestos Proyeccion'!$F$38)</f>
        <v>1502355.4112701332</v>
      </c>
      <c r="EV50" s="23">
        <f>IF(EV$5="Real",INDEX('Informacion de Sam'!$45:$45,MATCH(EV$6,'Informacion de Sam'!$1:$1,0)),EV$10*'Supuestos Proyeccion'!$F$38)</f>
        <v>2257584.7762512635</v>
      </c>
      <c r="EW50" s="23">
        <f>IF(EW$5="Real",INDEX('Informacion de Sam'!$45:$45,MATCH(EW$6,'Informacion de Sam'!$1:$1,0)),EW$10*'Supuestos Proyeccion'!$F$38)</f>
        <v>1377911.9610323953</v>
      </c>
      <c r="EX50" s="23">
        <f>IF(EX$5="Real",INDEX('Informacion de Sam'!$45:$45,MATCH(EX$6,'Informacion de Sam'!$1:$1,0)),EX$10*'Supuestos Proyeccion'!$F$38)</f>
        <v>1330151.6598599046</v>
      </c>
      <c r="EY50" s="23">
        <f>IF(EY$5="Real",INDEX('Informacion de Sam'!$45:$45,MATCH(EY$6,'Informacion de Sam'!$1:$1,0)),EY$10*'Supuestos Proyeccion'!$F$38)</f>
        <v>1371087.6448293594</v>
      </c>
      <c r="EZ50" s="23">
        <f>IF(EZ$5="Real",INDEX('Informacion de Sam'!$45:$45,MATCH(EZ$6,'Informacion de Sam'!$1:$1,0)),EZ$10*'Supuestos Proyeccion'!$F$38)</f>
        <v>1269060.3299479366</v>
      </c>
      <c r="FA50" s="23">
        <f>SUM(EO50:EZ50)</f>
        <v>17665692.874421503</v>
      </c>
      <c r="FB50" s="23">
        <f>IF(FB$5="Real",INDEX('Informacion de Sam'!$45:$45,MATCH(FB$6,'Informacion de Sam'!$1:$1,0)),FB$10*'Supuestos Proyeccion'!$F$38)</f>
        <v>1661426.1159197597</v>
      </c>
      <c r="FC50" s="23">
        <f>IF(FC$5="Real",INDEX('Informacion de Sam'!$45:$45,MATCH(FC$6,'Informacion de Sam'!$1:$1,0)),FC$10*'Supuestos Proyeccion'!$F$38)</f>
        <v>2355110.5099722459</v>
      </c>
      <c r="FD50" s="23">
        <f>IF(FD$5="Real",INDEX('Informacion de Sam'!$45:$45,MATCH(FD$6,'Informacion de Sam'!$1:$1,0)),FD$10*'Supuestos Proyeccion'!$F$38)</f>
        <v>1690191.9471917348</v>
      </c>
      <c r="FE50" s="23">
        <f>IF(FE$5="Real",INDEX('Informacion de Sam'!$45:$45,MATCH(FE$6,'Informacion de Sam'!$1:$1,0)),FE$10*'Supuestos Proyeccion'!$F$38)</f>
        <v>1729107.1997429433</v>
      </c>
      <c r="FF50" s="23">
        <f>IF(FF$5="Real",INDEX('Informacion de Sam'!$45:$45,MATCH(FF$6,'Informacion de Sam'!$1:$1,0)),FF$10*'Supuestos Proyeccion'!$F$38)</f>
        <v>1521306.7583295619</v>
      </c>
      <c r="FG50" s="23">
        <f>IF(FG$5="Real",INDEX('Informacion de Sam'!$45:$45,MATCH(FG$6,'Informacion de Sam'!$1:$1,0)),FG$10*'Supuestos Proyeccion'!$F$38)</f>
        <v>1739783.8328818933</v>
      </c>
      <c r="FH50" s="23">
        <f>IF(FH$5="Real",INDEX('Informacion de Sam'!$45:$45,MATCH(FH$6,'Informacion de Sam'!$1:$1,0)),FH$10*'Supuestos Proyeccion'!$F$38)</f>
        <v>1877944.2640876665</v>
      </c>
      <c r="FI50" s="23">
        <f>IF(FI$5="Real",INDEX('Informacion de Sam'!$45:$45,MATCH(FI$6,'Informacion de Sam'!$1:$1,0)),FI$10*'Supuestos Proyeccion'!$F$38)</f>
        <v>2821980.9703140794</v>
      </c>
      <c r="FJ50" s="23">
        <f>IF(FJ$5="Real",INDEX('Informacion de Sam'!$45:$45,MATCH(FJ$6,'Informacion de Sam'!$1:$1,0)),FJ$10*'Supuestos Proyeccion'!$F$38)</f>
        <v>1722389.9512904941</v>
      </c>
      <c r="FK50" s="23">
        <f>IF(FK$5="Real",INDEX('Informacion de Sam'!$45:$45,MATCH(FK$6,'Informacion de Sam'!$1:$1,0)),FK$10*'Supuestos Proyeccion'!$F$38)</f>
        <v>1662689.5748248806</v>
      </c>
      <c r="FL50" s="23">
        <f>IF(FL$5="Real",INDEX('Informacion de Sam'!$45:$45,MATCH(FL$6,'Informacion de Sam'!$1:$1,0)),FL$10*'Supuestos Proyeccion'!$F$38)</f>
        <v>1713859.5560366993</v>
      </c>
      <c r="FM50" s="23">
        <f>IF(FM$5="Real",INDEX('Informacion de Sam'!$45:$45,MATCH(FM$6,'Informacion de Sam'!$1:$1,0)),FM$10*'Supuestos Proyeccion'!$F$38)</f>
        <v>1586325.4124349209</v>
      </c>
      <c r="FN50" s="23">
        <f>SUM(FB50:FM50)</f>
        <v>22082116.09302688</v>
      </c>
      <c r="FO50" s="23">
        <f>IF(FO$5="Real",INDEX('Informacion de Sam'!$45:$45,MATCH(FO$6,'Informacion de Sam'!$1:$1,0)),FO$10*'Supuestos Proyeccion'!$F$38)</f>
        <v>2076782.6448996996</v>
      </c>
      <c r="FP50" s="23">
        <f>IF(FP$5="Real",INDEX('Informacion de Sam'!$45:$45,MATCH(FP$6,'Informacion de Sam'!$1:$1,0)),FP$10*'Supuestos Proyeccion'!$F$38)</f>
        <v>2943888.137465307</v>
      </c>
      <c r="FQ50" s="23">
        <f>IF(FQ$5="Real",INDEX('Informacion de Sam'!$45:$45,MATCH(FQ$6,'Informacion de Sam'!$1:$1,0)),FQ$10*'Supuestos Proyeccion'!$F$38)</f>
        <v>2112739.9339896683</v>
      </c>
      <c r="FR50" s="23">
        <f>IF(FR$5="Real",INDEX('Informacion de Sam'!$45:$45,MATCH(FR$6,'Informacion de Sam'!$1:$1,0)),FR$10*'Supuestos Proyeccion'!$F$38)</f>
        <v>2161383.9996786788</v>
      </c>
      <c r="FS50" s="23">
        <f>IF(FS$5="Real",INDEX('Informacion de Sam'!$45:$45,MATCH(FS$6,'Informacion de Sam'!$1:$1,0)),FS$10*'Supuestos Proyeccion'!$F$38)</f>
        <v>1901633.4479119526</v>
      </c>
      <c r="FT50" s="23">
        <f>IF(FT$5="Real",INDEX('Informacion de Sam'!$45:$45,MATCH(FT$6,'Informacion de Sam'!$1:$1,0)),FT$10*'Supuestos Proyeccion'!$F$38)</f>
        <v>2174729.7911023665</v>
      </c>
      <c r="FU50" s="23">
        <f>IF(FU$5="Real",INDEX('Informacion de Sam'!$45:$45,MATCH(FU$6,'Informacion de Sam'!$1:$1,0)),FU$10*'Supuestos Proyeccion'!$F$38)</f>
        <v>2347430.3301095832</v>
      </c>
      <c r="FV50" s="23">
        <f>IF(FV$5="Real",INDEX('Informacion de Sam'!$45:$45,MATCH(FV$6,'Informacion de Sam'!$1:$1,0)),FV$10*'Supuestos Proyeccion'!$F$38)</f>
        <v>3527476.2128925989</v>
      </c>
      <c r="FW50" s="23">
        <f>IF(FW$5="Real",INDEX('Informacion de Sam'!$45:$45,MATCH(FW$6,'Informacion de Sam'!$1:$1,0)),FW$10*'Supuestos Proyeccion'!$F$38)</f>
        <v>2152987.4391131173</v>
      </c>
      <c r="FX50" s="23">
        <f>IF(FX$5="Real",INDEX('Informacion de Sam'!$45:$45,MATCH(FX$6,'Informacion de Sam'!$1:$1,0)),FX$10*'Supuestos Proyeccion'!$F$38)</f>
        <v>2078361.9685311008</v>
      </c>
      <c r="FY50" s="23">
        <f>IF(FY$5="Real",INDEX('Informacion de Sam'!$45:$45,MATCH(FY$6,'Informacion de Sam'!$1:$1,0)),FY$10*'Supuestos Proyeccion'!$F$38)</f>
        <v>2142324.4450458745</v>
      </c>
      <c r="FZ50" s="23">
        <f>IF(FZ$5="Real",INDEX('Informacion de Sam'!$45:$45,MATCH(FZ$6,'Informacion de Sam'!$1:$1,0)),FZ$10*'Supuestos Proyeccion'!$F$38)</f>
        <v>1982906.7655436511</v>
      </c>
      <c r="GA50" s="23">
        <f>SUM(FO50:FZ50)</f>
        <v>27602645.116283599</v>
      </c>
      <c r="GB50" s="23">
        <f>IF(GB$5="Real",INDEX('Informacion de Sam'!$45:$45,MATCH(GB$6,'Informacion de Sam'!$1:$1,0)),GB$10*'Supuestos Proyeccion'!$F$38)</f>
        <v>2595978.3061246248</v>
      </c>
      <c r="GC50" s="23">
        <f>IF(GC$5="Real",INDEX('Informacion de Sam'!$45:$45,MATCH(GC$6,'Informacion de Sam'!$1:$1,0)),GC$10*'Supuestos Proyeccion'!$F$38)</f>
        <v>3679860.1718316339</v>
      </c>
      <c r="GD50" s="23">
        <f>IF(GD$5="Real",INDEX('Informacion de Sam'!$45:$45,MATCH(GD$6,'Informacion de Sam'!$1:$1,0)),GD$10*'Supuestos Proyeccion'!$F$38)</f>
        <v>2640924.9174870853</v>
      </c>
      <c r="GE50" s="23">
        <f>IF(GE$5="Real",INDEX('Informacion de Sam'!$45:$45,MATCH(GE$6,'Informacion de Sam'!$1:$1,0)),GE$10*'Supuestos Proyeccion'!$F$38)</f>
        <v>2701729.999598349</v>
      </c>
      <c r="GF50" s="23">
        <f>IF(GF$5="Real",INDEX('Informacion de Sam'!$45:$45,MATCH(GF$6,'Informacion de Sam'!$1:$1,0)),GF$10*'Supuestos Proyeccion'!$F$38)</f>
        <v>2377041.8098899405</v>
      </c>
      <c r="GG50" s="23">
        <f>IF(GG$5="Real",INDEX('Informacion de Sam'!$45:$45,MATCH(GG$6,'Informacion de Sam'!$1:$1,0)),GG$10*'Supuestos Proyeccion'!$F$38)</f>
        <v>2718412.2388779577</v>
      </c>
      <c r="GH50" s="23">
        <f>IF(GH$5="Real",INDEX('Informacion de Sam'!$45:$45,MATCH(GH$6,'Informacion de Sam'!$1:$1,0)),GH$10*'Supuestos Proyeccion'!$F$38)</f>
        <v>2934287.9126369795</v>
      </c>
      <c r="GI50" s="23">
        <f>IF(GI$5="Real",INDEX('Informacion de Sam'!$45:$45,MATCH(GI$6,'Informacion de Sam'!$1:$1,0)),GI$10*'Supuestos Proyeccion'!$F$38)</f>
        <v>4409345.2661157493</v>
      </c>
      <c r="GJ50" s="23">
        <f>IF(GJ$5="Real",INDEX('Informacion de Sam'!$45:$45,MATCH(GJ$6,'Informacion de Sam'!$1:$1,0)),GJ$10*'Supuestos Proyeccion'!$F$38)</f>
        <v>2691234.2988913972</v>
      </c>
      <c r="GK50" s="23">
        <f>IF(GK$5="Real",INDEX('Informacion de Sam'!$45:$45,MATCH(GK$6,'Informacion de Sam'!$1:$1,0)),GK$10*'Supuestos Proyeccion'!$F$38)</f>
        <v>2597952.460663876</v>
      </c>
      <c r="GL50" s="23">
        <f>IF(GL$5="Real",INDEX('Informacion de Sam'!$45:$45,MATCH(GL$6,'Informacion de Sam'!$1:$1,0)),GL$10*'Supuestos Proyeccion'!$F$38)</f>
        <v>2677905.5563073428</v>
      </c>
      <c r="GM50" s="23">
        <f>IF(GM$5="Real",INDEX('Informacion de Sam'!$45:$45,MATCH(GM$6,'Informacion de Sam'!$1:$1,0)),GM$10*'Supuestos Proyeccion'!$F$38)</f>
        <v>2478633.456929564</v>
      </c>
      <c r="GN50" s="23">
        <f>SUM(GB50:GM50)</f>
        <v>34503306.395354494</v>
      </c>
      <c r="GO50" s="23">
        <f>IF(GO$5="Real",INDEX('Informacion de Sam'!$45:$45,MATCH(GO$6,'Informacion de Sam'!$1:$1,0)),GO$10*'Supuestos Proyeccion'!$F$38)</f>
        <v>3244972.8826557808</v>
      </c>
      <c r="GP50" s="23">
        <f>IF(GP$5="Real",INDEX('Informacion de Sam'!$45:$45,MATCH(GP$6,'Informacion de Sam'!$1:$1,0)),GP$10*'Supuestos Proyeccion'!$F$38)</f>
        <v>4599825.2147895414</v>
      </c>
      <c r="GQ50" s="23">
        <f>IF(GQ$5="Real",INDEX('Informacion de Sam'!$45:$45,MATCH(GQ$6,'Informacion de Sam'!$1:$1,0)),GQ$10*'Supuestos Proyeccion'!$F$38)</f>
        <v>3301156.1468588565</v>
      </c>
      <c r="GR50" s="23">
        <f>IF(GR$5="Real",INDEX('Informacion de Sam'!$45:$45,MATCH(GR$6,'Informacion de Sam'!$1:$1,0)),GR$10*'Supuestos Proyeccion'!$F$38)</f>
        <v>3377162.4994979361</v>
      </c>
      <c r="GS50" s="23">
        <f>IF(GS$5="Real",INDEX('Informacion de Sam'!$45:$45,MATCH(GS$6,'Informacion de Sam'!$1:$1,0)),GS$10*'Supuestos Proyeccion'!$F$38)</f>
        <v>2971302.2623624252</v>
      </c>
      <c r="GT50" s="23">
        <f>IF(GT$5="Real",INDEX('Informacion de Sam'!$45:$45,MATCH(GT$6,'Informacion de Sam'!$1:$1,0)),GT$10*'Supuestos Proyeccion'!$F$38)</f>
        <v>3398015.2985974466</v>
      </c>
      <c r="GU50" s="23">
        <f>IF(GU$5="Real",INDEX('Informacion de Sam'!$45:$45,MATCH(GU$6,'Informacion de Sam'!$1:$1,0)),GU$10*'Supuestos Proyeccion'!$F$38)</f>
        <v>3667859.8907962237</v>
      </c>
      <c r="GV50" s="23">
        <f>IF(GV$5="Real",INDEX('Informacion de Sam'!$45:$45,MATCH(GV$6,'Informacion de Sam'!$1:$1,0)),GV$10*'Supuestos Proyeccion'!$F$38)</f>
        <v>5511681.5826446861</v>
      </c>
      <c r="GW50" s="23">
        <f>IF(GW$5="Real",INDEX('Informacion de Sam'!$45:$45,MATCH(GW$6,'Informacion de Sam'!$1:$1,0)),GW$10*'Supuestos Proyeccion'!$F$38)</f>
        <v>3364042.873614246</v>
      </c>
      <c r="GX50" s="23">
        <f>IF(GX$5="Real",INDEX('Informacion de Sam'!$45:$45,MATCH(GX$6,'Informacion de Sam'!$1:$1,0)),GX$10*'Supuestos Proyeccion'!$F$38)</f>
        <v>3247440.5758298449</v>
      </c>
      <c r="GY50" s="23">
        <f>IF(GY$5="Real",INDEX('Informacion de Sam'!$45:$45,MATCH(GY$6,'Informacion de Sam'!$1:$1,0)),GY$10*'Supuestos Proyeccion'!$F$38)</f>
        <v>3347381.9453841783</v>
      </c>
      <c r="GZ50" s="23">
        <f>IF(GZ$5="Real",INDEX('Informacion de Sam'!$45:$45,MATCH(GZ$6,'Informacion de Sam'!$1:$1,0)),GZ$10*'Supuestos Proyeccion'!$F$38)</f>
        <v>3098291.8211619547</v>
      </c>
      <c r="HA50" s="23">
        <f>SUM(GO50:GZ50)</f>
        <v>43129132.994193122</v>
      </c>
      <c r="HB50" s="23"/>
      <c r="HC50" s="51">
        <f t="shared" ref="HC50:HR51" si="16">SUMIFS($B50:$HA50,$B$4:$HA$4,HC$6,$B$5:$HA$5,"Acumulado")</f>
        <v>1449410.34</v>
      </c>
      <c r="HD50" s="51">
        <f t="shared" si="16"/>
        <v>1107483.54</v>
      </c>
      <c r="HE50" s="51">
        <f t="shared" si="16"/>
        <v>3598038.39</v>
      </c>
      <c r="HF50" s="51">
        <f t="shared" si="16"/>
        <v>1258489.1599999997</v>
      </c>
      <c r="HG50" s="51">
        <f t="shared" si="16"/>
        <v>1674201.71</v>
      </c>
      <c r="HH50" s="51">
        <f t="shared" si="16"/>
        <v>2023763.6800000002</v>
      </c>
      <c r="HI50" s="51">
        <f t="shared" si="16"/>
        <v>5141251.7656690124</v>
      </c>
      <c r="HJ50" s="51">
        <f t="shared" si="16"/>
        <v>7235867.8013630481</v>
      </c>
      <c r="HK50" s="51">
        <f t="shared" si="16"/>
        <v>9044834.7517038099</v>
      </c>
      <c r="HL50" s="51">
        <f t="shared" si="16"/>
        <v>11306043.439629762</v>
      </c>
      <c r="HM50" s="51">
        <f t="shared" si="16"/>
        <v>14132554.299537202</v>
      </c>
      <c r="HN50" s="51">
        <f t="shared" si="16"/>
        <v>17665692.874421503</v>
      </c>
      <c r="HO50" s="51">
        <f t="shared" si="16"/>
        <v>22082116.09302688</v>
      </c>
      <c r="HP50" s="51">
        <f t="shared" si="16"/>
        <v>27602645.116283599</v>
      </c>
      <c r="HQ50" s="51">
        <f t="shared" si="16"/>
        <v>34503306.395354494</v>
      </c>
      <c r="HR50" s="51">
        <f t="shared" si="16"/>
        <v>43129132.994193122</v>
      </c>
    </row>
    <row r="51" spans="1:226" x14ac:dyDescent="0.35">
      <c r="A51" s="25" t="s">
        <v>81</v>
      </c>
      <c r="B51" s="29">
        <f>IF(B$5="Real",INDEX('Informacion de Sam'!$46:$46,MATCH(B$6,'Informacion de Sam'!$1:$1,0)),B$44+B$46)</f>
        <v>4992395.03</v>
      </c>
      <c r="C51" s="29">
        <f>IF(C$5="Real",INDEX('Informacion de Sam'!$46:$46,MATCH(C$6,'Informacion de Sam'!$1:$1,0)),C$44+C$46)</f>
        <v>3353136.7200000063</v>
      </c>
      <c r="D51" s="29">
        <f>IF(D$5="Real",INDEX('Informacion de Sam'!$46:$46,MATCH(D$6,'Informacion de Sam'!$1:$1,0)),D$44+D$46)</f>
        <v>3648751.3599999985</v>
      </c>
      <c r="E51" s="29">
        <f>IF(E$5="Real",INDEX('Informacion de Sam'!$46:$46,MATCH(E$6,'Informacion de Sam'!$1:$1,0)),E$44+E$46)</f>
        <v>5219085.6799999969</v>
      </c>
      <c r="F51" s="29">
        <f>IF(F$5="Real",INDEX('Informacion de Sam'!$46:$46,MATCH(F$6,'Informacion de Sam'!$1:$1,0)),F$44+F$46)</f>
        <v>3652261.6099999887</v>
      </c>
      <c r="G51" s="29">
        <f>IF(G$5="Real",INDEX('Informacion de Sam'!$46:$46,MATCH(G$6,'Informacion de Sam'!$1:$1,0)),G$44+G$46)</f>
        <v>6885047.1300000064</v>
      </c>
      <c r="H51" s="29">
        <f>IF(H$5="Real",INDEX('Informacion de Sam'!$46:$46,MATCH(H$6,'Informacion de Sam'!$1:$1,0)),H$44+H$46)</f>
        <v>5394034.8400000008</v>
      </c>
      <c r="I51" s="29">
        <f>IF(I$5="Real",INDEX('Informacion de Sam'!$46:$46,MATCH(I$6,'Informacion de Sam'!$1:$1,0)),I$44+I$46)</f>
        <v>6194564.2100000102</v>
      </c>
      <c r="J51" s="29">
        <f>IF(J$5="Real",INDEX('Informacion de Sam'!$46:$46,MATCH(J$6,'Informacion de Sam'!$1:$1,0)),J$44+J$46)</f>
        <v>-254344.88999999664</v>
      </c>
      <c r="K51" s="29">
        <f>IF(K$5="Real",INDEX('Informacion de Sam'!$46:$46,MATCH(K$6,'Informacion de Sam'!$1:$1,0)),K$44+K$46)</f>
        <v>3212798.3699999787</v>
      </c>
      <c r="L51" s="29">
        <f>IF(L$5="Real",INDEX('Informacion de Sam'!$46:$46,MATCH(L$6,'Informacion de Sam'!$1:$1,0)),L$44+L$46)</f>
        <v>2027050.1600000085</v>
      </c>
      <c r="M51" s="29">
        <f>IF(M$5="Real",INDEX('Informacion de Sam'!$46:$46,MATCH(M$6,'Informacion de Sam'!$1:$1,0)),M$44+M$46)</f>
        <v>4804859.6200000141</v>
      </c>
      <c r="N51" s="29">
        <f>SUM(B51:M51)</f>
        <v>49129639.840000011</v>
      </c>
      <c r="O51" s="29">
        <f>IF(O$5="Real",INDEX('Informacion de Sam'!$46:$46,MATCH(O$6,'Informacion de Sam'!$1:$1,0)),O$44+O$46)</f>
        <v>4482994.8300000029</v>
      </c>
      <c r="P51" s="29">
        <f>IF(P$5="Real",INDEX('Informacion de Sam'!$46:$46,MATCH(P$6,'Informacion de Sam'!$1:$1,0)),P$44+P$46)</f>
        <v>5905340.0400000066</v>
      </c>
      <c r="Q51" s="29">
        <f>IF(Q$5="Real",INDEX('Informacion de Sam'!$46:$46,MATCH(Q$6,'Informacion de Sam'!$1:$1,0)),Q$44+Q$46)</f>
        <v>-215768.80000001111</v>
      </c>
      <c r="R51" s="29">
        <f>IF(R$5="Real",INDEX('Informacion de Sam'!$46:$46,MATCH(R$6,'Informacion de Sam'!$1:$1,0)),R$44+R$46)</f>
        <v>1653437.4200000158</v>
      </c>
      <c r="S51" s="29">
        <f>IF(S$5="Real",INDEX('Informacion de Sam'!$46:$46,MATCH(S$6,'Informacion de Sam'!$1:$1,0)),S$44+S$46)</f>
        <v>667861.42999998329</v>
      </c>
      <c r="T51" s="29">
        <f>IF(T$5="Real",INDEX('Informacion de Sam'!$46:$46,MATCH(T$6,'Informacion de Sam'!$1:$1,0)),T$44+T$46)</f>
        <v>1500225.2900000059</v>
      </c>
      <c r="U51" s="29">
        <f>IF(U$5="Real",INDEX('Informacion de Sam'!$46:$46,MATCH(U$6,'Informacion de Sam'!$1:$1,0)),U$44+U$46)</f>
        <v>2694459.4399999874</v>
      </c>
      <c r="V51" s="29">
        <f>IF(V$5="Real",INDEX('Informacion de Sam'!$46:$46,MATCH(V$6,'Informacion de Sam'!$1:$1,0)),V$44+V$46)</f>
        <v>4916089.8400000483</v>
      </c>
      <c r="W51" s="29">
        <f>IF(W$5="Real",INDEX('Informacion de Sam'!$46:$46,MATCH(W$6,'Informacion de Sam'!$1:$1,0)),W$44+W$46)</f>
        <v>232712.02999997616</v>
      </c>
      <c r="X51" s="29">
        <f>IF(X$5="Real",INDEX('Informacion de Sam'!$46:$46,MATCH(X$6,'Informacion de Sam'!$1:$1,0)),X$44+X$46)</f>
        <v>1202417.6599999787</v>
      </c>
      <c r="Y51" s="29">
        <f>IF(Y$5="Real",INDEX('Informacion de Sam'!$46:$46,MATCH(Y$6,'Informacion de Sam'!$1:$1,0)),Y$44+Y$46)</f>
        <v>1143755.2300000335</v>
      </c>
      <c r="Z51" s="29">
        <f>IF(Z$5="Real",INDEX('Informacion de Sam'!$46:$46,MATCH(Z$6,'Informacion de Sam'!$1:$1,0)),Z$44+Z$46)</f>
        <v>759107.1700000033</v>
      </c>
      <c r="AA51" s="29">
        <f>SUM(O51:Z51)</f>
        <v>24942631.580000028</v>
      </c>
      <c r="AB51" s="29">
        <f>IF(AB$5="Real",INDEX('Informacion de Sam'!$46:$46,MATCH(AB$6,'Informacion de Sam'!$1:$1,0)),AB$44+AB$46)</f>
        <v>1506932.9799999972</v>
      </c>
      <c r="AC51" s="29">
        <f>IF(AC$5="Real",INDEX('Informacion de Sam'!$46:$46,MATCH(AC$6,'Informacion de Sam'!$1:$1,0)),AC$44+AC$46)</f>
        <v>3652011.950000003</v>
      </c>
      <c r="AD51" s="29">
        <f>IF(AD$5="Real",INDEX('Informacion de Sam'!$46:$46,MATCH(AD$6,'Informacion de Sam'!$1:$1,0)),AD$44+AD$46)</f>
        <v>4933692.6700000009</v>
      </c>
      <c r="AE51" s="29">
        <f>IF(AE$5="Real",INDEX('Informacion de Sam'!$46:$46,MATCH(AE$6,'Informacion de Sam'!$1:$1,0)),AE$44+AE$46)</f>
        <v>3471410.6999999983</v>
      </c>
      <c r="AF51" s="29">
        <f>IF(AF$5="Real",INDEX('Informacion de Sam'!$46:$46,MATCH(AF$6,'Informacion de Sam'!$1:$1,0)),AF$44+AF$46)</f>
        <v>2120105.8399999929</v>
      </c>
      <c r="AG51" s="29">
        <f>IF(AG$5="Real",INDEX('Informacion de Sam'!$46:$46,MATCH(AG$6,'Informacion de Sam'!$1:$1,0)),AG$44+AG$46)</f>
        <v>5958644.4799999939</v>
      </c>
      <c r="AH51" s="29">
        <f>IF(AH$5="Real",INDEX('Informacion de Sam'!$46:$46,MATCH(AH$6,'Informacion de Sam'!$1:$1,0)),AH$44+AH$46)</f>
        <v>3670303.6599999964</v>
      </c>
      <c r="AI51" s="29">
        <f>IF(AI$5="Real",INDEX('Informacion de Sam'!$46:$46,MATCH(AI$6,'Informacion de Sam'!$1:$1,0)),AI$44+AI$46)</f>
        <v>2239728.3900000053</v>
      </c>
      <c r="AJ51" s="29">
        <f>IF(AJ$5="Real",INDEX('Informacion de Sam'!$46:$46,MATCH(AJ$6,'Informacion de Sam'!$1:$1,0)),AJ$44+AJ$46)</f>
        <v>824187.78000000212</v>
      </c>
      <c r="AK51" s="29">
        <f>IF(AK$5="Real",INDEX('Informacion de Sam'!$46:$46,MATCH(AK$6,'Informacion de Sam'!$1:$1,0)),AK$44+AK$46)</f>
        <v>2662749.4900000524</v>
      </c>
      <c r="AL51" s="29">
        <f>IF(AL$5="Real",INDEX('Informacion de Sam'!$46:$46,MATCH(AL$6,'Informacion de Sam'!$1:$1,0)),AL$44+AL$46)</f>
        <v>-205417.97000002582</v>
      </c>
      <c r="AM51" s="29">
        <f>IF(AM$5="Real",INDEX('Informacion de Sam'!$46:$46,MATCH(AM$6,'Informacion de Sam'!$1:$1,0)),AM$44+AM$46)</f>
        <v>7617053.8799999701</v>
      </c>
      <c r="AN51" s="29">
        <f>SUM(AB51:AM51)</f>
        <v>38451403.849999987</v>
      </c>
      <c r="AO51" s="29">
        <f>IF(AO$5="Real",INDEX('Informacion de Sam'!$46:$46,MATCH(AO$6,'Informacion de Sam'!$1:$1,0)),AO$44+AO$46)</f>
        <v>6220266.9800000042</v>
      </c>
      <c r="AP51" s="29">
        <f>IF(AP$5="Real",INDEX('Informacion de Sam'!$46:$46,MATCH(AP$6,'Informacion de Sam'!$1:$1,0)),AP$44+AP$46)</f>
        <v>4436940.389999995</v>
      </c>
      <c r="AQ51" s="29">
        <f>IF(AQ$5="Real",INDEX('Informacion de Sam'!$46:$46,MATCH(AQ$6,'Informacion de Sam'!$1:$1,0)),AQ$44+AQ$46)</f>
        <v>2236456.219999989</v>
      </c>
      <c r="AR51" s="29">
        <f>IF(AR$5="Real",INDEX('Informacion de Sam'!$46:$46,MATCH(AR$6,'Informacion de Sam'!$1:$1,0)),AR$44+AR$46)</f>
        <v>7144977.2800000012</v>
      </c>
      <c r="AS51" s="29">
        <f>IF(AS$5="Real",INDEX('Informacion de Sam'!$46:$46,MATCH(AS$6,'Informacion de Sam'!$1:$1,0)),AS$44+AS$46)</f>
        <v>4848648.1600000225</v>
      </c>
      <c r="AT51" s="29">
        <f>IF(AT$5="Real",INDEX('Informacion de Sam'!$46:$46,MATCH(AT$6,'Informacion de Sam'!$1:$1,0)),AT$44+AT$46)</f>
        <v>3014898.779999943</v>
      </c>
      <c r="AU51" s="29">
        <f>IF(AU$5="Real",INDEX('Informacion de Sam'!$46:$46,MATCH(AU$6,'Informacion de Sam'!$1:$1,0)),AU$44+AU$46)</f>
        <v>3709356.4400000544</v>
      </c>
      <c r="AV51" s="29">
        <f>IF(AV$5="Real",INDEX('Informacion de Sam'!$46:$46,MATCH(AV$6,'Informacion de Sam'!$1:$1,0)),AV$44+AV$46)</f>
        <v>4426372.5499999579</v>
      </c>
      <c r="AW51" s="29">
        <f>IF(AW$5="Real",INDEX('Informacion de Sam'!$46:$46,MATCH(AW$6,'Informacion de Sam'!$1:$1,0)),AW$44+AW$46)</f>
        <v>2578989.849999994</v>
      </c>
      <c r="AX51" s="29">
        <f>IF(AX$5="Real",INDEX('Informacion de Sam'!$46:$46,MATCH(AX$6,'Informacion de Sam'!$1:$1,0)),AX$44+AX$46)</f>
        <v>1863226.5700000445</v>
      </c>
      <c r="AY51" s="29">
        <f>IF(AY$5="Real",INDEX('Informacion de Sam'!$46:$46,MATCH(AY$6,'Informacion de Sam'!$1:$1,0)),AY$44+AY$46)</f>
        <v>659442.75999997009</v>
      </c>
      <c r="AZ51" s="29">
        <f>IF(AZ$5="Real",INDEX('Informacion de Sam'!$46:$46,MATCH(AZ$6,'Informacion de Sam'!$1:$1,0)),AZ$44+AZ$46)</f>
        <v>9052101.180000104</v>
      </c>
      <c r="BA51" s="29">
        <f>SUM(AO51:AZ51)</f>
        <v>50191677.160000078</v>
      </c>
      <c r="BB51" s="29">
        <f>IF(BB$5="Real",INDEX('Informacion de Sam'!$46:$46,MATCH(BB$6,'Informacion de Sam'!$1:$1,0)),BB$44+BB$46)</f>
        <v>3198540.3400000003</v>
      </c>
      <c r="BC51" s="29">
        <f>IF(BC$5="Real",INDEX('Informacion de Sam'!$46:$46,MATCH(BC$6,'Informacion de Sam'!$1:$1,0)),BC$44+BC$46)</f>
        <v>1421814.9100000125</v>
      </c>
      <c r="BD51" s="29">
        <f>IF(BD$5="Real",INDEX('Informacion de Sam'!$46:$46,MATCH(BD$6,'Informacion de Sam'!$1:$1,0)),BD$44+BD$46)</f>
        <v>-1039125.9200000011</v>
      </c>
      <c r="BE51" s="29">
        <f>IF(BE$5="Real",INDEX('Informacion de Sam'!$46:$46,MATCH(BE$6,'Informacion de Sam'!$1:$1,0)),BE$44+BE$46)</f>
        <v>6903899.0999999996</v>
      </c>
      <c r="BF51" s="29">
        <f>IF(BF$5="Real",INDEX('Informacion de Sam'!$46:$46,MATCH(BF$6,'Informacion de Sam'!$1:$1,0)),BF$44+BF$46)</f>
        <v>847446.99999996205</v>
      </c>
      <c r="BG51" s="29">
        <f>IF(BG$5="Real",INDEX('Informacion de Sam'!$46:$46,MATCH(BG$6,'Informacion de Sam'!$1:$1,0)),BG$44+BG$46)</f>
        <v>4816679.4900000086</v>
      </c>
      <c r="BH51" s="29">
        <f>IF(BH$5="Real",INDEX('Informacion de Sam'!$46:$46,MATCH(BH$6,'Informacion de Sam'!$1:$1,0)),BH$44+BH$46)</f>
        <v>1951118.7500000256</v>
      </c>
      <c r="BI51" s="29">
        <f>IF(BI$5="Real",INDEX('Informacion de Sam'!$46:$46,MATCH(BI$6,'Informacion de Sam'!$1:$1,0)),BI$44+BI$46)</f>
        <v>5237945.7799999891</v>
      </c>
      <c r="BJ51" s="29">
        <f>IF(BJ$5="Real",INDEX('Informacion de Sam'!$46:$46,MATCH(BJ$6,'Informacion de Sam'!$1:$1,0)),BJ$44+BJ$46)</f>
        <v>530034.72999998671</v>
      </c>
      <c r="BK51" s="29">
        <f>IF(BK$5="Real",INDEX('Informacion de Sam'!$46:$46,MATCH(BK$6,'Informacion de Sam'!$1:$1,0)),BK$44+BK$46)</f>
        <v>8906109.6099999938</v>
      </c>
      <c r="BL51" s="29">
        <f>IF(BL$5="Real",INDEX('Informacion de Sam'!$46:$46,MATCH(BL$6,'Informacion de Sam'!$1:$1,0)),BL$44+BL$46)</f>
        <v>-2308099.3599999831</v>
      </c>
      <c r="BM51" s="29">
        <f>IF(BM$5="Real",INDEX('Informacion de Sam'!$46:$46,MATCH(BM$6,'Informacion de Sam'!$1:$1,0)),BM$44+BM$46)</f>
        <v>-7917731.3799999719</v>
      </c>
      <c r="BN51" s="29">
        <f>SUM(BB51:BM51)</f>
        <v>22548633.050000019</v>
      </c>
      <c r="BO51" s="29">
        <f>IF(BO$5="Real",INDEX('Informacion de Sam'!$46:$46,MATCH(BO$6,'Informacion de Sam'!$1:$1,0)),BO$44+BO$46)</f>
        <v>3974713.5800000038</v>
      </c>
      <c r="BP51" s="29">
        <f>IF(BP$5="Real",INDEX('Informacion de Sam'!$46:$46,MATCH(BP$6,'Informacion de Sam'!$1:$1,0)),BP$44+BP$46)</f>
        <v>1625559.279999993</v>
      </c>
      <c r="BQ51" s="29">
        <f>IF(BQ$5="Real",INDEX('Informacion de Sam'!$46:$46,MATCH(BQ$6,'Informacion de Sam'!$1:$1,0)),BQ$44+BQ$46)</f>
        <v>-312307.11999998498</v>
      </c>
      <c r="BR51" s="29">
        <f>IF(BR$5="Real",INDEX('Informacion de Sam'!$46:$46,MATCH(BR$6,'Informacion de Sam'!$1:$1,0)),BR$44+BR$46)</f>
        <v>1269172.1599999957</v>
      </c>
      <c r="BS51" s="29">
        <f>IF(BS$5="Real",INDEX('Informacion de Sam'!$46:$46,MATCH(BS$6,'Informacion de Sam'!$1:$1,0)),BS$44+BS$46)</f>
        <v>2167882.4099999713</v>
      </c>
      <c r="BT51" s="29">
        <f>IF(BT$5="Real",INDEX('Informacion de Sam'!$46:$46,MATCH(BT$6,'Informacion de Sam'!$1:$1,0)),BT$44+BT$46)</f>
        <v>2137659.4100000397</v>
      </c>
      <c r="BU51" s="29">
        <f>IF(BU$5="Real",INDEX('Informacion de Sam'!$46:$46,MATCH(BU$6,'Informacion de Sam'!$1:$1,0)),BU$44+BU$46)</f>
        <v>-4041781.8100000028</v>
      </c>
      <c r="BV51" s="29">
        <f>IF(BV$5="Real",INDEX('Informacion de Sam'!$46:$46,MATCH(BV$6,'Informacion de Sam'!$1:$1,0)),BV$44+BV$46)</f>
        <v>1740012.6200000094</v>
      </c>
      <c r="BW51" s="29">
        <f>IF(BW$5="Real",INDEX('Informacion de Sam'!$46:$46,MATCH(BW$6,'Informacion de Sam'!$1:$1,0)),BW$44+BW$46)</f>
        <v>6281784.6999999881</v>
      </c>
      <c r="BX51" s="29">
        <f>IF(BX$5="Real",INDEX('Informacion de Sam'!$46:$46,MATCH(BX$6,'Informacion de Sam'!$1:$1,0)),BX$44+BX$46)</f>
        <v>400553.95000003662</v>
      </c>
      <c r="BY51" s="29">
        <f>IF(BY$5="Real",INDEX('Informacion de Sam'!$46:$46,MATCH(BY$6,'Informacion de Sam'!$1:$1,0)),BY$44+BY$46)</f>
        <v>4921695.7099999692</v>
      </c>
      <c r="BZ51" s="29">
        <f>IF(BZ$5="Real",INDEX('Informacion de Sam'!$46:$46,MATCH(BZ$6,'Informacion de Sam'!$1:$1,0)),BZ$44+BZ$46)</f>
        <v>973069.39000003773</v>
      </c>
      <c r="CA51" s="29">
        <f>SUM(BO51:BZ51)</f>
        <v>21138014.280000053</v>
      </c>
      <c r="CB51" s="29">
        <f>IF(CB$5="Real",INDEX('Informacion de Sam'!$46:$46,MATCH(CB$6,'Informacion de Sam'!$1:$1,0)),CB$44+CB$46)</f>
        <v>2523318.3000000012</v>
      </c>
      <c r="CC51" s="29">
        <f>IF(CC$5="Real",INDEX('Informacion de Sam'!$46:$46,MATCH(CC$6,'Informacion de Sam'!$1:$1,0)),CC$44+CC$46)</f>
        <v>7717044.5099999905</v>
      </c>
      <c r="CD51" s="29">
        <f>IF(CD$5="Real",INDEX('Informacion de Sam'!$46:$46,MATCH(CD$6,'Informacion de Sam'!$1:$1,0)),CD$44+CD$46)</f>
        <v>7386565.7800000058</v>
      </c>
      <c r="CE51" s="29">
        <f>IF(CE$5="Real",INDEX('Informacion de Sam'!$46:$46,MATCH(CE$6,'Informacion de Sam'!$1:$1,0)),CE$44+CE$46)</f>
        <v>1767951.0100000007</v>
      </c>
      <c r="CF51" s="29">
        <f>IF(CF$5="Real",INDEX('Informacion de Sam'!$46:$46,MATCH(CF$6,'Informacion de Sam'!$1:$1,0)),CF$44+CF$46)</f>
        <v>3826130.4100000099</v>
      </c>
      <c r="CG51" s="29">
        <f>IF(CG$5="Real",INDEX('Informacion de Sam'!$46:$46,MATCH(CG$6,'Informacion de Sam'!$1:$1,0)),CG$44+CG$46)</f>
        <v>3656250.5900000287</v>
      </c>
      <c r="CH51" s="29">
        <f>IF(CH$5="Real",INDEX('Informacion de Sam'!$46:$46,MATCH(CH$6,'Informacion de Sam'!$1:$1,0)),CH$44+CH$46)</f>
        <v>3601484.9199999664</v>
      </c>
      <c r="CI51" s="29">
        <f>IF(CI$5="Real",INDEX('Informacion de Sam'!$46:$46,MATCH(CI$6,'Informacion de Sam'!$1:$1,0)),CI$44+CI$46)</f>
        <v>101452.16000002995</v>
      </c>
      <c r="CJ51" s="29">
        <f>IF(CJ$5="Real",INDEX('Informacion de Sam'!$46:$46,MATCH(CJ$6,'Informacion de Sam'!$1:$1,0)),CJ$44+CJ$46)</f>
        <v>9172337.2666702755</v>
      </c>
      <c r="CK51" s="29">
        <f>IF(CK$5="Real",INDEX('Informacion de Sam'!$46:$46,MATCH(CK$6,'Informacion de Sam'!$1:$1,0)),CK$44+CK$46)</f>
        <v>3911584.8603306129</v>
      </c>
      <c r="CL51" s="29">
        <f>IF(CL$5="Real",INDEX('Informacion de Sam'!$46:$46,MATCH(CL$6,'Informacion de Sam'!$1:$1,0)),CL$44+CL$46)</f>
        <v>3134560.4555404568</v>
      </c>
      <c r="CM51" s="29">
        <f>IF(CM$5="Real",INDEX('Informacion de Sam'!$46:$46,MATCH(CM$6,'Informacion de Sam'!$1:$1,0)),CM$44+CM$46)</f>
        <v>-540987.57035172964</v>
      </c>
      <c r="CN51" s="29">
        <f>SUM(CB51:CM51)</f>
        <v>46257692.692189649</v>
      </c>
      <c r="CO51" s="29">
        <f>IF(CO$5="Real",INDEX('Informacion de Sam'!$46:$46,MATCH(CO$6,'Informacion de Sam'!$1:$1,0)),CO$44+CO$46)</f>
        <v>5850117.4385955296</v>
      </c>
      <c r="CP51" s="29">
        <f>IF(CP$5="Real",INDEX('Informacion de Sam'!$46:$46,MATCH(CP$6,'Informacion de Sam'!$1:$1,0)),CP$44+CP$46)</f>
        <v>8681520.837331634</v>
      </c>
      <c r="CQ51" s="29">
        <f>IF(CQ$5="Real",INDEX('Informacion de Sam'!$46:$46,MATCH(CQ$6,'Informacion de Sam'!$1:$1,0)),CQ$44+CQ$46)</f>
        <v>3997854.1327112443</v>
      </c>
      <c r="CR51" s="29">
        <f>IF(CR$5="Real",INDEX('Informacion de Sam'!$46:$46,MATCH(CR$6,'Informacion de Sam'!$1:$1,0)),CR$44+CR$46)</f>
        <v>2220637.5096881189</v>
      </c>
      <c r="CS51" s="29">
        <f>IF(CS$5="Real",INDEX('Informacion de Sam'!$46:$46,MATCH(CS$6,'Informacion de Sam'!$1:$1,0)),CS$44+CS$46)</f>
        <v>2632592.1814211621</v>
      </c>
      <c r="CT51" s="29">
        <f>IF(CT$5="Real",INDEX('Informacion de Sam'!$46:$46,MATCH(CT$6,'Informacion de Sam'!$1:$1,0)),CT$44+CT$46)</f>
        <v>-499587.39109388029</v>
      </c>
      <c r="CU51" s="29">
        <f>IF(CU$5="Real",INDEX('Informacion de Sam'!$46:$46,MATCH(CU$6,'Informacion de Sam'!$1:$1,0)),CU$44+CU$46)</f>
        <v>-572221.09784822026</v>
      </c>
      <c r="CV51" s="29">
        <f>IF(CV$5="Real",INDEX('Informacion de Sam'!$46:$46,MATCH(CV$6,'Informacion de Sam'!$1:$1,0)),CV$44+CV$46)</f>
        <v>-4100516.252900891</v>
      </c>
      <c r="CW51" s="29">
        <f>IF(CW$5="Real",INDEX('Informacion de Sam'!$46:$46,MATCH(CW$6,'Informacion de Sam'!$1:$1,0)),CW$44+CW$46)</f>
        <v>2037131.1120151444</v>
      </c>
      <c r="CX51" s="29">
        <f>IF(CX$5="Real",INDEX('Informacion de Sam'!$46:$46,MATCH(CX$6,'Informacion de Sam'!$1:$1,0)),CX$44+CX$46)</f>
        <v>1966521.3791808358</v>
      </c>
      <c r="CY51" s="29">
        <f>IF(CY$5="Real",INDEX('Informacion de Sam'!$46:$46,MATCH(CY$6,'Informacion de Sam'!$1:$1,0)),CY$44+CY$46)</f>
        <v>2027041.9138307995</v>
      </c>
      <c r="CZ51" s="29">
        <f>IF(CZ$5="Real",INDEX('Informacion de Sam'!$46:$46,MATCH(CZ$6,'Informacion de Sam'!$1:$1,0)),CZ$44+CZ$46)</f>
        <v>1876202.8012473062</v>
      </c>
      <c r="DA51" s="29">
        <f>SUM(CO51:CZ51)</f>
        <v>26117294.56417878</v>
      </c>
      <c r="DB51" s="29">
        <f>IF(DB$5="Real",INDEX('Informacion de Sam'!$46:$46,MATCH(DB$6,'Informacion de Sam'!$1:$1,0)),DB$44+DB$46)</f>
        <v>2456283.8024272313</v>
      </c>
      <c r="DC51" s="29">
        <f>IF(DC$5="Real",INDEX('Informacion de Sam'!$46:$46,MATCH(DC$6,'Informacion de Sam'!$1:$1,0)),DC$44+DC$46)</f>
        <v>3481839.9344640784</v>
      </c>
      <c r="DD51" s="29">
        <f>IF(DD$5="Real",INDEX('Informacion de Sam'!$46:$46,MATCH(DD$6,'Informacion de Sam'!$1:$1,0)),DD$44+DD$46)</f>
        <v>2498811.751602754</v>
      </c>
      <c r="DE51" s="29">
        <f>IF(DE$5="Real",INDEX('Informacion de Sam'!$46:$46,MATCH(DE$6,'Informacion de Sam'!$1:$1,0)),DE$44+DE$46)</f>
        <v>2556344.7972151819</v>
      </c>
      <c r="DF51" s="29">
        <f>IF(DF$5="Real",INDEX('Informacion de Sam'!$46:$46,MATCH(DF$6,'Informacion de Sam'!$1:$1,0)),DF$44+DF$46)</f>
        <v>2249128.6932367296</v>
      </c>
      <c r="DG51" s="29">
        <f>IF(DG$5="Real",INDEX('Informacion de Sam'!$46:$46,MATCH(DG$6,'Informacion de Sam'!$1:$1,0)),DG$44+DG$46)</f>
        <v>2572129.3336398676</v>
      </c>
      <c r="DH51" s="29">
        <f>IF(DH$5="Real",INDEX('Informacion de Sam'!$46:$46,MATCH(DH$6,'Informacion de Sam'!$1:$1,0)),DH$44+DH$46)</f>
        <v>2776388.329002562</v>
      </c>
      <c r="DI51" s="29">
        <f>IF(DI$5="Real",INDEX('Informacion de Sam'!$46:$46,MATCH(DI$6,'Informacion de Sam'!$1:$1,0)),DI$44+DI$46)</f>
        <v>4172070.0557924435</v>
      </c>
      <c r="DJ51" s="29">
        <f>IF(DJ$5="Real",INDEX('Informacion de Sam'!$46:$46,MATCH(DJ$6,'Informacion de Sam'!$1:$1,0)),DJ$44+DJ$46)</f>
        <v>2546413.8900189307</v>
      </c>
      <c r="DK51" s="29">
        <f>IF(DK$5="Real",INDEX('Informacion de Sam'!$46:$46,MATCH(DK$6,'Informacion de Sam'!$1:$1,0)),DK$44+DK$46)</f>
        <v>2458151.7239760496</v>
      </c>
      <c r="DL51" s="29">
        <f>IF(DL$5="Real",INDEX('Informacion de Sam'!$46:$46,MATCH(DL$6,'Informacion de Sam'!$1:$1,0)),DL$44+DL$46)</f>
        <v>2533802.392288506</v>
      </c>
      <c r="DM51" s="29">
        <f>IF(DM$5="Real",INDEX('Informacion de Sam'!$46:$46,MATCH(DM$6,'Informacion de Sam'!$1:$1,0)),DM$44+DM$46)</f>
        <v>2345253.5015591257</v>
      </c>
      <c r="DN51" s="29">
        <f>SUM(DB51:DM51)</f>
        <v>32646618.205223463</v>
      </c>
      <c r="DO51" s="29">
        <f>IF(DO$5="Real",INDEX('Informacion de Sam'!$46:$46,MATCH(DO$6,'Informacion de Sam'!$1:$1,0)),DO$44+DO$46)</f>
        <v>3070354.7530340473</v>
      </c>
      <c r="DP51" s="29">
        <f>IF(DP$5="Real",INDEX('Informacion de Sam'!$46:$46,MATCH(DP$6,'Informacion de Sam'!$1:$1,0)),DP$44+DP$46)</f>
        <v>4352299.918080098</v>
      </c>
      <c r="DQ51" s="29">
        <f>IF(DQ$5="Real",INDEX('Informacion de Sam'!$46:$46,MATCH(DQ$6,'Informacion de Sam'!$1:$1,0)),DQ$44+DQ$46)</f>
        <v>3123514.6895034364</v>
      </c>
      <c r="DR51" s="29">
        <f>IF(DR$5="Real",INDEX('Informacion de Sam'!$46:$46,MATCH(DR$6,'Informacion de Sam'!$1:$1,0)),DR$44+DR$46)</f>
        <v>3195430.9965189816</v>
      </c>
      <c r="DS51" s="29">
        <f>IF(DS$5="Real",INDEX('Informacion de Sam'!$46:$46,MATCH(DS$6,'Informacion de Sam'!$1:$1,0)),DS$44+DS$46)</f>
        <v>2811410.8665459109</v>
      </c>
      <c r="DT51" s="29">
        <f>IF(DT$5="Real",INDEX('Informacion de Sam'!$46:$46,MATCH(DT$6,'Informacion de Sam'!$1:$1,0)),DT$44+DT$46)</f>
        <v>3215161.667049828</v>
      </c>
      <c r="DU51" s="29">
        <f>IF(DU$5="Real",INDEX('Informacion de Sam'!$46:$46,MATCH(DU$6,'Informacion de Sam'!$1:$1,0)),DU$44+DU$46)</f>
        <v>3470485.4112532032</v>
      </c>
      <c r="DV51" s="29">
        <f>IF(DV$5="Real",INDEX('Informacion de Sam'!$46:$46,MATCH(DV$6,'Informacion de Sam'!$1:$1,0)),DV$44+DV$46)</f>
        <v>5215087.5697405599</v>
      </c>
      <c r="DW51" s="29">
        <f>IF(DW$5="Real",INDEX('Informacion de Sam'!$46:$46,MATCH(DW$6,'Informacion de Sam'!$1:$1,0)),DW$44+DW$46)</f>
        <v>3183017.3625236643</v>
      </c>
      <c r="DX51" s="29">
        <f>IF(DX$5="Real",INDEX('Informacion de Sam'!$46:$46,MATCH(DX$6,'Informacion de Sam'!$1:$1,0)),DX$44+DX$46)</f>
        <v>3072689.6549700564</v>
      </c>
      <c r="DY51" s="29">
        <f>IF(DY$5="Real",INDEX('Informacion de Sam'!$46:$46,MATCH(DY$6,'Informacion de Sam'!$1:$1,0)),DY$44+DY$46)</f>
        <v>3167252.9903606325</v>
      </c>
      <c r="DZ51" s="29">
        <f>IF(DZ$5="Real",INDEX('Informacion de Sam'!$46:$46,MATCH(DZ$6,'Informacion de Sam'!$1:$1,0)),DZ$44+DZ$46)</f>
        <v>2931566.8769489173</v>
      </c>
      <c r="EA51" s="29">
        <f>SUM(DO51:DZ51)</f>
        <v>40808272.756529331</v>
      </c>
      <c r="EB51" s="29">
        <f>IF(EB$5="Real",INDEX('Informacion de Sam'!$46:$46,MATCH(EB$6,'Informacion de Sam'!$1:$1,0)),EB$44+EB$46)</f>
        <v>3837943.4412925532</v>
      </c>
      <c r="EC51" s="29">
        <f>IF(EC$5="Real",INDEX('Informacion de Sam'!$46:$46,MATCH(EC$6,'Informacion de Sam'!$1:$1,0)),EC$44+EC$46)</f>
        <v>5440374.897600133</v>
      </c>
      <c r="ED51" s="29">
        <f>IF(ED$5="Real",INDEX('Informacion de Sam'!$46:$46,MATCH(ED$6,'Informacion de Sam'!$1:$1,0)),ED$44+ED$46)</f>
        <v>3904393.3618792985</v>
      </c>
      <c r="EE51" s="29">
        <f>IF(EE$5="Real",INDEX('Informacion de Sam'!$46:$46,MATCH(EE$6,'Informacion de Sam'!$1:$1,0)),EE$44+EE$46)</f>
        <v>3994288.7456487175</v>
      </c>
      <c r="EF51" s="29">
        <f>IF(EF$5="Real",INDEX('Informacion de Sam'!$46:$46,MATCH(EF$6,'Informacion de Sam'!$1:$1,0)),EF$44+EF$46)</f>
        <v>3514263.5831823964</v>
      </c>
      <c r="EG51" s="29">
        <f>IF(EG$5="Real",INDEX('Informacion de Sam'!$46:$46,MATCH(EG$6,'Informacion de Sam'!$1:$1,0)),EG$44+EG$46)</f>
        <v>4018952.083812301</v>
      </c>
      <c r="EH51" s="29">
        <f>IF(EH$5="Real",INDEX('Informacion de Sam'!$46:$46,MATCH(EH$6,'Informacion de Sam'!$1:$1,0)),EH$44+EH$46)</f>
        <v>4338106.764066495</v>
      </c>
      <c r="EI51" s="29">
        <f>IF(EI$5="Real",INDEX('Informacion de Sam'!$46:$46,MATCH(EI$6,'Informacion de Sam'!$1:$1,0)),EI$44+EI$46)</f>
        <v>6518859.4621756878</v>
      </c>
      <c r="EJ51" s="29">
        <f>IF(EJ$5="Real",INDEX('Informacion de Sam'!$46:$46,MATCH(EJ$6,'Informacion de Sam'!$1:$1,0)),EJ$44+EJ$46)</f>
        <v>3978771.7031545788</v>
      </c>
      <c r="EK51" s="29">
        <f>IF(EK$5="Real",INDEX('Informacion de Sam'!$46:$46,MATCH(EK$6,'Informacion de Sam'!$1:$1,0)),EK$44+EK$46)</f>
        <v>3840862.0687125633</v>
      </c>
      <c r="EL51" s="29">
        <f>IF(EL$5="Real",INDEX('Informacion de Sam'!$46:$46,MATCH(EL$6,'Informacion de Sam'!$1:$1,0)),EL$44+EL$46)</f>
        <v>3959066.2379507795</v>
      </c>
      <c r="EM51" s="29">
        <f>IF(EM$5="Real",INDEX('Informacion de Sam'!$46:$46,MATCH(EM$6,'Informacion de Sam'!$1:$1,0)),EM$44+EM$46)</f>
        <v>3664458.5961861326</v>
      </c>
      <c r="EN51" s="29">
        <f>SUM(EB51:EM51)</f>
        <v>51010340.945661634</v>
      </c>
      <c r="EO51" s="29">
        <f>IF(EO$5="Real",INDEX('Informacion de Sam'!$46:$46,MATCH(EO$6,'Informacion de Sam'!$1:$1,0)),EO$44+EO$46)</f>
        <v>4797429.3016157048</v>
      </c>
      <c r="EP51" s="29">
        <f>IF(EP$5="Real",INDEX('Informacion de Sam'!$46:$46,MATCH(EP$6,'Informacion de Sam'!$1:$1,0)),EP$44+EP$46)</f>
        <v>6800468.6220001653</v>
      </c>
      <c r="EQ51" s="29">
        <f>IF(EQ$5="Real",INDEX('Informacion de Sam'!$46:$46,MATCH(EQ$6,'Informacion de Sam'!$1:$1,0)),EQ$44+EQ$46)</f>
        <v>4880491.7023491301</v>
      </c>
      <c r="ER51" s="29">
        <f>IF(ER$5="Real",INDEX('Informacion de Sam'!$46:$46,MATCH(ER$6,'Informacion de Sam'!$1:$1,0)),ER$44+ER$46)</f>
        <v>4992860.9320609085</v>
      </c>
      <c r="ES51" s="29">
        <f>IF(ES$5="Real",INDEX('Informacion de Sam'!$46:$46,MATCH(ES$6,'Informacion de Sam'!$1:$1,0)),ES$44+ES$46)</f>
        <v>4392829.4789779931</v>
      </c>
      <c r="ET51" s="29">
        <f>IF(ET$5="Real",INDEX('Informacion de Sam'!$46:$46,MATCH(ET$6,'Informacion de Sam'!$1:$1,0)),ET$44+ET$46)</f>
        <v>5023690.1047653686</v>
      </c>
      <c r="EU51" s="29">
        <f>IF(EU$5="Real",INDEX('Informacion de Sam'!$46:$46,MATCH(EU$6,'Informacion de Sam'!$1:$1,0)),EU$44+EU$46)</f>
        <v>5422633.4550831411</v>
      </c>
      <c r="EV51" s="29">
        <f>IF(EV$5="Real",INDEX('Informacion de Sam'!$46:$46,MATCH(EV$6,'Informacion de Sam'!$1:$1,0)),EV$44+EV$46)</f>
        <v>8148574.3277196158</v>
      </c>
      <c r="EW51" s="29">
        <f>IF(EW$5="Real",INDEX('Informacion de Sam'!$46:$46,MATCH(EW$6,'Informacion de Sam'!$1:$1,0)),EW$44+EW$46)</f>
        <v>4973464.6289432161</v>
      </c>
      <c r="EX51" s="29">
        <f>IF(EX$5="Real",INDEX('Informacion de Sam'!$46:$46,MATCH(EX$6,'Informacion de Sam'!$1:$1,0)),EX$44+EX$46)</f>
        <v>4801077.5858907104</v>
      </c>
      <c r="EY51" s="29">
        <f>IF(EY$5="Real",INDEX('Informacion de Sam'!$46:$46,MATCH(EY$6,'Informacion de Sam'!$1:$1,0)),EY$44+EY$46)</f>
        <v>4948832.7974384921</v>
      </c>
      <c r="EZ51" s="29">
        <f>IF(EZ$5="Real",INDEX('Informacion de Sam'!$46:$46,MATCH(EZ$6,'Informacion de Sam'!$1:$1,0)),EZ$44+EZ$46)</f>
        <v>4580573.2452326789</v>
      </c>
      <c r="FA51" s="29">
        <f>SUM(EO51:EZ51)</f>
        <v>63762926.182077125</v>
      </c>
      <c r="FB51" s="29">
        <f>IF(FB$5="Real",INDEX('Informacion de Sam'!$46:$46,MATCH(FB$6,'Informacion de Sam'!$1:$1,0)),FB$44+FB$46)</f>
        <v>5996786.6270196093</v>
      </c>
      <c r="FC51" s="29">
        <f>IF(FC$5="Real",INDEX('Informacion de Sam'!$46:$46,MATCH(FC$6,'Informacion de Sam'!$1:$1,0)),FC$44+FC$46)</f>
        <v>8500585.7775002085</v>
      </c>
      <c r="FD51" s="29">
        <f>IF(FD$5="Real",INDEX('Informacion de Sam'!$46:$46,MATCH(FD$6,'Informacion de Sam'!$1:$1,0)),FD$44+FD$46)</f>
        <v>6100614.6279364061</v>
      </c>
      <c r="FE51" s="29">
        <f>IF(FE$5="Real",INDEX('Informacion de Sam'!$46:$46,MATCH(FE$6,'Informacion de Sam'!$1:$1,0)),FE$44+FE$46)</f>
        <v>6241076.1650761096</v>
      </c>
      <c r="FF51" s="29">
        <f>IF(FF$5="Real",INDEX('Informacion de Sam'!$46:$46,MATCH(FF$6,'Informacion de Sam'!$1:$1,0)),FF$44+FF$46)</f>
        <v>5491036.8487224868</v>
      </c>
      <c r="FG51" s="29">
        <f>IF(FG$5="Real",INDEX('Informacion de Sam'!$46:$46,MATCH(FG$6,'Informacion de Sam'!$1:$1,0)),FG$44+FG$46)</f>
        <v>6279612.6309567057</v>
      </c>
      <c r="FH51" s="29">
        <f>IF(FH$5="Real",INDEX('Informacion de Sam'!$46:$46,MATCH(FH$6,'Informacion de Sam'!$1:$1,0)),FH$44+FH$46)</f>
        <v>6778291.8188539222</v>
      </c>
      <c r="FI51" s="29">
        <f>IF(FI$5="Real",INDEX('Informacion de Sam'!$46:$46,MATCH(FI$6,'Informacion de Sam'!$1:$1,0)),FI$44+FI$46)</f>
        <v>10185717.909649555</v>
      </c>
      <c r="FJ51" s="29">
        <f>IF(FJ$5="Real",INDEX('Informacion de Sam'!$46:$46,MATCH(FJ$6,'Informacion de Sam'!$1:$1,0)),FJ$44+FJ$46)</f>
        <v>6216830.7861790406</v>
      </c>
      <c r="FK51" s="29">
        <f>IF(FK$5="Real",INDEX('Informacion de Sam'!$46:$46,MATCH(FK$6,'Informacion de Sam'!$1:$1,0)),FK$44+FK$46)</f>
        <v>6001346.9823633861</v>
      </c>
      <c r="FL51" s="29">
        <f>IF(FL$5="Real",INDEX('Informacion de Sam'!$46:$46,MATCH(FL$6,'Informacion de Sam'!$1:$1,0)),FL$44+FL$46)</f>
        <v>6186040.9967981046</v>
      </c>
      <c r="FM51" s="29">
        <f>IF(FM$5="Real",INDEX('Informacion de Sam'!$46:$46,MATCH(FM$6,'Informacion de Sam'!$1:$1,0)),FM$44+FM$46)</f>
        <v>5725716.556540831</v>
      </c>
      <c r="FN51" s="29">
        <f>SUM(FB51:FM51)</f>
        <v>79703657.727596357</v>
      </c>
      <c r="FO51" s="29">
        <f>IF(FO$5="Real",INDEX('Informacion de Sam'!$46:$46,MATCH(FO$6,'Informacion de Sam'!$1:$1,0)),FO$44+FO$46)</f>
        <v>7495983.2837745277</v>
      </c>
      <c r="FP51" s="29">
        <f>IF(FP$5="Real",INDEX('Informacion de Sam'!$46:$46,MATCH(FP$6,'Informacion de Sam'!$1:$1,0)),FP$44+FP$46)</f>
        <v>10625732.221875269</v>
      </c>
      <c r="FQ51" s="29">
        <f>IF(FQ$5="Real",INDEX('Informacion de Sam'!$46:$46,MATCH(FQ$6,'Informacion de Sam'!$1:$1,0)),FQ$44+FQ$46)</f>
        <v>7625768.2849205183</v>
      </c>
      <c r="FR51" s="29">
        <f>IF(FR$5="Real",INDEX('Informacion de Sam'!$46:$46,MATCH(FR$6,'Informacion de Sam'!$1:$1,0)),FR$44+FR$46)</f>
        <v>7801345.2063451484</v>
      </c>
      <c r="FS51" s="29">
        <f>IF(FS$5="Real",INDEX('Informacion de Sam'!$46:$46,MATCH(FS$6,'Informacion de Sam'!$1:$1,0)),FS$44+FS$46)</f>
        <v>6863796.0609030901</v>
      </c>
      <c r="FT51" s="29">
        <f>IF(FT$5="Real",INDEX('Informacion de Sam'!$46:$46,MATCH(FT$6,'Informacion de Sam'!$1:$1,0)),FT$44+FT$46)</f>
        <v>7849515.7886958923</v>
      </c>
      <c r="FU51" s="29">
        <f>IF(FU$5="Real",INDEX('Informacion de Sam'!$46:$46,MATCH(FU$6,'Informacion de Sam'!$1:$1,0)),FU$44+FU$46)</f>
        <v>8472864.773567386</v>
      </c>
      <c r="FV51" s="29">
        <f>IF(FV$5="Real",INDEX('Informacion de Sam'!$46:$46,MATCH(FV$6,'Informacion de Sam'!$1:$1,0)),FV$44+FV$46)</f>
        <v>12732147.387061894</v>
      </c>
      <c r="FW51" s="29">
        <f>IF(FW$5="Real",INDEX('Informacion de Sam'!$46:$46,MATCH(FW$6,'Informacion de Sam'!$1:$1,0)),FW$44+FW$46)</f>
        <v>7771038.4827237949</v>
      </c>
      <c r="FX51" s="29">
        <f>IF(FX$5="Real",INDEX('Informacion de Sam'!$46:$46,MATCH(FX$6,'Informacion de Sam'!$1:$1,0)),FX$44+FX$46)</f>
        <v>7501683.7279542238</v>
      </c>
      <c r="FY51" s="29">
        <f>IF(FY$5="Real",INDEX('Informacion de Sam'!$46:$46,MATCH(FY$6,'Informacion de Sam'!$1:$1,0)),FY$44+FY$46)</f>
        <v>7732551.2459976282</v>
      </c>
      <c r="FZ51" s="29">
        <f>IF(FZ$5="Real",INDEX('Informacion de Sam'!$46:$46,MATCH(FZ$6,'Informacion de Sam'!$1:$1,0)),FZ$44+FZ$46)</f>
        <v>7157145.6956760595</v>
      </c>
      <c r="GA51" s="29">
        <f>SUM(FO51:FZ51)</f>
        <v>99629572.159495443</v>
      </c>
      <c r="GB51" s="29">
        <f>IF(GB$5="Real",INDEX('Informacion de Sam'!$46:$46,MATCH(GB$6,'Informacion de Sam'!$1:$1,0)),GB$44+GB$46)</f>
        <v>9369979.1047181562</v>
      </c>
      <c r="GC51" s="29">
        <f>IF(GC$5="Real",INDEX('Informacion de Sam'!$46:$46,MATCH(GC$6,'Informacion de Sam'!$1:$1,0)),GC$44+GC$46)</f>
        <v>13282165.277344052</v>
      </c>
      <c r="GD51" s="29">
        <f>IF(GD$5="Real",INDEX('Informacion de Sam'!$46:$46,MATCH(GD$6,'Informacion de Sam'!$1:$1,0)),GD$44+GD$46)</f>
        <v>9532210.3561506178</v>
      </c>
      <c r="GE51" s="29">
        <f>IF(GE$5="Real",INDEX('Informacion de Sam'!$46:$46,MATCH(GE$6,'Informacion de Sam'!$1:$1,0)),GE$44+GE$46)</f>
        <v>9751681.5079314411</v>
      </c>
      <c r="GF51" s="29">
        <f>IF(GF$5="Real",INDEX('Informacion de Sam'!$46:$46,MATCH(GF$6,'Informacion de Sam'!$1:$1,0)),GF$44+GF$46)</f>
        <v>8579745.0761288963</v>
      </c>
      <c r="GG51" s="29">
        <f>IF(GG$5="Real",INDEX('Informacion de Sam'!$46:$46,MATCH(GG$6,'Informacion de Sam'!$1:$1,0)),GG$44+GG$46)</f>
        <v>9811894.7358698901</v>
      </c>
      <c r="GH51" s="29">
        <f>IF(GH$5="Real",INDEX('Informacion de Sam'!$46:$46,MATCH(GH$6,'Informacion de Sam'!$1:$1,0)),GH$44+GH$46)</f>
        <v>10591080.966959219</v>
      </c>
      <c r="GI51" s="29">
        <f>IF(GI$5="Real",INDEX('Informacion de Sam'!$46:$46,MATCH(GI$6,'Informacion de Sam'!$1:$1,0)),GI$44+GI$46)</f>
        <v>15915184.233827353</v>
      </c>
      <c r="GJ51" s="29">
        <f>IF(GJ$5="Real",INDEX('Informacion de Sam'!$46:$46,MATCH(GJ$6,'Informacion de Sam'!$1:$1,0)),GJ$44+GJ$46)</f>
        <v>9713798.1034047306</v>
      </c>
      <c r="GK51" s="29">
        <f>IF(GK$5="Real",INDEX('Informacion de Sam'!$46:$46,MATCH(GK$6,'Informacion de Sam'!$1:$1,0)),GK$44+GK$46)</f>
        <v>9377104.6599428095</v>
      </c>
      <c r="GL51" s="29">
        <f>IF(GL$5="Real",INDEX('Informacion de Sam'!$46:$46,MATCH(GL$6,'Informacion de Sam'!$1:$1,0)),GL$44+GL$46)</f>
        <v>9665689.0574969985</v>
      </c>
      <c r="GM51" s="29">
        <f>IF(GM$5="Real",INDEX('Informacion de Sam'!$46:$46,MATCH(GM$6,'Informacion de Sam'!$1:$1,0)),GM$44+GM$46)</f>
        <v>8946432.1195950583</v>
      </c>
      <c r="GN51" s="29">
        <f>SUM(GB51:GM51)</f>
        <v>124536965.19936922</v>
      </c>
      <c r="GO51" s="29">
        <f>IF(GO$5="Real",INDEX('Informacion de Sam'!$46:$46,MATCH(GO$6,'Informacion de Sam'!$1:$1,0)),GO$44+GO$46)</f>
        <v>11712473.880897697</v>
      </c>
      <c r="GP51" s="29">
        <f>IF(GP$5="Real",INDEX('Informacion de Sam'!$46:$46,MATCH(GP$6,'Informacion de Sam'!$1:$1,0)),GP$44+GP$46)</f>
        <v>16602706.596680101</v>
      </c>
      <c r="GQ51" s="29">
        <f>IF(GQ$5="Real",INDEX('Informacion de Sam'!$46:$46,MATCH(GQ$6,'Informacion de Sam'!$1:$1,0)),GQ$44+GQ$46)</f>
        <v>11915262.945188269</v>
      </c>
      <c r="GR51" s="29">
        <f>IF(GR$5="Real",INDEX('Informacion de Sam'!$46:$46,MATCH(GR$6,'Informacion de Sam'!$1:$1,0)),GR$44+GR$46)</f>
        <v>12189601.884914353</v>
      </c>
      <c r="GS51" s="29">
        <f>IF(GS$5="Real",INDEX('Informacion de Sam'!$46:$46,MATCH(GS$6,'Informacion de Sam'!$1:$1,0)),GS$44+GS$46)</f>
        <v>10724681.345161119</v>
      </c>
      <c r="GT51" s="29">
        <f>IF(GT$5="Real",INDEX('Informacion de Sam'!$46:$46,MATCH(GT$6,'Informacion de Sam'!$1:$1,0)),GT$44+GT$46)</f>
        <v>12264868.419837371</v>
      </c>
      <c r="GU51" s="29">
        <f>IF(GU$5="Real",INDEX('Informacion de Sam'!$46:$46,MATCH(GU$6,'Informacion de Sam'!$1:$1,0)),GU$44+GU$46)</f>
        <v>13238851.208699018</v>
      </c>
      <c r="GV51" s="29">
        <f>IF(GV$5="Real",INDEX('Informacion de Sam'!$46:$46,MATCH(GV$6,'Informacion de Sam'!$1:$1,0)),GV$44+GV$46)</f>
        <v>19893980.292284198</v>
      </c>
      <c r="GW51" s="29">
        <f>IF(GW$5="Real",INDEX('Informacion de Sam'!$46:$46,MATCH(GW$6,'Informacion de Sam'!$1:$1,0)),GW$44+GW$46)</f>
        <v>12142247.629255926</v>
      </c>
      <c r="GX51" s="29">
        <f>IF(GX$5="Real",INDEX('Informacion de Sam'!$46:$46,MATCH(GX$6,'Informacion de Sam'!$1:$1,0)),GX$44+GX$46)</f>
        <v>11721380.824928511</v>
      </c>
      <c r="GY51" s="29">
        <f>IF(GY$5="Real",INDEX('Informacion de Sam'!$46:$46,MATCH(GY$6,'Informacion de Sam'!$1:$1,0)),GY$44+GY$46)</f>
        <v>12082111.321871307</v>
      </c>
      <c r="GZ51" s="29">
        <f>IF(GZ$5="Real",INDEX('Informacion de Sam'!$46:$46,MATCH(GZ$6,'Informacion de Sam'!$1:$1,0)),GZ$44+GZ$46)</f>
        <v>11183040.149493866</v>
      </c>
      <c r="HA51" s="29">
        <f>SUM(GO51:GZ51)</f>
        <v>155671206.49921173</v>
      </c>
      <c r="HB51" s="29"/>
      <c r="HC51" s="52">
        <f t="shared" si="16"/>
        <v>49129639.840000011</v>
      </c>
      <c r="HD51" s="52">
        <f t="shared" si="16"/>
        <v>24942631.580000028</v>
      </c>
      <c r="HE51" s="52">
        <f t="shared" si="16"/>
        <v>38451403.849999987</v>
      </c>
      <c r="HF51" s="52">
        <f t="shared" si="16"/>
        <v>50191677.160000078</v>
      </c>
      <c r="HG51" s="52">
        <f t="shared" si="16"/>
        <v>22548633.050000019</v>
      </c>
      <c r="HH51" s="52">
        <f t="shared" si="16"/>
        <v>21138014.280000053</v>
      </c>
      <c r="HI51" s="52">
        <f t="shared" si="16"/>
        <v>46257692.692189649</v>
      </c>
      <c r="HJ51" s="52">
        <f t="shared" si="16"/>
        <v>26117294.56417878</v>
      </c>
      <c r="HK51" s="52">
        <f t="shared" si="16"/>
        <v>32646618.205223463</v>
      </c>
      <c r="HL51" s="52">
        <f t="shared" si="16"/>
        <v>40808272.756529331</v>
      </c>
      <c r="HM51" s="52">
        <f t="shared" si="16"/>
        <v>51010340.945661634</v>
      </c>
      <c r="HN51" s="52">
        <f t="shared" si="16"/>
        <v>63762926.182077125</v>
      </c>
      <c r="HO51" s="52">
        <f t="shared" si="16"/>
        <v>79703657.727596357</v>
      </c>
      <c r="HP51" s="52">
        <f t="shared" si="16"/>
        <v>99629572.159495443</v>
      </c>
      <c r="HQ51" s="52">
        <f t="shared" si="16"/>
        <v>124536965.19936922</v>
      </c>
      <c r="HR51" s="52">
        <f t="shared" si="16"/>
        <v>155671206.49921173</v>
      </c>
    </row>
    <row r="52" spans="1:226" x14ac:dyDescent="0.35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</row>
    <row r="53" spans="1:226" x14ac:dyDescent="0.35">
      <c r="A53" t="s">
        <v>82</v>
      </c>
      <c r="B53" s="23">
        <f>IF(B$5="Real",INDEX('Informacion de Sam'!$48:$48,MATCH(B$6,'Informacion de Sam'!$1:$1,0)),B$51*'Supuestos Proyeccion'!$B$8)</f>
        <v>1181956.02</v>
      </c>
      <c r="C53" s="23">
        <f>IF(C$5="Real",INDEX('Informacion de Sam'!$48:$48,MATCH(C$6,'Informacion de Sam'!$1:$1,0)),C$51*'Supuestos Proyeccion'!$B$8)</f>
        <v>734999.54</v>
      </c>
      <c r="D53" s="23">
        <f>IF(D$5="Real",INDEX('Informacion de Sam'!$48:$48,MATCH(D$6,'Informacion de Sam'!$1:$1,0)),D$51*'Supuestos Proyeccion'!$B$8)</f>
        <v>784678.91000000015</v>
      </c>
      <c r="E53" s="23">
        <f>IF(E$5="Real",INDEX('Informacion de Sam'!$48:$48,MATCH(E$6,'Informacion de Sam'!$1:$1,0)),E$51*'Supuestos Proyeccion'!$B$8)</f>
        <v>1175543.0699999998</v>
      </c>
      <c r="F53" s="23">
        <f>IF(F$5="Real",INDEX('Informacion de Sam'!$48:$48,MATCH(F$6,'Informacion de Sam'!$1:$1,0)),F$51*'Supuestos Proyeccion'!$B$8)</f>
        <v>789597.08000000007</v>
      </c>
      <c r="G53" s="23">
        <f>IF(G$5="Real",INDEX('Informacion de Sam'!$48:$48,MATCH(G$6,'Informacion de Sam'!$1:$1,0)),G$51*'Supuestos Proyeccion'!$B$8)</f>
        <v>1597677.79</v>
      </c>
      <c r="H53" s="23">
        <f>IF(H$5="Real",INDEX('Informacion de Sam'!$48:$48,MATCH(H$6,'Informacion de Sam'!$1:$1,0)),H$51*'Supuestos Proyeccion'!$B$8)</f>
        <v>1202674.5</v>
      </c>
      <c r="I53" s="23">
        <f>IF(I$5="Real",INDEX('Informacion de Sam'!$48:$48,MATCH(I$6,'Informacion de Sam'!$1:$1,0)),I$51*'Supuestos Proyeccion'!$B$8)</f>
        <v>1405655.8100000005</v>
      </c>
      <c r="J53" s="23">
        <f>IF(J$5="Real",INDEX('Informacion de Sam'!$48:$48,MATCH(J$6,'Informacion de Sam'!$1:$1,0)),J$51*'Supuestos Proyeccion'!$B$8)</f>
        <v>-172444.90000000037</v>
      </c>
      <c r="K53" s="23">
        <f>IF(K$5="Real",INDEX('Informacion de Sam'!$48:$48,MATCH(K$6,'Informacion de Sam'!$1:$1,0)),K$51*'Supuestos Proyeccion'!$B$8)</f>
        <v>641657.77999999933</v>
      </c>
      <c r="L53" s="23">
        <f>IF(L$5="Real",INDEX('Informacion de Sam'!$48:$48,MATCH(L$6,'Informacion de Sam'!$1:$1,0)),L$51*'Supuestos Proyeccion'!$B$8)</f>
        <v>361632.97000000067</v>
      </c>
      <c r="M53" s="23">
        <f>IF(M$5="Real",INDEX('Informacion de Sam'!$48:$48,MATCH(M$6,'Informacion de Sam'!$1:$1,0)),M$51*'Supuestos Proyeccion'!$B$8)</f>
        <v>1128827.0899999999</v>
      </c>
      <c r="N53" s="23">
        <f>SUM(B53:M53)</f>
        <v>10832455.66</v>
      </c>
      <c r="O53" s="23">
        <f>IF(O$5="Real",INDEX('Informacion de Sam'!$48:$48,MATCH(O$6,'Informacion de Sam'!$1:$1,0)),O$51*'Supuestos Proyeccion'!$B$8)</f>
        <v>980189.68</v>
      </c>
      <c r="P53" s="23">
        <f>IF(P$5="Real",INDEX('Informacion de Sam'!$48:$48,MATCH(P$6,'Informacion de Sam'!$1:$1,0)),P$51*'Supuestos Proyeccion'!$B$8)</f>
        <v>1411598.0499999998</v>
      </c>
      <c r="Q53" s="23">
        <f>IF(Q$5="Real",INDEX('Informacion de Sam'!$48:$48,MATCH(Q$6,'Informacion de Sam'!$1:$1,0)),Q$51*'Supuestos Proyeccion'!$B$8)</f>
        <v>-193193.33000000007</v>
      </c>
      <c r="R53" s="23">
        <f>IF(R$5="Real",INDEX('Informacion de Sam'!$48:$48,MATCH(R$6,'Informacion de Sam'!$1:$1,0)),R$51*'Supuestos Proyeccion'!$B$8)</f>
        <v>270229.01000000024</v>
      </c>
      <c r="S53" s="23">
        <f>IF(S$5="Real",INDEX('Informacion de Sam'!$48:$48,MATCH(S$6,'Informacion de Sam'!$1:$1,0)),S$51*'Supuestos Proyeccion'!$B$8)</f>
        <v>16142.409999999683</v>
      </c>
      <c r="T53" s="23">
        <f>IF(T$5="Real",INDEX('Informacion de Sam'!$48:$48,MATCH(T$6,'Informacion de Sam'!$1:$1,0)),T$51*'Supuestos Proyeccion'!$B$8)</f>
        <v>239121.74000000022</v>
      </c>
      <c r="U53" s="23">
        <f>IF(U$5="Real",INDEX('Informacion de Sam'!$48:$48,MATCH(U$6,'Informacion de Sam'!$1:$1,0)),U$51*'Supuestos Proyeccion'!$B$8)</f>
        <v>527562.56000000006</v>
      </c>
      <c r="V53" s="23">
        <f>IF(V$5="Real",INDEX('Informacion de Sam'!$48:$48,MATCH(V$6,'Informacion de Sam'!$1:$1,0)),V$51*'Supuestos Proyeccion'!$B$8)</f>
        <v>1109048</v>
      </c>
      <c r="W53" s="23">
        <f>IF(W$5="Real",INDEX('Informacion de Sam'!$48:$48,MATCH(W$6,'Informacion de Sam'!$1:$1,0)),W$51*'Supuestos Proyeccion'!$B$8)</f>
        <v>-59655.240000000224</v>
      </c>
      <c r="X53" s="23">
        <f>IF(X$5="Real",INDEX('Informacion de Sam'!$48:$48,MATCH(X$6,'Informacion de Sam'!$1:$1,0)),X$51*'Supuestos Proyeccion'!$B$8)</f>
        <v>157108.29999999981</v>
      </c>
      <c r="Y53" s="23">
        <f>IF(Y$5="Real",INDEX('Informacion de Sam'!$48:$48,MATCH(Y$6,'Informacion de Sam'!$1:$1,0)),Y$51*'Supuestos Proyeccion'!$B$8)</f>
        <v>162043.91999999993</v>
      </c>
      <c r="Z53" s="23">
        <f>IF(Z$5="Real",INDEX('Informacion de Sam'!$48:$48,MATCH(Z$6,'Informacion de Sam'!$1:$1,0)),Z$51*'Supuestos Proyeccion'!$B$8)</f>
        <v>123076.13000000082</v>
      </c>
      <c r="AA53" s="23">
        <f>SUM(O53:Z53)</f>
        <v>4743271.2300000004</v>
      </c>
      <c r="AB53" s="23">
        <f>IF(AB$5="Real",INDEX('Informacion de Sam'!$48:$48,MATCH(AB$6,'Informacion de Sam'!$1:$1,0)),AB$51*'Supuestos Proyeccion'!$B$8)</f>
        <v>284428.92</v>
      </c>
      <c r="AC53" s="23">
        <f>IF(AC$5="Real",INDEX('Informacion de Sam'!$48:$48,MATCH(AC$6,'Informacion de Sam'!$1:$1,0)),AC$51*'Supuestos Proyeccion'!$B$8)</f>
        <v>790717.73</v>
      </c>
      <c r="AD53" s="23">
        <f>IF(AD$5="Real",INDEX('Informacion de Sam'!$48:$48,MATCH(AD$6,'Informacion de Sam'!$1:$1,0)),AD$51*'Supuestos Proyeccion'!$B$8)</f>
        <v>1428346.5700000003</v>
      </c>
      <c r="AE53" s="23">
        <f>IF(AE$5="Real",INDEX('Informacion de Sam'!$48:$48,MATCH(AE$6,'Informacion de Sam'!$1:$1,0)),AE$51*'Supuestos Proyeccion'!$B$8)</f>
        <v>751886.46</v>
      </c>
      <c r="AF53" s="23">
        <f>IF(AF$5="Real",INDEX('Informacion de Sam'!$48:$48,MATCH(AF$6,'Informacion de Sam'!$1:$1,0)),AF$51*'Supuestos Proyeccion'!$B$8)</f>
        <v>381323.41999999993</v>
      </c>
      <c r="AG53" s="23">
        <f>IF(AG$5="Real",INDEX('Informacion de Sam'!$48:$48,MATCH(AG$6,'Informacion de Sam'!$1:$1,0)),AG$51*'Supuestos Proyeccion'!$B$8)</f>
        <v>1332422.4099999997</v>
      </c>
      <c r="AH53" s="23">
        <f>IF(AH$5="Real",INDEX('Informacion de Sam'!$48:$48,MATCH(AH$6,'Informacion de Sam'!$1:$1,0)),AH$51*'Supuestos Proyeccion'!$B$8)</f>
        <v>788799.49000000022</v>
      </c>
      <c r="AI53" s="23">
        <f>IF(AI$5="Real",INDEX('Informacion de Sam'!$48:$48,MATCH(AI$6,'Informacion de Sam'!$1:$1,0)),AI$51*'Supuestos Proyeccion'!$B$8)</f>
        <v>843181.19000000041</v>
      </c>
      <c r="AJ53" s="23">
        <f>IF(AJ$5="Real",INDEX('Informacion de Sam'!$48:$48,MATCH(AJ$6,'Informacion de Sam'!$1:$1,0)),AJ$51*'Supuestos Proyeccion'!$B$8)</f>
        <v>81694.689999999478</v>
      </c>
      <c r="AK53" s="23">
        <f>IF(AK$5="Real",INDEX('Informacion de Sam'!$48:$48,MATCH(AK$6,'Informacion de Sam'!$1:$1,0)),AK$51*'Supuestos Proyeccion'!$B$8)</f>
        <v>559567.88999999966</v>
      </c>
      <c r="AL53" s="23">
        <f>IF(AL$5="Real",INDEX('Informacion de Sam'!$48:$48,MATCH(AL$6,'Informacion de Sam'!$1:$1,0)),AL$51*'Supuestos Proyeccion'!$B$8)</f>
        <v>-168422.30999999959</v>
      </c>
      <c r="AM53" s="23">
        <f>IF(AM$5="Real",INDEX('Informacion de Sam'!$48:$48,MATCH(AM$6,'Informacion de Sam'!$1:$1,0)),AM$51*'Supuestos Proyeccion'!$B$8)</f>
        <v>1729168.2399999993</v>
      </c>
      <c r="AN53" s="23">
        <f>SUM(AB53:AM53)</f>
        <v>8803114.6999999993</v>
      </c>
      <c r="AO53" s="23">
        <f>IF(AO$5="Real",INDEX('Informacion de Sam'!$48:$48,MATCH(AO$6,'Informacion de Sam'!$1:$1,0)),AO$51*'Supuestos Proyeccion'!$B$8)</f>
        <v>1407275.15</v>
      </c>
      <c r="AP53" s="23">
        <f>IF(AP$5="Real",INDEX('Informacion de Sam'!$48:$48,MATCH(AP$6,'Informacion de Sam'!$1:$1,0)),AP$51*'Supuestos Proyeccion'!$B$8)</f>
        <v>999042.26000000024</v>
      </c>
      <c r="AQ53" s="23">
        <f>IF(AQ$5="Real",INDEX('Informacion de Sam'!$48:$48,MATCH(AQ$6,'Informacion de Sam'!$1:$1,0)),AQ$51*'Supuestos Proyeccion'!$B$8)</f>
        <v>432440.60999999987</v>
      </c>
      <c r="AR53" s="23">
        <f>IF(AR$5="Real",INDEX('Informacion de Sam'!$48:$48,MATCH(AR$6,'Informacion de Sam'!$1:$1,0)),AR$51*'Supuestos Proyeccion'!$B$8)</f>
        <v>1629564.0799999996</v>
      </c>
      <c r="AS53" s="23">
        <f>IF(AS$5="Real",INDEX('Informacion de Sam'!$48:$48,MATCH(AS$6,'Informacion de Sam'!$1:$1,0)),AS$51*'Supuestos Proyeccion'!$B$8)</f>
        <v>1037435.6600000001</v>
      </c>
      <c r="AT53" s="23">
        <f>IF(AT$5="Real",INDEX('Informacion de Sam'!$48:$48,MATCH(AT$6,'Informacion de Sam'!$1:$1,0)),AT$51*'Supuestos Proyeccion'!$B$8)</f>
        <v>581279.10000000056</v>
      </c>
      <c r="AU53" s="23">
        <f>IF(AU$5="Real",INDEX('Informacion de Sam'!$48:$48,MATCH(AU$6,'Informacion de Sam'!$1:$1,0)),AU$51*'Supuestos Proyeccion'!$B$8)</f>
        <v>744445.71</v>
      </c>
      <c r="AV53" s="23">
        <f>IF(AV$5="Real",INDEX('Informacion de Sam'!$48:$48,MATCH(AV$6,'Informacion de Sam'!$1:$1,0)),AV$51*'Supuestos Proyeccion'!$B$8)</f>
        <v>937280.26999999955</v>
      </c>
      <c r="AW53" s="23">
        <f>IF(AW$5="Real",INDEX('Informacion de Sam'!$48:$48,MATCH(AW$6,'Informacion de Sam'!$1:$1,0)),AW$51*'Supuestos Proyeccion'!$B$8)</f>
        <v>497436.41999999993</v>
      </c>
      <c r="AX53" s="23">
        <f>IF(AX$5="Real",INDEX('Informacion de Sam'!$48:$48,MATCH(AX$6,'Informacion de Sam'!$1:$1,0)),AX$51*'Supuestos Proyeccion'!$B$8)</f>
        <v>321922.97000000067</v>
      </c>
      <c r="AY53" s="23">
        <f>IF(AY$5="Real",INDEX('Informacion de Sam'!$48:$48,MATCH(AY$6,'Informacion de Sam'!$1:$1,0)),AY$51*'Supuestos Proyeccion'!$B$8)</f>
        <v>59472.519999999553</v>
      </c>
      <c r="AZ53" s="23">
        <f>IF(AZ$5="Real",INDEX('Informacion de Sam'!$48:$48,MATCH(AZ$6,'Informacion de Sam'!$1:$1,0)),AZ$51*'Supuestos Proyeccion'!$B$8)</f>
        <v>2080329.3200000003</v>
      </c>
      <c r="BA53" s="23">
        <f>SUM(AO53:AZ53)</f>
        <v>10727924.07</v>
      </c>
      <c r="BB53" s="23">
        <f>IF(BB$5="Real",INDEX('Informacion de Sam'!$48:$48,MATCH(BB$6,'Informacion de Sam'!$1:$1,0)),BB$51*'Supuestos Proyeccion'!$B$8)</f>
        <v>706272.21</v>
      </c>
      <c r="BC53" s="23">
        <f>IF(BC$5="Real",INDEX('Informacion de Sam'!$48:$48,MATCH(BC$6,'Informacion de Sam'!$1:$1,0)),BC$51*'Supuestos Proyeccion'!$B$8)</f>
        <v>140921.03000000003</v>
      </c>
      <c r="BD53" s="23">
        <f>IF(BD$5="Real",INDEX('Informacion de Sam'!$48:$48,MATCH(BD$6,'Informacion de Sam'!$1:$1,0)),BD$51*'Supuestos Proyeccion'!$B$8)</f>
        <v>-379232.75</v>
      </c>
      <c r="BE53" s="23">
        <f>IF(BE$5="Real",INDEX('Informacion de Sam'!$48:$48,MATCH(BE$6,'Informacion de Sam'!$1:$1,0)),BE$51*'Supuestos Proyeccion'!$B$8)</f>
        <v>1591284.96</v>
      </c>
      <c r="BF53" s="23">
        <f>IF(BF$5="Real",INDEX('Informacion de Sam'!$48:$48,MATCH(BF$6,'Informacion de Sam'!$1:$1,0)),BF$51*'Supuestos Proyeccion'!$B$8)</f>
        <v>74655.800000000047</v>
      </c>
      <c r="BG53" s="23">
        <f>IF(BG$5="Real",INDEX('Informacion de Sam'!$48:$48,MATCH(BG$6,'Informacion de Sam'!$1:$1,0)),BG$51*'Supuestos Proyeccion'!$B$8)</f>
        <v>980770.56</v>
      </c>
      <c r="BH53" s="23">
        <f>IF(BH$5="Real",INDEX('Informacion de Sam'!$48:$48,MATCH(BH$6,'Informacion de Sam'!$1:$1,0)),BH$51*'Supuestos Proyeccion'!$B$8)</f>
        <v>386636.08000000007</v>
      </c>
      <c r="BI53" s="23">
        <f>IF(BI$5="Real",INDEX('Informacion de Sam'!$48:$48,MATCH(BI$6,'Informacion de Sam'!$1:$1,0)),BI$51*'Supuestos Proyeccion'!$B$8)</f>
        <v>1136526.5699999998</v>
      </c>
      <c r="BJ53" s="23">
        <f>IF(BJ$5="Real",INDEX('Informacion de Sam'!$48:$48,MATCH(BJ$6,'Informacion de Sam'!$1:$1,0)),BJ$51*'Supuestos Proyeccion'!$B$8)</f>
        <v>-82810.280000000261</v>
      </c>
      <c r="BK53" s="23">
        <f>IF(BK$5="Real",INDEX('Informacion de Sam'!$48:$48,MATCH(BK$6,'Informacion de Sam'!$1:$1,0)),BK$51*'Supuestos Proyeccion'!$B$8)</f>
        <v>1994468.1500000004</v>
      </c>
      <c r="BL53" s="23">
        <f>IF(BL$5="Real",INDEX('Informacion de Sam'!$48:$48,MATCH(BL$6,'Informacion de Sam'!$1:$1,0)),BL$51*'Supuestos Proyeccion'!$B$8)</f>
        <v>-729735.31000000052</v>
      </c>
      <c r="BM53" s="23">
        <f>IF(BM$5="Real",INDEX('Informacion de Sam'!$48:$48,MATCH(BM$6,'Informacion de Sam'!$1:$1,0)),BM$51*'Supuestos Proyeccion'!$B$8)</f>
        <v>-2198778.9499999997</v>
      </c>
      <c r="BN53" s="23">
        <f>SUM(BB53:BM53)</f>
        <v>3620978.07</v>
      </c>
      <c r="BO53" s="23">
        <f>IF(BO$5="Real",INDEX('Informacion de Sam'!$48:$48,MATCH(BO$6,'Informacion de Sam'!$1:$1,0)),BO$51*'Supuestos Proyeccion'!$B$8)</f>
        <v>833439.02</v>
      </c>
      <c r="BP53" s="23">
        <f>IF(BP$5="Real",INDEX('Informacion de Sam'!$48:$48,MATCH(BP$6,'Informacion de Sam'!$1:$1,0)),BP$51*'Supuestos Proyeccion'!$B$8)</f>
        <v>255957.8899999999</v>
      </c>
      <c r="BQ53" s="23">
        <f>IF(BQ$5="Real",INDEX('Informacion de Sam'!$48:$48,MATCH(BQ$6,'Informacion de Sam'!$1:$1,0)),BQ$51*'Supuestos Proyeccion'!$B$8)</f>
        <v>-222292.5199999999</v>
      </c>
      <c r="BR53" s="23">
        <f>IF(BR$5="Real",INDEX('Informacion de Sam'!$48:$48,MATCH(BR$6,'Informacion de Sam'!$1:$1,0)),BR$51*'Supuestos Proyeccion'!$B$8)</f>
        <v>187248.16000000003</v>
      </c>
      <c r="BS53" s="23">
        <f>IF(BS$5="Real",INDEX('Informacion de Sam'!$48:$48,MATCH(BS$6,'Informacion de Sam'!$1:$1,0)),BS$51*'Supuestos Proyeccion'!$B$8)</f>
        <v>329821.94999999995</v>
      </c>
      <c r="BT53" s="23">
        <f>IF(BT$5="Real",INDEX('Informacion de Sam'!$48:$48,MATCH(BT$6,'Informacion de Sam'!$1:$1,0)),BT$51*'Supuestos Proyeccion'!$B$8)</f>
        <v>378271.62999999989</v>
      </c>
      <c r="BU53" s="23">
        <f>IF(BU$5="Real",INDEX('Informacion de Sam'!$48:$48,MATCH(BU$6,'Informacion de Sam'!$1:$1,0)),BU$51*'Supuestos Proyeccion'!$B$8)</f>
        <v>-1207920.6599999999</v>
      </c>
      <c r="BV53" s="23">
        <f>IF(BV$5="Real",INDEX('Informacion de Sam'!$48:$48,MATCH(BV$6,'Informacion de Sam'!$1:$1,0)),BV$51*'Supuestos Proyeccion'!$B$8)</f>
        <v>243006.01</v>
      </c>
      <c r="BW53" s="23">
        <f>IF(BW$5="Real",INDEX('Informacion de Sam'!$48:$48,MATCH(BW$6,'Informacion de Sam'!$1:$1,0)),BW$51*'Supuestos Proyeccion'!$B$8)</f>
        <v>1282409.8800000001</v>
      </c>
      <c r="BX53" s="23">
        <f>IF(BX$5="Real",INDEX('Informacion de Sam'!$48:$48,MATCH(BX$6,'Informacion de Sam'!$1:$1,0)),BX$51*'Supuestos Proyeccion'!$B$8)</f>
        <v>-100279.44000000018</v>
      </c>
      <c r="BY53" s="23">
        <f>IF(BY$5="Real",INDEX('Informacion de Sam'!$48:$48,MATCH(BY$6,'Informacion de Sam'!$1:$1,0)),BY$51*'Supuestos Proyeccion'!$B$8)</f>
        <v>1047259.3500000001</v>
      </c>
      <c r="BZ53" s="23">
        <f>IF(BZ$5="Real",INDEX('Informacion de Sam'!$48:$48,MATCH(BZ$6,'Informacion de Sam'!$1:$1,0)),BZ$51*'Supuestos Proyeccion'!$B$8)</f>
        <v>174846.93000000017</v>
      </c>
      <c r="CA53" s="23">
        <f>SUM(BO53:BZ53)</f>
        <v>3201768.2</v>
      </c>
      <c r="CB53" s="23">
        <f>IF(CB$5="Real",INDEX('Informacion de Sam'!$48:$48,MATCH(CB$6,'Informacion de Sam'!$1:$1,0)),CB$51*'Supuestos Proyeccion'!$B$8)</f>
        <v>1047984.69</v>
      </c>
      <c r="CC53" s="23">
        <f>IF(CC$5="Real",INDEX('Informacion de Sam'!$48:$48,MATCH(CC$6,'Informacion de Sam'!$1:$1,0)),CC$51*'Supuestos Proyeccion'!$B$8)</f>
        <v>1719645.8900000001</v>
      </c>
      <c r="CD53" s="23">
        <f>IF(CD$5="Real",INDEX('Informacion de Sam'!$48:$48,MATCH(CD$6,'Informacion de Sam'!$1:$1,0)),CD$51*'Supuestos Proyeccion'!$B$8)</f>
        <v>1599314.6600000001</v>
      </c>
      <c r="CE53" s="23">
        <f>IF(CE$5="Real",INDEX('Informacion de Sam'!$48:$48,MATCH(CE$6,'Informacion de Sam'!$1:$1,0)),CE$51*'Supuestos Proyeccion'!$B$8)</f>
        <v>246319.30999999959</v>
      </c>
      <c r="CF53" s="23">
        <f>IF(CF$5="Real",INDEX('Informacion de Sam'!$48:$48,MATCH(CF$6,'Informacion de Sam'!$1:$1,0)),CF$51*'Supuestos Proyeccion'!$B$8)</f>
        <v>787674.12999999989</v>
      </c>
      <c r="CG53" s="23">
        <f>IF(CG$5="Real",INDEX('Informacion de Sam'!$48:$48,MATCH(CG$6,'Informacion de Sam'!$1:$1,0)),CG$51*'Supuestos Proyeccion'!$B$8)</f>
        <v>707736.12000000011</v>
      </c>
      <c r="CH53" s="23">
        <f>IF(CH$5="Real",INDEX('Informacion de Sam'!$48:$48,MATCH(CH$6,'Informacion de Sam'!$1:$1,0)),CH$51*'Supuestos Proyeccion'!$B$8)</f>
        <v>731996.74000000022</v>
      </c>
      <c r="CI53" s="23">
        <f>IF(CI$5="Real",INDEX('Informacion de Sam'!$48:$48,MATCH(CI$6,'Informacion de Sam'!$1:$1,0)),CI$51*'Supuestos Proyeccion'!$B$8)</f>
        <v>-211352.09999999963</v>
      </c>
      <c r="CJ53" s="23">
        <f>IF(CJ$5="Real",INDEX('Informacion de Sam'!$48:$48,MATCH(CJ$6,'Informacion de Sam'!$1:$1,0)),CJ$51*'Supuestos Proyeccion'!$B$8)</f>
        <v>2293084.3166675689</v>
      </c>
      <c r="CK53" s="23">
        <f>IF(CK$5="Real",INDEX('Informacion de Sam'!$48:$48,MATCH(CK$6,'Informacion de Sam'!$1:$1,0)),CK$51*'Supuestos Proyeccion'!$B$8)</f>
        <v>977896.21508265322</v>
      </c>
      <c r="CL53" s="23">
        <f>IF(CL$5="Real",INDEX('Informacion de Sam'!$48:$48,MATCH(CL$6,'Informacion de Sam'!$1:$1,0)),CL$51*'Supuestos Proyeccion'!$B$8)</f>
        <v>783640.1138851142</v>
      </c>
      <c r="CM53" s="23">
        <f>IF(CM$5="Real",INDEX('Informacion de Sam'!$48:$48,MATCH(CM$6,'Informacion de Sam'!$1:$1,0)),CM$51*'Supuestos Proyeccion'!$B$8)</f>
        <v>-135246.89258793241</v>
      </c>
      <c r="CN53" s="23">
        <f>SUM(CB53:CM53)</f>
        <v>10548693.193047404</v>
      </c>
      <c r="CO53" s="23">
        <f>IF(CO$5="Real",INDEX('Informacion de Sam'!$48:$48,MATCH(CO$6,'Informacion de Sam'!$1:$1,0)),CO$51*'Supuestos Proyeccion'!$B$8)</f>
        <v>1462529.3596488824</v>
      </c>
      <c r="CP53" s="23">
        <f>IF(CP$5="Real",INDEX('Informacion de Sam'!$48:$48,MATCH(CP$6,'Informacion de Sam'!$1:$1,0)),CP$51*'Supuestos Proyeccion'!$B$8)</f>
        <v>2170380.2093329085</v>
      </c>
      <c r="CQ53" s="23">
        <f>IF(CQ$5="Real",INDEX('Informacion de Sam'!$48:$48,MATCH(CQ$6,'Informacion de Sam'!$1:$1,0)),CQ$51*'Supuestos Proyeccion'!$B$8)</f>
        <v>999463.53317781107</v>
      </c>
      <c r="CR53" s="23">
        <f>IF(CR$5="Real",INDEX('Informacion de Sam'!$48:$48,MATCH(CR$6,'Informacion de Sam'!$1:$1,0)),CR$51*'Supuestos Proyeccion'!$B$8)</f>
        <v>555159.37742202973</v>
      </c>
      <c r="CS53" s="23">
        <f>IF(CS$5="Real",INDEX('Informacion de Sam'!$48:$48,MATCH(CS$6,'Informacion de Sam'!$1:$1,0)),CS$51*'Supuestos Proyeccion'!$B$8)</f>
        <v>658148.04535529052</v>
      </c>
      <c r="CT53" s="23">
        <f>IF(CT$5="Real",INDEX('Informacion de Sam'!$48:$48,MATCH(CT$6,'Informacion de Sam'!$1:$1,0)),CT$51*'Supuestos Proyeccion'!$B$8)</f>
        <v>-124896.84777347007</v>
      </c>
      <c r="CU53" s="23">
        <f>IF(CU$5="Real",INDEX('Informacion de Sam'!$48:$48,MATCH(CU$6,'Informacion de Sam'!$1:$1,0)),CU$51*'Supuestos Proyeccion'!$B$8)</f>
        <v>-143055.27446205507</v>
      </c>
      <c r="CV53" s="23">
        <f>IF(CV$5="Real",INDEX('Informacion de Sam'!$48:$48,MATCH(CV$6,'Informacion de Sam'!$1:$1,0)),CV$51*'Supuestos Proyeccion'!$B$8)</f>
        <v>-1025129.0632252228</v>
      </c>
      <c r="CW53" s="23">
        <f>IF(CW$5="Real",INDEX('Informacion de Sam'!$48:$48,MATCH(CW$6,'Informacion de Sam'!$1:$1,0)),CW$51*'Supuestos Proyeccion'!$B$8)</f>
        <v>509282.77800378611</v>
      </c>
      <c r="CX53" s="23">
        <f>IF(CX$5="Real",INDEX('Informacion de Sam'!$48:$48,MATCH(CX$6,'Informacion de Sam'!$1:$1,0)),CX$51*'Supuestos Proyeccion'!$B$8)</f>
        <v>491630.34479520895</v>
      </c>
      <c r="CY53" s="23">
        <f>IF(CY$5="Real",INDEX('Informacion de Sam'!$48:$48,MATCH(CY$6,'Informacion de Sam'!$1:$1,0)),CY$51*'Supuestos Proyeccion'!$B$8)</f>
        <v>506760.47845769988</v>
      </c>
      <c r="CZ53" s="23">
        <f>IF(CZ$5="Real",INDEX('Informacion de Sam'!$48:$48,MATCH(CZ$6,'Informacion de Sam'!$1:$1,0)),CZ$51*'Supuestos Proyeccion'!$B$8)</f>
        <v>469050.70031182654</v>
      </c>
      <c r="DA53" s="23">
        <f>SUM(CO53:CZ53)</f>
        <v>6529323.6410446949</v>
      </c>
      <c r="DB53" s="23">
        <f>IF(DB$5="Real",INDEX('Informacion de Sam'!$48:$48,MATCH(DB$6,'Informacion de Sam'!$1:$1,0)),DB$51*'Supuestos Proyeccion'!$B$8)</f>
        <v>614070.95060680783</v>
      </c>
      <c r="DC53" s="23">
        <f>IF(DC$5="Real",INDEX('Informacion de Sam'!$48:$48,MATCH(DC$6,'Informacion de Sam'!$1:$1,0)),DC$51*'Supuestos Proyeccion'!$B$8)</f>
        <v>870459.9836160196</v>
      </c>
      <c r="DD53" s="23">
        <f>IF(DD$5="Real",INDEX('Informacion de Sam'!$48:$48,MATCH(DD$6,'Informacion de Sam'!$1:$1,0)),DD$51*'Supuestos Proyeccion'!$B$8)</f>
        <v>624702.9379006885</v>
      </c>
      <c r="DE53" s="23">
        <f>IF(DE$5="Real",INDEX('Informacion de Sam'!$48:$48,MATCH(DE$6,'Informacion de Sam'!$1:$1,0)),DE$51*'Supuestos Proyeccion'!$B$8)</f>
        <v>639086.19930379547</v>
      </c>
      <c r="DF53" s="23">
        <f>IF(DF$5="Real",INDEX('Informacion de Sam'!$48:$48,MATCH(DF$6,'Informacion de Sam'!$1:$1,0)),DF$51*'Supuestos Proyeccion'!$B$8)</f>
        <v>562282.1733091824</v>
      </c>
      <c r="DG53" s="23">
        <f>IF(DG$5="Real",INDEX('Informacion de Sam'!$48:$48,MATCH(DG$6,'Informacion de Sam'!$1:$1,0)),DG$51*'Supuestos Proyeccion'!$B$8)</f>
        <v>643032.3334099669</v>
      </c>
      <c r="DH53" s="23">
        <f>IF(DH$5="Real",INDEX('Informacion de Sam'!$48:$48,MATCH(DH$6,'Informacion de Sam'!$1:$1,0)),DH$51*'Supuestos Proyeccion'!$B$8)</f>
        <v>694097.08225064049</v>
      </c>
      <c r="DI53" s="23">
        <f>IF(DI$5="Real",INDEX('Informacion de Sam'!$48:$48,MATCH(DI$6,'Informacion de Sam'!$1:$1,0)),DI$51*'Supuestos Proyeccion'!$B$8)</f>
        <v>1043017.5139481109</v>
      </c>
      <c r="DJ53" s="23">
        <f>IF(DJ$5="Real",INDEX('Informacion de Sam'!$48:$48,MATCH(DJ$6,'Informacion de Sam'!$1:$1,0)),DJ$51*'Supuestos Proyeccion'!$B$8)</f>
        <v>636603.47250473266</v>
      </c>
      <c r="DK53" s="23">
        <f>IF(DK$5="Real",INDEX('Informacion de Sam'!$48:$48,MATCH(DK$6,'Informacion de Sam'!$1:$1,0)),DK$51*'Supuestos Proyeccion'!$B$8)</f>
        <v>614537.93099401239</v>
      </c>
      <c r="DL53" s="23">
        <f>IF(DL$5="Real",INDEX('Informacion de Sam'!$48:$48,MATCH(DL$6,'Informacion de Sam'!$1:$1,0)),DL$51*'Supuestos Proyeccion'!$B$8)</f>
        <v>633450.59807212651</v>
      </c>
      <c r="DM53" s="23">
        <f>IF(DM$5="Real",INDEX('Informacion de Sam'!$48:$48,MATCH(DM$6,'Informacion de Sam'!$1:$1,0)),DM$51*'Supuestos Proyeccion'!$B$8)</f>
        <v>586313.37538978143</v>
      </c>
      <c r="DN53" s="23">
        <f>SUM(DB53:DM53)</f>
        <v>8161654.5513058659</v>
      </c>
      <c r="DO53" s="23">
        <f>IF(DO$5="Real",INDEX('Informacion de Sam'!$48:$48,MATCH(DO$6,'Informacion de Sam'!$1:$1,0)),DO$51*'Supuestos Proyeccion'!$B$8)</f>
        <v>767588.68825851183</v>
      </c>
      <c r="DP53" s="23">
        <f>IF(DP$5="Real",INDEX('Informacion de Sam'!$48:$48,MATCH(DP$6,'Informacion de Sam'!$1:$1,0)),DP$51*'Supuestos Proyeccion'!$B$8)</f>
        <v>1088074.9795200245</v>
      </c>
      <c r="DQ53" s="23">
        <f>IF(DQ$5="Real",INDEX('Informacion de Sam'!$48:$48,MATCH(DQ$6,'Informacion de Sam'!$1:$1,0)),DQ$51*'Supuestos Proyeccion'!$B$8)</f>
        <v>780878.67237585911</v>
      </c>
      <c r="DR53" s="23">
        <f>IF(DR$5="Real",INDEX('Informacion de Sam'!$48:$48,MATCH(DR$6,'Informacion de Sam'!$1:$1,0)),DR$51*'Supuestos Proyeccion'!$B$8)</f>
        <v>798857.74912974541</v>
      </c>
      <c r="DS53" s="23">
        <f>IF(DS$5="Real",INDEX('Informacion de Sam'!$48:$48,MATCH(DS$6,'Informacion de Sam'!$1:$1,0)),DS$51*'Supuestos Proyeccion'!$B$8)</f>
        <v>702852.71663647774</v>
      </c>
      <c r="DT53" s="23">
        <f>IF(DT$5="Real",INDEX('Informacion de Sam'!$48:$48,MATCH(DT$6,'Informacion de Sam'!$1:$1,0)),DT$51*'Supuestos Proyeccion'!$B$8)</f>
        <v>803790.416762457</v>
      </c>
      <c r="DU53" s="23">
        <f>IF(DU$5="Real",INDEX('Informacion de Sam'!$48:$48,MATCH(DU$6,'Informacion de Sam'!$1:$1,0)),DU$51*'Supuestos Proyeccion'!$B$8)</f>
        <v>867621.35281330079</v>
      </c>
      <c r="DV53" s="23">
        <f>IF(DV$5="Real",INDEX('Informacion de Sam'!$48:$48,MATCH(DV$6,'Informacion de Sam'!$1:$1,0)),DV$51*'Supuestos Proyeccion'!$B$8)</f>
        <v>1303771.89243514</v>
      </c>
      <c r="DW53" s="23">
        <f>IF(DW$5="Real",INDEX('Informacion de Sam'!$48:$48,MATCH(DW$6,'Informacion de Sam'!$1:$1,0)),DW$51*'Supuestos Proyeccion'!$B$8)</f>
        <v>795754.34063091606</v>
      </c>
      <c r="DX53" s="23">
        <f>IF(DX$5="Real",INDEX('Informacion de Sam'!$48:$48,MATCH(DX$6,'Informacion de Sam'!$1:$1,0)),DX$51*'Supuestos Proyeccion'!$B$8)</f>
        <v>768172.41374251409</v>
      </c>
      <c r="DY53" s="23">
        <f>IF(DY$5="Real",INDEX('Informacion de Sam'!$48:$48,MATCH(DY$6,'Informacion de Sam'!$1:$1,0)),DY$51*'Supuestos Proyeccion'!$B$8)</f>
        <v>791813.24759015813</v>
      </c>
      <c r="DZ53" s="23">
        <f>IF(DZ$5="Real",INDEX('Informacion de Sam'!$48:$48,MATCH(DZ$6,'Informacion de Sam'!$1:$1,0)),DZ$51*'Supuestos Proyeccion'!$B$8)</f>
        <v>732891.71923722932</v>
      </c>
      <c r="EA53" s="23">
        <f>SUM(DO53:DZ53)</f>
        <v>10202068.189132333</v>
      </c>
      <c r="EB53" s="23">
        <f>IF(EB$5="Real",INDEX('Informacion de Sam'!$48:$48,MATCH(EB$6,'Informacion de Sam'!$1:$1,0)),EB$51*'Supuestos Proyeccion'!$B$8)</f>
        <v>959485.8603231383</v>
      </c>
      <c r="EC53" s="23">
        <f>IF(EC$5="Real",INDEX('Informacion de Sam'!$48:$48,MATCH(EC$6,'Informacion de Sam'!$1:$1,0)),EC$51*'Supuestos Proyeccion'!$B$8)</f>
        <v>1360093.7244000332</v>
      </c>
      <c r="ED53" s="23">
        <f>IF(ED$5="Real",INDEX('Informacion de Sam'!$48:$48,MATCH(ED$6,'Informacion de Sam'!$1:$1,0)),ED$51*'Supuestos Proyeccion'!$B$8)</f>
        <v>976098.34046982462</v>
      </c>
      <c r="EE53" s="23">
        <f>IF(EE$5="Real",INDEX('Informacion de Sam'!$48:$48,MATCH(EE$6,'Informacion de Sam'!$1:$1,0)),EE$51*'Supuestos Proyeccion'!$B$8)</f>
        <v>998572.18641217938</v>
      </c>
      <c r="EF53" s="23">
        <f>IF(EF$5="Real",INDEX('Informacion de Sam'!$48:$48,MATCH(EF$6,'Informacion de Sam'!$1:$1,0)),EF$51*'Supuestos Proyeccion'!$B$8)</f>
        <v>878565.89579559909</v>
      </c>
      <c r="EG53" s="23">
        <f>IF(EG$5="Real",INDEX('Informacion de Sam'!$48:$48,MATCH(EG$6,'Informacion de Sam'!$1:$1,0)),EG$51*'Supuestos Proyeccion'!$B$8)</f>
        <v>1004738.0209530753</v>
      </c>
      <c r="EH53" s="23">
        <f>IF(EH$5="Real",INDEX('Informacion de Sam'!$48:$48,MATCH(EH$6,'Informacion de Sam'!$1:$1,0)),EH$51*'Supuestos Proyeccion'!$B$8)</f>
        <v>1084526.6910166238</v>
      </c>
      <c r="EI53" s="23">
        <f>IF(EI$5="Real",INDEX('Informacion de Sam'!$48:$48,MATCH(EI$6,'Informacion de Sam'!$1:$1,0)),EI$51*'Supuestos Proyeccion'!$B$8)</f>
        <v>1629714.8655439219</v>
      </c>
      <c r="EJ53" s="23">
        <f>IF(EJ$5="Real",INDEX('Informacion de Sam'!$48:$48,MATCH(EJ$6,'Informacion de Sam'!$1:$1,0)),EJ$51*'Supuestos Proyeccion'!$B$8)</f>
        <v>994692.9257886447</v>
      </c>
      <c r="EK53" s="23">
        <f>IF(EK$5="Real",INDEX('Informacion de Sam'!$48:$48,MATCH(EK$6,'Informacion de Sam'!$1:$1,0)),EK$51*'Supuestos Proyeccion'!$B$8)</f>
        <v>960215.51717814081</v>
      </c>
      <c r="EL53" s="23">
        <f>IF(EL$5="Real",INDEX('Informacion de Sam'!$48:$48,MATCH(EL$6,'Informacion de Sam'!$1:$1,0)),EL$51*'Supuestos Proyeccion'!$B$8)</f>
        <v>989766.55948769487</v>
      </c>
      <c r="EM53" s="23">
        <f>IF(EM$5="Real",INDEX('Informacion de Sam'!$48:$48,MATCH(EM$6,'Informacion de Sam'!$1:$1,0)),EM$51*'Supuestos Proyeccion'!$B$8)</f>
        <v>916114.64904653316</v>
      </c>
      <c r="EN53" s="23">
        <f>SUM(EB53:EM53)</f>
        <v>12752585.236415409</v>
      </c>
      <c r="EO53" s="23">
        <f>IF(EO$5="Real",INDEX('Informacion de Sam'!$48:$48,MATCH(EO$6,'Informacion de Sam'!$1:$1,0)),EO$51*'Supuestos Proyeccion'!$B$8)</f>
        <v>1199357.3254039262</v>
      </c>
      <c r="EP53" s="23">
        <f>IF(EP$5="Real",INDEX('Informacion de Sam'!$48:$48,MATCH(EP$6,'Informacion de Sam'!$1:$1,0)),EP$51*'Supuestos Proyeccion'!$B$8)</f>
        <v>1700117.1555000413</v>
      </c>
      <c r="EQ53" s="23">
        <f>IF(EQ$5="Real",INDEX('Informacion de Sam'!$48:$48,MATCH(EQ$6,'Informacion de Sam'!$1:$1,0)),EQ$51*'Supuestos Proyeccion'!$B$8)</f>
        <v>1220122.9255872825</v>
      </c>
      <c r="ER53" s="23">
        <f>IF(ER$5="Real",INDEX('Informacion de Sam'!$48:$48,MATCH(ER$6,'Informacion de Sam'!$1:$1,0)),ER$51*'Supuestos Proyeccion'!$B$8)</f>
        <v>1248215.2330152271</v>
      </c>
      <c r="ES53" s="23">
        <f>IF(ES$5="Real",INDEX('Informacion de Sam'!$48:$48,MATCH(ES$6,'Informacion de Sam'!$1:$1,0)),ES$51*'Supuestos Proyeccion'!$B$8)</f>
        <v>1098207.3697444983</v>
      </c>
      <c r="ET53" s="23">
        <f>IF(ET$5="Real",INDEX('Informacion de Sam'!$48:$48,MATCH(ET$6,'Informacion de Sam'!$1:$1,0)),ET$51*'Supuestos Proyeccion'!$B$8)</f>
        <v>1255922.5261913422</v>
      </c>
      <c r="EU53" s="23">
        <f>IF(EU$5="Real",INDEX('Informacion de Sam'!$48:$48,MATCH(EU$6,'Informacion de Sam'!$1:$1,0)),EU$51*'Supuestos Proyeccion'!$B$8)</f>
        <v>1355658.3637707853</v>
      </c>
      <c r="EV53" s="23">
        <f>IF(EV$5="Real",INDEX('Informacion de Sam'!$48:$48,MATCH(EV$6,'Informacion de Sam'!$1:$1,0)),EV$51*'Supuestos Proyeccion'!$B$8)</f>
        <v>2037143.5819299039</v>
      </c>
      <c r="EW53" s="23">
        <f>IF(EW$5="Real",INDEX('Informacion de Sam'!$48:$48,MATCH(EW$6,'Informacion de Sam'!$1:$1,0)),EW$51*'Supuestos Proyeccion'!$B$8)</f>
        <v>1243366.157235804</v>
      </c>
      <c r="EX53" s="23">
        <f>IF(EX$5="Real",INDEX('Informacion de Sam'!$48:$48,MATCH(EX$6,'Informacion de Sam'!$1:$1,0)),EX$51*'Supuestos Proyeccion'!$B$8)</f>
        <v>1200269.3964726776</v>
      </c>
      <c r="EY53" s="23">
        <f>IF(EY$5="Real",INDEX('Informacion de Sam'!$48:$48,MATCH(EY$6,'Informacion de Sam'!$1:$1,0)),EY$51*'Supuestos Proyeccion'!$B$8)</f>
        <v>1237208.199359623</v>
      </c>
      <c r="EZ53" s="23">
        <f>IF(EZ$5="Real",INDEX('Informacion de Sam'!$48:$48,MATCH(EZ$6,'Informacion de Sam'!$1:$1,0)),EZ$51*'Supuestos Proyeccion'!$B$8)</f>
        <v>1145143.3113081697</v>
      </c>
      <c r="FA53" s="23">
        <f>SUM(EO53:EZ53)</f>
        <v>15940731.545519281</v>
      </c>
      <c r="FB53" s="23">
        <f>IF(FB$5="Real",INDEX('Informacion de Sam'!$48:$48,MATCH(FB$6,'Informacion de Sam'!$1:$1,0)),FB$51*'Supuestos Proyeccion'!$B$8)</f>
        <v>1499196.6567549023</v>
      </c>
      <c r="FC53" s="23">
        <f>IF(FC$5="Real",INDEX('Informacion de Sam'!$48:$48,MATCH(FC$6,'Informacion de Sam'!$1:$1,0)),FC$51*'Supuestos Proyeccion'!$B$8)</f>
        <v>2125146.4443750521</v>
      </c>
      <c r="FD53" s="23">
        <f>IF(FD$5="Real",INDEX('Informacion de Sam'!$48:$48,MATCH(FD$6,'Informacion de Sam'!$1:$1,0)),FD$51*'Supuestos Proyeccion'!$B$8)</f>
        <v>1525153.6569841015</v>
      </c>
      <c r="FE53" s="23">
        <f>IF(FE$5="Real",INDEX('Informacion de Sam'!$48:$48,MATCH(FE$6,'Informacion de Sam'!$1:$1,0)),FE$51*'Supuestos Proyeccion'!$B$8)</f>
        <v>1560269.0412690274</v>
      </c>
      <c r="FF53" s="23">
        <f>IF(FF$5="Real",INDEX('Informacion de Sam'!$48:$48,MATCH(FF$6,'Informacion de Sam'!$1:$1,0)),FF$51*'Supuestos Proyeccion'!$B$8)</f>
        <v>1372759.2121806217</v>
      </c>
      <c r="FG53" s="23">
        <f>IF(FG$5="Real",INDEX('Informacion de Sam'!$48:$48,MATCH(FG$6,'Informacion de Sam'!$1:$1,0)),FG$51*'Supuestos Proyeccion'!$B$8)</f>
        <v>1569903.1577391764</v>
      </c>
      <c r="FH53" s="23">
        <f>IF(FH$5="Real",INDEX('Informacion de Sam'!$48:$48,MATCH(FH$6,'Informacion de Sam'!$1:$1,0)),FH$51*'Supuestos Proyeccion'!$B$8)</f>
        <v>1694572.9547134805</v>
      </c>
      <c r="FI53" s="23">
        <f>IF(FI$5="Real",INDEX('Informacion de Sam'!$48:$48,MATCH(FI$6,'Informacion de Sam'!$1:$1,0)),FI$51*'Supuestos Proyeccion'!$B$8)</f>
        <v>2546429.4774123887</v>
      </c>
      <c r="FJ53" s="23">
        <f>IF(FJ$5="Real",INDEX('Informacion de Sam'!$48:$48,MATCH(FJ$6,'Informacion de Sam'!$1:$1,0)),FJ$51*'Supuestos Proyeccion'!$B$8)</f>
        <v>1554207.6965447601</v>
      </c>
      <c r="FK53" s="23">
        <f>IF(FK$5="Real",INDEX('Informacion de Sam'!$48:$48,MATCH(FK$6,'Informacion de Sam'!$1:$1,0)),FK$51*'Supuestos Proyeccion'!$B$8)</f>
        <v>1500336.7455908465</v>
      </c>
      <c r="FL53" s="23">
        <f>IF(FL$5="Real",INDEX('Informacion de Sam'!$48:$48,MATCH(FL$6,'Informacion de Sam'!$1:$1,0)),FL$51*'Supuestos Proyeccion'!$B$8)</f>
        <v>1546510.2491995262</v>
      </c>
      <c r="FM53" s="23">
        <f>IF(FM$5="Real",INDEX('Informacion de Sam'!$48:$48,MATCH(FM$6,'Informacion de Sam'!$1:$1,0)),FM$51*'Supuestos Proyeccion'!$B$8)</f>
        <v>1431429.1391352077</v>
      </c>
      <c r="FN53" s="23">
        <f>SUM(FB53:FM53)</f>
        <v>19925914.431899089</v>
      </c>
      <c r="FO53" s="23">
        <f>IF(FO$5="Real",INDEX('Informacion de Sam'!$48:$48,MATCH(FO$6,'Informacion de Sam'!$1:$1,0)),FO$51*'Supuestos Proyeccion'!$B$8)</f>
        <v>1873995.8209436319</v>
      </c>
      <c r="FP53" s="23">
        <f>IF(FP$5="Real",INDEX('Informacion de Sam'!$48:$48,MATCH(FP$6,'Informacion de Sam'!$1:$1,0)),FP$51*'Supuestos Proyeccion'!$B$8)</f>
        <v>2656433.0554688172</v>
      </c>
      <c r="FQ53" s="23">
        <f>IF(FQ$5="Real",INDEX('Informacion de Sam'!$48:$48,MATCH(FQ$6,'Informacion de Sam'!$1:$1,0)),FQ$51*'Supuestos Proyeccion'!$B$8)</f>
        <v>1906442.0712301296</v>
      </c>
      <c r="FR53" s="23">
        <f>IF(FR$5="Real",INDEX('Informacion de Sam'!$48:$48,MATCH(FR$6,'Informacion de Sam'!$1:$1,0)),FR$51*'Supuestos Proyeccion'!$B$8)</f>
        <v>1950336.3015862871</v>
      </c>
      <c r="FS53" s="23">
        <f>IF(FS$5="Real",INDEX('Informacion de Sam'!$48:$48,MATCH(FS$6,'Informacion de Sam'!$1:$1,0)),FS$51*'Supuestos Proyeccion'!$B$8)</f>
        <v>1715949.0152257725</v>
      </c>
      <c r="FT53" s="23">
        <f>IF(FT$5="Real",INDEX('Informacion de Sam'!$48:$48,MATCH(FT$6,'Informacion de Sam'!$1:$1,0)),FT$51*'Supuestos Proyeccion'!$B$8)</f>
        <v>1962378.9471739731</v>
      </c>
      <c r="FU53" s="23">
        <f>IF(FU$5="Real",INDEX('Informacion de Sam'!$48:$48,MATCH(FU$6,'Informacion de Sam'!$1:$1,0)),FU$51*'Supuestos Proyeccion'!$B$8)</f>
        <v>2118216.1933918465</v>
      </c>
      <c r="FV53" s="23">
        <f>IF(FV$5="Real",INDEX('Informacion de Sam'!$48:$48,MATCH(FV$6,'Informacion de Sam'!$1:$1,0)),FV$51*'Supuestos Proyeccion'!$B$8)</f>
        <v>3183036.8467654735</v>
      </c>
      <c r="FW53" s="23">
        <f>IF(FW$5="Real",INDEX('Informacion de Sam'!$48:$48,MATCH(FW$6,'Informacion de Sam'!$1:$1,0)),FW$51*'Supuestos Proyeccion'!$B$8)</f>
        <v>1942759.6206809487</v>
      </c>
      <c r="FX53" s="23">
        <f>IF(FX$5="Real",INDEX('Informacion de Sam'!$48:$48,MATCH(FX$6,'Informacion de Sam'!$1:$1,0)),FX$51*'Supuestos Proyeccion'!$B$8)</f>
        <v>1875420.9319885559</v>
      </c>
      <c r="FY53" s="23">
        <f>IF(FY$5="Real",INDEX('Informacion de Sam'!$48:$48,MATCH(FY$6,'Informacion de Sam'!$1:$1,0)),FY$51*'Supuestos Proyeccion'!$B$8)</f>
        <v>1933137.811499407</v>
      </c>
      <c r="FZ53" s="23">
        <f>IF(FZ$5="Real",INDEX('Informacion de Sam'!$48:$48,MATCH(FZ$6,'Informacion de Sam'!$1:$1,0)),FZ$51*'Supuestos Proyeccion'!$B$8)</f>
        <v>1789286.4239190149</v>
      </c>
      <c r="GA53" s="23">
        <f>SUM(FO53:FZ53)</f>
        <v>24907393.039873861</v>
      </c>
      <c r="GB53" s="23">
        <f>IF(GB$5="Real",INDEX('Informacion de Sam'!$48:$48,MATCH(GB$6,'Informacion de Sam'!$1:$1,0)),GB$51*'Supuestos Proyeccion'!$B$8)</f>
        <v>2342494.776179539</v>
      </c>
      <c r="GC53" s="23">
        <f>IF(GC$5="Real",INDEX('Informacion de Sam'!$48:$48,MATCH(GC$6,'Informacion de Sam'!$1:$1,0)),GC$51*'Supuestos Proyeccion'!$B$8)</f>
        <v>3320541.3193360129</v>
      </c>
      <c r="GD53" s="23">
        <f>IF(GD$5="Real",INDEX('Informacion de Sam'!$48:$48,MATCH(GD$6,'Informacion de Sam'!$1:$1,0)),GD$51*'Supuestos Proyeccion'!$B$8)</f>
        <v>2383052.5890376545</v>
      </c>
      <c r="GE53" s="23">
        <f>IF(GE$5="Real",INDEX('Informacion de Sam'!$48:$48,MATCH(GE$6,'Informacion de Sam'!$1:$1,0)),GE$51*'Supuestos Proyeccion'!$B$8)</f>
        <v>2437920.3769828603</v>
      </c>
      <c r="GF53" s="23">
        <f>IF(GF$5="Real",INDEX('Informacion de Sam'!$48:$48,MATCH(GF$6,'Informacion de Sam'!$1:$1,0)),GF$51*'Supuestos Proyeccion'!$B$8)</f>
        <v>2144936.2690322241</v>
      </c>
      <c r="GG53" s="23">
        <f>IF(GG$5="Real",INDEX('Informacion de Sam'!$48:$48,MATCH(GG$6,'Informacion de Sam'!$1:$1,0)),GG$51*'Supuestos Proyeccion'!$B$8)</f>
        <v>2452973.6839674725</v>
      </c>
      <c r="GH53" s="23">
        <f>IF(GH$5="Real",INDEX('Informacion de Sam'!$48:$48,MATCH(GH$6,'Informacion de Sam'!$1:$1,0)),GH$51*'Supuestos Proyeccion'!$B$8)</f>
        <v>2647770.2417398049</v>
      </c>
      <c r="GI53" s="23">
        <f>IF(GI$5="Real",INDEX('Informacion de Sam'!$48:$48,MATCH(GI$6,'Informacion de Sam'!$1:$1,0)),GI$51*'Supuestos Proyeccion'!$B$8)</f>
        <v>3978796.0584568381</v>
      </c>
      <c r="GJ53" s="23">
        <f>IF(GJ$5="Real",INDEX('Informacion de Sam'!$48:$48,MATCH(GJ$6,'Informacion de Sam'!$1:$1,0)),GJ$51*'Supuestos Proyeccion'!$B$8)</f>
        <v>2428449.5258511826</v>
      </c>
      <c r="GK53" s="23">
        <f>IF(GK$5="Real",INDEX('Informacion de Sam'!$48:$48,MATCH(GK$6,'Informacion de Sam'!$1:$1,0)),GK$51*'Supuestos Proyeccion'!$B$8)</f>
        <v>2344276.1649857024</v>
      </c>
      <c r="GL53" s="23">
        <f>IF(GL$5="Real",INDEX('Informacion de Sam'!$48:$48,MATCH(GL$6,'Informacion de Sam'!$1:$1,0)),GL$51*'Supuestos Proyeccion'!$B$8)</f>
        <v>2416422.2643742496</v>
      </c>
      <c r="GM53" s="23">
        <f>IF(GM$5="Real",INDEX('Informacion de Sam'!$48:$48,MATCH(GM$6,'Informacion de Sam'!$1:$1,0)),GM$51*'Supuestos Proyeccion'!$B$8)</f>
        <v>2236608.0298987646</v>
      </c>
      <c r="GN53" s="23">
        <f>SUM(GB53:GM53)</f>
        <v>31134241.299842305</v>
      </c>
      <c r="GO53" s="23">
        <f>IF(GO$5="Real",INDEX('Informacion de Sam'!$48:$48,MATCH(GO$6,'Informacion de Sam'!$1:$1,0)),GO$51*'Supuestos Proyeccion'!$B$8)</f>
        <v>2928118.4702244243</v>
      </c>
      <c r="GP53" s="23">
        <f>IF(GP$5="Real",INDEX('Informacion de Sam'!$48:$48,MATCH(GP$6,'Informacion de Sam'!$1:$1,0)),GP$51*'Supuestos Proyeccion'!$B$8)</f>
        <v>4150676.6491700253</v>
      </c>
      <c r="GQ53" s="23">
        <f>IF(GQ$5="Real",INDEX('Informacion de Sam'!$48:$48,MATCH(GQ$6,'Informacion de Sam'!$1:$1,0)),GQ$51*'Supuestos Proyeccion'!$B$8)</f>
        <v>2978815.7362970673</v>
      </c>
      <c r="GR53" s="23">
        <f>IF(GR$5="Real",INDEX('Informacion de Sam'!$48:$48,MATCH(GR$6,'Informacion de Sam'!$1:$1,0)),GR$51*'Supuestos Proyeccion'!$B$8)</f>
        <v>3047400.4712285884</v>
      </c>
      <c r="GS53" s="23">
        <f>IF(GS$5="Real",INDEX('Informacion de Sam'!$48:$48,MATCH(GS$6,'Informacion de Sam'!$1:$1,0)),GS$51*'Supuestos Proyeccion'!$B$8)</f>
        <v>2681170.3362902799</v>
      </c>
      <c r="GT53" s="23">
        <f>IF(GT$5="Real",INDEX('Informacion de Sam'!$48:$48,MATCH(GT$6,'Informacion de Sam'!$1:$1,0)),GT$51*'Supuestos Proyeccion'!$B$8)</f>
        <v>3066217.1049593426</v>
      </c>
      <c r="GU53" s="23">
        <f>IF(GU$5="Real",INDEX('Informacion de Sam'!$48:$48,MATCH(GU$6,'Informacion de Sam'!$1:$1,0)),GU$51*'Supuestos Proyeccion'!$B$8)</f>
        <v>3309712.8021747544</v>
      </c>
      <c r="GV53" s="23">
        <f>IF(GV$5="Real",INDEX('Informacion de Sam'!$48:$48,MATCH(GV$6,'Informacion de Sam'!$1:$1,0)),GV$51*'Supuestos Proyeccion'!$B$8)</f>
        <v>4973495.0730710495</v>
      </c>
      <c r="GW53" s="23">
        <f>IF(GW$5="Real",INDEX('Informacion de Sam'!$48:$48,MATCH(GW$6,'Informacion de Sam'!$1:$1,0)),GW$51*'Supuestos Proyeccion'!$B$8)</f>
        <v>3035561.9073139816</v>
      </c>
      <c r="GX53" s="23">
        <f>IF(GX$5="Real",INDEX('Informacion de Sam'!$48:$48,MATCH(GX$6,'Informacion de Sam'!$1:$1,0)),GX$51*'Supuestos Proyeccion'!$B$8)</f>
        <v>2930345.2062321277</v>
      </c>
      <c r="GY53" s="23">
        <f>IF(GY$5="Real",INDEX('Informacion de Sam'!$48:$48,MATCH(GY$6,'Informacion de Sam'!$1:$1,0)),GY$51*'Supuestos Proyeccion'!$B$8)</f>
        <v>3020527.8304678267</v>
      </c>
      <c r="GZ53" s="23">
        <f>IF(GZ$5="Real",INDEX('Informacion de Sam'!$48:$48,MATCH(GZ$6,'Informacion de Sam'!$1:$1,0)),GZ$51*'Supuestos Proyeccion'!$B$8)</f>
        <v>2795760.0373734664</v>
      </c>
      <c r="HA53" s="23">
        <f>SUM(GO53:GZ53)</f>
        <v>38917801.624802932</v>
      </c>
      <c r="HB53" s="23"/>
      <c r="HC53" s="51">
        <f t="shared" ref="HC53:HR53" si="17">SUMIFS($B53:$HA53,$B$4:$HA$4,HC$6,$B$5:$HA$5,"Acumulado")</f>
        <v>10832455.66</v>
      </c>
      <c r="HD53" s="51">
        <f t="shared" si="17"/>
        <v>4743271.2300000004</v>
      </c>
      <c r="HE53" s="51">
        <f t="shared" si="17"/>
        <v>8803114.6999999993</v>
      </c>
      <c r="HF53" s="51">
        <f t="shared" si="17"/>
        <v>10727924.07</v>
      </c>
      <c r="HG53" s="51">
        <f t="shared" si="17"/>
        <v>3620978.07</v>
      </c>
      <c r="HH53" s="51">
        <f t="shared" si="17"/>
        <v>3201768.2</v>
      </c>
      <c r="HI53" s="51">
        <f t="shared" si="17"/>
        <v>10548693.193047404</v>
      </c>
      <c r="HJ53" s="51">
        <f t="shared" si="17"/>
        <v>6529323.6410446949</v>
      </c>
      <c r="HK53" s="51">
        <f t="shared" si="17"/>
        <v>8161654.5513058659</v>
      </c>
      <c r="HL53" s="51">
        <f t="shared" si="17"/>
        <v>10202068.189132333</v>
      </c>
      <c r="HM53" s="51">
        <f t="shared" si="17"/>
        <v>12752585.236415409</v>
      </c>
      <c r="HN53" s="51">
        <f t="shared" si="17"/>
        <v>15940731.545519281</v>
      </c>
      <c r="HO53" s="51">
        <f t="shared" si="17"/>
        <v>19925914.431899089</v>
      </c>
      <c r="HP53" s="51">
        <f t="shared" si="17"/>
        <v>24907393.039873861</v>
      </c>
      <c r="HQ53" s="51">
        <f t="shared" si="17"/>
        <v>31134241.299842305</v>
      </c>
      <c r="HR53" s="51">
        <f t="shared" si="17"/>
        <v>38917801.624802932</v>
      </c>
    </row>
    <row r="54" spans="1:226" x14ac:dyDescent="0.35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51"/>
      <c r="HD54" s="51"/>
      <c r="HE54" s="51"/>
      <c r="HF54" s="51"/>
      <c r="HG54" s="51"/>
      <c r="HH54" s="51"/>
      <c r="HI54" s="51"/>
      <c r="HJ54" s="51"/>
      <c r="HK54" s="51"/>
      <c r="HL54" s="51"/>
      <c r="HM54" s="51"/>
      <c r="HN54" s="51"/>
      <c r="HO54" s="51"/>
      <c r="HP54" s="51"/>
      <c r="HQ54" s="51"/>
      <c r="HR54" s="51"/>
    </row>
    <row r="55" spans="1:226" ht="16" x14ac:dyDescent="0.4">
      <c r="A55" s="54" t="s">
        <v>83</v>
      </c>
      <c r="B55" s="55">
        <f>IF(B$5="Real",INDEX('Informacion de Sam'!$50:$50,MATCH(B$6,'Informacion de Sam'!$1:$1,0)),B$51-B$53)</f>
        <v>3810439.0100000002</v>
      </c>
      <c r="C55" s="55">
        <f>IF(C$5="Real",INDEX('Informacion de Sam'!$50:$50,MATCH(C$6,'Informacion de Sam'!$1:$1,0)),C$51-C$53)</f>
        <v>2618137.1799999988</v>
      </c>
      <c r="D55" s="55">
        <f>IF(D$5="Real",INDEX('Informacion de Sam'!$50:$50,MATCH(D$6,'Informacion de Sam'!$1:$1,0)),D$51-D$53)</f>
        <v>2864072.4500000011</v>
      </c>
      <c r="E55" s="55">
        <f>IF(E$5="Real",INDEX('Informacion de Sam'!$50:$50,MATCH(E$6,'Informacion de Sam'!$1:$1,0)),E$51-E$53)</f>
        <v>4043542.609999998</v>
      </c>
      <c r="F55" s="55">
        <f>IF(F$5="Real",INDEX('Informacion de Sam'!$50:$50,MATCH(F$6,'Informacion de Sam'!$1:$1,0)),F$51-F$53)</f>
        <v>2862664.5300000021</v>
      </c>
      <c r="G55" s="55">
        <f>IF(G$5="Real",INDEX('Informacion de Sam'!$50:$50,MATCH(G$6,'Informacion de Sam'!$1:$1,0)),G$51-G$53)</f>
        <v>5287369.3399999989</v>
      </c>
      <c r="H55" s="55">
        <f>IF(H$5="Real",INDEX('Informacion de Sam'!$50:$50,MATCH(H$6,'Informacion de Sam'!$1:$1,0)),H$51-H$53)</f>
        <v>4191360.34</v>
      </c>
      <c r="I55" s="55">
        <f>IF(I$5="Real",INDEX('Informacion de Sam'!$50:$50,MATCH(I$6,'Informacion de Sam'!$1:$1,0)),I$51-I$53)</f>
        <v>4788908.3999999966</v>
      </c>
      <c r="J55" s="55">
        <f>IF(J$5="Real",INDEX('Informacion de Sam'!$50:$50,MATCH(J$6,'Informacion de Sam'!$1:$1,0)),J$51-J$53)</f>
        <v>-81899.989999992773</v>
      </c>
      <c r="K55" s="55">
        <f>IF(K$5="Real",INDEX('Informacion de Sam'!$50:$50,MATCH(K$6,'Informacion de Sam'!$1:$1,0)),K$51-K$53)</f>
        <v>2571140.589999998</v>
      </c>
      <c r="L55" s="55">
        <f>IF(L$5="Real",INDEX('Informacion de Sam'!$50:$50,MATCH(L$6,'Informacion de Sam'!$1:$1,0)),L$51-L$53)</f>
        <v>1665417.1899999958</v>
      </c>
      <c r="M55" s="55">
        <f>IF(M$5="Real",INDEX('Informacion de Sam'!$50:$50,MATCH(M$6,'Informacion de Sam'!$1:$1,0)),M$51-M$53)</f>
        <v>3676032.5300000049</v>
      </c>
      <c r="N55" s="55">
        <f>SUM(B55:M55)</f>
        <v>38297184.180000007</v>
      </c>
      <c r="O55" s="55">
        <f>IF(O$5="Real",INDEX('Informacion de Sam'!$50:$50,MATCH(O$6,'Informacion de Sam'!$1:$1,0)),O$51-O$53)</f>
        <v>3502805.15</v>
      </c>
      <c r="P55" s="55">
        <f>IF(P$5="Real",INDEX('Informacion de Sam'!$50:$50,MATCH(P$6,'Informacion de Sam'!$1:$1,0)),P$51-P$53)</f>
        <v>4493741.99</v>
      </c>
      <c r="Q55" s="55">
        <f>IF(Q$5="Real",INDEX('Informacion de Sam'!$50:$50,MATCH(Q$6,'Informacion de Sam'!$1:$1,0)),Q$51-Q$53)</f>
        <v>-22575.47</v>
      </c>
      <c r="R55" s="55">
        <f>IF(R$5="Real",INDEX('Informacion de Sam'!$50:$50,MATCH(R$6,'Informacion de Sam'!$1:$1,0)),R$51-R$53)</f>
        <v>1383208.4099999997</v>
      </c>
      <c r="S55" s="55">
        <f>IF(S$5="Real",INDEX('Informacion de Sam'!$50:$50,MATCH(S$6,'Informacion de Sam'!$1:$1,0)),S$51-S$53)</f>
        <v>651719.02</v>
      </c>
      <c r="T55" s="55">
        <f>IF(T$5="Real",INDEX('Informacion de Sam'!$50:$50,MATCH(T$6,'Informacion de Sam'!$1:$1,0)),T$51-T$53)</f>
        <v>1261103.5500000007</v>
      </c>
      <c r="U55" s="55">
        <f>IF(U$5="Real",INDEX('Informacion de Sam'!$50:$50,MATCH(U$6,'Informacion de Sam'!$1:$1,0)),U$51-U$53)</f>
        <v>2166896.8799999994</v>
      </c>
      <c r="V55" s="55">
        <f>IF(V$5="Real",INDEX('Informacion de Sam'!$50:$50,MATCH(V$6,'Informacion de Sam'!$1:$1,0)),V$51-V$53)</f>
        <v>3807041.84</v>
      </c>
      <c r="W55" s="55">
        <f>IF(W$5="Real",INDEX('Informacion de Sam'!$50:$50,MATCH(W$6,'Informacion de Sam'!$1:$1,0)),W$51-W$53)</f>
        <v>292367.27000000142</v>
      </c>
      <c r="X55" s="55">
        <f>IF(X$5="Real",INDEX('Informacion de Sam'!$50:$50,MATCH(X$6,'Informacion de Sam'!$1:$1,0)),X$51-X$53)</f>
        <v>1045309.3600000003</v>
      </c>
      <c r="Y55" s="55">
        <f>IF(Y$5="Real",INDEX('Informacion de Sam'!$50:$50,MATCH(Y$6,'Informacion de Sam'!$1:$1,0)),Y$51-Y$53)</f>
        <v>981711.31000000052</v>
      </c>
      <c r="Z55" s="55">
        <f>IF(Z$5="Real",INDEX('Informacion de Sam'!$50:$50,MATCH(Z$6,'Informacion de Sam'!$1:$1,0)),Z$51-Z$53)</f>
        <v>636031.03999999724</v>
      </c>
      <c r="AA55" s="55">
        <f>SUM(O55:Z55)</f>
        <v>20199360.350000001</v>
      </c>
      <c r="AB55" s="55">
        <f>IF(AB$5="Real",INDEX('Informacion de Sam'!$50:$50,MATCH(AB$6,'Informacion de Sam'!$1:$1,0)),AB$51-AB$53)</f>
        <v>1222504.06</v>
      </c>
      <c r="AC55" s="55">
        <f>IF(AC$5="Real",INDEX('Informacion de Sam'!$50:$50,MATCH(AC$6,'Informacion de Sam'!$1:$1,0)),AC$51-AC$53)</f>
        <v>2861294.2200000007</v>
      </c>
      <c r="AD55" s="55">
        <f>IF(AD$5="Real",INDEX('Informacion de Sam'!$50:$50,MATCH(AD$6,'Informacion de Sam'!$1:$1,0)),AD$51-AD$53)</f>
        <v>3505346.0999999996</v>
      </c>
      <c r="AE55" s="55">
        <f>IF(AE$5="Real",INDEX('Informacion de Sam'!$50:$50,MATCH(AE$6,'Informacion de Sam'!$1:$1,0)),AE$51-AE$53)</f>
        <v>2719524.2399999993</v>
      </c>
      <c r="AF55" s="55">
        <f>IF(AF$5="Real",INDEX('Informacion de Sam'!$50:$50,MATCH(AF$6,'Informacion de Sam'!$1:$1,0)),AF$51-AF$53)</f>
        <v>1738782.42</v>
      </c>
      <c r="AG55" s="55">
        <f>IF(AG$5="Real",INDEX('Informacion de Sam'!$50:$50,MATCH(AG$6,'Informacion de Sam'!$1:$1,0)),AG$51-AG$53)</f>
        <v>4626222.0700000022</v>
      </c>
      <c r="AH55" s="55">
        <f>IF(AH$5="Real",INDEX('Informacion de Sam'!$50:$50,MATCH(AH$6,'Informacion de Sam'!$1:$1,0)),AH$51-AH$53)</f>
        <v>2881504.17</v>
      </c>
      <c r="AI55" s="55">
        <f>IF(AI$5="Real",INDEX('Informacion de Sam'!$50:$50,MATCH(AI$6,'Informacion de Sam'!$1:$1,0)),AI$51-AI$53)</f>
        <v>1396547.1999999983</v>
      </c>
      <c r="AJ55" s="55">
        <f>IF(AJ$5="Real",INDEX('Informacion de Sam'!$50:$50,MATCH(AJ$6,'Informacion de Sam'!$1:$1,0)),AJ$51-AJ$53)</f>
        <v>742493.08999999985</v>
      </c>
      <c r="AK55" s="55">
        <f>IF(AK$5="Real",INDEX('Informacion de Sam'!$50:$50,MATCH(AK$6,'Informacion de Sam'!$1:$1,0)),AK$51-AK$53)</f>
        <v>2103181.6000000006</v>
      </c>
      <c r="AL55" s="55">
        <f>IF(AL$5="Real",INDEX('Informacion de Sam'!$50:$50,MATCH(AL$6,'Informacion de Sam'!$1:$1,0)),AL$51-AL$53)</f>
        <v>-36995.659999998286</v>
      </c>
      <c r="AM55" s="55">
        <f>IF(AM$5="Real",INDEX('Informacion de Sam'!$50:$50,MATCH(AM$6,'Informacion de Sam'!$1:$1,0)),AM$51-AM$53)</f>
        <v>5887885.6399999978</v>
      </c>
      <c r="AN55" s="55">
        <f>SUM(AB55:AM55)</f>
        <v>29648289.150000002</v>
      </c>
      <c r="AO55" s="55">
        <f>IF(AO$5="Real",INDEX('Informacion de Sam'!$50:$50,MATCH(AO$6,'Informacion de Sam'!$1:$1,0)),AO$51-AO$53)</f>
        <v>4812991.83</v>
      </c>
      <c r="AP55" s="55">
        <f>IF(AP$5="Real",INDEX('Informacion de Sam'!$50:$50,MATCH(AP$6,'Informacion de Sam'!$1:$1,0)),AP$51-AP$53)</f>
        <v>3437898.1299999994</v>
      </c>
      <c r="AQ55" s="55">
        <f>IF(AQ$5="Real",INDEX('Informacion de Sam'!$50:$50,MATCH(AQ$6,'Informacion de Sam'!$1:$1,0)),AQ$51-AQ$53)</f>
        <v>1804015.6100000003</v>
      </c>
      <c r="AR55" s="55">
        <f>IF(AR$5="Real",INDEX('Informacion de Sam'!$50:$50,MATCH(AR$6,'Informacion de Sam'!$1:$1,0)),AR$51-AR$53)</f>
        <v>5515413.2000000011</v>
      </c>
      <c r="AS55" s="55">
        <f>IF(AS$5="Real",INDEX('Informacion de Sam'!$50:$50,MATCH(AS$6,'Informacion de Sam'!$1:$1,0)),AS$51-AS$53)</f>
        <v>3811212.5</v>
      </c>
      <c r="AT55" s="55">
        <f>IF(AT$5="Real",INDEX('Informacion de Sam'!$50:$50,MATCH(AT$6,'Informacion de Sam'!$1:$1,0)),AT$51-AT$53)</f>
        <v>2433619.6800000006</v>
      </c>
      <c r="AU55" s="55">
        <f>IF(AU$5="Real",INDEX('Informacion de Sam'!$50:$50,MATCH(AU$6,'Informacion de Sam'!$1:$1,0)),AU$51-AU$53)</f>
        <v>2964910.7300000009</v>
      </c>
      <c r="AV55" s="55">
        <f>IF(AV$5="Real",INDEX('Informacion de Sam'!$50:$50,MATCH(AV$6,'Informacion de Sam'!$1:$1,0)),AV$51-AV$53)</f>
        <v>3489092.2799999956</v>
      </c>
      <c r="AW55" s="55">
        <f>IF(AW$5="Real",INDEX('Informacion de Sam'!$50:$50,MATCH(AW$6,'Informacion de Sam'!$1:$1,0)),AW$51-AW$53)</f>
        <v>2081553.4300000053</v>
      </c>
      <c r="AX55" s="55">
        <f>IF(AX$5="Real",INDEX('Informacion de Sam'!$50:$50,MATCH(AX$6,'Informacion de Sam'!$1:$1,0)),AX$51-AX$53)</f>
        <v>1541303.600000001</v>
      </c>
      <c r="AY55" s="55">
        <f>IF(AY$5="Real",INDEX('Informacion de Sam'!$50:$50,MATCH(AY$6,'Informacion de Sam'!$1:$1,0)),AY$51-AY$53)</f>
        <v>599970.23999999836</v>
      </c>
      <c r="AZ55" s="55">
        <f>IF(AZ$5="Real",INDEX('Informacion de Sam'!$50:$50,MATCH(AZ$6,'Informacion de Sam'!$1:$1,0)),AZ$51-AZ$53)</f>
        <v>6971771.8599999938</v>
      </c>
      <c r="BA55" s="55">
        <f>SUM(AO55:AZ55)</f>
        <v>39463753.090000004</v>
      </c>
      <c r="BB55" s="55">
        <f>IF(BB$5="Real",INDEX('Informacion de Sam'!$50:$50,MATCH(BB$6,'Informacion de Sam'!$1:$1,0)),BB$51-BB$53)</f>
        <v>2492268.1300000004</v>
      </c>
      <c r="BC55" s="55">
        <f>IF(BC$5="Real",INDEX('Informacion de Sam'!$50:$50,MATCH(BC$6,'Informacion de Sam'!$1:$1,0)),BC$51-BC$53)</f>
        <v>1280893.8800000004</v>
      </c>
      <c r="BD55" s="55">
        <f>IF(BD$5="Real",INDEX('Informacion de Sam'!$50:$50,MATCH(BD$6,'Informacion de Sam'!$1:$1,0)),BD$51-BD$53)</f>
        <v>-659893.16999999993</v>
      </c>
      <c r="BE55" s="55">
        <f>IF(BE$5="Real",INDEX('Informacion de Sam'!$50:$50,MATCH(BE$6,'Informacion de Sam'!$1:$1,0)),BE$51-BE$53)</f>
        <v>5312614.1399999987</v>
      </c>
      <c r="BF55" s="55">
        <f>IF(BF$5="Real",INDEX('Informacion de Sam'!$50:$50,MATCH(BF$6,'Informacion de Sam'!$1:$1,0)),BF$51-BF$53)</f>
        <v>772791.20000000112</v>
      </c>
      <c r="BG55" s="55">
        <f>IF(BG$5="Real",INDEX('Informacion de Sam'!$50:$50,MATCH(BG$6,'Informacion de Sam'!$1:$1,0)),BG$51-BG$53)</f>
        <v>3835908.93</v>
      </c>
      <c r="BH55" s="55">
        <f>IF(BH$5="Real",INDEX('Informacion de Sam'!$50:$50,MATCH(BH$6,'Informacion de Sam'!$1:$1,0)),BH$51-BH$53)</f>
        <v>1564482.67</v>
      </c>
      <c r="BI55" s="55">
        <f>IF(BI$5="Real",INDEX('Informacion de Sam'!$50:$50,MATCH(BI$6,'Informacion de Sam'!$1:$1,0)),BI$51-BI$53)</f>
        <v>4101419.2099999976</v>
      </c>
      <c r="BJ55" s="55">
        <f>IF(BJ$5="Real",INDEX('Informacion de Sam'!$50:$50,MATCH(BJ$6,'Informacion de Sam'!$1:$1,0)),BJ$51-BJ$53)</f>
        <v>612845.01000000141</v>
      </c>
      <c r="BK55" s="55">
        <f>IF(BK$5="Real",INDEX('Informacion de Sam'!$50:$50,MATCH(BK$6,'Informacion de Sam'!$1:$1,0)),BK$51-BK$53)</f>
        <v>6911641.459999999</v>
      </c>
      <c r="BL55" s="55">
        <f>IF(BL$5="Real",INDEX('Informacion de Sam'!$50:$50,MATCH(BL$6,'Informacion de Sam'!$1:$1,0)),BL$51-BL$53)</f>
        <v>-1578364.0499999998</v>
      </c>
      <c r="BM55" s="55">
        <f>IF(BM$5="Real",INDEX('Informacion de Sam'!$50:$50,MATCH(BM$6,'Informacion de Sam'!$1:$1,0)),BM$51-BM$53)</f>
        <v>-5718952.4299999978</v>
      </c>
      <c r="BN55" s="55">
        <f>SUM(BB55:BM55)</f>
        <v>18927654.980000004</v>
      </c>
      <c r="BO55" s="55">
        <f>IF(BO$5="Real",INDEX('Informacion de Sam'!$50:$50,MATCH(BO$6,'Informacion de Sam'!$1:$1,0)),BO$51-BO$53)</f>
        <v>3141274.5599999996</v>
      </c>
      <c r="BP55" s="55">
        <f>IF(BP$5="Real",INDEX('Informacion de Sam'!$50:$50,MATCH(BP$6,'Informacion de Sam'!$1:$1,0)),BP$51-BP$53)</f>
        <v>1369601.3900000006</v>
      </c>
      <c r="BQ55" s="55">
        <f>IF(BQ$5="Real",INDEX('Informacion de Sam'!$50:$50,MATCH(BQ$6,'Informacion de Sam'!$1:$1,0)),BQ$51-BQ$53)</f>
        <v>-90014.600000000442</v>
      </c>
      <c r="BR55" s="55">
        <f>IF(BR$5="Real",INDEX('Informacion de Sam'!$50:$50,MATCH(BR$6,'Informacion de Sam'!$1:$1,0)),BR$51-BR$53)</f>
        <v>1081923.9999999995</v>
      </c>
      <c r="BS55" s="55">
        <f>IF(BS$5="Real",INDEX('Informacion de Sam'!$50:$50,MATCH(BS$6,'Informacion de Sam'!$1:$1,0)),BS$51-BS$53)</f>
        <v>1838060.4600000002</v>
      </c>
      <c r="BT55" s="55">
        <f>IF(BT$5="Real",INDEX('Informacion de Sam'!$50:$50,MATCH(BT$6,'Informacion de Sam'!$1:$1,0)),BT$51-BT$53)</f>
        <v>1759387.7799999998</v>
      </c>
      <c r="BU55" s="55">
        <f>IF(BU$5="Real",INDEX('Informacion de Sam'!$50:$50,MATCH(BU$6,'Informacion de Sam'!$1:$1,0)),BU$51-BU$53)</f>
        <v>-2833861.1500000004</v>
      </c>
      <c r="BV55" s="55">
        <f>IF(BV$5="Real",INDEX('Informacion de Sam'!$50:$50,MATCH(BV$6,'Informacion de Sam'!$1:$1,0)),BV$51-BV$53)</f>
        <v>1497006.6100000003</v>
      </c>
      <c r="BW55" s="55">
        <f>IF(BW$5="Real",INDEX('Informacion de Sam'!$50:$50,MATCH(BW$6,'Informacion de Sam'!$1:$1,0)),BW$51-BW$53)</f>
        <v>4999374.8199999994</v>
      </c>
      <c r="BX55" s="55">
        <f>IF(BX$5="Real",INDEX('Informacion de Sam'!$50:$50,MATCH(BX$6,'Informacion de Sam'!$1:$1,0)),BX$51-BX$53)</f>
        <v>500833.39000000164</v>
      </c>
      <c r="BY55" s="55">
        <f>IF(BY$5="Real",INDEX('Informacion de Sam'!$50:$50,MATCH(BY$6,'Informacion de Sam'!$1:$1,0)),BY$51-BY$53)</f>
        <v>3874436.3599999989</v>
      </c>
      <c r="BZ55" s="55">
        <f>IF(BZ$5="Real",INDEX('Informacion de Sam'!$50:$50,MATCH(BZ$6,'Informacion de Sam'!$1:$1,0)),BZ$51-BZ$53)</f>
        <v>798222.45999999775</v>
      </c>
      <c r="CA55" s="55">
        <f>SUM(BO55:BZ55)</f>
        <v>17936246.079999998</v>
      </c>
      <c r="CB55" s="55">
        <f>IF(CB$5="Real",INDEX('Informacion de Sam'!$50:$50,MATCH(CB$6,'Informacion de Sam'!$1:$1,0)),CB$51-CB$53)</f>
        <v>1475333.6099999999</v>
      </c>
      <c r="CC55" s="55">
        <f>IF(CC$5="Real",INDEX('Informacion de Sam'!$50:$50,MATCH(CC$6,'Informacion de Sam'!$1:$1,0)),CC$51-CC$53)</f>
        <v>5997398.620000001</v>
      </c>
      <c r="CD55" s="55">
        <f>IF(CD$5="Real",INDEX('Informacion de Sam'!$50:$50,MATCH(CD$6,'Informacion de Sam'!$1:$1,0)),CD$51-CD$53)</f>
        <v>5787251.1199999992</v>
      </c>
      <c r="CE55" s="55">
        <f>IF(CE$5="Real",INDEX('Informacion de Sam'!$50:$50,MATCH(CE$6,'Informacion de Sam'!$1:$1,0)),CE$51-CE$53)</f>
        <v>1521631.7</v>
      </c>
      <c r="CF55" s="55">
        <f>IF(CF$5="Real",INDEX('Informacion de Sam'!$50:$50,MATCH(CF$6,'Informacion de Sam'!$1:$1,0)),CF$51-CF$53)</f>
        <v>3038456.2800000003</v>
      </c>
      <c r="CG55" s="55">
        <f>IF(CG$5="Real",INDEX('Informacion de Sam'!$50:$50,MATCH(CG$6,'Informacion de Sam'!$1:$1,0)),CG$51-CG$53)</f>
        <v>2948514.4700000016</v>
      </c>
      <c r="CH55" s="55">
        <f>IF(CH$5="Real",INDEX('Informacion de Sam'!$50:$50,MATCH(CH$6,'Informacion de Sam'!$1:$1,0)),CH$51-CH$53)</f>
        <v>2869488.1799999983</v>
      </c>
      <c r="CI55" s="55">
        <f>IF(CI$5="Real",INDEX('Informacion de Sam'!$50:$50,MATCH(CI$6,'Informacion de Sam'!$1:$1,0)),CI$51-CI$53)</f>
        <v>312804.26000000024</v>
      </c>
      <c r="CJ55" s="55">
        <f>IF(CJ$5="Real",INDEX('Informacion de Sam'!$50:$50,MATCH(CJ$6,'Informacion de Sam'!$1:$1,0)),CJ$51-CJ$53)</f>
        <v>6879252.9500027066</v>
      </c>
      <c r="CK55" s="55">
        <f>IF(CK$5="Real",INDEX('Informacion de Sam'!$50:$50,MATCH(CK$6,'Informacion de Sam'!$1:$1,0)),CK$51-CK$53)</f>
        <v>2933688.6452479595</v>
      </c>
      <c r="CL55" s="55">
        <f>IF(CL$5="Real",INDEX('Informacion de Sam'!$50:$50,MATCH(CL$6,'Informacion de Sam'!$1:$1,0)),CL$51-CL$53)</f>
        <v>2350920.3416553428</v>
      </c>
      <c r="CM55" s="55">
        <f>IF(CM$5="Real",INDEX('Informacion de Sam'!$50:$50,MATCH(CM$6,'Informacion de Sam'!$1:$1,0)),CM$51-CM$53)</f>
        <v>-405740.67776379723</v>
      </c>
      <c r="CN55" s="55">
        <f>SUM(CB55:CM55)</f>
        <v>35708999.499142215</v>
      </c>
      <c r="CO55" s="55">
        <f>IF(CO$5="Real",INDEX('Informacion de Sam'!$50:$50,MATCH(CO$6,'Informacion de Sam'!$1:$1,0)),CO$51-CO$53)</f>
        <v>4387588.0789466472</v>
      </c>
      <c r="CP55" s="55">
        <f>IF(CP$5="Real",INDEX('Informacion de Sam'!$50:$50,MATCH(CP$6,'Informacion de Sam'!$1:$1,0)),CP$51-CP$53)</f>
        <v>6511140.6279987255</v>
      </c>
      <c r="CQ55" s="55">
        <f>IF(CQ$5="Real",INDEX('Informacion de Sam'!$50:$50,MATCH(CQ$6,'Informacion de Sam'!$1:$1,0)),CQ$51-CQ$53)</f>
        <v>2998390.5995334331</v>
      </c>
      <c r="CR55" s="55">
        <f>IF(CR$5="Real",INDEX('Informacion de Sam'!$50:$50,MATCH(CR$6,'Informacion de Sam'!$1:$1,0)),CR$51-CR$53)</f>
        <v>1665478.1322660893</v>
      </c>
      <c r="CS55" s="55">
        <f>IF(CS$5="Real",INDEX('Informacion de Sam'!$50:$50,MATCH(CS$6,'Informacion de Sam'!$1:$1,0)),CS$51-CS$53)</f>
        <v>1974444.1360658715</v>
      </c>
      <c r="CT55" s="55">
        <f>IF(CT$5="Real",INDEX('Informacion de Sam'!$50:$50,MATCH(CT$6,'Informacion de Sam'!$1:$1,0)),CT$51-CT$53)</f>
        <v>-374690.54332041019</v>
      </c>
      <c r="CU55" s="55">
        <f>IF(CU$5="Real",INDEX('Informacion de Sam'!$50:$50,MATCH(CU$6,'Informacion de Sam'!$1:$1,0)),CU$51-CU$53)</f>
        <v>-429165.8233861652</v>
      </c>
      <c r="CV55" s="55">
        <f>IF(CV$5="Real",INDEX('Informacion de Sam'!$50:$50,MATCH(CV$6,'Informacion de Sam'!$1:$1,0)),CV$51-CV$53)</f>
        <v>-3075387.1896756683</v>
      </c>
      <c r="CW55" s="55">
        <f>IF(CW$5="Real",INDEX('Informacion de Sam'!$50:$50,MATCH(CW$6,'Informacion de Sam'!$1:$1,0)),CW$51-CW$53)</f>
        <v>1527848.3340113582</v>
      </c>
      <c r="CX55" s="55">
        <f>IF(CX$5="Real",INDEX('Informacion de Sam'!$50:$50,MATCH(CX$6,'Informacion de Sam'!$1:$1,0)),CX$51-CX$53)</f>
        <v>1474891.0343856269</v>
      </c>
      <c r="CY55" s="55">
        <f>IF(CY$5="Real",INDEX('Informacion de Sam'!$50:$50,MATCH(CY$6,'Informacion de Sam'!$1:$1,0)),CY$51-CY$53)</f>
        <v>1520281.4353730995</v>
      </c>
      <c r="CZ55" s="55">
        <f>IF(CZ$5="Real",INDEX('Informacion de Sam'!$50:$50,MATCH(CZ$6,'Informacion de Sam'!$1:$1,0)),CZ$51-CZ$53)</f>
        <v>1407152.1009354796</v>
      </c>
      <c r="DA55" s="55">
        <f>SUM(CO55:CZ55)</f>
        <v>19587970.923134089</v>
      </c>
      <c r="DB55" s="55">
        <f>IF(DB$5="Real",INDEX('Informacion de Sam'!$50:$50,MATCH(DB$6,'Informacion de Sam'!$1:$1,0)),DB$51-DB$53)</f>
        <v>1842212.8518204235</v>
      </c>
      <c r="DC55" s="55">
        <f>IF(DC$5="Real",INDEX('Informacion de Sam'!$50:$50,MATCH(DC$6,'Informacion de Sam'!$1:$1,0)),DC$51-DC$53)</f>
        <v>2611379.9508480588</v>
      </c>
      <c r="DD55" s="55">
        <f>IF(DD$5="Real",INDEX('Informacion de Sam'!$50:$50,MATCH(DD$6,'Informacion de Sam'!$1:$1,0)),DD$51-DD$53)</f>
        <v>1874108.8137020655</v>
      </c>
      <c r="DE55" s="55">
        <f>IF(DE$5="Real",INDEX('Informacion de Sam'!$50:$50,MATCH(DE$6,'Informacion de Sam'!$1:$1,0)),DE$51-DE$53)</f>
        <v>1917258.5979113863</v>
      </c>
      <c r="DF55" s="55">
        <f>IF(DF$5="Real",INDEX('Informacion de Sam'!$50:$50,MATCH(DF$6,'Informacion de Sam'!$1:$1,0)),DF$51-DF$53)</f>
        <v>1686846.5199275473</v>
      </c>
      <c r="DG55" s="55">
        <f>IF(DG$5="Real",INDEX('Informacion de Sam'!$50:$50,MATCH(DG$6,'Informacion de Sam'!$1:$1,0)),DG$51-DG$53)</f>
        <v>1929097.0002299007</v>
      </c>
      <c r="DH55" s="55">
        <f>IF(DH$5="Real",INDEX('Informacion de Sam'!$50:$50,MATCH(DH$6,'Informacion de Sam'!$1:$1,0)),DH$51-DH$53)</f>
        <v>2082291.2467519215</v>
      </c>
      <c r="DI55" s="55">
        <f>IF(DI$5="Real",INDEX('Informacion de Sam'!$50:$50,MATCH(DI$6,'Informacion de Sam'!$1:$1,0)),DI$51-DI$53)</f>
        <v>3129052.5418443326</v>
      </c>
      <c r="DJ55" s="55">
        <f>IF(DJ$5="Real",INDEX('Informacion de Sam'!$50:$50,MATCH(DJ$6,'Informacion de Sam'!$1:$1,0)),DJ$51-DJ$53)</f>
        <v>1909810.417514198</v>
      </c>
      <c r="DK55" s="55">
        <f>IF(DK$5="Real",INDEX('Informacion de Sam'!$50:$50,MATCH(DK$6,'Informacion de Sam'!$1:$1,0)),DK$51-DK$53)</f>
        <v>1843613.7929820372</v>
      </c>
      <c r="DL55" s="55">
        <f>IF(DL$5="Real",INDEX('Informacion de Sam'!$50:$50,MATCH(DL$6,'Informacion de Sam'!$1:$1,0)),DL$51-DL$53)</f>
        <v>1900351.7942163795</v>
      </c>
      <c r="DM55" s="55">
        <f>IF(DM$5="Real",INDEX('Informacion de Sam'!$50:$50,MATCH(DM$6,'Informacion de Sam'!$1:$1,0)),DM$51-DM$53)</f>
        <v>1758940.1261693444</v>
      </c>
      <c r="DN55" s="55">
        <f>SUM(DB55:DM55)</f>
        <v>24484963.653917596</v>
      </c>
      <c r="DO55" s="55">
        <f>IF(DO$5="Real",INDEX('Informacion de Sam'!$50:$50,MATCH(DO$6,'Informacion de Sam'!$1:$1,0)),DO$51-DO$53)</f>
        <v>2302766.0647755354</v>
      </c>
      <c r="DP55" s="55">
        <f>IF(DP$5="Real",INDEX('Informacion de Sam'!$50:$50,MATCH(DP$6,'Informacion de Sam'!$1:$1,0)),DP$51-DP$53)</f>
        <v>3264224.9385600733</v>
      </c>
      <c r="DQ55" s="55">
        <f>IF(DQ$5="Real",INDEX('Informacion de Sam'!$50:$50,MATCH(DQ$6,'Informacion de Sam'!$1:$1,0)),DQ$51-DQ$53)</f>
        <v>2342636.0171275772</v>
      </c>
      <c r="DR55" s="55">
        <f>IF(DR$5="Real",INDEX('Informacion de Sam'!$50:$50,MATCH(DR$6,'Informacion de Sam'!$1:$1,0)),DR$51-DR$53)</f>
        <v>2396573.2473892365</v>
      </c>
      <c r="DS55" s="55">
        <f>IF(DS$5="Real",INDEX('Informacion de Sam'!$50:$50,MATCH(DS$6,'Informacion de Sam'!$1:$1,0)),DS$51-DS$53)</f>
        <v>2108558.149909433</v>
      </c>
      <c r="DT55" s="55">
        <f>IF(DT$5="Real",INDEX('Informacion de Sam'!$50:$50,MATCH(DT$6,'Informacion de Sam'!$1:$1,0)),DT$51-DT$53)</f>
        <v>2411371.2502873708</v>
      </c>
      <c r="DU55" s="55">
        <f>IF(DU$5="Real",INDEX('Informacion de Sam'!$50:$50,MATCH(DU$6,'Informacion de Sam'!$1:$1,0)),DU$51-DU$53)</f>
        <v>2602864.0584399025</v>
      </c>
      <c r="DV55" s="55">
        <f>IF(DV$5="Real",INDEX('Informacion de Sam'!$50:$50,MATCH(DV$6,'Informacion de Sam'!$1:$1,0)),DV$51-DV$53)</f>
        <v>3911315.6773054199</v>
      </c>
      <c r="DW55" s="55">
        <f>IF(DW$5="Real",INDEX('Informacion de Sam'!$50:$50,MATCH(DW$6,'Informacion de Sam'!$1:$1,0)),DW$51-DW$53)</f>
        <v>2387263.0218927483</v>
      </c>
      <c r="DX55" s="55">
        <f>IF(DX$5="Real",INDEX('Informacion de Sam'!$50:$50,MATCH(DX$6,'Informacion de Sam'!$1:$1,0)),DX$51-DX$53)</f>
        <v>2304517.2412275421</v>
      </c>
      <c r="DY55" s="55">
        <f>IF(DY$5="Real",INDEX('Informacion de Sam'!$50:$50,MATCH(DY$6,'Informacion de Sam'!$1:$1,0)),DY$51-DY$53)</f>
        <v>2375439.7427704744</v>
      </c>
      <c r="DZ55" s="55">
        <f>IF(DZ$5="Real",INDEX('Informacion de Sam'!$50:$50,MATCH(DZ$6,'Informacion de Sam'!$1:$1,0)),DZ$51-DZ$53)</f>
        <v>2198675.157711688</v>
      </c>
      <c r="EA55" s="55">
        <f>SUM(DO55:DZ55)</f>
        <v>30606204.567396998</v>
      </c>
      <c r="EB55" s="55">
        <f>IF(EB$5="Real",INDEX('Informacion de Sam'!$50:$50,MATCH(EB$6,'Informacion de Sam'!$1:$1,0)),EB$51-EB$53)</f>
        <v>2878457.5809694147</v>
      </c>
      <c r="EC55" s="55">
        <f>IF(EC$5="Real",INDEX('Informacion de Sam'!$50:$50,MATCH(EC$6,'Informacion de Sam'!$1:$1,0)),EC$51-EC$53)</f>
        <v>4080281.1732000997</v>
      </c>
      <c r="ED55" s="55">
        <f>IF(ED$5="Real",INDEX('Informacion de Sam'!$50:$50,MATCH(ED$6,'Informacion de Sam'!$1:$1,0)),ED$51-ED$53)</f>
        <v>2928295.0214094738</v>
      </c>
      <c r="EE55" s="55">
        <f>IF(EE$5="Real",INDEX('Informacion de Sam'!$50:$50,MATCH(EE$6,'Informacion de Sam'!$1:$1,0)),EE$51-EE$53)</f>
        <v>2995716.5592365381</v>
      </c>
      <c r="EF55" s="55">
        <f>IF(EF$5="Real",INDEX('Informacion de Sam'!$50:$50,MATCH(EF$6,'Informacion de Sam'!$1:$1,0)),EF$51-EF$53)</f>
        <v>2635697.6873867973</v>
      </c>
      <c r="EG55" s="55">
        <f>IF(EG$5="Real",INDEX('Informacion de Sam'!$50:$50,MATCH(EG$6,'Informacion de Sam'!$1:$1,0)),EG$51-EG$53)</f>
        <v>3014214.062859226</v>
      </c>
      <c r="EH55" s="55">
        <f>IF(EH$5="Real",INDEX('Informacion de Sam'!$50:$50,MATCH(EH$6,'Informacion de Sam'!$1:$1,0)),EH$51-EH$53)</f>
        <v>3253580.0730498713</v>
      </c>
      <c r="EI55" s="55">
        <f>IF(EI$5="Real",INDEX('Informacion de Sam'!$50:$50,MATCH(EI$6,'Informacion de Sam'!$1:$1,0)),EI$51-EI$53)</f>
        <v>4889144.5966317654</v>
      </c>
      <c r="EJ55" s="55">
        <f>IF(EJ$5="Real",INDEX('Informacion de Sam'!$50:$50,MATCH(EJ$6,'Informacion de Sam'!$1:$1,0)),EJ$51-EJ$53)</f>
        <v>2984078.7773659341</v>
      </c>
      <c r="EK55" s="55">
        <f>IF(EK$5="Real",INDEX('Informacion de Sam'!$50:$50,MATCH(EK$6,'Informacion de Sam'!$1:$1,0)),EK$51-EK$53)</f>
        <v>2880646.5515344227</v>
      </c>
      <c r="EL55" s="55">
        <f>IF(EL$5="Real",INDEX('Informacion de Sam'!$50:$50,MATCH(EL$6,'Informacion de Sam'!$1:$1,0)),EL$51-EL$53)</f>
        <v>2969299.6784630846</v>
      </c>
      <c r="EM55" s="55">
        <f>IF(EM$5="Real",INDEX('Informacion de Sam'!$50:$50,MATCH(EM$6,'Informacion de Sam'!$1:$1,0)),EM$51-EM$53)</f>
        <v>2748343.9471395994</v>
      </c>
      <c r="EN55" s="55">
        <f>SUM(EB55:EM55)</f>
        <v>38257755.709246226</v>
      </c>
      <c r="EO55" s="55">
        <f>IF(EO$5="Real",INDEX('Informacion de Sam'!$50:$50,MATCH(EO$6,'Informacion de Sam'!$1:$1,0)),EO$51-EO$53)</f>
        <v>3598071.9762117788</v>
      </c>
      <c r="EP55" s="55">
        <f>IF(EP$5="Real",INDEX('Informacion de Sam'!$50:$50,MATCH(EP$6,'Informacion de Sam'!$1:$1,0)),EP$51-EP$53)</f>
        <v>5100351.466500124</v>
      </c>
      <c r="EQ55" s="55">
        <f>IF(EQ$5="Real",INDEX('Informacion de Sam'!$50:$50,MATCH(EQ$6,'Informacion de Sam'!$1:$1,0)),EQ$51-EQ$53)</f>
        <v>3660368.7767618475</v>
      </c>
      <c r="ER55" s="55">
        <f>IF(ER$5="Real",INDEX('Informacion de Sam'!$50:$50,MATCH(ER$6,'Informacion de Sam'!$1:$1,0)),ER$51-ER$53)</f>
        <v>3744645.6990456814</v>
      </c>
      <c r="ES55" s="55">
        <f>IF(ES$5="Real",INDEX('Informacion de Sam'!$50:$50,MATCH(ES$6,'Informacion de Sam'!$1:$1,0)),ES$51-ES$53)</f>
        <v>3294622.1092334948</v>
      </c>
      <c r="ET55" s="55">
        <f>IF(ET$5="Real",INDEX('Informacion de Sam'!$50:$50,MATCH(ET$6,'Informacion de Sam'!$1:$1,0)),ET$51-ET$53)</f>
        <v>3767767.5785740265</v>
      </c>
      <c r="EU55" s="55">
        <f>IF(EU$5="Real",INDEX('Informacion de Sam'!$50:$50,MATCH(EU$6,'Informacion de Sam'!$1:$1,0)),EU$51-EU$53)</f>
        <v>4066975.0913123558</v>
      </c>
      <c r="EV55" s="55">
        <f>IF(EV$5="Real",INDEX('Informacion de Sam'!$50:$50,MATCH(EV$6,'Informacion de Sam'!$1:$1,0)),EV$51-EV$53)</f>
        <v>6111430.7457897123</v>
      </c>
      <c r="EW55" s="55">
        <f>IF(EW$5="Real",INDEX('Informacion de Sam'!$50:$50,MATCH(EW$6,'Informacion de Sam'!$1:$1,0)),EW$51-EW$53)</f>
        <v>3730098.471707412</v>
      </c>
      <c r="EX55" s="55">
        <f>IF(EX$5="Real",INDEX('Informacion de Sam'!$50:$50,MATCH(EX$6,'Informacion de Sam'!$1:$1,0)),EX$51-EX$53)</f>
        <v>3600808.1894180328</v>
      </c>
      <c r="EY55" s="55">
        <f>IF(EY$5="Real",INDEX('Informacion de Sam'!$50:$50,MATCH(EY$6,'Informacion de Sam'!$1:$1,0)),EY$51-EY$53)</f>
        <v>3711624.5980788693</v>
      </c>
      <c r="EZ55" s="55">
        <f>IF(EZ$5="Real",INDEX('Informacion de Sam'!$50:$50,MATCH(EZ$6,'Informacion de Sam'!$1:$1,0)),EZ$51-EZ$53)</f>
        <v>3435429.9339245092</v>
      </c>
      <c r="FA55" s="55">
        <f>SUM(EO55:EZ55)</f>
        <v>47822194.636557847</v>
      </c>
      <c r="FB55" s="55">
        <f>IF(FB$5="Real",INDEX('Informacion de Sam'!$50:$50,MATCH(FB$6,'Informacion de Sam'!$1:$1,0)),FB$51-FB$53)</f>
        <v>4497589.9702647068</v>
      </c>
      <c r="FC55" s="55">
        <f>IF(FC$5="Real",INDEX('Informacion de Sam'!$50:$50,MATCH(FC$6,'Informacion de Sam'!$1:$1,0)),FC$51-FC$53)</f>
        <v>6375439.3331251564</v>
      </c>
      <c r="FD55" s="55">
        <f>IF(FD$5="Real",INDEX('Informacion de Sam'!$50:$50,MATCH(FD$6,'Informacion de Sam'!$1:$1,0)),FD$51-FD$53)</f>
        <v>4575460.9709523041</v>
      </c>
      <c r="FE55" s="55">
        <f>IF(FE$5="Real",INDEX('Informacion de Sam'!$50:$50,MATCH(FE$6,'Informacion de Sam'!$1:$1,0)),FE$51-FE$53)</f>
        <v>4680807.123807082</v>
      </c>
      <c r="FF55" s="55">
        <f>IF(FF$5="Real",INDEX('Informacion de Sam'!$50:$50,MATCH(FF$6,'Informacion de Sam'!$1:$1,0)),FF$51-FF$53)</f>
        <v>4118277.6365418648</v>
      </c>
      <c r="FG55" s="55">
        <f>IF(FG$5="Real",INDEX('Informacion de Sam'!$50:$50,MATCH(FG$6,'Informacion de Sam'!$1:$1,0)),FG$51-FG$53)</f>
        <v>4709709.4732175292</v>
      </c>
      <c r="FH55" s="55">
        <f>IF(FH$5="Real",INDEX('Informacion de Sam'!$50:$50,MATCH(FH$6,'Informacion de Sam'!$1:$1,0)),FH$51-FH$53)</f>
        <v>5083718.8641404416</v>
      </c>
      <c r="FI55" s="55">
        <f>IF(FI$5="Real",INDEX('Informacion de Sam'!$50:$50,MATCH(FI$6,'Informacion de Sam'!$1:$1,0)),FI$51-FI$53)</f>
        <v>7639288.432237166</v>
      </c>
      <c r="FJ55" s="55">
        <f>IF(FJ$5="Real",INDEX('Informacion de Sam'!$50:$50,MATCH(FJ$6,'Informacion de Sam'!$1:$1,0)),FJ$51-FJ$53)</f>
        <v>4662623.0896342807</v>
      </c>
      <c r="FK55" s="55">
        <f>IF(FK$5="Real",INDEX('Informacion de Sam'!$50:$50,MATCH(FK$6,'Informacion de Sam'!$1:$1,0)),FK$51-FK$53)</f>
        <v>4501010.2367725391</v>
      </c>
      <c r="FL55" s="55">
        <f>IF(FL$5="Real",INDEX('Informacion de Sam'!$50:$50,MATCH(FL$6,'Informacion de Sam'!$1:$1,0)),FL$51-FL$53)</f>
        <v>4639530.7475985782</v>
      </c>
      <c r="FM55" s="55">
        <f>IF(FM$5="Real",INDEX('Informacion de Sam'!$50:$50,MATCH(FM$6,'Informacion de Sam'!$1:$1,0)),FM$51-FM$53)</f>
        <v>4294287.417405623</v>
      </c>
      <c r="FN55" s="55">
        <f>SUM(FB55:FM55)</f>
        <v>59777743.295697264</v>
      </c>
      <c r="FO55" s="55">
        <f>IF(FO$5="Real",INDEX('Informacion de Sam'!$50:$50,MATCH(FO$6,'Informacion de Sam'!$1:$1,0)),FO$51-FO$53)</f>
        <v>5621987.4628308956</v>
      </c>
      <c r="FP55" s="55">
        <f>IF(FP$5="Real",INDEX('Informacion de Sam'!$50:$50,MATCH(FP$6,'Informacion de Sam'!$1:$1,0)),FP$51-FP$53)</f>
        <v>7969299.1664064517</v>
      </c>
      <c r="FQ55" s="55">
        <f>IF(FQ$5="Real",INDEX('Informacion de Sam'!$50:$50,MATCH(FQ$6,'Informacion de Sam'!$1:$1,0)),FQ$51-FQ$53)</f>
        <v>5719326.2136903889</v>
      </c>
      <c r="FR55" s="55">
        <f>IF(FR$5="Real",INDEX('Informacion de Sam'!$50:$50,MATCH(FR$6,'Informacion de Sam'!$1:$1,0)),FR$51-FR$53)</f>
        <v>5851008.9047588613</v>
      </c>
      <c r="FS55" s="55">
        <f>IF(FS$5="Real",INDEX('Informacion de Sam'!$50:$50,MATCH(FS$6,'Informacion de Sam'!$1:$1,0)),FS$51-FS$53)</f>
        <v>5147847.0456773173</v>
      </c>
      <c r="FT55" s="55">
        <f>IF(FT$5="Real",INDEX('Informacion de Sam'!$50:$50,MATCH(FT$6,'Informacion de Sam'!$1:$1,0)),FT$51-FT$53)</f>
        <v>5887136.8415219188</v>
      </c>
      <c r="FU55" s="55">
        <f>IF(FU$5="Real",INDEX('Informacion de Sam'!$50:$50,MATCH(FU$6,'Informacion de Sam'!$1:$1,0)),FU$51-FU$53)</f>
        <v>6354648.5801755395</v>
      </c>
      <c r="FV55" s="55">
        <f>IF(FV$5="Real",INDEX('Informacion de Sam'!$50:$50,MATCH(FV$6,'Informacion de Sam'!$1:$1,0)),FV$51-FV$53)</f>
        <v>9549110.5402964205</v>
      </c>
      <c r="FW55" s="55">
        <f>IF(FW$5="Real",INDEX('Informacion de Sam'!$50:$50,MATCH(FW$6,'Informacion de Sam'!$1:$1,0)),FW$51-FW$53)</f>
        <v>5828278.8620428462</v>
      </c>
      <c r="FX55" s="55">
        <f>IF(FX$5="Real",INDEX('Informacion de Sam'!$50:$50,MATCH(FX$6,'Informacion de Sam'!$1:$1,0)),FX$51-FX$53)</f>
        <v>5626262.7959656678</v>
      </c>
      <c r="FY55" s="55">
        <f>IF(FY$5="Real",INDEX('Informacion de Sam'!$50:$50,MATCH(FY$6,'Informacion de Sam'!$1:$1,0)),FY$51-FY$53)</f>
        <v>5799413.4344982207</v>
      </c>
      <c r="FZ55" s="55">
        <f>IF(FZ$5="Real",INDEX('Informacion de Sam'!$50:$50,MATCH(FZ$6,'Informacion de Sam'!$1:$1,0)),FZ$51-FZ$53)</f>
        <v>5367859.2717570448</v>
      </c>
      <c r="GA55" s="55">
        <f>SUM(FO55:FZ55)</f>
        <v>74722179.119621575</v>
      </c>
      <c r="GB55" s="55">
        <f>IF(GB$5="Real",INDEX('Informacion de Sam'!$50:$50,MATCH(GB$6,'Informacion de Sam'!$1:$1,0)),GB$51-GB$53)</f>
        <v>7027484.3285386171</v>
      </c>
      <c r="GC55" s="55">
        <f>IF(GC$5="Real",INDEX('Informacion de Sam'!$50:$50,MATCH(GC$6,'Informacion de Sam'!$1:$1,0)),GC$51-GC$53)</f>
        <v>9961623.9580080397</v>
      </c>
      <c r="GD55" s="55">
        <f>IF(GD$5="Real",INDEX('Informacion de Sam'!$50:$50,MATCH(GD$6,'Informacion de Sam'!$1:$1,0)),GD$51-GD$53)</f>
        <v>7149157.7671129629</v>
      </c>
      <c r="GE55" s="55">
        <f>IF(GE$5="Real",INDEX('Informacion de Sam'!$50:$50,MATCH(GE$6,'Informacion de Sam'!$1:$1,0)),GE$51-GE$53)</f>
        <v>7313761.1309485808</v>
      </c>
      <c r="GF55" s="55">
        <f>IF(GF$5="Real",INDEX('Informacion de Sam'!$50:$50,MATCH(GF$6,'Informacion de Sam'!$1:$1,0)),GF$51-GF$53)</f>
        <v>6434808.8070966722</v>
      </c>
      <c r="GG55" s="55">
        <f>IF(GG$5="Real",INDEX('Informacion de Sam'!$50:$50,MATCH(GG$6,'Informacion de Sam'!$1:$1,0)),GG$51-GG$53)</f>
        <v>7358921.0519024171</v>
      </c>
      <c r="GH55" s="55">
        <f>IF(GH$5="Real",INDEX('Informacion de Sam'!$50:$50,MATCH(GH$6,'Informacion de Sam'!$1:$1,0)),GH$51-GH$53)</f>
        <v>7943310.7252194146</v>
      </c>
      <c r="GI55" s="55">
        <f>IF(GI$5="Real",INDEX('Informacion de Sam'!$50:$50,MATCH(GI$6,'Informacion de Sam'!$1:$1,0)),GI$51-GI$53)</f>
        <v>11936388.175370514</v>
      </c>
      <c r="GJ55" s="55">
        <f>IF(GJ$5="Real",INDEX('Informacion de Sam'!$50:$50,MATCH(GJ$6,'Informacion de Sam'!$1:$1,0)),GJ$51-GJ$53)</f>
        <v>7285348.5775535479</v>
      </c>
      <c r="GK55" s="55">
        <f>IF(GK$5="Real",INDEX('Informacion de Sam'!$50:$50,MATCH(GK$6,'Informacion de Sam'!$1:$1,0)),GK$51-GK$53)</f>
        <v>7032828.4949571071</v>
      </c>
      <c r="GL55" s="55">
        <f>IF(GL$5="Real",INDEX('Informacion de Sam'!$50:$50,MATCH(GL$6,'Informacion de Sam'!$1:$1,0)),GL$51-GL$53)</f>
        <v>7249266.7931227488</v>
      </c>
      <c r="GM55" s="55">
        <f>IF(GM$5="Real",INDEX('Informacion de Sam'!$50:$50,MATCH(GM$6,'Informacion de Sam'!$1:$1,0)),GM$51-GM$53)</f>
        <v>6709824.0896962937</v>
      </c>
      <c r="GN55" s="55">
        <f>SUM(GB55:GM55)</f>
        <v>93402723.899526924</v>
      </c>
      <c r="GO55" s="55">
        <f>IF(GO$5="Real",INDEX('Informacion de Sam'!$50:$50,MATCH(GO$6,'Informacion de Sam'!$1:$1,0)),GO$51-GO$53)</f>
        <v>8784355.4106732719</v>
      </c>
      <c r="GP55" s="55">
        <f>IF(GP$5="Real",INDEX('Informacion de Sam'!$50:$50,MATCH(GP$6,'Informacion de Sam'!$1:$1,0)),GP$51-GP$53)</f>
        <v>12452029.947510075</v>
      </c>
      <c r="GQ55" s="55">
        <f>IF(GQ$5="Real",INDEX('Informacion de Sam'!$50:$50,MATCH(GQ$6,'Informacion de Sam'!$1:$1,0)),GQ$51-GQ$53)</f>
        <v>8936447.2088912018</v>
      </c>
      <c r="GR55" s="55">
        <f>IF(GR$5="Real",INDEX('Informacion de Sam'!$50:$50,MATCH(GR$6,'Informacion de Sam'!$1:$1,0)),GR$51-GR$53)</f>
        <v>9142201.4136857651</v>
      </c>
      <c r="GS55" s="55">
        <f>IF(GS$5="Real",INDEX('Informacion de Sam'!$50:$50,MATCH(GS$6,'Informacion de Sam'!$1:$1,0)),GS$51-GS$53)</f>
        <v>8043511.0088708401</v>
      </c>
      <c r="GT55" s="55">
        <f>IF(GT$5="Real",INDEX('Informacion de Sam'!$50:$50,MATCH(GT$6,'Informacion de Sam'!$1:$1,0)),GT$51-GT$53)</f>
        <v>9198651.3148780279</v>
      </c>
      <c r="GU55" s="55">
        <f>IF(GU$5="Real",INDEX('Informacion de Sam'!$50:$50,MATCH(GU$6,'Informacion de Sam'!$1:$1,0)),GU$51-GU$53)</f>
        <v>9929138.4065242633</v>
      </c>
      <c r="GV55" s="55">
        <f>IF(GV$5="Real",INDEX('Informacion de Sam'!$50:$50,MATCH(GV$6,'Informacion de Sam'!$1:$1,0)),GV$51-GV$53)</f>
        <v>14920485.219213149</v>
      </c>
      <c r="GW55" s="55">
        <f>IF(GW$5="Real",INDEX('Informacion de Sam'!$50:$50,MATCH(GW$6,'Informacion de Sam'!$1:$1,0)),GW$51-GW$53)</f>
        <v>9106685.7219419442</v>
      </c>
      <c r="GX55" s="55">
        <f>IF(GX$5="Real",INDEX('Informacion de Sam'!$50:$50,MATCH(GX$6,'Informacion de Sam'!$1:$1,0)),GX$51-GX$53)</f>
        <v>8791035.6186963841</v>
      </c>
      <c r="GY55" s="55">
        <f>IF(GY$5="Real",INDEX('Informacion de Sam'!$50:$50,MATCH(GY$6,'Informacion de Sam'!$1:$1,0)),GY$51-GY$53)</f>
        <v>9061583.4914034791</v>
      </c>
      <c r="GZ55" s="55">
        <f>IF(GZ$5="Real",INDEX('Informacion de Sam'!$50:$50,MATCH(GZ$6,'Informacion de Sam'!$1:$1,0)),GZ$51-GZ$53)</f>
        <v>8387280.1121203993</v>
      </c>
      <c r="HA55" s="55">
        <f>SUM(GO55:GZ55)</f>
        <v>116753404.87440881</v>
      </c>
      <c r="HB55" s="55"/>
      <c r="HC55" s="56">
        <f t="shared" ref="HC55:HR55" si="18">SUMIFS($B55:$HA55,$B$4:$HA$4,HC$6,$B$5:$HA$5,"Acumulado")</f>
        <v>38297184.180000007</v>
      </c>
      <c r="HD55" s="56">
        <f t="shared" si="18"/>
        <v>20199360.350000001</v>
      </c>
      <c r="HE55" s="56">
        <f t="shared" si="18"/>
        <v>29648289.150000002</v>
      </c>
      <c r="HF55" s="56">
        <f t="shared" si="18"/>
        <v>39463753.090000004</v>
      </c>
      <c r="HG55" s="56">
        <f t="shared" si="18"/>
        <v>18927654.980000004</v>
      </c>
      <c r="HH55" s="56">
        <f t="shared" si="18"/>
        <v>17936246.079999998</v>
      </c>
      <c r="HI55" s="56">
        <f t="shared" si="18"/>
        <v>35708999.499142215</v>
      </c>
      <c r="HJ55" s="56">
        <f t="shared" si="18"/>
        <v>19587970.923134089</v>
      </c>
      <c r="HK55" s="56">
        <f t="shared" si="18"/>
        <v>24484963.653917596</v>
      </c>
      <c r="HL55" s="56">
        <f t="shared" si="18"/>
        <v>30606204.567396998</v>
      </c>
      <c r="HM55" s="56">
        <f t="shared" si="18"/>
        <v>38257755.709246226</v>
      </c>
      <c r="HN55" s="56">
        <f t="shared" si="18"/>
        <v>47822194.636557847</v>
      </c>
      <c r="HO55" s="56">
        <f t="shared" si="18"/>
        <v>59777743.295697264</v>
      </c>
      <c r="HP55" s="56">
        <f t="shared" si="18"/>
        <v>74722179.119621575</v>
      </c>
      <c r="HQ55" s="56">
        <f t="shared" si="18"/>
        <v>93402723.899526924</v>
      </c>
      <c r="HR55" s="56">
        <f t="shared" si="18"/>
        <v>116753404.87440881</v>
      </c>
    </row>
    <row r="56" spans="1:226" x14ac:dyDescent="0.35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51"/>
      <c r="HD56" s="51"/>
      <c r="HE56" s="51"/>
      <c r="HF56" s="51"/>
      <c r="HG56" s="51"/>
      <c r="HH56" s="51"/>
      <c r="HI56" s="51"/>
      <c r="HJ56" s="51"/>
      <c r="HK56" s="51"/>
      <c r="HL56" s="51"/>
      <c r="HM56" s="51"/>
      <c r="HN56" s="51"/>
      <c r="HO56" s="51"/>
      <c r="HP56" s="51"/>
      <c r="HQ56" s="51"/>
      <c r="HR56" s="51"/>
    </row>
    <row r="57" spans="1:226" x14ac:dyDescent="0.35">
      <c r="A57" s="57" t="s">
        <v>161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  <c r="GL57" s="58"/>
      <c r="GM57" s="58"/>
      <c r="GN57" s="58"/>
      <c r="GO57" s="58"/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8"/>
      <c r="HA57" s="58"/>
      <c r="HB57" s="58"/>
      <c r="HC57" s="59"/>
      <c r="HD57" s="59"/>
      <c r="HE57" s="59"/>
      <c r="HF57" s="59"/>
      <c r="HG57" s="59"/>
      <c r="HH57" s="59"/>
      <c r="HI57" s="59"/>
      <c r="HJ57" s="59"/>
      <c r="HK57" s="59"/>
      <c r="HL57" s="59"/>
      <c r="HM57" s="59"/>
      <c r="HN57" s="59"/>
      <c r="HO57" s="59"/>
      <c r="HP57" s="59"/>
      <c r="HQ57" s="59"/>
      <c r="HR57" s="59"/>
    </row>
    <row r="58" spans="1:226" x14ac:dyDescent="0.35">
      <c r="A58" s="57" t="s">
        <v>162</v>
      </c>
      <c r="B58" s="58" cm="1">
        <f t="array" ref="B58">IF(B$5="Real",INDEX('Informacion de Sam'!$46:$46,MATCH(B$6,'Informacion de Sam'!$1:$1,0)),B$19-B$22-(B$39+B$10*INDEX('Supuestos Proyeccion'!$I$43:$I$52,B$4-2025)-B$42-B$43)+B$46)</f>
        <v>4992395.03</v>
      </c>
      <c r="C58" s="58" cm="1">
        <f t="array" ref="C58">IF(C$5="Real",INDEX('Informacion de Sam'!$46:$46,MATCH(C$6,'Informacion de Sam'!$1:$1,0)),C$19-C$22-(C$39+C$10*INDEX('Supuestos Proyeccion'!$I$43:$I$52,C$4-2025)-C$42-C$43)+C$46)</f>
        <v>3353136.7200000063</v>
      </c>
      <c r="D58" s="58" cm="1">
        <f t="array" ref="D58">IF(D$5="Real",INDEX('Informacion de Sam'!$46:$46,MATCH(D$6,'Informacion de Sam'!$1:$1,0)),D$19-D$22-(D$39+D$10*INDEX('Supuestos Proyeccion'!$I$43:$I$52,D$4-2025)-D$42-D$43)+D$46)</f>
        <v>3648751.3599999985</v>
      </c>
      <c r="E58" s="58" cm="1">
        <f t="array" ref="E58">IF(E$5="Real",INDEX('Informacion de Sam'!$46:$46,MATCH(E$6,'Informacion de Sam'!$1:$1,0)),E$19-E$22-(E$39+E$10*INDEX('Supuestos Proyeccion'!$I$43:$I$52,E$4-2025)-E$42-E$43)+E$46)</f>
        <v>5219085.6799999969</v>
      </c>
      <c r="F58" s="58" cm="1">
        <f t="array" ref="F58">IF(F$5="Real",INDEX('Informacion de Sam'!$46:$46,MATCH(F$6,'Informacion de Sam'!$1:$1,0)),F$19-F$22-(F$39+F$10*INDEX('Supuestos Proyeccion'!$I$43:$I$52,F$4-2025)-F$42-F$43)+F$46)</f>
        <v>3652261.6099999887</v>
      </c>
      <c r="G58" s="58" cm="1">
        <f t="array" ref="G58">IF(G$5="Real",INDEX('Informacion de Sam'!$46:$46,MATCH(G$6,'Informacion de Sam'!$1:$1,0)),G$19-G$22-(G$39+G$10*INDEX('Supuestos Proyeccion'!$I$43:$I$52,G$4-2025)-G$42-G$43)+G$46)</f>
        <v>6885047.1300000064</v>
      </c>
      <c r="H58" s="58" cm="1">
        <f t="array" ref="H58">IF(H$5="Real",INDEX('Informacion de Sam'!$46:$46,MATCH(H$6,'Informacion de Sam'!$1:$1,0)),H$19-H$22-(H$39+H$10*INDEX('Supuestos Proyeccion'!$I$43:$I$52,H$4-2025)-H$42-H$43)+H$46)</f>
        <v>5394034.8400000008</v>
      </c>
      <c r="I58" s="58" cm="1">
        <f t="array" ref="I58">IF(I$5="Real",INDEX('Informacion de Sam'!$46:$46,MATCH(I$6,'Informacion de Sam'!$1:$1,0)),I$19-I$22-(I$39+I$10*INDEX('Supuestos Proyeccion'!$I$43:$I$52,I$4-2025)-I$42-I$43)+I$46)</f>
        <v>6194564.2100000102</v>
      </c>
      <c r="J58" s="58" cm="1">
        <f t="array" ref="J58">IF(J$5="Real",INDEX('Informacion de Sam'!$46:$46,MATCH(J$6,'Informacion de Sam'!$1:$1,0)),J$19-J$22-(J$39+J$10*INDEX('Supuestos Proyeccion'!$I$43:$I$52,J$4-2025)-J$42-J$43)+J$46)</f>
        <v>-254344.88999999664</v>
      </c>
      <c r="K58" s="58" cm="1">
        <f t="array" ref="K58">IF(K$5="Real",INDEX('Informacion de Sam'!$46:$46,MATCH(K$6,'Informacion de Sam'!$1:$1,0)),K$19-K$22-(K$39+K$10*INDEX('Supuestos Proyeccion'!$I$43:$I$52,K$4-2025)-K$42-K$43)+K$46)</f>
        <v>3212798.3699999787</v>
      </c>
      <c r="L58" s="58" cm="1">
        <f t="array" ref="L58">IF(L$5="Real",INDEX('Informacion de Sam'!$46:$46,MATCH(L$6,'Informacion de Sam'!$1:$1,0)),L$19-L$22-(L$39+L$10*INDEX('Supuestos Proyeccion'!$I$43:$I$52,L$4-2025)-L$42-L$43)+L$46)</f>
        <v>2027050.1600000085</v>
      </c>
      <c r="M58" s="58" cm="1">
        <f t="array" ref="M58">IF(M$5="Real",INDEX('Informacion de Sam'!$46:$46,MATCH(M$6,'Informacion de Sam'!$1:$1,0)),M$19-M$22-(M$39+M$10*INDEX('Supuestos Proyeccion'!$I$43:$I$52,M$4-2025)-M$42-M$43)+M$46)</f>
        <v>4804859.6200000141</v>
      </c>
      <c r="N58" s="58">
        <f>SUM(B58:M58)</f>
        <v>49129639.840000011</v>
      </c>
      <c r="O58" s="58" cm="1">
        <f t="array" ref="O58">IF(O$5="Real",INDEX('Informacion de Sam'!$46:$46,MATCH(O$6,'Informacion de Sam'!$1:$1,0)),O$19-O$22-(O$39+O$10*INDEX('Supuestos Proyeccion'!$I$43:$I$52,O$4-2025)-O$42-O$43)+O$46)</f>
        <v>4482994.8300000029</v>
      </c>
      <c r="P58" s="58" cm="1">
        <f t="array" ref="P58">IF(P$5="Real",INDEX('Informacion de Sam'!$46:$46,MATCH(P$6,'Informacion de Sam'!$1:$1,0)),P$19-P$22-(P$39+P$10*INDEX('Supuestos Proyeccion'!$I$43:$I$52,P$4-2025)-P$42-P$43)+P$46)</f>
        <v>5905340.0400000066</v>
      </c>
      <c r="Q58" s="58" cm="1">
        <f t="array" ref="Q58">IF(Q$5="Real",INDEX('Informacion de Sam'!$46:$46,MATCH(Q$6,'Informacion de Sam'!$1:$1,0)),Q$19-Q$22-(Q$39+Q$10*INDEX('Supuestos Proyeccion'!$I$43:$I$52,Q$4-2025)-Q$42-Q$43)+Q$46)</f>
        <v>-215768.80000001111</v>
      </c>
      <c r="R58" s="58" cm="1">
        <f t="array" ref="R58">IF(R$5="Real",INDEX('Informacion de Sam'!$46:$46,MATCH(R$6,'Informacion de Sam'!$1:$1,0)),R$19-R$22-(R$39+R$10*INDEX('Supuestos Proyeccion'!$I$43:$I$52,R$4-2025)-R$42-R$43)+R$46)</f>
        <v>1653437.4200000158</v>
      </c>
      <c r="S58" s="58" cm="1">
        <f t="array" ref="S58">IF(S$5="Real",INDEX('Informacion de Sam'!$46:$46,MATCH(S$6,'Informacion de Sam'!$1:$1,0)),S$19-S$22-(S$39+S$10*INDEX('Supuestos Proyeccion'!$I$43:$I$52,S$4-2025)-S$42-S$43)+S$46)</f>
        <v>667861.42999998329</v>
      </c>
      <c r="T58" s="58" cm="1">
        <f t="array" ref="T58">IF(T$5="Real",INDEX('Informacion de Sam'!$46:$46,MATCH(T$6,'Informacion de Sam'!$1:$1,0)),T$19-T$22-(T$39+T$10*INDEX('Supuestos Proyeccion'!$I$43:$I$52,T$4-2025)-T$42-T$43)+T$46)</f>
        <v>1500225.2900000059</v>
      </c>
      <c r="U58" s="58" cm="1">
        <f t="array" ref="U58">IF(U$5="Real",INDEX('Informacion de Sam'!$46:$46,MATCH(U$6,'Informacion de Sam'!$1:$1,0)),U$19-U$22-(U$39+U$10*INDEX('Supuestos Proyeccion'!$I$43:$I$52,U$4-2025)-U$42-U$43)+U$46)</f>
        <v>2694459.4399999874</v>
      </c>
      <c r="V58" s="58" cm="1">
        <f t="array" ref="V58">IF(V$5="Real",INDEX('Informacion de Sam'!$46:$46,MATCH(V$6,'Informacion de Sam'!$1:$1,0)),V$19-V$22-(V$39+V$10*INDEX('Supuestos Proyeccion'!$I$43:$I$52,V$4-2025)-V$42-V$43)+V$46)</f>
        <v>4916089.8400000483</v>
      </c>
      <c r="W58" s="58" cm="1">
        <f t="array" ref="W58">IF(W$5="Real",INDEX('Informacion de Sam'!$46:$46,MATCH(W$6,'Informacion de Sam'!$1:$1,0)),W$19-W$22-(W$39+W$10*INDEX('Supuestos Proyeccion'!$I$43:$I$52,W$4-2025)-W$42-W$43)+W$46)</f>
        <v>232712.02999997616</v>
      </c>
      <c r="X58" s="58" cm="1">
        <f t="array" ref="X58">IF(X$5="Real",INDEX('Informacion de Sam'!$46:$46,MATCH(X$6,'Informacion de Sam'!$1:$1,0)),X$19-X$22-(X$39+X$10*INDEX('Supuestos Proyeccion'!$I$43:$I$52,X$4-2025)-X$42-X$43)+X$46)</f>
        <v>1202417.6599999787</v>
      </c>
      <c r="Y58" s="58" cm="1">
        <f t="array" ref="Y58">IF(Y$5="Real",INDEX('Informacion de Sam'!$46:$46,MATCH(Y$6,'Informacion de Sam'!$1:$1,0)),Y$19-Y$22-(Y$39+Y$10*INDEX('Supuestos Proyeccion'!$I$43:$I$52,Y$4-2025)-Y$42-Y$43)+Y$46)</f>
        <v>1143755.2300000335</v>
      </c>
      <c r="Z58" s="58" cm="1">
        <f t="array" ref="Z58">IF(Z$5="Real",INDEX('Informacion de Sam'!$46:$46,MATCH(Z$6,'Informacion de Sam'!$1:$1,0)),Z$19-Z$22-(Z$39+Z$10*INDEX('Supuestos Proyeccion'!$I$43:$I$52,Z$4-2025)-Z$42-Z$43)+Z$46)</f>
        <v>759107.1700000033</v>
      </c>
      <c r="AA58" s="58">
        <f>SUM(O58:Z58)</f>
        <v>24942631.580000028</v>
      </c>
      <c r="AB58" s="58" cm="1">
        <f t="array" ref="AB58">IF(AB$5="Real",INDEX('Informacion de Sam'!$46:$46,MATCH(AB$6,'Informacion de Sam'!$1:$1,0)),AB$19-AB$22-(AB$39+AB$10*INDEX('Supuestos Proyeccion'!$I$43:$I$52,AB$4-2025)-AB$42-AB$43)+AB$46)</f>
        <v>1506932.9799999972</v>
      </c>
      <c r="AC58" s="58" cm="1">
        <f t="array" ref="AC58">IF(AC$5="Real",INDEX('Informacion de Sam'!$46:$46,MATCH(AC$6,'Informacion de Sam'!$1:$1,0)),AC$19-AC$22-(AC$39+AC$10*INDEX('Supuestos Proyeccion'!$I$43:$I$52,AC$4-2025)-AC$42-AC$43)+AC$46)</f>
        <v>3652011.950000003</v>
      </c>
      <c r="AD58" s="58" cm="1">
        <f t="array" ref="AD58">IF(AD$5="Real",INDEX('Informacion de Sam'!$46:$46,MATCH(AD$6,'Informacion de Sam'!$1:$1,0)),AD$19-AD$22-(AD$39+AD$10*INDEX('Supuestos Proyeccion'!$I$43:$I$52,AD$4-2025)-AD$42-AD$43)+AD$46)</f>
        <v>4933692.6700000009</v>
      </c>
      <c r="AE58" s="58" cm="1">
        <f t="array" ref="AE58">IF(AE$5="Real",INDEX('Informacion de Sam'!$46:$46,MATCH(AE$6,'Informacion de Sam'!$1:$1,0)),AE$19-AE$22-(AE$39+AE$10*INDEX('Supuestos Proyeccion'!$I$43:$I$52,AE$4-2025)-AE$42-AE$43)+AE$46)</f>
        <v>3471410.6999999983</v>
      </c>
      <c r="AF58" s="58" cm="1">
        <f t="array" ref="AF58">IF(AF$5="Real",INDEX('Informacion de Sam'!$46:$46,MATCH(AF$6,'Informacion de Sam'!$1:$1,0)),AF$19-AF$22-(AF$39+AF$10*INDEX('Supuestos Proyeccion'!$I$43:$I$52,AF$4-2025)-AF$42-AF$43)+AF$46)</f>
        <v>2120105.8399999929</v>
      </c>
      <c r="AG58" s="58" cm="1">
        <f t="array" ref="AG58">IF(AG$5="Real",INDEX('Informacion de Sam'!$46:$46,MATCH(AG$6,'Informacion de Sam'!$1:$1,0)),AG$19-AG$22-(AG$39+AG$10*INDEX('Supuestos Proyeccion'!$I$43:$I$52,AG$4-2025)-AG$42-AG$43)+AG$46)</f>
        <v>5958644.4799999939</v>
      </c>
      <c r="AH58" s="58" cm="1">
        <f t="array" ref="AH58">IF(AH$5="Real",INDEX('Informacion de Sam'!$46:$46,MATCH(AH$6,'Informacion de Sam'!$1:$1,0)),AH$19-AH$22-(AH$39+AH$10*INDEX('Supuestos Proyeccion'!$I$43:$I$52,AH$4-2025)-AH$42-AH$43)+AH$46)</f>
        <v>3670303.6599999964</v>
      </c>
      <c r="AI58" s="58" cm="1">
        <f t="array" ref="AI58">IF(AI$5="Real",INDEX('Informacion de Sam'!$46:$46,MATCH(AI$6,'Informacion de Sam'!$1:$1,0)),AI$19-AI$22-(AI$39+AI$10*INDEX('Supuestos Proyeccion'!$I$43:$I$52,AI$4-2025)-AI$42-AI$43)+AI$46)</f>
        <v>2239728.3900000053</v>
      </c>
      <c r="AJ58" s="58" cm="1">
        <f t="array" ref="AJ58">IF(AJ$5="Real",INDEX('Informacion de Sam'!$46:$46,MATCH(AJ$6,'Informacion de Sam'!$1:$1,0)),AJ$19-AJ$22-(AJ$39+AJ$10*INDEX('Supuestos Proyeccion'!$I$43:$I$52,AJ$4-2025)-AJ$42-AJ$43)+AJ$46)</f>
        <v>824187.78000000212</v>
      </c>
      <c r="AK58" s="58" cm="1">
        <f t="array" ref="AK58">IF(AK$5="Real",INDEX('Informacion de Sam'!$46:$46,MATCH(AK$6,'Informacion de Sam'!$1:$1,0)),AK$19-AK$22-(AK$39+AK$10*INDEX('Supuestos Proyeccion'!$I$43:$I$52,AK$4-2025)-AK$42-AK$43)+AK$46)</f>
        <v>2662749.4900000524</v>
      </c>
      <c r="AL58" s="58" cm="1">
        <f t="array" ref="AL58">IF(AL$5="Real",INDEX('Informacion de Sam'!$46:$46,MATCH(AL$6,'Informacion de Sam'!$1:$1,0)),AL$19-AL$22-(AL$39+AL$10*INDEX('Supuestos Proyeccion'!$I$43:$I$52,AL$4-2025)-AL$42-AL$43)+AL$46)</f>
        <v>-205417.97000002582</v>
      </c>
      <c r="AM58" s="58" cm="1">
        <f t="array" ref="AM58">IF(AM$5="Real",INDEX('Informacion de Sam'!$46:$46,MATCH(AM$6,'Informacion de Sam'!$1:$1,0)),AM$19-AM$22-(AM$39+AM$10*INDEX('Supuestos Proyeccion'!$I$43:$I$52,AM$4-2025)-AM$42-AM$43)+AM$46)</f>
        <v>7617053.8799999701</v>
      </c>
      <c r="AN58" s="58">
        <f>SUM(AB58:AM58)</f>
        <v>38451403.849999987</v>
      </c>
      <c r="AO58" s="58" cm="1">
        <f t="array" ref="AO58">IF(AO$5="Real",INDEX('Informacion de Sam'!$46:$46,MATCH(AO$6,'Informacion de Sam'!$1:$1,0)),AO$19-AO$22-(AO$39+AO$10*INDEX('Supuestos Proyeccion'!$I$43:$I$52,AO$4-2025)-AO$42-AO$43)+AO$46)</f>
        <v>6220266.9800000042</v>
      </c>
      <c r="AP58" s="58" cm="1">
        <f t="array" ref="AP58">IF(AP$5="Real",INDEX('Informacion de Sam'!$46:$46,MATCH(AP$6,'Informacion de Sam'!$1:$1,0)),AP$19-AP$22-(AP$39+AP$10*INDEX('Supuestos Proyeccion'!$I$43:$I$52,AP$4-2025)-AP$42-AP$43)+AP$46)</f>
        <v>4436940.389999995</v>
      </c>
      <c r="AQ58" s="58" cm="1">
        <f t="array" ref="AQ58">IF(AQ$5="Real",INDEX('Informacion de Sam'!$46:$46,MATCH(AQ$6,'Informacion de Sam'!$1:$1,0)),AQ$19-AQ$22-(AQ$39+AQ$10*INDEX('Supuestos Proyeccion'!$I$43:$I$52,AQ$4-2025)-AQ$42-AQ$43)+AQ$46)</f>
        <v>2236456.219999989</v>
      </c>
      <c r="AR58" s="58" cm="1">
        <f t="array" ref="AR58">IF(AR$5="Real",INDEX('Informacion de Sam'!$46:$46,MATCH(AR$6,'Informacion de Sam'!$1:$1,0)),AR$19-AR$22-(AR$39+AR$10*INDEX('Supuestos Proyeccion'!$I$43:$I$52,AR$4-2025)-AR$42-AR$43)+AR$46)</f>
        <v>7144977.2800000012</v>
      </c>
      <c r="AS58" s="58" cm="1">
        <f t="array" ref="AS58">IF(AS$5="Real",INDEX('Informacion de Sam'!$46:$46,MATCH(AS$6,'Informacion de Sam'!$1:$1,0)),AS$19-AS$22-(AS$39+AS$10*INDEX('Supuestos Proyeccion'!$I$43:$I$52,AS$4-2025)-AS$42-AS$43)+AS$46)</f>
        <v>4848648.1600000225</v>
      </c>
      <c r="AT58" s="58" cm="1">
        <f t="array" ref="AT58">IF(AT$5="Real",INDEX('Informacion de Sam'!$46:$46,MATCH(AT$6,'Informacion de Sam'!$1:$1,0)),AT$19-AT$22-(AT$39+AT$10*INDEX('Supuestos Proyeccion'!$I$43:$I$52,AT$4-2025)-AT$42-AT$43)+AT$46)</f>
        <v>3014898.779999943</v>
      </c>
      <c r="AU58" s="58" cm="1">
        <f t="array" ref="AU58">IF(AU$5="Real",INDEX('Informacion de Sam'!$46:$46,MATCH(AU$6,'Informacion de Sam'!$1:$1,0)),AU$19-AU$22-(AU$39+AU$10*INDEX('Supuestos Proyeccion'!$I$43:$I$52,AU$4-2025)-AU$42-AU$43)+AU$46)</f>
        <v>3709356.4400000544</v>
      </c>
      <c r="AV58" s="58" cm="1">
        <f t="array" ref="AV58">IF(AV$5="Real",INDEX('Informacion de Sam'!$46:$46,MATCH(AV$6,'Informacion de Sam'!$1:$1,0)),AV$19-AV$22-(AV$39+AV$10*INDEX('Supuestos Proyeccion'!$I$43:$I$52,AV$4-2025)-AV$42-AV$43)+AV$46)</f>
        <v>4426372.5499999579</v>
      </c>
      <c r="AW58" s="58" cm="1">
        <f t="array" ref="AW58">IF(AW$5="Real",INDEX('Informacion de Sam'!$46:$46,MATCH(AW$6,'Informacion de Sam'!$1:$1,0)),AW$19-AW$22-(AW$39+AW$10*INDEX('Supuestos Proyeccion'!$I$43:$I$52,AW$4-2025)-AW$42-AW$43)+AW$46)</f>
        <v>2578989.849999994</v>
      </c>
      <c r="AX58" s="58" cm="1">
        <f t="array" ref="AX58">IF(AX$5="Real",INDEX('Informacion de Sam'!$46:$46,MATCH(AX$6,'Informacion de Sam'!$1:$1,0)),AX$19-AX$22-(AX$39+AX$10*INDEX('Supuestos Proyeccion'!$I$43:$I$52,AX$4-2025)-AX$42-AX$43)+AX$46)</f>
        <v>1863226.5700000445</v>
      </c>
      <c r="AY58" s="58" cm="1">
        <f t="array" ref="AY58">IF(AY$5="Real",INDEX('Informacion de Sam'!$46:$46,MATCH(AY$6,'Informacion de Sam'!$1:$1,0)),AY$19-AY$22-(AY$39+AY$10*INDEX('Supuestos Proyeccion'!$I$43:$I$52,AY$4-2025)-AY$42-AY$43)+AY$46)</f>
        <v>659442.75999997009</v>
      </c>
      <c r="AZ58" s="58" cm="1">
        <f t="array" ref="AZ58">IF(AZ$5="Real",INDEX('Informacion de Sam'!$46:$46,MATCH(AZ$6,'Informacion de Sam'!$1:$1,0)),AZ$19-AZ$22-(AZ$39+AZ$10*INDEX('Supuestos Proyeccion'!$I$43:$I$52,AZ$4-2025)-AZ$42-AZ$43)+AZ$46)</f>
        <v>9052101.180000104</v>
      </c>
      <c r="BA58" s="58">
        <f>SUM(AO58:AZ58)</f>
        <v>50191677.160000078</v>
      </c>
      <c r="BB58" s="58" cm="1">
        <f t="array" ref="BB58">IF(BB$5="Real",INDEX('Informacion de Sam'!$46:$46,MATCH(BB$6,'Informacion de Sam'!$1:$1,0)),BB$19-BB$22-(BB$39+BB$10*INDEX('Supuestos Proyeccion'!$I$43:$I$52,BB$4-2025)-BB$42-BB$43)+BB$46)</f>
        <v>3198540.3400000003</v>
      </c>
      <c r="BC58" s="58" cm="1">
        <f t="array" ref="BC58">IF(BC$5="Real",INDEX('Informacion de Sam'!$46:$46,MATCH(BC$6,'Informacion de Sam'!$1:$1,0)),BC$19-BC$22-(BC$39+BC$10*INDEX('Supuestos Proyeccion'!$I$43:$I$52,BC$4-2025)-BC$42-BC$43)+BC$46)</f>
        <v>1421814.9100000125</v>
      </c>
      <c r="BD58" s="58" cm="1">
        <f t="array" ref="BD58">IF(BD$5="Real",INDEX('Informacion de Sam'!$46:$46,MATCH(BD$6,'Informacion de Sam'!$1:$1,0)),BD$19-BD$22-(BD$39+BD$10*INDEX('Supuestos Proyeccion'!$I$43:$I$52,BD$4-2025)-BD$42-BD$43)+BD$46)</f>
        <v>-1039125.9200000011</v>
      </c>
      <c r="BE58" s="58" cm="1">
        <f t="array" ref="BE58">IF(BE$5="Real",INDEX('Informacion de Sam'!$46:$46,MATCH(BE$6,'Informacion de Sam'!$1:$1,0)),BE$19-BE$22-(BE$39+BE$10*INDEX('Supuestos Proyeccion'!$I$43:$I$52,BE$4-2025)-BE$42-BE$43)+BE$46)</f>
        <v>6903899.0999999996</v>
      </c>
      <c r="BF58" s="58" cm="1">
        <f t="array" ref="BF58">IF(BF$5="Real",INDEX('Informacion de Sam'!$46:$46,MATCH(BF$6,'Informacion de Sam'!$1:$1,0)),BF$19-BF$22-(BF$39+BF$10*INDEX('Supuestos Proyeccion'!$I$43:$I$52,BF$4-2025)-BF$42-BF$43)+BF$46)</f>
        <v>847446.99999996205</v>
      </c>
      <c r="BG58" s="58" cm="1">
        <f t="array" ref="BG58">IF(BG$5="Real",INDEX('Informacion de Sam'!$46:$46,MATCH(BG$6,'Informacion de Sam'!$1:$1,0)),BG$19-BG$22-(BG$39+BG$10*INDEX('Supuestos Proyeccion'!$I$43:$I$52,BG$4-2025)-BG$42-BG$43)+BG$46)</f>
        <v>4816679.4900000086</v>
      </c>
      <c r="BH58" s="58" cm="1">
        <f t="array" ref="BH58">IF(BH$5="Real",INDEX('Informacion de Sam'!$46:$46,MATCH(BH$6,'Informacion de Sam'!$1:$1,0)),BH$19-BH$22-(BH$39+BH$10*INDEX('Supuestos Proyeccion'!$I$43:$I$52,BH$4-2025)-BH$42-BH$43)+BH$46)</f>
        <v>1951118.7500000256</v>
      </c>
      <c r="BI58" s="58" cm="1">
        <f t="array" ref="BI58">IF(BI$5="Real",INDEX('Informacion de Sam'!$46:$46,MATCH(BI$6,'Informacion de Sam'!$1:$1,0)),BI$19-BI$22-(BI$39+BI$10*INDEX('Supuestos Proyeccion'!$I$43:$I$52,BI$4-2025)-BI$42-BI$43)+BI$46)</f>
        <v>5237945.7799999891</v>
      </c>
      <c r="BJ58" s="58" cm="1">
        <f t="array" ref="BJ58">IF(BJ$5="Real",INDEX('Informacion de Sam'!$46:$46,MATCH(BJ$6,'Informacion de Sam'!$1:$1,0)),BJ$19-BJ$22-(BJ$39+BJ$10*INDEX('Supuestos Proyeccion'!$I$43:$I$52,BJ$4-2025)-BJ$42-BJ$43)+BJ$46)</f>
        <v>530034.72999998671</v>
      </c>
      <c r="BK58" s="58" cm="1">
        <f t="array" ref="BK58">IF(BK$5="Real",INDEX('Informacion de Sam'!$46:$46,MATCH(BK$6,'Informacion de Sam'!$1:$1,0)),BK$19-BK$22-(BK$39+BK$10*INDEX('Supuestos Proyeccion'!$I$43:$I$52,BK$4-2025)-BK$42-BK$43)+BK$46)</f>
        <v>8906109.6099999938</v>
      </c>
      <c r="BL58" s="58" cm="1">
        <f t="array" ref="BL58">IF(BL$5="Real",INDEX('Informacion de Sam'!$46:$46,MATCH(BL$6,'Informacion de Sam'!$1:$1,0)),BL$19-BL$22-(BL$39+BL$10*INDEX('Supuestos Proyeccion'!$I$43:$I$52,BL$4-2025)-BL$42-BL$43)+BL$46)</f>
        <v>-2308099.3599999831</v>
      </c>
      <c r="BM58" s="58" cm="1">
        <f t="array" ref="BM58">IF(BM$5="Real",INDEX('Informacion de Sam'!$46:$46,MATCH(BM$6,'Informacion de Sam'!$1:$1,0)),BM$19-BM$22-(BM$39+BM$10*INDEX('Supuestos Proyeccion'!$I$43:$I$52,BM$4-2025)-BM$42-BM$43)+BM$46)</f>
        <v>-7917731.3799999719</v>
      </c>
      <c r="BN58" s="58">
        <f>SUM(BB58:BM58)</f>
        <v>22548633.050000019</v>
      </c>
      <c r="BO58" s="58" cm="1">
        <f t="array" ref="BO58">IF(BO$5="Real",INDEX('Informacion de Sam'!$46:$46,MATCH(BO$6,'Informacion de Sam'!$1:$1,0)),BO$19-BO$22-(BO$39+BO$10*INDEX('Supuestos Proyeccion'!$I$43:$I$52,BO$4-2025)-BO$42-BO$43)+BO$46)</f>
        <v>3974713.5800000038</v>
      </c>
      <c r="BP58" s="58" cm="1">
        <f t="array" ref="BP58">IF(BP$5="Real",INDEX('Informacion de Sam'!$46:$46,MATCH(BP$6,'Informacion de Sam'!$1:$1,0)),BP$19-BP$22-(BP$39+BP$10*INDEX('Supuestos Proyeccion'!$I$43:$I$52,BP$4-2025)-BP$42-BP$43)+BP$46)</f>
        <v>1625559.279999993</v>
      </c>
      <c r="BQ58" s="58" cm="1">
        <f t="array" ref="BQ58">IF(BQ$5="Real",INDEX('Informacion de Sam'!$46:$46,MATCH(BQ$6,'Informacion de Sam'!$1:$1,0)),BQ$19-BQ$22-(BQ$39+BQ$10*INDEX('Supuestos Proyeccion'!$I$43:$I$52,BQ$4-2025)-BQ$42-BQ$43)+BQ$46)</f>
        <v>-312307.11999998498</v>
      </c>
      <c r="BR58" s="58" cm="1">
        <f t="array" ref="BR58">IF(BR$5="Real",INDEX('Informacion de Sam'!$46:$46,MATCH(BR$6,'Informacion de Sam'!$1:$1,0)),BR$19-BR$22-(BR$39+BR$10*INDEX('Supuestos Proyeccion'!$I$43:$I$52,BR$4-2025)-BR$42-BR$43)+BR$46)</f>
        <v>1269172.1599999957</v>
      </c>
      <c r="BS58" s="58" cm="1">
        <f t="array" ref="BS58">IF(BS$5="Real",INDEX('Informacion de Sam'!$46:$46,MATCH(BS$6,'Informacion de Sam'!$1:$1,0)),BS$19-BS$22-(BS$39+BS$10*INDEX('Supuestos Proyeccion'!$I$43:$I$52,BS$4-2025)-BS$42-BS$43)+BS$46)</f>
        <v>2167882.4099999713</v>
      </c>
      <c r="BT58" s="58" cm="1">
        <f t="array" ref="BT58">IF(BT$5="Real",INDEX('Informacion de Sam'!$46:$46,MATCH(BT$6,'Informacion de Sam'!$1:$1,0)),BT$19-BT$22-(BT$39+BT$10*INDEX('Supuestos Proyeccion'!$I$43:$I$52,BT$4-2025)-BT$42-BT$43)+BT$46)</f>
        <v>2137659.4100000397</v>
      </c>
      <c r="BU58" s="58" cm="1">
        <f t="array" ref="BU58">IF(BU$5="Real",INDEX('Informacion de Sam'!$46:$46,MATCH(BU$6,'Informacion de Sam'!$1:$1,0)),BU$19-BU$22-(BU$39+BU$10*INDEX('Supuestos Proyeccion'!$I$43:$I$52,BU$4-2025)-BU$42-BU$43)+BU$46)</f>
        <v>-4041781.8100000028</v>
      </c>
      <c r="BV58" s="58" cm="1">
        <f t="array" ref="BV58">IF(BV$5="Real",INDEX('Informacion de Sam'!$46:$46,MATCH(BV$6,'Informacion de Sam'!$1:$1,0)),BV$19-BV$22-(BV$39+BV$10*INDEX('Supuestos Proyeccion'!$I$43:$I$52,BV$4-2025)-BV$42-BV$43)+BV$46)</f>
        <v>1740012.6200000094</v>
      </c>
      <c r="BW58" s="58" cm="1">
        <f t="array" ref="BW58">IF(BW$5="Real",INDEX('Informacion de Sam'!$46:$46,MATCH(BW$6,'Informacion de Sam'!$1:$1,0)),BW$19-BW$22-(BW$39+BW$10*INDEX('Supuestos Proyeccion'!$I$43:$I$52,BW$4-2025)-BW$42-BW$43)+BW$46)</f>
        <v>6281784.6999999881</v>
      </c>
      <c r="BX58" s="58" cm="1">
        <f t="array" ref="BX58">IF(BX$5="Real",INDEX('Informacion de Sam'!$46:$46,MATCH(BX$6,'Informacion de Sam'!$1:$1,0)),BX$19-BX$22-(BX$39+BX$10*INDEX('Supuestos Proyeccion'!$I$43:$I$52,BX$4-2025)-BX$42-BX$43)+BX$46)</f>
        <v>400553.95000003662</v>
      </c>
      <c r="BY58" s="58" cm="1">
        <f t="array" ref="BY58">IF(BY$5="Real",INDEX('Informacion de Sam'!$46:$46,MATCH(BY$6,'Informacion de Sam'!$1:$1,0)),BY$19-BY$22-(BY$39+BY$10*INDEX('Supuestos Proyeccion'!$I$43:$I$52,BY$4-2025)-BY$42-BY$43)+BY$46)</f>
        <v>4921695.7099999692</v>
      </c>
      <c r="BZ58" s="58" cm="1">
        <f t="array" ref="BZ58">IF(BZ$5="Real",INDEX('Informacion de Sam'!$46:$46,MATCH(BZ$6,'Informacion de Sam'!$1:$1,0)),BZ$19-BZ$22-(BZ$39+BZ$10*INDEX('Supuestos Proyeccion'!$I$43:$I$52,BZ$4-2025)-BZ$42-BZ$43)+BZ$46)</f>
        <v>973069.39000003773</v>
      </c>
      <c r="CA58" s="58">
        <f>SUM(BO58:BZ58)</f>
        <v>21138014.280000053</v>
      </c>
      <c r="CB58" s="58" cm="1">
        <f t="array" ref="CB58">IF(CB$5="Real",INDEX('Informacion de Sam'!$46:$46,MATCH(CB$6,'Informacion de Sam'!$1:$1,0)),CB$19-CB$22-(CB$39+CB$10*INDEX('Supuestos Proyeccion'!$I$43:$I$52,CB$4-2025)-CB$42-CB$43)+CB$46)</f>
        <v>2523318.3000000012</v>
      </c>
      <c r="CC58" s="58" cm="1">
        <f t="array" ref="CC58">IF(CC$5="Real",INDEX('Informacion de Sam'!$46:$46,MATCH(CC$6,'Informacion de Sam'!$1:$1,0)),CC$19-CC$22-(CC$39+CC$10*INDEX('Supuestos Proyeccion'!$I$43:$I$52,CC$4-2025)-CC$42-CC$43)+CC$46)</f>
        <v>7717044.5099999905</v>
      </c>
      <c r="CD58" s="58" cm="1">
        <f t="array" ref="CD58">IF(CD$5="Real",INDEX('Informacion de Sam'!$46:$46,MATCH(CD$6,'Informacion de Sam'!$1:$1,0)),CD$19-CD$22-(CD$39+CD$10*INDEX('Supuestos Proyeccion'!$I$43:$I$52,CD$4-2025)-CD$42-CD$43)+CD$46)</f>
        <v>7386565.7800000058</v>
      </c>
      <c r="CE58" s="58" cm="1">
        <f t="array" ref="CE58">IF(CE$5="Real",INDEX('Informacion de Sam'!$46:$46,MATCH(CE$6,'Informacion de Sam'!$1:$1,0)),CE$19-CE$22-(CE$39+CE$10*INDEX('Supuestos Proyeccion'!$I$43:$I$52,CE$4-2025)-CE$42-CE$43)+CE$46)</f>
        <v>1767951.0100000007</v>
      </c>
      <c r="CF58" s="58" cm="1">
        <f t="array" ref="CF58">IF(CF$5="Real",INDEX('Informacion de Sam'!$46:$46,MATCH(CF$6,'Informacion de Sam'!$1:$1,0)),CF$19-CF$22-(CF$39+CF$10*INDEX('Supuestos Proyeccion'!$I$43:$I$52,CF$4-2025)-CF$42-CF$43)+CF$46)</f>
        <v>3826130.4100000099</v>
      </c>
      <c r="CG58" s="58" cm="1">
        <f t="array" ref="CG58">IF(CG$5="Real",INDEX('Informacion de Sam'!$46:$46,MATCH(CG$6,'Informacion de Sam'!$1:$1,0)),CG$19-CG$22-(CG$39+CG$10*INDEX('Supuestos Proyeccion'!$I$43:$I$52,CG$4-2025)-CG$42-CG$43)+CG$46)</f>
        <v>3656250.5900000287</v>
      </c>
      <c r="CH58" s="58" cm="1">
        <f t="array" ref="CH58">IF(CH$5="Real",INDEX('Informacion de Sam'!$46:$46,MATCH(CH$6,'Informacion de Sam'!$1:$1,0)),CH$19-CH$22-(CH$39+CH$10*INDEX('Supuestos Proyeccion'!$I$43:$I$52,CH$4-2025)-CH$42-CH$43)+CH$46)</f>
        <v>3601484.9199999664</v>
      </c>
      <c r="CI58" s="58" cm="1">
        <f t="array" ref="CI58">IF(CI$5="Real",INDEX('Informacion de Sam'!$46:$46,MATCH(CI$6,'Informacion de Sam'!$1:$1,0)),CI$19-CI$22-(CI$39+CI$10*INDEX('Supuestos Proyeccion'!$I$43:$I$52,CI$4-2025)-CI$42-CI$43)+CI$46)</f>
        <v>101452.16000002995</v>
      </c>
      <c r="CJ58" s="58" cm="1">
        <f t="array" ref="CJ58">IF(CJ$5="Real",INDEX('Informacion de Sam'!$46:$46,MATCH(CJ$6,'Informacion de Sam'!$1:$1,0)),CJ$19-CJ$22-(CJ$39+CJ$10*INDEX('Supuestos Proyeccion'!$I$43:$I$52,CJ$4-2025)-CJ$42-CJ$43)+CJ$46)</f>
        <v>9172337.2666702755</v>
      </c>
      <c r="CK58" s="58" cm="1">
        <f t="array" ref="CK58">IF(CK$5="Real",INDEX('Informacion de Sam'!$46:$46,MATCH(CK$6,'Informacion de Sam'!$1:$1,0)),CK$19-CK$22-(CK$39+CK$10*INDEX('Supuestos Proyeccion'!$I$43:$I$52,CK$4-2025)-CK$42-CK$43)+CK$46)</f>
        <v>3911584.8603306129</v>
      </c>
      <c r="CL58" s="58" cm="1">
        <f t="array" ref="CL58">IF(CL$5="Real",INDEX('Informacion de Sam'!$46:$46,MATCH(CL$6,'Informacion de Sam'!$1:$1,0)),CL$19-CL$22-(CL$39+CL$10*INDEX('Supuestos Proyeccion'!$I$43:$I$52,CL$4-2025)-CL$42-CL$43)+CL$46)</f>
        <v>3134560.4555404568</v>
      </c>
      <c r="CM58" s="58" cm="1">
        <f t="array" ref="CM58">IF(CM$5="Real",INDEX('Informacion de Sam'!$46:$46,MATCH(CM$6,'Informacion de Sam'!$1:$1,0)),CM$19-CM$22-(CM$39+CM$10*INDEX('Supuestos Proyeccion'!$I$43:$I$52,CM$4-2025)-CM$42-CM$43)+CM$46)</f>
        <v>-540987.57035172964</v>
      </c>
      <c r="CN58" s="58">
        <f>SUM(CB58:CM58)</f>
        <v>46257692.692189649</v>
      </c>
      <c r="CO58" s="58" cm="1">
        <f t="array" ref="CO58">IF(CO$5="Real",INDEX('Informacion de Sam'!$46:$46,MATCH(CO$6,'Informacion de Sam'!$1:$1,0)),CO$19-CO$22-(CO$39+CO$10*INDEX('Supuestos Proyeccion'!$I$43:$I$52,CO$4-2025)-CO$42-CO$43)+CO$46)</f>
        <v>5850117.4385955296</v>
      </c>
      <c r="CP58" s="58" cm="1">
        <f t="array" ref="CP58">IF(CP$5="Real",INDEX('Informacion de Sam'!$46:$46,MATCH(CP$6,'Informacion de Sam'!$1:$1,0)),CP$19-CP$22-(CP$39+CP$10*INDEX('Supuestos Proyeccion'!$I$43:$I$52,CP$4-2025)-CP$42-CP$43)+CP$46)</f>
        <v>8681520.837331634</v>
      </c>
      <c r="CQ58" s="58" cm="1">
        <f t="array" ref="CQ58">IF(CQ$5="Real",INDEX('Informacion de Sam'!$46:$46,MATCH(CQ$6,'Informacion de Sam'!$1:$1,0)),CQ$19-CQ$22-(CQ$39+CQ$10*INDEX('Supuestos Proyeccion'!$I$43:$I$52,CQ$4-2025)-CQ$42-CQ$43)+CQ$46)</f>
        <v>3997854.1327112443</v>
      </c>
      <c r="CR58" s="58" cm="1">
        <f t="array" ref="CR58">IF(CR$5="Real",INDEX('Informacion de Sam'!$46:$46,MATCH(CR$6,'Informacion de Sam'!$1:$1,0)),CR$19-CR$22-(CR$39+CR$10*INDEX('Supuestos Proyeccion'!$I$43:$I$52,CR$4-2025)-CR$42-CR$43)+CR$46)</f>
        <v>2220637.5096881189</v>
      </c>
      <c r="CS58" s="58" cm="1">
        <f t="array" ref="CS58">IF(CS$5="Real",INDEX('Informacion de Sam'!$46:$46,MATCH(CS$6,'Informacion de Sam'!$1:$1,0)),CS$19-CS$22-(CS$39+CS$10*INDEX('Supuestos Proyeccion'!$I$43:$I$52,CS$4-2025)-CS$42-CS$43)+CS$46)</f>
        <v>2632592.1814211621</v>
      </c>
      <c r="CT58" s="58" cm="1">
        <f t="array" ref="CT58">IF(CT$5="Real",INDEX('Informacion de Sam'!$46:$46,MATCH(CT$6,'Informacion de Sam'!$1:$1,0)),CT$19-CT$22-(CT$39+CT$10*INDEX('Supuestos Proyeccion'!$I$43:$I$52,CT$4-2025)-CT$42-CT$43)+CT$46)</f>
        <v>-499587.39109388029</v>
      </c>
      <c r="CU58" s="58" cm="1">
        <f t="array" ref="CU58">IF(CU$5="Real",INDEX('Informacion de Sam'!$46:$46,MATCH(CU$6,'Informacion de Sam'!$1:$1,0)),CU$19-CU$22-(CU$39+CU$10*INDEX('Supuestos Proyeccion'!$I$43:$I$52,CU$4-2025)-CU$42-CU$43)+CU$46)</f>
        <v>-572221.09784822026</v>
      </c>
      <c r="CV58" s="58" cm="1">
        <f t="array" ref="CV58">IF(CV$5="Real",INDEX('Informacion de Sam'!$46:$46,MATCH(CV$6,'Informacion de Sam'!$1:$1,0)),CV$19-CV$22-(CV$39+CV$10*INDEX('Supuestos Proyeccion'!$I$43:$I$52,CV$4-2025)-CV$42-CV$43)+CV$46)</f>
        <v>-4100516.252900891</v>
      </c>
      <c r="CW58" s="58" cm="1">
        <f t="array" ref="CW58">IF(CW$5="Real",INDEX('Informacion de Sam'!$46:$46,MATCH(CW$6,'Informacion de Sam'!$1:$1,0)),CW$19-CW$22-(CW$39+CW$10*INDEX('Supuestos Proyeccion'!$I$43:$I$52,CW$4-2025)-CW$42-CW$43)+CW$46)</f>
        <v>2037131.1120151444</v>
      </c>
      <c r="CX58" s="58" cm="1">
        <f t="array" ref="CX58">IF(CX$5="Real",INDEX('Informacion de Sam'!$46:$46,MATCH(CX$6,'Informacion de Sam'!$1:$1,0)),CX$19-CX$22-(CX$39+CX$10*INDEX('Supuestos Proyeccion'!$I$43:$I$52,CX$4-2025)-CX$42-CX$43)+CX$46)</f>
        <v>1966521.3791808358</v>
      </c>
      <c r="CY58" s="58" cm="1">
        <f t="array" ref="CY58">IF(CY$5="Real",INDEX('Informacion de Sam'!$46:$46,MATCH(CY$6,'Informacion de Sam'!$1:$1,0)),CY$19-CY$22-(CY$39+CY$10*INDEX('Supuestos Proyeccion'!$I$43:$I$52,CY$4-2025)-CY$42-CY$43)+CY$46)</f>
        <v>2027041.9138307995</v>
      </c>
      <c r="CZ58" s="58" cm="1">
        <f t="array" ref="CZ58">IF(CZ$5="Real",INDEX('Informacion de Sam'!$46:$46,MATCH(CZ$6,'Informacion de Sam'!$1:$1,0)),CZ$19-CZ$22-(CZ$39+CZ$10*INDEX('Supuestos Proyeccion'!$I$43:$I$52,CZ$4-2025)-CZ$42-CZ$43)+CZ$46)</f>
        <v>1876202.8012473062</v>
      </c>
      <c r="DA58" s="58">
        <f>SUM(CO58:CZ58)</f>
        <v>26117294.56417878</v>
      </c>
      <c r="DB58" s="58" cm="1">
        <f t="array" ref="DB58">IF(DB$5="Real",INDEX('Informacion de Sam'!$46:$46,MATCH(DB$6,'Informacion de Sam'!$1:$1,0)),DB$19-DB$22-(DB$39+DB$10*INDEX('Supuestos Proyeccion'!$I$43:$I$52,DB$4-2025)-DB$42-DB$43)+DB$46)</f>
        <v>2456283.8024272313</v>
      </c>
      <c r="DC58" s="58" cm="1">
        <f t="array" ref="DC58">IF(DC$5="Real",INDEX('Informacion de Sam'!$46:$46,MATCH(DC$6,'Informacion de Sam'!$1:$1,0)),DC$19-DC$22-(DC$39+DC$10*INDEX('Supuestos Proyeccion'!$I$43:$I$52,DC$4-2025)-DC$42-DC$43)+DC$46)</f>
        <v>3481839.9344640784</v>
      </c>
      <c r="DD58" s="58" cm="1">
        <f t="array" ref="DD58">IF(DD$5="Real",INDEX('Informacion de Sam'!$46:$46,MATCH(DD$6,'Informacion de Sam'!$1:$1,0)),DD$19-DD$22-(DD$39+DD$10*INDEX('Supuestos Proyeccion'!$I$43:$I$52,DD$4-2025)-DD$42-DD$43)+DD$46)</f>
        <v>2498811.751602754</v>
      </c>
      <c r="DE58" s="58" cm="1">
        <f t="array" ref="DE58">IF(DE$5="Real",INDEX('Informacion de Sam'!$46:$46,MATCH(DE$6,'Informacion de Sam'!$1:$1,0)),DE$19-DE$22-(DE$39+DE$10*INDEX('Supuestos Proyeccion'!$I$43:$I$52,DE$4-2025)-DE$42-DE$43)+DE$46)</f>
        <v>2556344.7972151819</v>
      </c>
      <c r="DF58" s="58" cm="1">
        <f t="array" ref="DF58">IF(DF$5="Real",INDEX('Informacion de Sam'!$46:$46,MATCH(DF$6,'Informacion de Sam'!$1:$1,0)),DF$19-DF$22-(DF$39+DF$10*INDEX('Supuestos Proyeccion'!$I$43:$I$52,DF$4-2025)-DF$42-DF$43)+DF$46)</f>
        <v>2249128.6932367296</v>
      </c>
      <c r="DG58" s="58" cm="1">
        <f t="array" ref="DG58">IF(DG$5="Real",INDEX('Informacion de Sam'!$46:$46,MATCH(DG$6,'Informacion de Sam'!$1:$1,0)),DG$19-DG$22-(DG$39+DG$10*INDEX('Supuestos Proyeccion'!$I$43:$I$52,DG$4-2025)-DG$42-DG$43)+DG$46)</f>
        <v>2572129.3336398676</v>
      </c>
      <c r="DH58" s="58" cm="1">
        <f t="array" ref="DH58">IF(DH$5="Real",INDEX('Informacion de Sam'!$46:$46,MATCH(DH$6,'Informacion de Sam'!$1:$1,0)),DH$19-DH$22-(DH$39+DH$10*INDEX('Supuestos Proyeccion'!$I$43:$I$52,DH$4-2025)-DH$42-DH$43)+DH$46)</f>
        <v>2776388.329002562</v>
      </c>
      <c r="DI58" s="58" cm="1">
        <f t="array" ref="DI58">IF(DI$5="Real",INDEX('Informacion de Sam'!$46:$46,MATCH(DI$6,'Informacion de Sam'!$1:$1,0)),DI$19-DI$22-(DI$39+DI$10*INDEX('Supuestos Proyeccion'!$I$43:$I$52,DI$4-2025)-DI$42-DI$43)+DI$46)</f>
        <v>4172070.0557924435</v>
      </c>
      <c r="DJ58" s="58" cm="1">
        <f t="array" ref="DJ58">IF(DJ$5="Real",INDEX('Informacion de Sam'!$46:$46,MATCH(DJ$6,'Informacion de Sam'!$1:$1,0)),DJ$19-DJ$22-(DJ$39+DJ$10*INDEX('Supuestos Proyeccion'!$I$43:$I$52,DJ$4-2025)-DJ$42-DJ$43)+DJ$46)</f>
        <v>2546413.8900189307</v>
      </c>
      <c r="DK58" s="58" cm="1">
        <f t="array" ref="DK58">IF(DK$5="Real",INDEX('Informacion de Sam'!$46:$46,MATCH(DK$6,'Informacion de Sam'!$1:$1,0)),DK$19-DK$22-(DK$39+DK$10*INDEX('Supuestos Proyeccion'!$I$43:$I$52,DK$4-2025)-DK$42-DK$43)+DK$46)</f>
        <v>2458151.7239760496</v>
      </c>
      <c r="DL58" s="58" cm="1">
        <f t="array" ref="DL58">IF(DL$5="Real",INDEX('Informacion de Sam'!$46:$46,MATCH(DL$6,'Informacion de Sam'!$1:$1,0)),DL$19-DL$22-(DL$39+DL$10*INDEX('Supuestos Proyeccion'!$I$43:$I$52,DL$4-2025)-DL$42-DL$43)+DL$46)</f>
        <v>2533802.392288506</v>
      </c>
      <c r="DM58" s="58" cm="1">
        <f t="array" ref="DM58">IF(DM$5="Real",INDEX('Informacion de Sam'!$46:$46,MATCH(DM$6,'Informacion de Sam'!$1:$1,0)),DM$19-DM$22-(DM$39+DM$10*INDEX('Supuestos Proyeccion'!$I$43:$I$52,DM$4-2025)-DM$42-DM$43)+DM$46)</f>
        <v>2345253.5015591257</v>
      </c>
      <c r="DN58" s="58">
        <f>SUM(DB58:DM58)</f>
        <v>32646618.205223463</v>
      </c>
      <c r="DO58" s="58" cm="1">
        <f t="array" ref="DO58">IF(DO$5="Real",INDEX('Informacion de Sam'!$46:$46,MATCH(DO$6,'Informacion de Sam'!$1:$1,0)),DO$19-DO$22-(DO$39+DO$10*INDEX('Supuestos Proyeccion'!$I$43:$I$52,DO$4-2025)-DO$42-DO$43)+DO$46)</f>
        <v>3070354.7530340473</v>
      </c>
      <c r="DP58" s="58" cm="1">
        <f t="array" ref="DP58">IF(DP$5="Real",INDEX('Informacion de Sam'!$46:$46,MATCH(DP$6,'Informacion de Sam'!$1:$1,0)),DP$19-DP$22-(DP$39+DP$10*INDEX('Supuestos Proyeccion'!$I$43:$I$52,DP$4-2025)-DP$42-DP$43)+DP$46)</f>
        <v>4352299.918080098</v>
      </c>
      <c r="DQ58" s="58" cm="1">
        <f t="array" ref="DQ58">IF(DQ$5="Real",INDEX('Informacion de Sam'!$46:$46,MATCH(DQ$6,'Informacion de Sam'!$1:$1,0)),DQ$19-DQ$22-(DQ$39+DQ$10*INDEX('Supuestos Proyeccion'!$I$43:$I$52,DQ$4-2025)-DQ$42-DQ$43)+DQ$46)</f>
        <v>3123514.6895034364</v>
      </c>
      <c r="DR58" s="58" cm="1">
        <f t="array" ref="DR58">IF(DR$5="Real",INDEX('Informacion de Sam'!$46:$46,MATCH(DR$6,'Informacion de Sam'!$1:$1,0)),DR$19-DR$22-(DR$39+DR$10*INDEX('Supuestos Proyeccion'!$I$43:$I$52,DR$4-2025)-DR$42-DR$43)+DR$46)</f>
        <v>3195430.9965189816</v>
      </c>
      <c r="DS58" s="58" cm="1">
        <f t="array" ref="DS58">IF(DS$5="Real",INDEX('Informacion de Sam'!$46:$46,MATCH(DS$6,'Informacion de Sam'!$1:$1,0)),DS$19-DS$22-(DS$39+DS$10*INDEX('Supuestos Proyeccion'!$I$43:$I$52,DS$4-2025)-DS$42-DS$43)+DS$46)</f>
        <v>2811410.8665459109</v>
      </c>
      <c r="DT58" s="58" cm="1">
        <f t="array" ref="DT58">IF(DT$5="Real",INDEX('Informacion de Sam'!$46:$46,MATCH(DT$6,'Informacion de Sam'!$1:$1,0)),DT$19-DT$22-(DT$39+DT$10*INDEX('Supuestos Proyeccion'!$I$43:$I$52,DT$4-2025)-DT$42-DT$43)+DT$46)</f>
        <v>3215161.667049828</v>
      </c>
      <c r="DU58" s="58" cm="1">
        <f t="array" ref="DU58">IF(DU$5="Real",INDEX('Informacion de Sam'!$46:$46,MATCH(DU$6,'Informacion de Sam'!$1:$1,0)),DU$19-DU$22-(DU$39+DU$10*INDEX('Supuestos Proyeccion'!$I$43:$I$52,DU$4-2025)-DU$42-DU$43)+DU$46)</f>
        <v>3470485.4112532032</v>
      </c>
      <c r="DV58" s="58" cm="1">
        <f t="array" ref="DV58">IF(DV$5="Real",INDEX('Informacion de Sam'!$46:$46,MATCH(DV$6,'Informacion de Sam'!$1:$1,0)),DV$19-DV$22-(DV$39+DV$10*INDEX('Supuestos Proyeccion'!$I$43:$I$52,DV$4-2025)-DV$42-DV$43)+DV$46)</f>
        <v>5215087.5697405599</v>
      </c>
      <c r="DW58" s="58" cm="1">
        <f t="array" ref="DW58">IF(DW$5="Real",INDEX('Informacion de Sam'!$46:$46,MATCH(DW$6,'Informacion de Sam'!$1:$1,0)),DW$19-DW$22-(DW$39+DW$10*INDEX('Supuestos Proyeccion'!$I$43:$I$52,DW$4-2025)-DW$42-DW$43)+DW$46)</f>
        <v>3183017.3625236643</v>
      </c>
      <c r="DX58" s="58" cm="1">
        <f t="array" ref="DX58">IF(DX$5="Real",INDEX('Informacion de Sam'!$46:$46,MATCH(DX$6,'Informacion de Sam'!$1:$1,0)),DX$19-DX$22-(DX$39+DX$10*INDEX('Supuestos Proyeccion'!$I$43:$I$52,DX$4-2025)-DX$42-DX$43)+DX$46)</f>
        <v>3072689.6549700564</v>
      </c>
      <c r="DY58" s="58" cm="1">
        <f t="array" ref="DY58">IF(DY$5="Real",INDEX('Informacion de Sam'!$46:$46,MATCH(DY$6,'Informacion de Sam'!$1:$1,0)),DY$19-DY$22-(DY$39+DY$10*INDEX('Supuestos Proyeccion'!$I$43:$I$52,DY$4-2025)-DY$42-DY$43)+DY$46)</f>
        <v>3167252.9903606325</v>
      </c>
      <c r="DZ58" s="58" cm="1">
        <f t="array" ref="DZ58">IF(DZ$5="Real",INDEX('Informacion de Sam'!$46:$46,MATCH(DZ$6,'Informacion de Sam'!$1:$1,0)),DZ$19-DZ$22-(DZ$39+DZ$10*INDEX('Supuestos Proyeccion'!$I$43:$I$52,DZ$4-2025)-DZ$42-DZ$43)+DZ$46)</f>
        <v>2931566.8769489173</v>
      </c>
      <c r="EA58" s="58">
        <f>SUM(DO58:DZ58)</f>
        <v>40808272.756529331</v>
      </c>
      <c r="EB58" s="58" cm="1">
        <f t="array" ref="EB58">IF(EB$5="Real",INDEX('Informacion de Sam'!$46:$46,MATCH(EB$6,'Informacion de Sam'!$1:$1,0)),EB$19-EB$22-(EB$39+EB$10*INDEX('Supuestos Proyeccion'!$I$43:$I$52,EB$4-2025)-EB$42-EB$43)+EB$46)</f>
        <v>3837943.4412925532</v>
      </c>
      <c r="EC58" s="58" cm="1">
        <f t="array" ref="EC58">IF(EC$5="Real",INDEX('Informacion de Sam'!$46:$46,MATCH(EC$6,'Informacion de Sam'!$1:$1,0)),EC$19-EC$22-(EC$39+EC$10*INDEX('Supuestos Proyeccion'!$I$43:$I$52,EC$4-2025)-EC$42-EC$43)+EC$46)</f>
        <v>5440374.897600133</v>
      </c>
      <c r="ED58" s="58" cm="1">
        <f t="array" ref="ED58">IF(ED$5="Real",INDEX('Informacion de Sam'!$46:$46,MATCH(ED$6,'Informacion de Sam'!$1:$1,0)),ED$19-ED$22-(ED$39+ED$10*INDEX('Supuestos Proyeccion'!$I$43:$I$52,ED$4-2025)-ED$42-ED$43)+ED$46)</f>
        <v>3904393.3618792985</v>
      </c>
      <c r="EE58" s="58" cm="1">
        <f t="array" ref="EE58">IF(EE$5="Real",INDEX('Informacion de Sam'!$46:$46,MATCH(EE$6,'Informacion de Sam'!$1:$1,0)),EE$19-EE$22-(EE$39+EE$10*INDEX('Supuestos Proyeccion'!$I$43:$I$52,EE$4-2025)-EE$42-EE$43)+EE$46)</f>
        <v>3994288.7456487175</v>
      </c>
      <c r="EF58" s="58" cm="1">
        <f t="array" ref="EF58">IF(EF$5="Real",INDEX('Informacion de Sam'!$46:$46,MATCH(EF$6,'Informacion de Sam'!$1:$1,0)),EF$19-EF$22-(EF$39+EF$10*INDEX('Supuestos Proyeccion'!$I$43:$I$52,EF$4-2025)-EF$42-EF$43)+EF$46)</f>
        <v>3514263.5831823964</v>
      </c>
      <c r="EG58" s="58" cm="1">
        <f t="array" ref="EG58">IF(EG$5="Real",INDEX('Informacion de Sam'!$46:$46,MATCH(EG$6,'Informacion de Sam'!$1:$1,0)),EG$19-EG$22-(EG$39+EG$10*INDEX('Supuestos Proyeccion'!$I$43:$I$52,EG$4-2025)-EG$42-EG$43)+EG$46)</f>
        <v>4018952.083812301</v>
      </c>
      <c r="EH58" s="58" cm="1">
        <f t="array" ref="EH58">IF(EH$5="Real",INDEX('Informacion de Sam'!$46:$46,MATCH(EH$6,'Informacion de Sam'!$1:$1,0)),EH$19-EH$22-(EH$39+EH$10*INDEX('Supuestos Proyeccion'!$I$43:$I$52,EH$4-2025)-EH$42-EH$43)+EH$46)</f>
        <v>4338106.764066495</v>
      </c>
      <c r="EI58" s="58" cm="1">
        <f t="array" ref="EI58">IF(EI$5="Real",INDEX('Informacion de Sam'!$46:$46,MATCH(EI$6,'Informacion de Sam'!$1:$1,0)),EI$19-EI$22-(EI$39+EI$10*INDEX('Supuestos Proyeccion'!$I$43:$I$52,EI$4-2025)-EI$42-EI$43)+EI$46)</f>
        <v>6518859.4621756878</v>
      </c>
      <c r="EJ58" s="58" cm="1">
        <f t="array" ref="EJ58">IF(EJ$5="Real",INDEX('Informacion de Sam'!$46:$46,MATCH(EJ$6,'Informacion de Sam'!$1:$1,0)),EJ$19-EJ$22-(EJ$39+EJ$10*INDEX('Supuestos Proyeccion'!$I$43:$I$52,EJ$4-2025)-EJ$42-EJ$43)+EJ$46)</f>
        <v>3978771.7031545788</v>
      </c>
      <c r="EK58" s="58" cm="1">
        <f t="array" ref="EK58">IF(EK$5="Real",INDEX('Informacion de Sam'!$46:$46,MATCH(EK$6,'Informacion de Sam'!$1:$1,0)),EK$19-EK$22-(EK$39+EK$10*INDEX('Supuestos Proyeccion'!$I$43:$I$52,EK$4-2025)-EK$42-EK$43)+EK$46)</f>
        <v>3840862.0687125633</v>
      </c>
      <c r="EL58" s="58" cm="1">
        <f t="array" ref="EL58">IF(EL$5="Real",INDEX('Informacion de Sam'!$46:$46,MATCH(EL$6,'Informacion de Sam'!$1:$1,0)),EL$19-EL$22-(EL$39+EL$10*INDEX('Supuestos Proyeccion'!$I$43:$I$52,EL$4-2025)-EL$42-EL$43)+EL$46)</f>
        <v>3959066.2379507795</v>
      </c>
      <c r="EM58" s="58" cm="1">
        <f t="array" ref="EM58">IF(EM$5="Real",INDEX('Informacion de Sam'!$46:$46,MATCH(EM$6,'Informacion de Sam'!$1:$1,0)),EM$19-EM$22-(EM$39+EM$10*INDEX('Supuestos Proyeccion'!$I$43:$I$52,EM$4-2025)-EM$42-EM$43)+EM$46)</f>
        <v>3664458.5961861326</v>
      </c>
      <c r="EN58" s="58">
        <f>SUM(EB58:EM58)</f>
        <v>51010340.945661634</v>
      </c>
      <c r="EO58" s="58" cm="1">
        <f t="array" ref="EO58">IF(EO$5="Real",INDEX('Informacion de Sam'!$46:$46,MATCH(EO$6,'Informacion de Sam'!$1:$1,0)),EO$19-EO$22-(EO$39+EO$10*INDEX('Supuestos Proyeccion'!$I$43:$I$52,EO$4-2025)-EO$42-EO$43)+EO$46)</f>
        <v>4797429.3016157048</v>
      </c>
      <c r="EP58" s="58" cm="1">
        <f t="array" ref="EP58">IF(EP$5="Real",INDEX('Informacion de Sam'!$46:$46,MATCH(EP$6,'Informacion de Sam'!$1:$1,0)),EP$19-EP$22-(EP$39+EP$10*INDEX('Supuestos Proyeccion'!$I$43:$I$52,EP$4-2025)-EP$42-EP$43)+EP$46)</f>
        <v>6800468.6220001653</v>
      </c>
      <c r="EQ58" s="58" cm="1">
        <f t="array" ref="EQ58">IF(EQ$5="Real",INDEX('Informacion de Sam'!$46:$46,MATCH(EQ$6,'Informacion de Sam'!$1:$1,0)),EQ$19-EQ$22-(EQ$39+EQ$10*INDEX('Supuestos Proyeccion'!$I$43:$I$52,EQ$4-2025)-EQ$42-EQ$43)+EQ$46)</f>
        <v>4880491.7023491301</v>
      </c>
      <c r="ER58" s="58" cm="1">
        <f t="array" ref="ER58">IF(ER$5="Real",INDEX('Informacion de Sam'!$46:$46,MATCH(ER$6,'Informacion de Sam'!$1:$1,0)),ER$19-ER$22-(ER$39+ER$10*INDEX('Supuestos Proyeccion'!$I$43:$I$52,ER$4-2025)-ER$42-ER$43)+ER$46)</f>
        <v>4992860.9320609085</v>
      </c>
      <c r="ES58" s="58" cm="1">
        <f t="array" ref="ES58">IF(ES$5="Real",INDEX('Informacion de Sam'!$46:$46,MATCH(ES$6,'Informacion de Sam'!$1:$1,0)),ES$19-ES$22-(ES$39+ES$10*INDEX('Supuestos Proyeccion'!$I$43:$I$52,ES$4-2025)-ES$42-ES$43)+ES$46)</f>
        <v>4392829.4789779931</v>
      </c>
      <c r="ET58" s="58" cm="1">
        <f t="array" ref="ET58">IF(ET$5="Real",INDEX('Informacion de Sam'!$46:$46,MATCH(ET$6,'Informacion de Sam'!$1:$1,0)),ET$19-ET$22-(ET$39+ET$10*INDEX('Supuestos Proyeccion'!$I$43:$I$52,ET$4-2025)-ET$42-ET$43)+ET$46)</f>
        <v>5023690.1047653686</v>
      </c>
      <c r="EU58" s="58" cm="1">
        <f t="array" ref="EU58">IF(EU$5="Real",INDEX('Informacion de Sam'!$46:$46,MATCH(EU$6,'Informacion de Sam'!$1:$1,0)),EU$19-EU$22-(EU$39+EU$10*INDEX('Supuestos Proyeccion'!$I$43:$I$52,EU$4-2025)-EU$42-EU$43)+EU$46)</f>
        <v>5422633.4550831411</v>
      </c>
      <c r="EV58" s="58" cm="1">
        <f t="array" ref="EV58">IF(EV$5="Real",INDEX('Informacion de Sam'!$46:$46,MATCH(EV$6,'Informacion de Sam'!$1:$1,0)),EV$19-EV$22-(EV$39+EV$10*INDEX('Supuestos Proyeccion'!$I$43:$I$52,EV$4-2025)-EV$42-EV$43)+EV$46)</f>
        <v>8148574.3277196158</v>
      </c>
      <c r="EW58" s="58" cm="1">
        <f t="array" ref="EW58">IF(EW$5="Real",INDEX('Informacion de Sam'!$46:$46,MATCH(EW$6,'Informacion de Sam'!$1:$1,0)),EW$19-EW$22-(EW$39+EW$10*INDEX('Supuestos Proyeccion'!$I$43:$I$52,EW$4-2025)-EW$42-EW$43)+EW$46)</f>
        <v>4973464.6289432161</v>
      </c>
      <c r="EX58" s="58" cm="1">
        <f t="array" ref="EX58">IF(EX$5="Real",INDEX('Informacion de Sam'!$46:$46,MATCH(EX$6,'Informacion de Sam'!$1:$1,0)),EX$19-EX$22-(EX$39+EX$10*INDEX('Supuestos Proyeccion'!$I$43:$I$52,EX$4-2025)-EX$42-EX$43)+EX$46)</f>
        <v>4801077.5858907104</v>
      </c>
      <c r="EY58" s="58" cm="1">
        <f t="array" ref="EY58">IF(EY$5="Real",INDEX('Informacion de Sam'!$46:$46,MATCH(EY$6,'Informacion de Sam'!$1:$1,0)),EY$19-EY$22-(EY$39+EY$10*INDEX('Supuestos Proyeccion'!$I$43:$I$52,EY$4-2025)-EY$42-EY$43)+EY$46)</f>
        <v>4948832.7974384921</v>
      </c>
      <c r="EZ58" s="58" cm="1">
        <f t="array" ref="EZ58">IF(EZ$5="Real",INDEX('Informacion de Sam'!$46:$46,MATCH(EZ$6,'Informacion de Sam'!$1:$1,0)),EZ$19-EZ$22-(EZ$39+EZ$10*INDEX('Supuestos Proyeccion'!$I$43:$I$52,EZ$4-2025)-EZ$42-EZ$43)+EZ$46)</f>
        <v>4580573.2452326789</v>
      </c>
      <c r="FA58" s="58">
        <f>SUM(EO58:EZ58)</f>
        <v>63762926.182077125</v>
      </c>
      <c r="FB58" s="58" cm="1">
        <f t="array" ref="FB58">IF(FB$5="Real",INDEX('Informacion de Sam'!$46:$46,MATCH(FB$6,'Informacion de Sam'!$1:$1,0)),FB$19-FB$22-(FB$39+FB$10*INDEX('Supuestos Proyeccion'!$I$43:$I$52,FB$4-2025)-FB$42-FB$43)+FB$46)</f>
        <v>5996786.6270196093</v>
      </c>
      <c r="FC58" s="58" cm="1">
        <f t="array" ref="FC58">IF(FC$5="Real",INDEX('Informacion de Sam'!$46:$46,MATCH(FC$6,'Informacion de Sam'!$1:$1,0)),FC$19-FC$22-(FC$39+FC$10*INDEX('Supuestos Proyeccion'!$I$43:$I$52,FC$4-2025)-FC$42-FC$43)+FC$46)</f>
        <v>8500585.7775002085</v>
      </c>
      <c r="FD58" s="58" cm="1">
        <f t="array" ref="FD58">IF(FD$5="Real",INDEX('Informacion de Sam'!$46:$46,MATCH(FD$6,'Informacion de Sam'!$1:$1,0)),FD$19-FD$22-(FD$39+FD$10*INDEX('Supuestos Proyeccion'!$I$43:$I$52,FD$4-2025)-FD$42-FD$43)+FD$46)</f>
        <v>6100614.6279364061</v>
      </c>
      <c r="FE58" s="58" cm="1">
        <f t="array" ref="FE58">IF(FE$5="Real",INDEX('Informacion de Sam'!$46:$46,MATCH(FE$6,'Informacion de Sam'!$1:$1,0)),FE$19-FE$22-(FE$39+FE$10*INDEX('Supuestos Proyeccion'!$I$43:$I$52,FE$4-2025)-FE$42-FE$43)+FE$46)</f>
        <v>6241076.1650761096</v>
      </c>
      <c r="FF58" s="58" cm="1">
        <f t="array" ref="FF58">IF(FF$5="Real",INDEX('Informacion de Sam'!$46:$46,MATCH(FF$6,'Informacion de Sam'!$1:$1,0)),FF$19-FF$22-(FF$39+FF$10*INDEX('Supuestos Proyeccion'!$I$43:$I$52,FF$4-2025)-FF$42-FF$43)+FF$46)</f>
        <v>5491036.8487224868</v>
      </c>
      <c r="FG58" s="58" cm="1">
        <f t="array" ref="FG58">IF(FG$5="Real",INDEX('Informacion de Sam'!$46:$46,MATCH(FG$6,'Informacion de Sam'!$1:$1,0)),FG$19-FG$22-(FG$39+FG$10*INDEX('Supuestos Proyeccion'!$I$43:$I$52,FG$4-2025)-FG$42-FG$43)+FG$46)</f>
        <v>6279612.6309567057</v>
      </c>
      <c r="FH58" s="58" cm="1">
        <f t="array" ref="FH58">IF(FH$5="Real",INDEX('Informacion de Sam'!$46:$46,MATCH(FH$6,'Informacion de Sam'!$1:$1,0)),FH$19-FH$22-(FH$39+FH$10*INDEX('Supuestos Proyeccion'!$I$43:$I$52,FH$4-2025)-FH$42-FH$43)+FH$46)</f>
        <v>6778291.8188539222</v>
      </c>
      <c r="FI58" s="58" cm="1">
        <f t="array" ref="FI58">IF(FI$5="Real",INDEX('Informacion de Sam'!$46:$46,MATCH(FI$6,'Informacion de Sam'!$1:$1,0)),FI$19-FI$22-(FI$39+FI$10*INDEX('Supuestos Proyeccion'!$I$43:$I$52,FI$4-2025)-FI$42-FI$43)+FI$46)</f>
        <v>10185717.909649555</v>
      </c>
      <c r="FJ58" s="58" cm="1">
        <f t="array" ref="FJ58">IF(FJ$5="Real",INDEX('Informacion de Sam'!$46:$46,MATCH(FJ$6,'Informacion de Sam'!$1:$1,0)),FJ$19-FJ$22-(FJ$39+FJ$10*INDEX('Supuestos Proyeccion'!$I$43:$I$52,FJ$4-2025)-FJ$42-FJ$43)+FJ$46)</f>
        <v>6216830.7861790406</v>
      </c>
      <c r="FK58" s="58" cm="1">
        <f t="array" ref="FK58">IF(FK$5="Real",INDEX('Informacion de Sam'!$46:$46,MATCH(FK$6,'Informacion de Sam'!$1:$1,0)),FK$19-FK$22-(FK$39+FK$10*INDEX('Supuestos Proyeccion'!$I$43:$I$52,FK$4-2025)-FK$42-FK$43)+FK$46)</f>
        <v>6001346.9823633861</v>
      </c>
      <c r="FL58" s="58" cm="1">
        <f t="array" ref="FL58">IF(FL$5="Real",INDEX('Informacion de Sam'!$46:$46,MATCH(FL$6,'Informacion de Sam'!$1:$1,0)),FL$19-FL$22-(FL$39+FL$10*INDEX('Supuestos Proyeccion'!$I$43:$I$52,FL$4-2025)-FL$42-FL$43)+FL$46)</f>
        <v>6186040.9967981046</v>
      </c>
      <c r="FM58" s="58" cm="1">
        <f t="array" ref="FM58">IF(FM$5="Real",INDEX('Informacion de Sam'!$46:$46,MATCH(FM$6,'Informacion de Sam'!$1:$1,0)),FM$19-FM$22-(FM$39+FM$10*INDEX('Supuestos Proyeccion'!$I$43:$I$52,FM$4-2025)-FM$42-FM$43)+FM$46)</f>
        <v>5725716.556540831</v>
      </c>
      <c r="FN58" s="58">
        <f>SUM(FB58:FM58)</f>
        <v>79703657.727596357</v>
      </c>
      <c r="FO58" s="58" cm="1">
        <f t="array" ref="FO58">IF(FO$5="Real",INDEX('Informacion de Sam'!$46:$46,MATCH(FO$6,'Informacion de Sam'!$1:$1,0)),FO$19-FO$22-(FO$39+FO$10*INDEX('Supuestos Proyeccion'!$I$43:$I$52,FO$4-2025)-FO$42-FO$43)+FO$46)</f>
        <v>7495983.2837745277</v>
      </c>
      <c r="FP58" s="58" cm="1">
        <f t="array" ref="FP58">IF(FP$5="Real",INDEX('Informacion de Sam'!$46:$46,MATCH(FP$6,'Informacion de Sam'!$1:$1,0)),FP$19-FP$22-(FP$39+FP$10*INDEX('Supuestos Proyeccion'!$I$43:$I$52,FP$4-2025)-FP$42-FP$43)+FP$46)</f>
        <v>10625732.221875269</v>
      </c>
      <c r="FQ58" s="58" cm="1">
        <f t="array" ref="FQ58">IF(FQ$5="Real",INDEX('Informacion de Sam'!$46:$46,MATCH(FQ$6,'Informacion de Sam'!$1:$1,0)),FQ$19-FQ$22-(FQ$39+FQ$10*INDEX('Supuestos Proyeccion'!$I$43:$I$52,FQ$4-2025)-FQ$42-FQ$43)+FQ$46)</f>
        <v>7625768.2849205183</v>
      </c>
      <c r="FR58" s="58" cm="1">
        <f t="array" ref="FR58">IF(FR$5="Real",INDEX('Informacion de Sam'!$46:$46,MATCH(FR$6,'Informacion de Sam'!$1:$1,0)),FR$19-FR$22-(FR$39+FR$10*INDEX('Supuestos Proyeccion'!$I$43:$I$52,FR$4-2025)-FR$42-FR$43)+FR$46)</f>
        <v>7801345.2063451484</v>
      </c>
      <c r="FS58" s="58" cm="1">
        <f t="array" ref="FS58">IF(FS$5="Real",INDEX('Informacion de Sam'!$46:$46,MATCH(FS$6,'Informacion de Sam'!$1:$1,0)),FS$19-FS$22-(FS$39+FS$10*INDEX('Supuestos Proyeccion'!$I$43:$I$52,FS$4-2025)-FS$42-FS$43)+FS$46)</f>
        <v>6863796.0609030901</v>
      </c>
      <c r="FT58" s="58" cm="1">
        <f t="array" ref="FT58">IF(FT$5="Real",INDEX('Informacion de Sam'!$46:$46,MATCH(FT$6,'Informacion de Sam'!$1:$1,0)),FT$19-FT$22-(FT$39+FT$10*INDEX('Supuestos Proyeccion'!$I$43:$I$52,FT$4-2025)-FT$42-FT$43)+FT$46)</f>
        <v>7849515.7886958923</v>
      </c>
      <c r="FU58" s="58" cm="1">
        <f t="array" ref="FU58">IF(FU$5="Real",INDEX('Informacion de Sam'!$46:$46,MATCH(FU$6,'Informacion de Sam'!$1:$1,0)),FU$19-FU$22-(FU$39+FU$10*INDEX('Supuestos Proyeccion'!$I$43:$I$52,FU$4-2025)-FU$42-FU$43)+FU$46)</f>
        <v>8472864.773567386</v>
      </c>
      <c r="FV58" s="58" cm="1">
        <f t="array" ref="FV58">IF(FV$5="Real",INDEX('Informacion de Sam'!$46:$46,MATCH(FV$6,'Informacion de Sam'!$1:$1,0)),FV$19-FV$22-(FV$39+FV$10*INDEX('Supuestos Proyeccion'!$I$43:$I$52,FV$4-2025)-FV$42-FV$43)+FV$46)</f>
        <v>12732147.387061894</v>
      </c>
      <c r="FW58" s="58" cm="1">
        <f t="array" ref="FW58">IF(FW$5="Real",INDEX('Informacion de Sam'!$46:$46,MATCH(FW$6,'Informacion de Sam'!$1:$1,0)),FW$19-FW$22-(FW$39+FW$10*INDEX('Supuestos Proyeccion'!$I$43:$I$52,FW$4-2025)-FW$42-FW$43)+FW$46)</f>
        <v>7771038.4827237949</v>
      </c>
      <c r="FX58" s="58" cm="1">
        <f t="array" ref="FX58">IF(FX$5="Real",INDEX('Informacion de Sam'!$46:$46,MATCH(FX$6,'Informacion de Sam'!$1:$1,0)),FX$19-FX$22-(FX$39+FX$10*INDEX('Supuestos Proyeccion'!$I$43:$I$52,FX$4-2025)-FX$42-FX$43)+FX$46)</f>
        <v>7501683.7279542238</v>
      </c>
      <c r="FY58" s="58" cm="1">
        <f t="array" ref="FY58">IF(FY$5="Real",INDEX('Informacion de Sam'!$46:$46,MATCH(FY$6,'Informacion de Sam'!$1:$1,0)),FY$19-FY$22-(FY$39+FY$10*INDEX('Supuestos Proyeccion'!$I$43:$I$52,FY$4-2025)-FY$42-FY$43)+FY$46)</f>
        <v>7732551.2459976282</v>
      </c>
      <c r="FZ58" s="58" cm="1">
        <f t="array" ref="FZ58">IF(FZ$5="Real",INDEX('Informacion de Sam'!$46:$46,MATCH(FZ$6,'Informacion de Sam'!$1:$1,0)),FZ$19-FZ$22-(FZ$39+FZ$10*INDEX('Supuestos Proyeccion'!$I$43:$I$52,FZ$4-2025)-FZ$42-FZ$43)+FZ$46)</f>
        <v>7157145.6956760595</v>
      </c>
      <c r="GA58" s="58">
        <f>SUM(FO58:FZ58)</f>
        <v>99629572.159495443</v>
      </c>
      <c r="GB58" s="58" cm="1">
        <f t="array" ref="GB58">IF(GB$5="Real",INDEX('Informacion de Sam'!$46:$46,MATCH(GB$6,'Informacion de Sam'!$1:$1,0)),GB$19-GB$22-(GB$39+GB$10*INDEX('Supuestos Proyeccion'!$I$43:$I$52,GB$4-2025)-GB$42-GB$43)+GB$46)</f>
        <v>9369979.1047181562</v>
      </c>
      <c r="GC58" s="58" cm="1">
        <f t="array" ref="GC58">IF(GC$5="Real",INDEX('Informacion de Sam'!$46:$46,MATCH(GC$6,'Informacion de Sam'!$1:$1,0)),GC$19-GC$22-(GC$39+GC$10*INDEX('Supuestos Proyeccion'!$I$43:$I$52,GC$4-2025)-GC$42-GC$43)+GC$46)</f>
        <v>13282165.277344052</v>
      </c>
      <c r="GD58" s="58" cm="1">
        <f t="array" ref="GD58">IF(GD$5="Real",INDEX('Informacion de Sam'!$46:$46,MATCH(GD$6,'Informacion de Sam'!$1:$1,0)),GD$19-GD$22-(GD$39+GD$10*INDEX('Supuestos Proyeccion'!$I$43:$I$52,GD$4-2025)-GD$42-GD$43)+GD$46)</f>
        <v>9532210.3561506178</v>
      </c>
      <c r="GE58" s="58" cm="1">
        <f t="array" ref="GE58">IF(GE$5="Real",INDEX('Informacion de Sam'!$46:$46,MATCH(GE$6,'Informacion de Sam'!$1:$1,0)),GE$19-GE$22-(GE$39+GE$10*INDEX('Supuestos Proyeccion'!$I$43:$I$52,GE$4-2025)-GE$42-GE$43)+GE$46)</f>
        <v>9751681.5079314411</v>
      </c>
      <c r="GF58" s="58" cm="1">
        <f t="array" ref="GF58">IF(GF$5="Real",INDEX('Informacion de Sam'!$46:$46,MATCH(GF$6,'Informacion de Sam'!$1:$1,0)),GF$19-GF$22-(GF$39+GF$10*INDEX('Supuestos Proyeccion'!$I$43:$I$52,GF$4-2025)-GF$42-GF$43)+GF$46)</f>
        <v>8579745.0761288963</v>
      </c>
      <c r="GG58" s="58" cm="1">
        <f t="array" ref="GG58">IF(GG$5="Real",INDEX('Informacion de Sam'!$46:$46,MATCH(GG$6,'Informacion de Sam'!$1:$1,0)),GG$19-GG$22-(GG$39+GG$10*INDEX('Supuestos Proyeccion'!$I$43:$I$52,GG$4-2025)-GG$42-GG$43)+GG$46)</f>
        <v>9811894.7358698901</v>
      </c>
      <c r="GH58" s="58" cm="1">
        <f t="array" ref="GH58">IF(GH$5="Real",INDEX('Informacion de Sam'!$46:$46,MATCH(GH$6,'Informacion de Sam'!$1:$1,0)),GH$19-GH$22-(GH$39+GH$10*INDEX('Supuestos Proyeccion'!$I$43:$I$52,GH$4-2025)-GH$42-GH$43)+GH$46)</f>
        <v>10591080.966959219</v>
      </c>
      <c r="GI58" s="58" cm="1">
        <f t="array" ref="GI58">IF(GI$5="Real",INDEX('Informacion de Sam'!$46:$46,MATCH(GI$6,'Informacion de Sam'!$1:$1,0)),GI$19-GI$22-(GI$39+GI$10*INDEX('Supuestos Proyeccion'!$I$43:$I$52,GI$4-2025)-GI$42-GI$43)+GI$46)</f>
        <v>15915184.233827353</v>
      </c>
      <c r="GJ58" s="58" cm="1">
        <f t="array" ref="GJ58">IF(GJ$5="Real",INDEX('Informacion de Sam'!$46:$46,MATCH(GJ$6,'Informacion de Sam'!$1:$1,0)),GJ$19-GJ$22-(GJ$39+GJ$10*INDEX('Supuestos Proyeccion'!$I$43:$I$52,GJ$4-2025)-GJ$42-GJ$43)+GJ$46)</f>
        <v>9713798.1034047306</v>
      </c>
      <c r="GK58" s="58" cm="1">
        <f t="array" ref="GK58">IF(GK$5="Real",INDEX('Informacion de Sam'!$46:$46,MATCH(GK$6,'Informacion de Sam'!$1:$1,0)),GK$19-GK$22-(GK$39+GK$10*INDEX('Supuestos Proyeccion'!$I$43:$I$52,GK$4-2025)-GK$42-GK$43)+GK$46)</f>
        <v>9377104.6599428095</v>
      </c>
      <c r="GL58" s="58" cm="1">
        <f t="array" ref="GL58">IF(GL$5="Real",INDEX('Informacion de Sam'!$46:$46,MATCH(GL$6,'Informacion de Sam'!$1:$1,0)),GL$19-GL$22-(GL$39+GL$10*INDEX('Supuestos Proyeccion'!$I$43:$I$52,GL$4-2025)-GL$42-GL$43)+GL$46)</f>
        <v>9665689.0574969985</v>
      </c>
      <c r="GM58" s="58" cm="1">
        <f t="array" ref="GM58">IF(GM$5="Real",INDEX('Informacion de Sam'!$46:$46,MATCH(GM$6,'Informacion de Sam'!$1:$1,0)),GM$19-GM$22-(GM$39+GM$10*INDEX('Supuestos Proyeccion'!$I$43:$I$52,GM$4-2025)-GM$42-GM$43)+GM$46)</f>
        <v>8946432.1195950583</v>
      </c>
      <c r="GN58" s="58">
        <f>SUM(GB58:GM58)</f>
        <v>124536965.19936922</v>
      </c>
      <c r="GO58" s="58" cm="1">
        <f t="array" ref="GO58">IF(GO$5="Real",INDEX('Informacion de Sam'!$46:$46,MATCH(GO$6,'Informacion de Sam'!$1:$1,0)),GO$19-GO$22-(GO$39+GO$10*INDEX('Supuestos Proyeccion'!$I$43:$I$52,GO$4-2025)-GO$42-GO$43)+GO$46)</f>
        <v>11712473.880897697</v>
      </c>
      <c r="GP58" s="58" cm="1">
        <f t="array" ref="GP58">IF(GP$5="Real",INDEX('Informacion de Sam'!$46:$46,MATCH(GP$6,'Informacion de Sam'!$1:$1,0)),GP$19-GP$22-(GP$39+GP$10*INDEX('Supuestos Proyeccion'!$I$43:$I$52,GP$4-2025)-GP$42-GP$43)+GP$46)</f>
        <v>16602706.596680101</v>
      </c>
      <c r="GQ58" s="58" cm="1">
        <f t="array" ref="GQ58">IF(GQ$5="Real",INDEX('Informacion de Sam'!$46:$46,MATCH(GQ$6,'Informacion de Sam'!$1:$1,0)),GQ$19-GQ$22-(GQ$39+GQ$10*INDEX('Supuestos Proyeccion'!$I$43:$I$52,GQ$4-2025)-GQ$42-GQ$43)+GQ$46)</f>
        <v>11915262.945188269</v>
      </c>
      <c r="GR58" s="58" cm="1">
        <f t="array" ref="GR58">IF(GR$5="Real",INDEX('Informacion de Sam'!$46:$46,MATCH(GR$6,'Informacion de Sam'!$1:$1,0)),GR$19-GR$22-(GR$39+GR$10*INDEX('Supuestos Proyeccion'!$I$43:$I$52,GR$4-2025)-GR$42-GR$43)+GR$46)</f>
        <v>12189601.884914353</v>
      </c>
      <c r="GS58" s="58" cm="1">
        <f t="array" ref="GS58">IF(GS$5="Real",INDEX('Informacion de Sam'!$46:$46,MATCH(GS$6,'Informacion de Sam'!$1:$1,0)),GS$19-GS$22-(GS$39+GS$10*INDEX('Supuestos Proyeccion'!$I$43:$I$52,GS$4-2025)-GS$42-GS$43)+GS$46)</f>
        <v>10724681.345161119</v>
      </c>
      <c r="GT58" s="58" cm="1">
        <f t="array" ref="GT58">IF(GT$5="Real",INDEX('Informacion de Sam'!$46:$46,MATCH(GT$6,'Informacion de Sam'!$1:$1,0)),GT$19-GT$22-(GT$39+GT$10*INDEX('Supuestos Proyeccion'!$I$43:$I$52,GT$4-2025)-GT$42-GT$43)+GT$46)</f>
        <v>12264868.419837371</v>
      </c>
      <c r="GU58" s="58" cm="1">
        <f t="array" ref="GU58">IF(GU$5="Real",INDEX('Informacion de Sam'!$46:$46,MATCH(GU$6,'Informacion de Sam'!$1:$1,0)),GU$19-GU$22-(GU$39+GU$10*INDEX('Supuestos Proyeccion'!$I$43:$I$52,GU$4-2025)-GU$42-GU$43)+GU$46)</f>
        <v>13238851.208699018</v>
      </c>
      <c r="GV58" s="58" cm="1">
        <f t="array" ref="GV58">IF(GV$5="Real",INDEX('Informacion de Sam'!$46:$46,MATCH(GV$6,'Informacion de Sam'!$1:$1,0)),GV$19-GV$22-(GV$39+GV$10*INDEX('Supuestos Proyeccion'!$I$43:$I$52,GV$4-2025)-GV$42-GV$43)+GV$46)</f>
        <v>19893980.292284198</v>
      </c>
      <c r="GW58" s="58" cm="1">
        <f t="array" ref="GW58">IF(GW$5="Real",INDEX('Informacion de Sam'!$46:$46,MATCH(GW$6,'Informacion de Sam'!$1:$1,0)),GW$19-GW$22-(GW$39+GW$10*INDEX('Supuestos Proyeccion'!$I$43:$I$52,GW$4-2025)-GW$42-GW$43)+GW$46)</f>
        <v>12142247.629255926</v>
      </c>
      <c r="GX58" s="58" cm="1">
        <f t="array" ref="GX58">IF(GX$5="Real",INDEX('Informacion de Sam'!$46:$46,MATCH(GX$6,'Informacion de Sam'!$1:$1,0)),GX$19-GX$22-(GX$39+GX$10*INDEX('Supuestos Proyeccion'!$I$43:$I$52,GX$4-2025)-GX$42-GX$43)+GX$46)</f>
        <v>11721380.824928511</v>
      </c>
      <c r="GY58" s="58" cm="1">
        <f t="array" ref="GY58">IF(GY$5="Real",INDEX('Informacion de Sam'!$46:$46,MATCH(GY$6,'Informacion de Sam'!$1:$1,0)),GY$19-GY$22-(GY$39+GY$10*INDEX('Supuestos Proyeccion'!$I$43:$I$52,GY$4-2025)-GY$42-GY$43)+GY$46)</f>
        <v>12082111.321871307</v>
      </c>
      <c r="GZ58" s="58" cm="1">
        <f t="array" ref="GZ58">IF(GZ$5="Real",INDEX('Informacion de Sam'!$46:$46,MATCH(GZ$6,'Informacion de Sam'!$1:$1,0)),GZ$19-GZ$22-(GZ$39+GZ$10*INDEX('Supuestos Proyeccion'!$I$43:$I$52,GZ$4-2025)-GZ$42-GZ$43)+GZ$46)</f>
        <v>11183040.149493866</v>
      </c>
      <c r="HA58" s="58">
        <f>SUM(GO58:GZ58)</f>
        <v>155671206.49921173</v>
      </c>
      <c r="HB58" s="58"/>
      <c r="HC58" s="59">
        <f t="shared" ref="HC58:HR60" si="19">SUMIFS($B58:$HA58,$B$4:$HA$4,HC$6,$B$5:$HA$5,"Acumulado")</f>
        <v>49129639.840000011</v>
      </c>
      <c r="HD58" s="59">
        <f t="shared" si="19"/>
        <v>24942631.580000028</v>
      </c>
      <c r="HE58" s="59">
        <f t="shared" si="19"/>
        <v>38451403.849999987</v>
      </c>
      <c r="HF58" s="59">
        <f t="shared" si="19"/>
        <v>50191677.160000078</v>
      </c>
      <c r="HG58" s="59">
        <f t="shared" si="19"/>
        <v>22548633.050000019</v>
      </c>
      <c r="HH58" s="59">
        <f t="shared" si="19"/>
        <v>21138014.280000053</v>
      </c>
      <c r="HI58" s="59">
        <f t="shared" si="19"/>
        <v>46257692.692189649</v>
      </c>
      <c r="HJ58" s="59">
        <f t="shared" si="19"/>
        <v>26117294.56417878</v>
      </c>
      <c r="HK58" s="59">
        <f t="shared" si="19"/>
        <v>32646618.205223463</v>
      </c>
      <c r="HL58" s="59">
        <f t="shared" si="19"/>
        <v>40808272.756529331</v>
      </c>
      <c r="HM58" s="59">
        <f t="shared" si="19"/>
        <v>51010340.945661634</v>
      </c>
      <c r="HN58" s="59">
        <f t="shared" si="19"/>
        <v>63762926.182077125</v>
      </c>
      <c r="HO58" s="59">
        <f t="shared" si="19"/>
        <v>79703657.727596357</v>
      </c>
      <c r="HP58" s="59">
        <f t="shared" si="19"/>
        <v>99629572.159495443</v>
      </c>
      <c r="HQ58" s="59">
        <f t="shared" si="19"/>
        <v>124536965.19936922</v>
      </c>
      <c r="HR58" s="59">
        <f t="shared" si="19"/>
        <v>155671206.49921173</v>
      </c>
    </row>
    <row r="59" spans="1:226" x14ac:dyDescent="0.35">
      <c r="A59" s="57" t="s">
        <v>163</v>
      </c>
      <c r="B59" s="58">
        <f>IF(B$5="Real",INDEX('Informacion de Sam'!$50:$50,MATCH(B$6,'Informacion de Sam'!$1:$1,0)),0)</f>
        <v>3810439.0100000002</v>
      </c>
      <c r="C59" s="58">
        <f>IF(C$5="Real",INDEX('Informacion de Sam'!$50:$50,MATCH(C$6,'Informacion de Sam'!$1:$1,0)),0)</f>
        <v>2618137.1799999988</v>
      </c>
      <c r="D59" s="58">
        <f>IF(D$5="Real",INDEX('Informacion de Sam'!$50:$50,MATCH(D$6,'Informacion de Sam'!$1:$1,0)),0)</f>
        <v>2864072.4500000011</v>
      </c>
      <c r="E59" s="58">
        <f>IF(E$5="Real",INDEX('Informacion de Sam'!$50:$50,MATCH(E$6,'Informacion de Sam'!$1:$1,0)),0)</f>
        <v>4043542.609999998</v>
      </c>
      <c r="F59" s="58">
        <f>IF(F$5="Real",INDEX('Informacion de Sam'!$50:$50,MATCH(F$6,'Informacion de Sam'!$1:$1,0)),0)</f>
        <v>2862664.5300000021</v>
      </c>
      <c r="G59" s="58">
        <f>IF(G$5="Real",INDEX('Informacion de Sam'!$50:$50,MATCH(G$6,'Informacion de Sam'!$1:$1,0)),0)</f>
        <v>5287369.3399999989</v>
      </c>
      <c r="H59" s="58">
        <f>IF(H$5="Real",INDEX('Informacion de Sam'!$50:$50,MATCH(H$6,'Informacion de Sam'!$1:$1,0)),0)</f>
        <v>4191360.34</v>
      </c>
      <c r="I59" s="58">
        <f>IF(I$5="Real",INDEX('Informacion de Sam'!$50:$50,MATCH(I$6,'Informacion de Sam'!$1:$1,0)),0)</f>
        <v>4788908.3999999966</v>
      </c>
      <c r="J59" s="58">
        <f>IF(J$5="Real",INDEX('Informacion de Sam'!$50:$50,MATCH(J$6,'Informacion de Sam'!$1:$1,0)),0)</f>
        <v>-81899.989999992773</v>
      </c>
      <c r="K59" s="58">
        <f>IF(K$5="Real",INDEX('Informacion de Sam'!$50:$50,MATCH(K$6,'Informacion de Sam'!$1:$1,0)),0)</f>
        <v>2571140.589999998</v>
      </c>
      <c r="L59" s="58">
        <f>IF(L$5="Real",INDEX('Informacion de Sam'!$50:$50,MATCH(L$6,'Informacion de Sam'!$1:$1,0)),0)</f>
        <v>1665417.1899999958</v>
      </c>
      <c r="M59" s="58">
        <f>IF(M$5="Real",INDEX('Informacion de Sam'!$50:$50,MATCH(M$6,'Informacion de Sam'!$1:$1,0)),0)</f>
        <v>3676032.5300000049</v>
      </c>
      <c r="N59" s="58">
        <f>SUM(B59:M59)</f>
        <v>38297184.180000007</v>
      </c>
      <c r="O59" s="58">
        <f>IF(O$5="Real",INDEX('Informacion de Sam'!$50:$50,MATCH(O$6,'Informacion de Sam'!$1:$1,0)),0)</f>
        <v>3502805.15</v>
      </c>
      <c r="P59" s="58">
        <f>IF(P$5="Real",INDEX('Informacion de Sam'!$50:$50,MATCH(P$6,'Informacion de Sam'!$1:$1,0)),0)</f>
        <v>4493741.99</v>
      </c>
      <c r="Q59" s="58">
        <f>IF(Q$5="Real",INDEX('Informacion de Sam'!$50:$50,MATCH(Q$6,'Informacion de Sam'!$1:$1,0)),0)</f>
        <v>-22575.47</v>
      </c>
      <c r="R59" s="58">
        <f>IF(R$5="Real",INDEX('Informacion de Sam'!$50:$50,MATCH(R$6,'Informacion de Sam'!$1:$1,0)),0)</f>
        <v>1383208.4099999997</v>
      </c>
      <c r="S59" s="58">
        <f>IF(S$5="Real",INDEX('Informacion de Sam'!$50:$50,MATCH(S$6,'Informacion de Sam'!$1:$1,0)),0)</f>
        <v>651719.02</v>
      </c>
      <c r="T59" s="58">
        <f>IF(T$5="Real",INDEX('Informacion de Sam'!$50:$50,MATCH(T$6,'Informacion de Sam'!$1:$1,0)),0)</f>
        <v>1261103.5500000007</v>
      </c>
      <c r="U59" s="58">
        <f>IF(U$5="Real",INDEX('Informacion de Sam'!$50:$50,MATCH(U$6,'Informacion de Sam'!$1:$1,0)),0)</f>
        <v>2166896.8799999994</v>
      </c>
      <c r="V59" s="58">
        <f>IF(V$5="Real",INDEX('Informacion de Sam'!$50:$50,MATCH(V$6,'Informacion de Sam'!$1:$1,0)),0)</f>
        <v>3807041.84</v>
      </c>
      <c r="W59" s="58">
        <f>IF(W$5="Real",INDEX('Informacion de Sam'!$50:$50,MATCH(W$6,'Informacion de Sam'!$1:$1,0)),0)</f>
        <v>292367.27000000142</v>
      </c>
      <c r="X59" s="58">
        <f>IF(X$5="Real",INDEX('Informacion de Sam'!$50:$50,MATCH(X$6,'Informacion de Sam'!$1:$1,0)),0)</f>
        <v>1045309.3600000003</v>
      </c>
      <c r="Y59" s="58">
        <f>IF(Y$5="Real",INDEX('Informacion de Sam'!$50:$50,MATCH(Y$6,'Informacion de Sam'!$1:$1,0)),0)</f>
        <v>981711.31000000052</v>
      </c>
      <c r="Z59" s="58">
        <f>IF(Z$5="Real",INDEX('Informacion de Sam'!$50:$50,MATCH(Z$6,'Informacion de Sam'!$1:$1,0)),0)</f>
        <v>636031.03999999724</v>
      </c>
      <c r="AA59" s="58">
        <f>SUM(O59:Z59)</f>
        <v>20199360.350000001</v>
      </c>
      <c r="AB59" s="58">
        <f>IF(AB$5="Real",INDEX('Informacion de Sam'!$50:$50,MATCH(AB$6,'Informacion de Sam'!$1:$1,0)),0)</f>
        <v>1222504.06</v>
      </c>
      <c r="AC59" s="58">
        <f>IF(AC$5="Real",INDEX('Informacion de Sam'!$50:$50,MATCH(AC$6,'Informacion de Sam'!$1:$1,0)),0)</f>
        <v>2861294.2200000007</v>
      </c>
      <c r="AD59" s="58">
        <f>IF(AD$5="Real",INDEX('Informacion de Sam'!$50:$50,MATCH(AD$6,'Informacion de Sam'!$1:$1,0)),0)</f>
        <v>3505346.0999999996</v>
      </c>
      <c r="AE59" s="58">
        <f>IF(AE$5="Real",INDEX('Informacion de Sam'!$50:$50,MATCH(AE$6,'Informacion de Sam'!$1:$1,0)),0)</f>
        <v>2719524.2399999993</v>
      </c>
      <c r="AF59" s="58">
        <f>IF(AF$5="Real",INDEX('Informacion de Sam'!$50:$50,MATCH(AF$6,'Informacion de Sam'!$1:$1,0)),0)</f>
        <v>1738782.42</v>
      </c>
      <c r="AG59" s="58">
        <f>IF(AG$5="Real",INDEX('Informacion de Sam'!$50:$50,MATCH(AG$6,'Informacion de Sam'!$1:$1,0)),0)</f>
        <v>4626222.0700000022</v>
      </c>
      <c r="AH59" s="58">
        <f>IF(AH$5="Real",INDEX('Informacion de Sam'!$50:$50,MATCH(AH$6,'Informacion de Sam'!$1:$1,0)),0)</f>
        <v>2881504.17</v>
      </c>
      <c r="AI59" s="58">
        <f>IF(AI$5="Real",INDEX('Informacion de Sam'!$50:$50,MATCH(AI$6,'Informacion de Sam'!$1:$1,0)),0)</f>
        <v>1396547.1999999983</v>
      </c>
      <c r="AJ59" s="58">
        <f>IF(AJ$5="Real",INDEX('Informacion de Sam'!$50:$50,MATCH(AJ$6,'Informacion de Sam'!$1:$1,0)),0)</f>
        <v>742493.08999999985</v>
      </c>
      <c r="AK59" s="58">
        <f>IF(AK$5="Real",INDEX('Informacion de Sam'!$50:$50,MATCH(AK$6,'Informacion de Sam'!$1:$1,0)),0)</f>
        <v>2103181.6000000006</v>
      </c>
      <c r="AL59" s="58">
        <f>IF(AL$5="Real",INDEX('Informacion de Sam'!$50:$50,MATCH(AL$6,'Informacion de Sam'!$1:$1,0)),0)</f>
        <v>-36995.659999998286</v>
      </c>
      <c r="AM59" s="58">
        <f>IF(AM$5="Real",INDEX('Informacion de Sam'!$50:$50,MATCH(AM$6,'Informacion de Sam'!$1:$1,0)),0)</f>
        <v>5887885.6399999978</v>
      </c>
      <c r="AN59" s="58">
        <f>SUM(AB59:AM59)</f>
        <v>29648289.150000002</v>
      </c>
      <c r="AO59" s="58">
        <f>IF(AO$5="Real",INDEX('Informacion de Sam'!$50:$50,MATCH(AO$6,'Informacion de Sam'!$1:$1,0)),0)</f>
        <v>4812991.83</v>
      </c>
      <c r="AP59" s="58">
        <f>IF(AP$5="Real",INDEX('Informacion de Sam'!$50:$50,MATCH(AP$6,'Informacion de Sam'!$1:$1,0)),0)</f>
        <v>3437898.1299999994</v>
      </c>
      <c r="AQ59" s="58">
        <f>IF(AQ$5="Real",INDEX('Informacion de Sam'!$50:$50,MATCH(AQ$6,'Informacion de Sam'!$1:$1,0)),0)</f>
        <v>1804015.6100000003</v>
      </c>
      <c r="AR59" s="58">
        <f>IF(AR$5="Real",INDEX('Informacion de Sam'!$50:$50,MATCH(AR$6,'Informacion de Sam'!$1:$1,0)),0)</f>
        <v>5515413.2000000011</v>
      </c>
      <c r="AS59" s="58">
        <f>IF(AS$5="Real",INDEX('Informacion de Sam'!$50:$50,MATCH(AS$6,'Informacion de Sam'!$1:$1,0)),0)</f>
        <v>3811212.5</v>
      </c>
      <c r="AT59" s="58">
        <f>IF(AT$5="Real",INDEX('Informacion de Sam'!$50:$50,MATCH(AT$6,'Informacion de Sam'!$1:$1,0)),0)</f>
        <v>2433619.6800000006</v>
      </c>
      <c r="AU59" s="58">
        <f>IF(AU$5="Real",INDEX('Informacion de Sam'!$50:$50,MATCH(AU$6,'Informacion de Sam'!$1:$1,0)),0)</f>
        <v>2964910.7300000009</v>
      </c>
      <c r="AV59" s="58">
        <f>IF(AV$5="Real",INDEX('Informacion de Sam'!$50:$50,MATCH(AV$6,'Informacion de Sam'!$1:$1,0)),0)</f>
        <v>3489092.2799999956</v>
      </c>
      <c r="AW59" s="58">
        <f>IF(AW$5="Real",INDEX('Informacion de Sam'!$50:$50,MATCH(AW$6,'Informacion de Sam'!$1:$1,0)),0)</f>
        <v>2081553.4300000053</v>
      </c>
      <c r="AX59" s="58">
        <f>IF(AX$5="Real",INDEX('Informacion de Sam'!$50:$50,MATCH(AX$6,'Informacion de Sam'!$1:$1,0)),0)</f>
        <v>1541303.600000001</v>
      </c>
      <c r="AY59" s="58">
        <f>IF(AY$5="Real",INDEX('Informacion de Sam'!$50:$50,MATCH(AY$6,'Informacion de Sam'!$1:$1,0)),0)</f>
        <v>599970.23999999836</v>
      </c>
      <c r="AZ59" s="58">
        <f>IF(AZ$5="Real",INDEX('Informacion de Sam'!$50:$50,MATCH(AZ$6,'Informacion de Sam'!$1:$1,0)),0)</f>
        <v>6971771.8599999938</v>
      </c>
      <c r="BA59" s="58">
        <f>SUM(AO59:AZ59)</f>
        <v>39463753.090000004</v>
      </c>
      <c r="BB59" s="58">
        <f>IF(BB$5="Real",INDEX('Informacion de Sam'!$50:$50,MATCH(BB$6,'Informacion de Sam'!$1:$1,0)),0)</f>
        <v>2492268.1300000004</v>
      </c>
      <c r="BC59" s="58">
        <f>IF(BC$5="Real",INDEX('Informacion de Sam'!$50:$50,MATCH(BC$6,'Informacion de Sam'!$1:$1,0)),0)</f>
        <v>1280893.8800000004</v>
      </c>
      <c r="BD59" s="58">
        <f>IF(BD$5="Real",INDEX('Informacion de Sam'!$50:$50,MATCH(BD$6,'Informacion de Sam'!$1:$1,0)),0)</f>
        <v>-659893.16999999993</v>
      </c>
      <c r="BE59" s="58">
        <f>IF(BE$5="Real",INDEX('Informacion de Sam'!$50:$50,MATCH(BE$6,'Informacion de Sam'!$1:$1,0)),0)</f>
        <v>5312614.1399999987</v>
      </c>
      <c r="BF59" s="58">
        <f>IF(BF$5="Real",INDEX('Informacion de Sam'!$50:$50,MATCH(BF$6,'Informacion de Sam'!$1:$1,0)),0)</f>
        <v>772791.20000000112</v>
      </c>
      <c r="BG59" s="58">
        <f>IF(BG$5="Real",INDEX('Informacion de Sam'!$50:$50,MATCH(BG$6,'Informacion de Sam'!$1:$1,0)),0)</f>
        <v>3835908.93</v>
      </c>
      <c r="BH59" s="58">
        <f>IF(BH$5="Real",INDEX('Informacion de Sam'!$50:$50,MATCH(BH$6,'Informacion de Sam'!$1:$1,0)),0)</f>
        <v>1564482.67</v>
      </c>
      <c r="BI59" s="58">
        <f>IF(BI$5="Real",INDEX('Informacion de Sam'!$50:$50,MATCH(BI$6,'Informacion de Sam'!$1:$1,0)),0)</f>
        <v>4101419.2099999976</v>
      </c>
      <c r="BJ59" s="58">
        <f>IF(BJ$5="Real",INDEX('Informacion de Sam'!$50:$50,MATCH(BJ$6,'Informacion de Sam'!$1:$1,0)),0)</f>
        <v>612845.01000000141</v>
      </c>
      <c r="BK59" s="58">
        <f>IF(BK$5="Real",INDEX('Informacion de Sam'!$50:$50,MATCH(BK$6,'Informacion de Sam'!$1:$1,0)),0)</f>
        <v>6911641.459999999</v>
      </c>
      <c r="BL59" s="58">
        <f>IF(BL$5="Real",INDEX('Informacion de Sam'!$50:$50,MATCH(BL$6,'Informacion de Sam'!$1:$1,0)),0)</f>
        <v>-1578364.0499999998</v>
      </c>
      <c r="BM59" s="58">
        <f>IF(BM$5="Real",INDEX('Informacion de Sam'!$50:$50,MATCH(BM$6,'Informacion de Sam'!$1:$1,0)),0)</f>
        <v>-5718952.4299999978</v>
      </c>
      <c r="BN59" s="58">
        <f>SUM(BB59:BM59)</f>
        <v>18927654.980000004</v>
      </c>
      <c r="BO59" s="58">
        <f>IF(BO$5="Real",INDEX('Informacion de Sam'!$50:$50,MATCH(BO$6,'Informacion de Sam'!$1:$1,0)),0)</f>
        <v>3141274.5599999996</v>
      </c>
      <c r="BP59" s="58">
        <f>IF(BP$5="Real",INDEX('Informacion de Sam'!$50:$50,MATCH(BP$6,'Informacion de Sam'!$1:$1,0)),0)</f>
        <v>1369601.3900000006</v>
      </c>
      <c r="BQ59" s="58">
        <f>IF(BQ$5="Real",INDEX('Informacion de Sam'!$50:$50,MATCH(BQ$6,'Informacion de Sam'!$1:$1,0)),0)</f>
        <v>-90014.600000000442</v>
      </c>
      <c r="BR59" s="58">
        <f>IF(BR$5="Real",INDEX('Informacion de Sam'!$50:$50,MATCH(BR$6,'Informacion de Sam'!$1:$1,0)),0)</f>
        <v>1081923.9999999995</v>
      </c>
      <c r="BS59" s="58">
        <f>IF(BS$5="Real",INDEX('Informacion de Sam'!$50:$50,MATCH(BS$6,'Informacion de Sam'!$1:$1,0)),0)</f>
        <v>1838060.4600000002</v>
      </c>
      <c r="BT59" s="58">
        <f>IF(BT$5="Real",INDEX('Informacion de Sam'!$50:$50,MATCH(BT$6,'Informacion de Sam'!$1:$1,0)),0)</f>
        <v>1759387.7799999998</v>
      </c>
      <c r="BU59" s="58">
        <f>IF(BU$5="Real",INDEX('Informacion de Sam'!$50:$50,MATCH(BU$6,'Informacion de Sam'!$1:$1,0)),0)</f>
        <v>-2833861.1500000004</v>
      </c>
      <c r="BV59" s="58">
        <f>IF(BV$5="Real",INDEX('Informacion de Sam'!$50:$50,MATCH(BV$6,'Informacion de Sam'!$1:$1,0)),0)</f>
        <v>1497006.6100000003</v>
      </c>
      <c r="BW59" s="58">
        <f>IF(BW$5="Real",INDEX('Informacion de Sam'!$50:$50,MATCH(BW$6,'Informacion de Sam'!$1:$1,0)),0)</f>
        <v>4999374.8199999994</v>
      </c>
      <c r="BX59" s="58">
        <f>IF(BX$5="Real",INDEX('Informacion de Sam'!$50:$50,MATCH(BX$6,'Informacion de Sam'!$1:$1,0)),0)</f>
        <v>500833.39000000164</v>
      </c>
      <c r="BY59" s="58">
        <f>IF(BY$5="Real",INDEX('Informacion de Sam'!$50:$50,MATCH(BY$6,'Informacion de Sam'!$1:$1,0)),0)</f>
        <v>3874436.3599999989</v>
      </c>
      <c r="BZ59" s="58">
        <f>IF(BZ$5="Real",INDEX('Informacion de Sam'!$50:$50,MATCH(BZ$6,'Informacion de Sam'!$1:$1,0)),0)</f>
        <v>798222.45999999775</v>
      </c>
      <c r="CA59" s="58">
        <f>SUM(BO59:BZ59)</f>
        <v>17936246.079999998</v>
      </c>
      <c r="CB59" s="58">
        <f>IF(CB$5="Real",INDEX('Informacion de Sam'!$50:$50,MATCH(CB$6,'Informacion de Sam'!$1:$1,0)),0)</f>
        <v>1475333.6099999999</v>
      </c>
      <c r="CC59" s="58">
        <f>IF(CC$5="Real",INDEX('Informacion de Sam'!$50:$50,MATCH(CC$6,'Informacion de Sam'!$1:$1,0)),0)</f>
        <v>5997398.620000001</v>
      </c>
      <c r="CD59" s="58">
        <f>IF(CD$5="Real",INDEX('Informacion de Sam'!$50:$50,MATCH(CD$6,'Informacion de Sam'!$1:$1,0)),0)</f>
        <v>5787251.1199999992</v>
      </c>
      <c r="CE59" s="58">
        <f>IF(CE$5="Real",INDEX('Informacion de Sam'!$50:$50,MATCH(CE$6,'Informacion de Sam'!$1:$1,0)),0)</f>
        <v>1521631.7</v>
      </c>
      <c r="CF59" s="58">
        <f>IF(CF$5="Real",INDEX('Informacion de Sam'!$50:$50,MATCH(CF$6,'Informacion de Sam'!$1:$1,0)),0)</f>
        <v>3038456.2800000003</v>
      </c>
      <c r="CG59" s="58">
        <f>IF(CG$5="Real",INDEX('Informacion de Sam'!$50:$50,MATCH(CG$6,'Informacion de Sam'!$1:$1,0)),0)</f>
        <v>2948514.4700000016</v>
      </c>
      <c r="CH59" s="58">
        <f>IF(CH$5="Real",INDEX('Informacion de Sam'!$50:$50,MATCH(CH$6,'Informacion de Sam'!$1:$1,0)),0)</f>
        <v>2869488.1799999983</v>
      </c>
      <c r="CI59" s="58">
        <f>IF(CI$5="Real",INDEX('Informacion de Sam'!$50:$50,MATCH(CI$6,'Informacion de Sam'!$1:$1,0)),0)</f>
        <v>312804.26000000024</v>
      </c>
      <c r="CJ59" s="58">
        <f>IF(CJ$5="Real",INDEX('Informacion de Sam'!$50:$50,MATCH(CJ$6,'Informacion de Sam'!$1:$1,0)),0)</f>
        <v>0</v>
      </c>
      <c r="CK59" s="58">
        <f>IF(CK$5="Real",INDEX('Informacion de Sam'!$50:$50,MATCH(CK$6,'Informacion de Sam'!$1:$1,0)),0)</f>
        <v>0</v>
      </c>
      <c r="CL59" s="58">
        <f>IF(CL$5="Real",INDEX('Informacion de Sam'!$50:$50,MATCH(CL$6,'Informacion de Sam'!$1:$1,0)),0)</f>
        <v>0</v>
      </c>
      <c r="CM59" s="58">
        <f>IF(CM$5="Real",INDEX('Informacion de Sam'!$50:$50,MATCH(CM$6,'Informacion de Sam'!$1:$1,0)),0)</f>
        <v>0</v>
      </c>
      <c r="CN59" s="58">
        <f>SUM(CB59:CM59)</f>
        <v>23950878.240000002</v>
      </c>
      <c r="CO59" s="58">
        <f>IF(CO$5="Real",INDEX('Informacion de Sam'!$50:$50,MATCH(CO$6,'Informacion de Sam'!$1:$1,0)),0)</f>
        <v>0</v>
      </c>
      <c r="CP59" s="58">
        <f>IF(CP$5="Real",INDEX('Informacion de Sam'!$50:$50,MATCH(CP$6,'Informacion de Sam'!$1:$1,0)),0)</f>
        <v>0</v>
      </c>
      <c r="CQ59" s="58">
        <f>IF(CQ$5="Real",INDEX('Informacion de Sam'!$50:$50,MATCH(CQ$6,'Informacion de Sam'!$1:$1,0)),0)</f>
        <v>0</v>
      </c>
      <c r="CR59" s="58">
        <f>IF(CR$5="Real",INDEX('Informacion de Sam'!$50:$50,MATCH(CR$6,'Informacion de Sam'!$1:$1,0)),0)</f>
        <v>0</v>
      </c>
      <c r="CS59" s="58">
        <f>IF(CS$5="Real",INDEX('Informacion de Sam'!$50:$50,MATCH(CS$6,'Informacion de Sam'!$1:$1,0)),0)</f>
        <v>0</v>
      </c>
      <c r="CT59" s="58">
        <f>IF(CT$5="Real",INDEX('Informacion de Sam'!$50:$50,MATCH(CT$6,'Informacion de Sam'!$1:$1,0)),0)</f>
        <v>0</v>
      </c>
      <c r="CU59" s="58">
        <f>IF(CU$5="Real",INDEX('Informacion de Sam'!$50:$50,MATCH(CU$6,'Informacion de Sam'!$1:$1,0)),0)</f>
        <v>0</v>
      </c>
      <c r="CV59" s="58">
        <f>IF(CV$5="Real",INDEX('Informacion de Sam'!$50:$50,MATCH(CV$6,'Informacion de Sam'!$1:$1,0)),0)</f>
        <v>0</v>
      </c>
      <c r="CW59" s="58">
        <f>IF(CW$5="Real",INDEX('Informacion de Sam'!$50:$50,MATCH(CW$6,'Informacion de Sam'!$1:$1,0)),0)</f>
        <v>0</v>
      </c>
      <c r="CX59" s="58">
        <f>IF(CX$5="Real",INDEX('Informacion de Sam'!$50:$50,MATCH(CX$6,'Informacion de Sam'!$1:$1,0)),0)</f>
        <v>0</v>
      </c>
      <c r="CY59" s="58">
        <f>IF(CY$5="Real",INDEX('Informacion de Sam'!$50:$50,MATCH(CY$6,'Informacion de Sam'!$1:$1,0)),0)</f>
        <v>0</v>
      </c>
      <c r="CZ59" s="58">
        <f>IF(CZ$5="Real",INDEX('Informacion de Sam'!$50:$50,MATCH(CZ$6,'Informacion de Sam'!$1:$1,0)),0)</f>
        <v>0</v>
      </c>
      <c r="DA59" s="58">
        <f>SUM(CO59:CZ59)</f>
        <v>0</v>
      </c>
      <c r="DB59" s="58">
        <f>IF(DB$5="Real",INDEX('Informacion de Sam'!$50:$50,MATCH(DB$6,'Informacion de Sam'!$1:$1,0)),0)</f>
        <v>0</v>
      </c>
      <c r="DC59" s="58">
        <f>IF(DC$5="Real",INDEX('Informacion de Sam'!$50:$50,MATCH(DC$6,'Informacion de Sam'!$1:$1,0)),0)</f>
        <v>0</v>
      </c>
      <c r="DD59" s="58">
        <f>IF(DD$5="Real",INDEX('Informacion de Sam'!$50:$50,MATCH(DD$6,'Informacion de Sam'!$1:$1,0)),0)</f>
        <v>0</v>
      </c>
      <c r="DE59" s="58">
        <f>IF(DE$5="Real",INDEX('Informacion de Sam'!$50:$50,MATCH(DE$6,'Informacion de Sam'!$1:$1,0)),0)</f>
        <v>0</v>
      </c>
      <c r="DF59" s="58">
        <f>IF(DF$5="Real",INDEX('Informacion de Sam'!$50:$50,MATCH(DF$6,'Informacion de Sam'!$1:$1,0)),0)</f>
        <v>0</v>
      </c>
      <c r="DG59" s="58">
        <f>IF(DG$5="Real",INDEX('Informacion de Sam'!$50:$50,MATCH(DG$6,'Informacion de Sam'!$1:$1,0)),0)</f>
        <v>0</v>
      </c>
      <c r="DH59" s="58">
        <f>IF(DH$5="Real",INDEX('Informacion de Sam'!$50:$50,MATCH(DH$6,'Informacion de Sam'!$1:$1,0)),0)</f>
        <v>0</v>
      </c>
      <c r="DI59" s="58">
        <f>IF(DI$5="Real",INDEX('Informacion de Sam'!$50:$50,MATCH(DI$6,'Informacion de Sam'!$1:$1,0)),0)</f>
        <v>0</v>
      </c>
      <c r="DJ59" s="58">
        <f>IF(DJ$5="Real",INDEX('Informacion de Sam'!$50:$50,MATCH(DJ$6,'Informacion de Sam'!$1:$1,0)),0)</f>
        <v>0</v>
      </c>
      <c r="DK59" s="58">
        <f>IF(DK$5="Real",INDEX('Informacion de Sam'!$50:$50,MATCH(DK$6,'Informacion de Sam'!$1:$1,0)),0)</f>
        <v>0</v>
      </c>
      <c r="DL59" s="58">
        <f>IF(DL$5="Real",INDEX('Informacion de Sam'!$50:$50,MATCH(DL$6,'Informacion de Sam'!$1:$1,0)),0)</f>
        <v>0</v>
      </c>
      <c r="DM59" s="58">
        <f>IF(DM$5="Real",INDEX('Informacion de Sam'!$50:$50,MATCH(DM$6,'Informacion de Sam'!$1:$1,0)),0)</f>
        <v>0</v>
      </c>
      <c r="DN59" s="58">
        <f>SUM(DB59:DM59)</f>
        <v>0</v>
      </c>
      <c r="DO59" s="58">
        <f>IF(DO$5="Real",INDEX('Informacion de Sam'!$50:$50,MATCH(DO$6,'Informacion de Sam'!$1:$1,0)),0)</f>
        <v>0</v>
      </c>
      <c r="DP59" s="58">
        <f>IF(DP$5="Real",INDEX('Informacion de Sam'!$50:$50,MATCH(DP$6,'Informacion de Sam'!$1:$1,0)),0)</f>
        <v>0</v>
      </c>
      <c r="DQ59" s="58">
        <f>IF(DQ$5="Real",INDEX('Informacion de Sam'!$50:$50,MATCH(DQ$6,'Informacion de Sam'!$1:$1,0)),0)</f>
        <v>0</v>
      </c>
      <c r="DR59" s="58">
        <f>IF(DR$5="Real",INDEX('Informacion de Sam'!$50:$50,MATCH(DR$6,'Informacion de Sam'!$1:$1,0)),0)</f>
        <v>0</v>
      </c>
      <c r="DS59" s="58">
        <f>IF(DS$5="Real",INDEX('Informacion de Sam'!$50:$50,MATCH(DS$6,'Informacion de Sam'!$1:$1,0)),0)</f>
        <v>0</v>
      </c>
      <c r="DT59" s="58">
        <f>IF(DT$5="Real",INDEX('Informacion de Sam'!$50:$50,MATCH(DT$6,'Informacion de Sam'!$1:$1,0)),0)</f>
        <v>0</v>
      </c>
      <c r="DU59" s="58">
        <f>IF(DU$5="Real",INDEX('Informacion de Sam'!$50:$50,MATCH(DU$6,'Informacion de Sam'!$1:$1,0)),0)</f>
        <v>0</v>
      </c>
      <c r="DV59" s="58">
        <f>IF(DV$5="Real",INDEX('Informacion de Sam'!$50:$50,MATCH(DV$6,'Informacion de Sam'!$1:$1,0)),0)</f>
        <v>0</v>
      </c>
      <c r="DW59" s="58">
        <f>IF(DW$5="Real",INDEX('Informacion de Sam'!$50:$50,MATCH(DW$6,'Informacion de Sam'!$1:$1,0)),0)</f>
        <v>0</v>
      </c>
      <c r="DX59" s="58">
        <f>IF(DX$5="Real",INDEX('Informacion de Sam'!$50:$50,MATCH(DX$6,'Informacion de Sam'!$1:$1,0)),0)</f>
        <v>0</v>
      </c>
      <c r="DY59" s="58">
        <f>IF(DY$5="Real",INDEX('Informacion de Sam'!$50:$50,MATCH(DY$6,'Informacion de Sam'!$1:$1,0)),0)</f>
        <v>0</v>
      </c>
      <c r="DZ59" s="58">
        <f>IF(DZ$5="Real",INDEX('Informacion de Sam'!$50:$50,MATCH(DZ$6,'Informacion de Sam'!$1:$1,0)),0)</f>
        <v>0</v>
      </c>
      <c r="EA59" s="58">
        <f>SUM(DO59:DZ59)</f>
        <v>0</v>
      </c>
      <c r="EB59" s="58">
        <f>IF(EB$5="Real",INDEX('Informacion de Sam'!$50:$50,MATCH(EB$6,'Informacion de Sam'!$1:$1,0)),0)</f>
        <v>0</v>
      </c>
      <c r="EC59" s="58">
        <f>IF(EC$5="Real",INDEX('Informacion de Sam'!$50:$50,MATCH(EC$6,'Informacion de Sam'!$1:$1,0)),0)</f>
        <v>0</v>
      </c>
      <c r="ED59" s="58">
        <f>IF(ED$5="Real",INDEX('Informacion de Sam'!$50:$50,MATCH(ED$6,'Informacion de Sam'!$1:$1,0)),0)</f>
        <v>0</v>
      </c>
      <c r="EE59" s="58">
        <f>IF(EE$5="Real",INDEX('Informacion de Sam'!$50:$50,MATCH(EE$6,'Informacion de Sam'!$1:$1,0)),0)</f>
        <v>0</v>
      </c>
      <c r="EF59" s="58">
        <f>IF(EF$5="Real",INDEX('Informacion de Sam'!$50:$50,MATCH(EF$6,'Informacion de Sam'!$1:$1,0)),0)</f>
        <v>0</v>
      </c>
      <c r="EG59" s="58">
        <f>IF(EG$5="Real",INDEX('Informacion de Sam'!$50:$50,MATCH(EG$6,'Informacion de Sam'!$1:$1,0)),0)</f>
        <v>0</v>
      </c>
      <c r="EH59" s="58">
        <f>IF(EH$5="Real",INDEX('Informacion de Sam'!$50:$50,MATCH(EH$6,'Informacion de Sam'!$1:$1,0)),0)</f>
        <v>0</v>
      </c>
      <c r="EI59" s="58">
        <f>IF(EI$5="Real",INDEX('Informacion de Sam'!$50:$50,MATCH(EI$6,'Informacion de Sam'!$1:$1,0)),0)</f>
        <v>0</v>
      </c>
      <c r="EJ59" s="58">
        <f>IF(EJ$5="Real",INDEX('Informacion de Sam'!$50:$50,MATCH(EJ$6,'Informacion de Sam'!$1:$1,0)),0)</f>
        <v>0</v>
      </c>
      <c r="EK59" s="58">
        <f>IF(EK$5="Real",INDEX('Informacion de Sam'!$50:$50,MATCH(EK$6,'Informacion de Sam'!$1:$1,0)),0)</f>
        <v>0</v>
      </c>
      <c r="EL59" s="58">
        <f>IF(EL$5="Real",INDEX('Informacion de Sam'!$50:$50,MATCH(EL$6,'Informacion de Sam'!$1:$1,0)),0)</f>
        <v>0</v>
      </c>
      <c r="EM59" s="58">
        <f>IF(EM$5="Real",INDEX('Informacion de Sam'!$50:$50,MATCH(EM$6,'Informacion de Sam'!$1:$1,0)),0)</f>
        <v>0</v>
      </c>
      <c r="EN59" s="58">
        <f>SUM(EB59:EM59)</f>
        <v>0</v>
      </c>
      <c r="EO59" s="58">
        <f>IF(EO$5="Real",INDEX('Informacion de Sam'!$50:$50,MATCH(EO$6,'Informacion de Sam'!$1:$1,0)),0)</f>
        <v>0</v>
      </c>
      <c r="EP59" s="58">
        <f>IF(EP$5="Real",INDEX('Informacion de Sam'!$50:$50,MATCH(EP$6,'Informacion de Sam'!$1:$1,0)),0)</f>
        <v>0</v>
      </c>
      <c r="EQ59" s="58">
        <f>IF(EQ$5="Real",INDEX('Informacion de Sam'!$50:$50,MATCH(EQ$6,'Informacion de Sam'!$1:$1,0)),0)</f>
        <v>0</v>
      </c>
      <c r="ER59" s="58">
        <f>IF(ER$5="Real",INDEX('Informacion de Sam'!$50:$50,MATCH(ER$6,'Informacion de Sam'!$1:$1,0)),0)</f>
        <v>0</v>
      </c>
      <c r="ES59" s="58">
        <f>IF(ES$5="Real",INDEX('Informacion de Sam'!$50:$50,MATCH(ES$6,'Informacion de Sam'!$1:$1,0)),0)</f>
        <v>0</v>
      </c>
      <c r="ET59" s="58">
        <f>IF(ET$5="Real",INDEX('Informacion de Sam'!$50:$50,MATCH(ET$6,'Informacion de Sam'!$1:$1,0)),0)</f>
        <v>0</v>
      </c>
      <c r="EU59" s="58">
        <f>IF(EU$5="Real",INDEX('Informacion de Sam'!$50:$50,MATCH(EU$6,'Informacion de Sam'!$1:$1,0)),0)</f>
        <v>0</v>
      </c>
      <c r="EV59" s="58">
        <f>IF(EV$5="Real",INDEX('Informacion de Sam'!$50:$50,MATCH(EV$6,'Informacion de Sam'!$1:$1,0)),0)</f>
        <v>0</v>
      </c>
      <c r="EW59" s="58">
        <f>IF(EW$5="Real",INDEX('Informacion de Sam'!$50:$50,MATCH(EW$6,'Informacion de Sam'!$1:$1,0)),0)</f>
        <v>0</v>
      </c>
      <c r="EX59" s="58">
        <f>IF(EX$5="Real",INDEX('Informacion de Sam'!$50:$50,MATCH(EX$6,'Informacion de Sam'!$1:$1,0)),0)</f>
        <v>0</v>
      </c>
      <c r="EY59" s="58">
        <f>IF(EY$5="Real",INDEX('Informacion de Sam'!$50:$50,MATCH(EY$6,'Informacion de Sam'!$1:$1,0)),0)</f>
        <v>0</v>
      </c>
      <c r="EZ59" s="58">
        <f>IF(EZ$5="Real",INDEX('Informacion de Sam'!$50:$50,MATCH(EZ$6,'Informacion de Sam'!$1:$1,0)),0)</f>
        <v>0</v>
      </c>
      <c r="FA59" s="58">
        <f>SUM(EO59:EZ59)</f>
        <v>0</v>
      </c>
      <c r="FB59" s="58">
        <f>IF(FB$5="Real",INDEX('Informacion de Sam'!$50:$50,MATCH(FB$6,'Informacion de Sam'!$1:$1,0)),0)</f>
        <v>0</v>
      </c>
      <c r="FC59" s="58">
        <f>IF(FC$5="Real",INDEX('Informacion de Sam'!$50:$50,MATCH(FC$6,'Informacion de Sam'!$1:$1,0)),0)</f>
        <v>0</v>
      </c>
      <c r="FD59" s="58">
        <f>IF(FD$5="Real",INDEX('Informacion de Sam'!$50:$50,MATCH(FD$6,'Informacion de Sam'!$1:$1,0)),0)</f>
        <v>0</v>
      </c>
      <c r="FE59" s="58">
        <f>IF(FE$5="Real",INDEX('Informacion de Sam'!$50:$50,MATCH(FE$6,'Informacion de Sam'!$1:$1,0)),0)</f>
        <v>0</v>
      </c>
      <c r="FF59" s="58">
        <f>IF(FF$5="Real",INDEX('Informacion de Sam'!$50:$50,MATCH(FF$6,'Informacion de Sam'!$1:$1,0)),0)</f>
        <v>0</v>
      </c>
      <c r="FG59" s="58">
        <f>IF(FG$5="Real",INDEX('Informacion de Sam'!$50:$50,MATCH(FG$6,'Informacion de Sam'!$1:$1,0)),0)</f>
        <v>0</v>
      </c>
      <c r="FH59" s="58">
        <f>IF(FH$5="Real",INDEX('Informacion de Sam'!$50:$50,MATCH(FH$6,'Informacion de Sam'!$1:$1,0)),0)</f>
        <v>0</v>
      </c>
      <c r="FI59" s="58">
        <f>IF(FI$5="Real",INDEX('Informacion de Sam'!$50:$50,MATCH(FI$6,'Informacion de Sam'!$1:$1,0)),0)</f>
        <v>0</v>
      </c>
      <c r="FJ59" s="58">
        <f>IF(FJ$5="Real",INDEX('Informacion de Sam'!$50:$50,MATCH(FJ$6,'Informacion de Sam'!$1:$1,0)),0)</f>
        <v>0</v>
      </c>
      <c r="FK59" s="58">
        <f>IF(FK$5="Real",INDEX('Informacion de Sam'!$50:$50,MATCH(FK$6,'Informacion de Sam'!$1:$1,0)),0)</f>
        <v>0</v>
      </c>
      <c r="FL59" s="58">
        <f>IF(FL$5="Real",INDEX('Informacion de Sam'!$50:$50,MATCH(FL$6,'Informacion de Sam'!$1:$1,0)),0)</f>
        <v>0</v>
      </c>
      <c r="FM59" s="58">
        <f>IF(FM$5="Real",INDEX('Informacion de Sam'!$50:$50,MATCH(FM$6,'Informacion de Sam'!$1:$1,0)),0)</f>
        <v>0</v>
      </c>
      <c r="FN59" s="58">
        <f>SUM(FB59:FM59)</f>
        <v>0</v>
      </c>
      <c r="FO59" s="58">
        <f>IF(FO$5="Real",INDEX('Informacion de Sam'!$50:$50,MATCH(FO$6,'Informacion de Sam'!$1:$1,0)),0)</f>
        <v>0</v>
      </c>
      <c r="FP59" s="58">
        <f>IF(FP$5="Real",INDEX('Informacion de Sam'!$50:$50,MATCH(FP$6,'Informacion de Sam'!$1:$1,0)),0)</f>
        <v>0</v>
      </c>
      <c r="FQ59" s="58">
        <f>IF(FQ$5="Real",INDEX('Informacion de Sam'!$50:$50,MATCH(FQ$6,'Informacion de Sam'!$1:$1,0)),0)</f>
        <v>0</v>
      </c>
      <c r="FR59" s="58">
        <f>IF(FR$5="Real",INDEX('Informacion de Sam'!$50:$50,MATCH(FR$6,'Informacion de Sam'!$1:$1,0)),0)</f>
        <v>0</v>
      </c>
      <c r="FS59" s="58">
        <f>IF(FS$5="Real",INDEX('Informacion de Sam'!$50:$50,MATCH(FS$6,'Informacion de Sam'!$1:$1,0)),0)</f>
        <v>0</v>
      </c>
      <c r="FT59" s="58">
        <f>IF(FT$5="Real",INDEX('Informacion de Sam'!$50:$50,MATCH(FT$6,'Informacion de Sam'!$1:$1,0)),0)</f>
        <v>0</v>
      </c>
      <c r="FU59" s="58">
        <f>IF(FU$5="Real",INDEX('Informacion de Sam'!$50:$50,MATCH(FU$6,'Informacion de Sam'!$1:$1,0)),0)</f>
        <v>0</v>
      </c>
      <c r="FV59" s="58">
        <f>IF(FV$5="Real",INDEX('Informacion de Sam'!$50:$50,MATCH(FV$6,'Informacion de Sam'!$1:$1,0)),0)</f>
        <v>0</v>
      </c>
      <c r="FW59" s="58">
        <f>IF(FW$5="Real",INDEX('Informacion de Sam'!$50:$50,MATCH(FW$6,'Informacion de Sam'!$1:$1,0)),0)</f>
        <v>0</v>
      </c>
      <c r="FX59" s="58">
        <f>IF(FX$5="Real",INDEX('Informacion de Sam'!$50:$50,MATCH(FX$6,'Informacion de Sam'!$1:$1,0)),0)</f>
        <v>0</v>
      </c>
      <c r="FY59" s="58">
        <f>IF(FY$5="Real",INDEX('Informacion de Sam'!$50:$50,MATCH(FY$6,'Informacion de Sam'!$1:$1,0)),0)</f>
        <v>0</v>
      </c>
      <c r="FZ59" s="58">
        <f>IF(FZ$5="Real",INDEX('Informacion de Sam'!$50:$50,MATCH(FZ$6,'Informacion de Sam'!$1:$1,0)),0)</f>
        <v>0</v>
      </c>
      <c r="GA59" s="58">
        <f>SUM(FO59:FZ59)</f>
        <v>0</v>
      </c>
      <c r="GB59" s="58">
        <f>IF(GB$5="Real",INDEX('Informacion de Sam'!$50:$50,MATCH(GB$6,'Informacion de Sam'!$1:$1,0)),0)</f>
        <v>0</v>
      </c>
      <c r="GC59" s="58">
        <f>IF(GC$5="Real",INDEX('Informacion de Sam'!$50:$50,MATCH(GC$6,'Informacion de Sam'!$1:$1,0)),0)</f>
        <v>0</v>
      </c>
      <c r="GD59" s="58">
        <f>IF(GD$5="Real",INDEX('Informacion de Sam'!$50:$50,MATCH(GD$6,'Informacion de Sam'!$1:$1,0)),0)</f>
        <v>0</v>
      </c>
      <c r="GE59" s="58">
        <f>IF(GE$5="Real",INDEX('Informacion de Sam'!$50:$50,MATCH(GE$6,'Informacion de Sam'!$1:$1,0)),0)</f>
        <v>0</v>
      </c>
      <c r="GF59" s="58">
        <f>IF(GF$5="Real",INDEX('Informacion de Sam'!$50:$50,MATCH(GF$6,'Informacion de Sam'!$1:$1,0)),0)</f>
        <v>0</v>
      </c>
      <c r="GG59" s="58">
        <f>IF(GG$5="Real",INDEX('Informacion de Sam'!$50:$50,MATCH(GG$6,'Informacion de Sam'!$1:$1,0)),0)</f>
        <v>0</v>
      </c>
      <c r="GH59" s="58">
        <f>IF(GH$5="Real",INDEX('Informacion de Sam'!$50:$50,MATCH(GH$6,'Informacion de Sam'!$1:$1,0)),0)</f>
        <v>0</v>
      </c>
      <c r="GI59" s="58">
        <f>IF(GI$5="Real",INDEX('Informacion de Sam'!$50:$50,MATCH(GI$6,'Informacion de Sam'!$1:$1,0)),0)</f>
        <v>0</v>
      </c>
      <c r="GJ59" s="58">
        <f>IF(GJ$5="Real",INDEX('Informacion de Sam'!$50:$50,MATCH(GJ$6,'Informacion de Sam'!$1:$1,0)),0)</f>
        <v>0</v>
      </c>
      <c r="GK59" s="58">
        <f>IF(GK$5="Real",INDEX('Informacion de Sam'!$50:$50,MATCH(GK$6,'Informacion de Sam'!$1:$1,0)),0)</f>
        <v>0</v>
      </c>
      <c r="GL59" s="58">
        <f>IF(GL$5="Real",INDEX('Informacion de Sam'!$50:$50,MATCH(GL$6,'Informacion de Sam'!$1:$1,0)),0)</f>
        <v>0</v>
      </c>
      <c r="GM59" s="58">
        <f>IF(GM$5="Real",INDEX('Informacion de Sam'!$50:$50,MATCH(GM$6,'Informacion de Sam'!$1:$1,0)),0)</f>
        <v>0</v>
      </c>
      <c r="GN59" s="58">
        <f>SUM(GB59:GM59)</f>
        <v>0</v>
      </c>
      <c r="GO59" s="58">
        <f>IF(GO$5="Real",INDEX('Informacion de Sam'!$50:$50,MATCH(GO$6,'Informacion de Sam'!$1:$1,0)),0)</f>
        <v>0</v>
      </c>
      <c r="GP59" s="58">
        <f>IF(GP$5="Real",INDEX('Informacion de Sam'!$50:$50,MATCH(GP$6,'Informacion de Sam'!$1:$1,0)),0)</f>
        <v>0</v>
      </c>
      <c r="GQ59" s="58">
        <f>IF(GQ$5="Real",INDEX('Informacion de Sam'!$50:$50,MATCH(GQ$6,'Informacion de Sam'!$1:$1,0)),0)</f>
        <v>0</v>
      </c>
      <c r="GR59" s="58">
        <f>IF(GR$5="Real",INDEX('Informacion de Sam'!$50:$50,MATCH(GR$6,'Informacion de Sam'!$1:$1,0)),0)</f>
        <v>0</v>
      </c>
      <c r="GS59" s="58">
        <f>IF(GS$5="Real",INDEX('Informacion de Sam'!$50:$50,MATCH(GS$6,'Informacion de Sam'!$1:$1,0)),0)</f>
        <v>0</v>
      </c>
      <c r="GT59" s="58">
        <f>IF(GT$5="Real",INDEX('Informacion de Sam'!$50:$50,MATCH(GT$6,'Informacion de Sam'!$1:$1,0)),0)</f>
        <v>0</v>
      </c>
      <c r="GU59" s="58">
        <f>IF(GU$5="Real",INDEX('Informacion de Sam'!$50:$50,MATCH(GU$6,'Informacion de Sam'!$1:$1,0)),0)</f>
        <v>0</v>
      </c>
      <c r="GV59" s="58">
        <f>IF(GV$5="Real",INDEX('Informacion de Sam'!$50:$50,MATCH(GV$6,'Informacion de Sam'!$1:$1,0)),0)</f>
        <v>0</v>
      </c>
      <c r="GW59" s="58">
        <f>IF(GW$5="Real",INDEX('Informacion de Sam'!$50:$50,MATCH(GW$6,'Informacion de Sam'!$1:$1,0)),0)</f>
        <v>0</v>
      </c>
      <c r="GX59" s="58">
        <f>IF(GX$5="Real",INDEX('Informacion de Sam'!$50:$50,MATCH(GX$6,'Informacion de Sam'!$1:$1,0)),0)</f>
        <v>0</v>
      </c>
      <c r="GY59" s="58">
        <f>IF(GY$5="Real",INDEX('Informacion de Sam'!$50:$50,MATCH(GY$6,'Informacion de Sam'!$1:$1,0)),0)</f>
        <v>0</v>
      </c>
      <c r="GZ59" s="58">
        <f>IF(GZ$5="Real",INDEX('Informacion de Sam'!$50:$50,MATCH(GZ$6,'Informacion de Sam'!$1:$1,0)),0)</f>
        <v>0</v>
      </c>
      <c r="HA59" s="58">
        <f>SUM(GO59:GZ59)</f>
        <v>0</v>
      </c>
      <c r="HB59" s="58"/>
      <c r="HC59" s="59">
        <f t="shared" si="19"/>
        <v>38297184.180000007</v>
      </c>
      <c r="HD59" s="59">
        <f t="shared" si="19"/>
        <v>20199360.350000001</v>
      </c>
      <c r="HE59" s="59">
        <f t="shared" si="19"/>
        <v>29648289.150000002</v>
      </c>
      <c r="HF59" s="59">
        <f t="shared" si="19"/>
        <v>39463753.090000004</v>
      </c>
      <c r="HG59" s="59">
        <f t="shared" si="19"/>
        <v>18927654.980000004</v>
      </c>
      <c r="HH59" s="59">
        <f t="shared" si="19"/>
        <v>17936246.079999998</v>
      </c>
      <c r="HI59" s="59">
        <f t="shared" si="19"/>
        <v>23950878.240000002</v>
      </c>
      <c r="HJ59" s="59">
        <f t="shared" si="19"/>
        <v>0</v>
      </c>
      <c r="HK59" s="59">
        <f t="shared" si="19"/>
        <v>0</v>
      </c>
      <c r="HL59" s="59">
        <f t="shared" si="19"/>
        <v>0</v>
      </c>
      <c r="HM59" s="59">
        <f t="shared" si="19"/>
        <v>0</v>
      </c>
      <c r="HN59" s="59">
        <f t="shared" si="19"/>
        <v>0</v>
      </c>
      <c r="HO59" s="59">
        <f t="shared" si="19"/>
        <v>0</v>
      </c>
      <c r="HP59" s="59">
        <f t="shared" si="19"/>
        <v>0</v>
      </c>
      <c r="HQ59" s="59">
        <f t="shared" si="19"/>
        <v>0</v>
      </c>
      <c r="HR59" s="59">
        <f t="shared" si="19"/>
        <v>0</v>
      </c>
    </row>
    <row r="60" spans="1:226" x14ac:dyDescent="0.35">
      <c r="A60" s="57" t="s">
        <v>164</v>
      </c>
      <c r="B60" s="58" cm="1">
        <f t="array" ref="B60">IF(B$5="Real",0,IF(INDEX('Supuestos Proyeccion'!$K$43:$K$52,B$4-2025)="",0,((INDEX('Supuestos Proyeccion'!$K$43:$K$52,B$4-2025)-SUMIFS($B$59:$HA$59,$B$4:$HA$4,B$4,$B$5:$HA$5,"Real"))/(1-'Supuestos Proyeccion'!$B$8)-SUMIFS($B$58:$HA$58,$B$4:$HA$4,B$4,$B$5:$HA$5,"Proyección"))*B$10/SUMIFS($B$10:$HA$10,$B$4:$HA$4,B$4,$B$5:$HA$5,"Proyección")))</f>
        <v>0</v>
      </c>
      <c r="C60" s="58" cm="1">
        <f t="array" ref="C60">IF(C$5="Real",0,IF(INDEX('Supuestos Proyeccion'!$K$43:$K$52,C$4-2025)="",0,((INDEX('Supuestos Proyeccion'!$K$43:$K$52,C$4-2025)-SUMIFS($B$59:$HA$59,$B$4:$HA$4,C$4,$B$5:$HA$5,"Real"))/(1-'Supuestos Proyeccion'!$B$8)-SUMIFS($B$58:$HA$58,$B$4:$HA$4,C$4,$B$5:$HA$5,"Proyección"))*C$10/SUMIFS($B$10:$HA$10,$B$4:$HA$4,C$4,$B$5:$HA$5,"Proyección")))</f>
        <v>0</v>
      </c>
      <c r="D60" s="58" cm="1">
        <f t="array" ref="D60">IF(D$5="Real",0,IF(INDEX('Supuestos Proyeccion'!$K$43:$K$52,D$4-2025)="",0,((INDEX('Supuestos Proyeccion'!$K$43:$K$52,D$4-2025)-SUMIFS($B$59:$HA$59,$B$4:$HA$4,D$4,$B$5:$HA$5,"Real"))/(1-'Supuestos Proyeccion'!$B$8)-SUMIFS($B$58:$HA$58,$B$4:$HA$4,D$4,$B$5:$HA$5,"Proyección"))*D$10/SUMIFS($B$10:$HA$10,$B$4:$HA$4,D$4,$B$5:$HA$5,"Proyección")))</f>
        <v>0</v>
      </c>
      <c r="E60" s="58" cm="1">
        <f t="array" ref="E60">IF(E$5="Real",0,IF(INDEX('Supuestos Proyeccion'!$K$43:$K$52,E$4-2025)="",0,((INDEX('Supuestos Proyeccion'!$K$43:$K$52,E$4-2025)-SUMIFS($B$59:$HA$59,$B$4:$HA$4,E$4,$B$5:$HA$5,"Real"))/(1-'Supuestos Proyeccion'!$B$8)-SUMIFS($B$58:$HA$58,$B$4:$HA$4,E$4,$B$5:$HA$5,"Proyección"))*E$10/SUMIFS($B$10:$HA$10,$B$4:$HA$4,E$4,$B$5:$HA$5,"Proyección")))</f>
        <v>0</v>
      </c>
      <c r="F60" s="58" cm="1">
        <f t="array" ref="F60">IF(F$5="Real",0,IF(INDEX('Supuestos Proyeccion'!$K$43:$K$52,F$4-2025)="",0,((INDEX('Supuestos Proyeccion'!$K$43:$K$52,F$4-2025)-SUMIFS($B$59:$HA$59,$B$4:$HA$4,F$4,$B$5:$HA$5,"Real"))/(1-'Supuestos Proyeccion'!$B$8)-SUMIFS($B$58:$HA$58,$B$4:$HA$4,F$4,$B$5:$HA$5,"Proyección"))*F$10/SUMIFS($B$10:$HA$10,$B$4:$HA$4,F$4,$B$5:$HA$5,"Proyección")))</f>
        <v>0</v>
      </c>
      <c r="G60" s="58" cm="1">
        <f t="array" ref="G60">IF(G$5="Real",0,IF(INDEX('Supuestos Proyeccion'!$K$43:$K$52,G$4-2025)="",0,((INDEX('Supuestos Proyeccion'!$K$43:$K$52,G$4-2025)-SUMIFS($B$59:$HA$59,$B$4:$HA$4,G$4,$B$5:$HA$5,"Real"))/(1-'Supuestos Proyeccion'!$B$8)-SUMIFS($B$58:$HA$58,$B$4:$HA$4,G$4,$B$5:$HA$5,"Proyección"))*G$10/SUMIFS($B$10:$HA$10,$B$4:$HA$4,G$4,$B$5:$HA$5,"Proyección")))</f>
        <v>0</v>
      </c>
      <c r="H60" s="58" cm="1">
        <f t="array" ref="H60">IF(H$5="Real",0,IF(INDEX('Supuestos Proyeccion'!$K$43:$K$52,H$4-2025)="",0,((INDEX('Supuestos Proyeccion'!$K$43:$K$52,H$4-2025)-SUMIFS($B$59:$HA$59,$B$4:$HA$4,H$4,$B$5:$HA$5,"Real"))/(1-'Supuestos Proyeccion'!$B$8)-SUMIFS($B$58:$HA$58,$B$4:$HA$4,H$4,$B$5:$HA$5,"Proyección"))*H$10/SUMIFS($B$10:$HA$10,$B$4:$HA$4,H$4,$B$5:$HA$5,"Proyección")))</f>
        <v>0</v>
      </c>
      <c r="I60" s="58" cm="1">
        <f t="array" ref="I60">IF(I$5="Real",0,IF(INDEX('Supuestos Proyeccion'!$K$43:$K$52,I$4-2025)="",0,((INDEX('Supuestos Proyeccion'!$K$43:$K$52,I$4-2025)-SUMIFS($B$59:$HA$59,$B$4:$HA$4,I$4,$B$5:$HA$5,"Real"))/(1-'Supuestos Proyeccion'!$B$8)-SUMIFS($B$58:$HA$58,$B$4:$HA$4,I$4,$B$5:$HA$5,"Proyección"))*I$10/SUMIFS($B$10:$HA$10,$B$4:$HA$4,I$4,$B$5:$HA$5,"Proyección")))</f>
        <v>0</v>
      </c>
      <c r="J60" s="58" cm="1">
        <f t="array" ref="J60">IF(J$5="Real",0,IF(INDEX('Supuestos Proyeccion'!$K$43:$K$52,J$4-2025)="",0,((INDEX('Supuestos Proyeccion'!$K$43:$K$52,J$4-2025)-SUMIFS($B$59:$HA$59,$B$4:$HA$4,J$4,$B$5:$HA$5,"Real"))/(1-'Supuestos Proyeccion'!$B$8)-SUMIFS($B$58:$HA$58,$B$4:$HA$4,J$4,$B$5:$HA$5,"Proyección"))*J$10/SUMIFS($B$10:$HA$10,$B$4:$HA$4,J$4,$B$5:$HA$5,"Proyección")))</f>
        <v>0</v>
      </c>
      <c r="K60" s="58" cm="1">
        <f t="array" ref="K60">IF(K$5="Real",0,IF(INDEX('Supuestos Proyeccion'!$K$43:$K$52,K$4-2025)="",0,((INDEX('Supuestos Proyeccion'!$K$43:$K$52,K$4-2025)-SUMIFS($B$59:$HA$59,$B$4:$HA$4,K$4,$B$5:$HA$5,"Real"))/(1-'Supuestos Proyeccion'!$B$8)-SUMIFS($B$58:$HA$58,$B$4:$HA$4,K$4,$B$5:$HA$5,"Proyección"))*K$10/SUMIFS($B$10:$HA$10,$B$4:$HA$4,K$4,$B$5:$HA$5,"Proyección")))</f>
        <v>0</v>
      </c>
      <c r="L60" s="58" cm="1">
        <f t="array" ref="L60">IF(L$5="Real",0,IF(INDEX('Supuestos Proyeccion'!$K$43:$K$52,L$4-2025)="",0,((INDEX('Supuestos Proyeccion'!$K$43:$K$52,L$4-2025)-SUMIFS($B$59:$HA$59,$B$4:$HA$4,L$4,$B$5:$HA$5,"Real"))/(1-'Supuestos Proyeccion'!$B$8)-SUMIFS($B$58:$HA$58,$B$4:$HA$4,L$4,$B$5:$HA$5,"Proyección"))*L$10/SUMIFS($B$10:$HA$10,$B$4:$HA$4,L$4,$B$5:$HA$5,"Proyección")))</f>
        <v>0</v>
      </c>
      <c r="M60" s="58" cm="1">
        <f t="array" ref="M60">IF(M$5="Real",0,IF(INDEX('Supuestos Proyeccion'!$K$43:$K$52,M$4-2025)="",0,((INDEX('Supuestos Proyeccion'!$K$43:$K$52,M$4-2025)-SUMIFS($B$59:$HA$59,$B$4:$HA$4,M$4,$B$5:$HA$5,"Real"))/(1-'Supuestos Proyeccion'!$B$8)-SUMIFS($B$58:$HA$58,$B$4:$HA$4,M$4,$B$5:$HA$5,"Proyección"))*M$10/SUMIFS($B$10:$HA$10,$B$4:$HA$4,M$4,$B$5:$HA$5,"Proyección")))</f>
        <v>0</v>
      </c>
      <c r="N60" s="58">
        <f>SUM(B60:M60)</f>
        <v>0</v>
      </c>
      <c r="O60" s="58" cm="1">
        <f t="array" ref="O60">IF(O$5="Real",0,IF(INDEX('Supuestos Proyeccion'!$K$43:$K$52,O$4-2025)="",0,((INDEX('Supuestos Proyeccion'!$K$43:$K$52,O$4-2025)-SUMIFS($B$59:$HA$59,$B$4:$HA$4,O$4,$B$5:$HA$5,"Real"))/(1-'Supuestos Proyeccion'!$B$8)-SUMIFS($B$58:$HA$58,$B$4:$HA$4,O$4,$B$5:$HA$5,"Proyección"))*O$10/SUMIFS($B$10:$HA$10,$B$4:$HA$4,O$4,$B$5:$HA$5,"Proyección")))</f>
        <v>0</v>
      </c>
      <c r="P60" s="58" cm="1">
        <f t="array" ref="P60">IF(P$5="Real",0,IF(INDEX('Supuestos Proyeccion'!$K$43:$K$52,P$4-2025)="",0,((INDEX('Supuestos Proyeccion'!$K$43:$K$52,P$4-2025)-SUMIFS($B$59:$HA$59,$B$4:$HA$4,P$4,$B$5:$HA$5,"Real"))/(1-'Supuestos Proyeccion'!$B$8)-SUMIFS($B$58:$HA$58,$B$4:$HA$4,P$4,$B$5:$HA$5,"Proyección"))*P$10/SUMIFS($B$10:$HA$10,$B$4:$HA$4,P$4,$B$5:$HA$5,"Proyección")))</f>
        <v>0</v>
      </c>
      <c r="Q60" s="58" cm="1">
        <f t="array" ref="Q60">IF(Q$5="Real",0,IF(INDEX('Supuestos Proyeccion'!$K$43:$K$52,Q$4-2025)="",0,((INDEX('Supuestos Proyeccion'!$K$43:$K$52,Q$4-2025)-SUMIFS($B$59:$HA$59,$B$4:$HA$4,Q$4,$B$5:$HA$5,"Real"))/(1-'Supuestos Proyeccion'!$B$8)-SUMIFS($B$58:$HA$58,$B$4:$HA$4,Q$4,$B$5:$HA$5,"Proyección"))*Q$10/SUMIFS($B$10:$HA$10,$B$4:$HA$4,Q$4,$B$5:$HA$5,"Proyección")))</f>
        <v>0</v>
      </c>
      <c r="R60" s="58" cm="1">
        <f t="array" ref="R60">IF(R$5="Real",0,IF(INDEX('Supuestos Proyeccion'!$K$43:$K$52,R$4-2025)="",0,((INDEX('Supuestos Proyeccion'!$K$43:$K$52,R$4-2025)-SUMIFS($B$59:$HA$59,$B$4:$HA$4,R$4,$B$5:$HA$5,"Real"))/(1-'Supuestos Proyeccion'!$B$8)-SUMIFS($B$58:$HA$58,$B$4:$HA$4,R$4,$B$5:$HA$5,"Proyección"))*R$10/SUMIFS($B$10:$HA$10,$B$4:$HA$4,R$4,$B$5:$HA$5,"Proyección")))</f>
        <v>0</v>
      </c>
      <c r="S60" s="58" cm="1">
        <f t="array" ref="S60">IF(S$5="Real",0,IF(INDEX('Supuestos Proyeccion'!$K$43:$K$52,S$4-2025)="",0,((INDEX('Supuestos Proyeccion'!$K$43:$K$52,S$4-2025)-SUMIFS($B$59:$HA$59,$B$4:$HA$4,S$4,$B$5:$HA$5,"Real"))/(1-'Supuestos Proyeccion'!$B$8)-SUMIFS($B$58:$HA$58,$B$4:$HA$4,S$4,$B$5:$HA$5,"Proyección"))*S$10/SUMIFS($B$10:$HA$10,$B$4:$HA$4,S$4,$B$5:$HA$5,"Proyección")))</f>
        <v>0</v>
      </c>
      <c r="T60" s="58" cm="1">
        <f t="array" ref="T60">IF(T$5="Real",0,IF(INDEX('Supuestos Proyeccion'!$K$43:$K$52,T$4-2025)="",0,((INDEX('Supuestos Proyeccion'!$K$43:$K$52,T$4-2025)-SUMIFS($B$59:$HA$59,$B$4:$HA$4,T$4,$B$5:$HA$5,"Real"))/(1-'Supuestos Proyeccion'!$B$8)-SUMIFS($B$58:$HA$58,$B$4:$HA$4,T$4,$B$5:$HA$5,"Proyección"))*T$10/SUMIFS($B$10:$HA$10,$B$4:$HA$4,T$4,$B$5:$HA$5,"Proyección")))</f>
        <v>0</v>
      </c>
      <c r="U60" s="58" cm="1">
        <f t="array" ref="U60">IF(U$5="Real",0,IF(INDEX('Supuestos Proyeccion'!$K$43:$K$52,U$4-2025)="",0,((INDEX('Supuestos Proyeccion'!$K$43:$K$52,U$4-2025)-SUMIFS($B$59:$HA$59,$B$4:$HA$4,U$4,$B$5:$HA$5,"Real"))/(1-'Supuestos Proyeccion'!$B$8)-SUMIFS($B$58:$HA$58,$B$4:$HA$4,U$4,$B$5:$HA$5,"Proyección"))*U$10/SUMIFS($B$10:$HA$10,$B$4:$HA$4,U$4,$B$5:$HA$5,"Proyección")))</f>
        <v>0</v>
      </c>
      <c r="V60" s="58" cm="1">
        <f t="array" ref="V60">IF(V$5="Real",0,IF(INDEX('Supuestos Proyeccion'!$K$43:$K$52,V$4-2025)="",0,((INDEX('Supuestos Proyeccion'!$K$43:$K$52,V$4-2025)-SUMIFS($B$59:$HA$59,$B$4:$HA$4,V$4,$B$5:$HA$5,"Real"))/(1-'Supuestos Proyeccion'!$B$8)-SUMIFS($B$58:$HA$58,$B$4:$HA$4,V$4,$B$5:$HA$5,"Proyección"))*V$10/SUMIFS($B$10:$HA$10,$B$4:$HA$4,V$4,$B$5:$HA$5,"Proyección")))</f>
        <v>0</v>
      </c>
      <c r="W60" s="58" cm="1">
        <f t="array" ref="W60">IF(W$5="Real",0,IF(INDEX('Supuestos Proyeccion'!$K$43:$K$52,W$4-2025)="",0,((INDEX('Supuestos Proyeccion'!$K$43:$K$52,W$4-2025)-SUMIFS($B$59:$HA$59,$B$4:$HA$4,W$4,$B$5:$HA$5,"Real"))/(1-'Supuestos Proyeccion'!$B$8)-SUMIFS($B$58:$HA$58,$B$4:$HA$4,W$4,$B$5:$HA$5,"Proyección"))*W$10/SUMIFS($B$10:$HA$10,$B$4:$HA$4,W$4,$B$5:$HA$5,"Proyección")))</f>
        <v>0</v>
      </c>
      <c r="X60" s="58" cm="1">
        <f t="array" ref="X60">IF(X$5="Real",0,IF(INDEX('Supuestos Proyeccion'!$K$43:$K$52,X$4-2025)="",0,((INDEX('Supuestos Proyeccion'!$K$43:$K$52,X$4-2025)-SUMIFS($B$59:$HA$59,$B$4:$HA$4,X$4,$B$5:$HA$5,"Real"))/(1-'Supuestos Proyeccion'!$B$8)-SUMIFS($B$58:$HA$58,$B$4:$HA$4,X$4,$B$5:$HA$5,"Proyección"))*X$10/SUMIFS($B$10:$HA$10,$B$4:$HA$4,X$4,$B$5:$HA$5,"Proyección")))</f>
        <v>0</v>
      </c>
      <c r="Y60" s="58" cm="1">
        <f t="array" ref="Y60">IF(Y$5="Real",0,IF(INDEX('Supuestos Proyeccion'!$K$43:$K$52,Y$4-2025)="",0,((INDEX('Supuestos Proyeccion'!$K$43:$K$52,Y$4-2025)-SUMIFS($B$59:$HA$59,$B$4:$HA$4,Y$4,$B$5:$HA$5,"Real"))/(1-'Supuestos Proyeccion'!$B$8)-SUMIFS($B$58:$HA$58,$B$4:$HA$4,Y$4,$B$5:$HA$5,"Proyección"))*Y$10/SUMIFS($B$10:$HA$10,$B$4:$HA$4,Y$4,$B$5:$HA$5,"Proyección")))</f>
        <v>0</v>
      </c>
      <c r="Z60" s="58" cm="1">
        <f t="array" ref="Z60">IF(Z$5="Real",0,IF(INDEX('Supuestos Proyeccion'!$K$43:$K$52,Z$4-2025)="",0,((INDEX('Supuestos Proyeccion'!$K$43:$K$52,Z$4-2025)-SUMIFS($B$59:$HA$59,$B$4:$HA$4,Z$4,$B$5:$HA$5,"Real"))/(1-'Supuestos Proyeccion'!$B$8)-SUMIFS($B$58:$HA$58,$B$4:$HA$4,Z$4,$B$5:$HA$5,"Proyección"))*Z$10/SUMIFS($B$10:$HA$10,$B$4:$HA$4,Z$4,$B$5:$HA$5,"Proyección")))</f>
        <v>0</v>
      </c>
      <c r="AA60" s="58">
        <f>SUM(O60:Z60)</f>
        <v>0</v>
      </c>
      <c r="AB60" s="58" cm="1">
        <f t="array" ref="AB60">IF(AB$5="Real",0,IF(INDEX('Supuestos Proyeccion'!$K$43:$K$52,AB$4-2025)="",0,((INDEX('Supuestos Proyeccion'!$K$43:$K$52,AB$4-2025)-SUMIFS($B$59:$HA$59,$B$4:$HA$4,AB$4,$B$5:$HA$5,"Real"))/(1-'Supuestos Proyeccion'!$B$8)-SUMIFS($B$58:$HA$58,$B$4:$HA$4,AB$4,$B$5:$HA$5,"Proyección"))*AB$10/SUMIFS($B$10:$HA$10,$B$4:$HA$4,AB$4,$B$5:$HA$5,"Proyección")))</f>
        <v>0</v>
      </c>
      <c r="AC60" s="58" cm="1">
        <f t="array" ref="AC60">IF(AC$5="Real",0,IF(INDEX('Supuestos Proyeccion'!$K$43:$K$52,AC$4-2025)="",0,((INDEX('Supuestos Proyeccion'!$K$43:$K$52,AC$4-2025)-SUMIFS($B$59:$HA$59,$B$4:$HA$4,AC$4,$B$5:$HA$5,"Real"))/(1-'Supuestos Proyeccion'!$B$8)-SUMIFS($B$58:$HA$58,$B$4:$HA$4,AC$4,$B$5:$HA$5,"Proyección"))*AC$10/SUMIFS($B$10:$HA$10,$B$4:$HA$4,AC$4,$B$5:$HA$5,"Proyección")))</f>
        <v>0</v>
      </c>
      <c r="AD60" s="58" cm="1">
        <f t="array" ref="AD60">IF(AD$5="Real",0,IF(INDEX('Supuestos Proyeccion'!$K$43:$K$52,AD$4-2025)="",0,((INDEX('Supuestos Proyeccion'!$K$43:$K$52,AD$4-2025)-SUMIFS($B$59:$HA$59,$B$4:$HA$4,AD$4,$B$5:$HA$5,"Real"))/(1-'Supuestos Proyeccion'!$B$8)-SUMIFS($B$58:$HA$58,$B$4:$HA$4,AD$4,$B$5:$HA$5,"Proyección"))*AD$10/SUMIFS($B$10:$HA$10,$B$4:$HA$4,AD$4,$B$5:$HA$5,"Proyección")))</f>
        <v>0</v>
      </c>
      <c r="AE60" s="58" cm="1">
        <f t="array" ref="AE60">IF(AE$5="Real",0,IF(INDEX('Supuestos Proyeccion'!$K$43:$K$52,AE$4-2025)="",0,((INDEX('Supuestos Proyeccion'!$K$43:$K$52,AE$4-2025)-SUMIFS($B$59:$HA$59,$B$4:$HA$4,AE$4,$B$5:$HA$5,"Real"))/(1-'Supuestos Proyeccion'!$B$8)-SUMIFS($B$58:$HA$58,$B$4:$HA$4,AE$4,$B$5:$HA$5,"Proyección"))*AE$10/SUMIFS($B$10:$HA$10,$B$4:$HA$4,AE$4,$B$5:$HA$5,"Proyección")))</f>
        <v>0</v>
      </c>
      <c r="AF60" s="58" cm="1">
        <f t="array" ref="AF60">IF(AF$5="Real",0,IF(INDEX('Supuestos Proyeccion'!$K$43:$K$52,AF$4-2025)="",0,((INDEX('Supuestos Proyeccion'!$K$43:$K$52,AF$4-2025)-SUMIFS($B$59:$HA$59,$B$4:$HA$4,AF$4,$B$5:$HA$5,"Real"))/(1-'Supuestos Proyeccion'!$B$8)-SUMIFS($B$58:$HA$58,$B$4:$HA$4,AF$4,$B$5:$HA$5,"Proyección"))*AF$10/SUMIFS($B$10:$HA$10,$B$4:$HA$4,AF$4,$B$5:$HA$5,"Proyección")))</f>
        <v>0</v>
      </c>
      <c r="AG60" s="58" cm="1">
        <f t="array" ref="AG60">IF(AG$5="Real",0,IF(INDEX('Supuestos Proyeccion'!$K$43:$K$52,AG$4-2025)="",0,((INDEX('Supuestos Proyeccion'!$K$43:$K$52,AG$4-2025)-SUMIFS($B$59:$HA$59,$B$4:$HA$4,AG$4,$B$5:$HA$5,"Real"))/(1-'Supuestos Proyeccion'!$B$8)-SUMIFS($B$58:$HA$58,$B$4:$HA$4,AG$4,$B$5:$HA$5,"Proyección"))*AG$10/SUMIFS($B$10:$HA$10,$B$4:$HA$4,AG$4,$B$5:$HA$5,"Proyección")))</f>
        <v>0</v>
      </c>
      <c r="AH60" s="58" cm="1">
        <f t="array" ref="AH60">IF(AH$5="Real",0,IF(INDEX('Supuestos Proyeccion'!$K$43:$K$52,AH$4-2025)="",0,((INDEX('Supuestos Proyeccion'!$K$43:$K$52,AH$4-2025)-SUMIFS($B$59:$HA$59,$B$4:$HA$4,AH$4,$B$5:$HA$5,"Real"))/(1-'Supuestos Proyeccion'!$B$8)-SUMIFS($B$58:$HA$58,$B$4:$HA$4,AH$4,$B$5:$HA$5,"Proyección"))*AH$10/SUMIFS($B$10:$HA$10,$B$4:$HA$4,AH$4,$B$5:$HA$5,"Proyección")))</f>
        <v>0</v>
      </c>
      <c r="AI60" s="58" cm="1">
        <f t="array" ref="AI60">IF(AI$5="Real",0,IF(INDEX('Supuestos Proyeccion'!$K$43:$K$52,AI$4-2025)="",0,((INDEX('Supuestos Proyeccion'!$K$43:$K$52,AI$4-2025)-SUMIFS($B$59:$HA$59,$B$4:$HA$4,AI$4,$B$5:$HA$5,"Real"))/(1-'Supuestos Proyeccion'!$B$8)-SUMIFS($B$58:$HA$58,$B$4:$HA$4,AI$4,$B$5:$HA$5,"Proyección"))*AI$10/SUMIFS($B$10:$HA$10,$B$4:$HA$4,AI$4,$B$5:$HA$5,"Proyección")))</f>
        <v>0</v>
      </c>
      <c r="AJ60" s="58" cm="1">
        <f t="array" ref="AJ60">IF(AJ$5="Real",0,IF(INDEX('Supuestos Proyeccion'!$K$43:$K$52,AJ$4-2025)="",0,((INDEX('Supuestos Proyeccion'!$K$43:$K$52,AJ$4-2025)-SUMIFS($B$59:$HA$59,$B$4:$HA$4,AJ$4,$B$5:$HA$5,"Real"))/(1-'Supuestos Proyeccion'!$B$8)-SUMIFS($B$58:$HA$58,$B$4:$HA$4,AJ$4,$B$5:$HA$5,"Proyección"))*AJ$10/SUMIFS($B$10:$HA$10,$B$4:$HA$4,AJ$4,$B$5:$HA$5,"Proyección")))</f>
        <v>0</v>
      </c>
      <c r="AK60" s="58" cm="1">
        <f t="array" ref="AK60">IF(AK$5="Real",0,IF(INDEX('Supuestos Proyeccion'!$K$43:$K$52,AK$4-2025)="",0,((INDEX('Supuestos Proyeccion'!$K$43:$K$52,AK$4-2025)-SUMIFS($B$59:$HA$59,$B$4:$HA$4,AK$4,$B$5:$HA$5,"Real"))/(1-'Supuestos Proyeccion'!$B$8)-SUMIFS($B$58:$HA$58,$B$4:$HA$4,AK$4,$B$5:$HA$5,"Proyección"))*AK$10/SUMIFS($B$10:$HA$10,$B$4:$HA$4,AK$4,$B$5:$HA$5,"Proyección")))</f>
        <v>0</v>
      </c>
      <c r="AL60" s="58" cm="1">
        <f t="array" ref="AL60">IF(AL$5="Real",0,IF(INDEX('Supuestos Proyeccion'!$K$43:$K$52,AL$4-2025)="",0,((INDEX('Supuestos Proyeccion'!$K$43:$K$52,AL$4-2025)-SUMIFS($B$59:$HA$59,$B$4:$HA$4,AL$4,$B$5:$HA$5,"Real"))/(1-'Supuestos Proyeccion'!$B$8)-SUMIFS($B$58:$HA$58,$B$4:$HA$4,AL$4,$B$5:$HA$5,"Proyección"))*AL$10/SUMIFS($B$10:$HA$10,$B$4:$HA$4,AL$4,$B$5:$HA$5,"Proyección")))</f>
        <v>0</v>
      </c>
      <c r="AM60" s="58" cm="1">
        <f t="array" ref="AM60">IF(AM$5="Real",0,IF(INDEX('Supuestos Proyeccion'!$K$43:$K$52,AM$4-2025)="",0,((INDEX('Supuestos Proyeccion'!$K$43:$K$52,AM$4-2025)-SUMIFS($B$59:$HA$59,$B$4:$HA$4,AM$4,$B$5:$HA$5,"Real"))/(1-'Supuestos Proyeccion'!$B$8)-SUMIFS($B$58:$HA$58,$B$4:$HA$4,AM$4,$B$5:$HA$5,"Proyección"))*AM$10/SUMIFS($B$10:$HA$10,$B$4:$HA$4,AM$4,$B$5:$HA$5,"Proyección")))</f>
        <v>0</v>
      </c>
      <c r="AN60" s="58">
        <f>SUM(AB60:AM60)</f>
        <v>0</v>
      </c>
      <c r="AO60" s="58" cm="1">
        <f t="array" ref="AO60">IF(AO$5="Real",0,IF(INDEX('Supuestos Proyeccion'!$K$43:$K$52,AO$4-2025)="",0,((INDEX('Supuestos Proyeccion'!$K$43:$K$52,AO$4-2025)-SUMIFS($B$59:$HA$59,$B$4:$HA$4,AO$4,$B$5:$HA$5,"Real"))/(1-'Supuestos Proyeccion'!$B$8)-SUMIFS($B$58:$HA$58,$B$4:$HA$4,AO$4,$B$5:$HA$5,"Proyección"))*AO$10/SUMIFS($B$10:$HA$10,$B$4:$HA$4,AO$4,$B$5:$HA$5,"Proyección")))</f>
        <v>0</v>
      </c>
      <c r="AP60" s="58" cm="1">
        <f t="array" ref="AP60">IF(AP$5="Real",0,IF(INDEX('Supuestos Proyeccion'!$K$43:$K$52,AP$4-2025)="",0,((INDEX('Supuestos Proyeccion'!$K$43:$K$52,AP$4-2025)-SUMIFS($B$59:$HA$59,$B$4:$HA$4,AP$4,$B$5:$HA$5,"Real"))/(1-'Supuestos Proyeccion'!$B$8)-SUMIFS($B$58:$HA$58,$B$4:$HA$4,AP$4,$B$5:$HA$5,"Proyección"))*AP$10/SUMIFS($B$10:$HA$10,$B$4:$HA$4,AP$4,$B$5:$HA$5,"Proyección")))</f>
        <v>0</v>
      </c>
      <c r="AQ60" s="58" cm="1">
        <f t="array" ref="AQ60">IF(AQ$5="Real",0,IF(INDEX('Supuestos Proyeccion'!$K$43:$K$52,AQ$4-2025)="",0,((INDEX('Supuestos Proyeccion'!$K$43:$K$52,AQ$4-2025)-SUMIFS($B$59:$HA$59,$B$4:$HA$4,AQ$4,$B$5:$HA$5,"Real"))/(1-'Supuestos Proyeccion'!$B$8)-SUMIFS($B$58:$HA$58,$B$4:$HA$4,AQ$4,$B$5:$HA$5,"Proyección"))*AQ$10/SUMIFS($B$10:$HA$10,$B$4:$HA$4,AQ$4,$B$5:$HA$5,"Proyección")))</f>
        <v>0</v>
      </c>
      <c r="AR60" s="58" cm="1">
        <f t="array" ref="AR60">IF(AR$5="Real",0,IF(INDEX('Supuestos Proyeccion'!$K$43:$K$52,AR$4-2025)="",0,((INDEX('Supuestos Proyeccion'!$K$43:$K$52,AR$4-2025)-SUMIFS($B$59:$HA$59,$B$4:$HA$4,AR$4,$B$5:$HA$5,"Real"))/(1-'Supuestos Proyeccion'!$B$8)-SUMIFS($B$58:$HA$58,$B$4:$HA$4,AR$4,$B$5:$HA$5,"Proyección"))*AR$10/SUMIFS($B$10:$HA$10,$B$4:$HA$4,AR$4,$B$5:$HA$5,"Proyección")))</f>
        <v>0</v>
      </c>
      <c r="AS60" s="58" cm="1">
        <f t="array" ref="AS60">IF(AS$5="Real",0,IF(INDEX('Supuestos Proyeccion'!$K$43:$K$52,AS$4-2025)="",0,((INDEX('Supuestos Proyeccion'!$K$43:$K$52,AS$4-2025)-SUMIFS($B$59:$HA$59,$B$4:$HA$4,AS$4,$B$5:$HA$5,"Real"))/(1-'Supuestos Proyeccion'!$B$8)-SUMIFS($B$58:$HA$58,$B$4:$HA$4,AS$4,$B$5:$HA$5,"Proyección"))*AS$10/SUMIFS($B$10:$HA$10,$B$4:$HA$4,AS$4,$B$5:$HA$5,"Proyección")))</f>
        <v>0</v>
      </c>
      <c r="AT60" s="58" cm="1">
        <f t="array" ref="AT60">IF(AT$5="Real",0,IF(INDEX('Supuestos Proyeccion'!$K$43:$K$52,AT$4-2025)="",0,((INDEX('Supuestos Proyeccion'!$K$43:$K$52,AT$4-2025)-SUMIFS($B$59:$HA$59,$B$4:$HA$4,AT$4,$B$5:$HA$5,"Real"))/(1-'Supuestos Proyeccion'!$B$8)-SUMIFS($B$58:$HA$58,$B$4:$HA$4,AT$4,$B$5:$HA$5,"Proyección"))*AT$10/SUMIFS($B$10:$HA$10,$B$4:$HA$4,AT$4,$B$5:$HA$5,"Proyección")))</f>
        <v>0</v>
      </c>
      <c r="AU60" s="58" cm="1">
        <f t="array" ref="AU60">IF(AU$5="Real",0,IF(INDEX('Supuestos Proyeccion'!$K$43:$K$52,AU$4-2025)="",0,((INDEX('Supuestos Proyeccion'!$K$43:$K$52,AU$4-2025)-SUMIFS($B$59:$HA$59,$B$4:$HA$4,AU$4,$B$5:$HA$5,"Real"))/(1-'Supuestos Proyeccion'!$B$8)-SUMIFS($B$58:$HA$58,$B$4:$HA$4,AU$4,$B$5:$HA$5,"Proyección"))*AU$10/SUMIFS($B$10:$HA$10,$B$4:$HA$4,AU$4,$B$5:$HA$5,"Proyección")))</f>
        <v>0</v>
      </c>
      <c r="AV60" s="58" cm="1">
        <f t="array" ref="AV60">IF(AV$5="Real",0,IF(INDEX('Supuestos Proyeccion'!$K$43:$K$52,AV$4-2025)="",0,((INDEX('Supuestos Proyeccion'!$K$43:$K$52,AV$4-2025)-SUMIFS($B$59:$HA$59,$B$4:$HA$4,AV$4,$B$5:$HA$5,"Real"))/(1-'Supuestos Proyeccion'!$B$8)-SUMIFS($B$58:$HA$58,$B$4:$HA$4,AV$4,$B$5:$HA$5,"Proyección"))*AV$10/SUMIFS($B$10:$HA$10,$B$4:$HA$4,AV$4,$B$5:$HA$5,"Proyección")))</f>
        <v>0</v>
      </c>
      <c r="AW60" s="58" cm="1">
        <f t="array" ref="AW60">IF(AW$5="Real",0,IF(INDEX('Supuestos Proyeccion'!$K$43:$K$52,AW$4-2025)="",0,((INDEX('Supuestos Proyeccion'!$K$43:$K$52,AW$4-2025)-SUMIFS($B$59:$HA$59,$B$4:$HA$4,AW$4,$B$5:$HA$5,"Real"))/(1-'Supuestos Proyeccion'!$B$8)-SUMIFS($B$58:$HA$58,$B$4:$HA$4,AW$4,$B$5:$HA$5,"Proyección"))*AW$10/SUMIFS($B$10:$HA$10,$B$4:$HA$4,AW$4,$B$5:$HA$5,"Proyección")))</f>
        <v>0</v>
      </c>
      <c r="AX60" s="58" cm="1">
        <f t="array" ref="AX60">IF(AX$5="Real",0,IF(INDEX('Supuestos Proyeccion'!$K$43:$K$52,AX$4-2025)="",0,((INDEX('Supuestos Proyeccion'!$K$43:$K$52,AX$4-2025)-SUMIFS($B$59:$HA$59,$B$4:$HA$4,AX$4,$B$5:$HA$5,"Real"))/(1-'Supuestos Proyeccion'!$B$8)-SUMIFS($B$58:$HA$58,$B$4:$HA$4,AX$4,$B$5:$HA$5,"Proyección"))*AX$10/SUMIFS($B$10:$HA$10,$B$4:$HA$4,AX$4,$B$5:$HA$5,"Proyección")))</f>
        <v>0</v>
      </c>
      <c r="AY60" s="58" cm="1">
        <f t="array" ref="AY60">IF(AY$5="Real",0,IF(INDEX('Supuestos Proyeccion'!$K$43:$K$52,AY$4-2025)="",0,((INDEX('Supuestos Proyeccion'!$K$43:$K$52,AY$4-2025)-SUMIFS($B$59:$HA$59,$B$4:$HA$4,AY$4,$B$5:$HA$5,"Real"))/(1-'Supuestos Proyeccion'!$B$8)-SUMIFS($B$58:$HA$58,$B$4:$HA$4,AY$4,$B$5:$HA$5,"Proyección"))*AY$10/SUMIFS($B$10:$HA$10,$B$4:$HA$4,AY$4,$B$5:$HA$5,"Proyección")))</f>
        <v>0</v>
      </c>
      <c r="AZ60" s="58" cm="1">
        <f t="array" ref="AZ60">IF(AZ$5="Real",0,IF(INDEX('Supuestos Proyeccion'!$K$43:$K$52,AZ$4-2025)="",0,((INDEX('Supuestos Proyeccion'!$K$43:$K$52,AZ$4-2025)-SUMIFS($B$59:$HA$59,$B$4:$HA$4,AZ$4,$B$5:$HA$5,"Real"))/(1-'Supuestos Proyeccion'!$B$8)-SUMIFS($B$58:$HA$58,$B$4:$HA$4,AZ$4,$B$5:$HA$5,"Proyección"))*AZ$10/SUMIFS($B$10:$HA$10,$B$4:$HA$4,AZ$4,$B$5:$HA$5,"Proyección")))</f>
        <v>0</v>
      </c>
      <c r="BA60" s="58">
        <f>SUM(AO60:AZ60)</f>
        <v>0</v>
      </c>
      <c r="BB60" s="58" cm="1">
        <f t="array" ref="BB60">IF(BB$5="Real",0,IF(INDEX('Supuestos Proyeccion'!$K$43:$K$52,BB$4-2025)="",0,((INDEX('Supuestos Proyeccion'!$K$43:$K$52,BB$4-2025)-SUMIFS($B$59:$HA$59,$B$4:$HA$4,BB$4,$B$5:$HA$5,"Real"))/(1-'Supuestos Proyeccion'!$B$8)-SUMIFS($B$58:$HA$58,$B$4:$HA$4,BB$4,$B$5:$HA$5,"Proyección"))*BB$10/SUMIFS($B$10:$HA$10,$B$4:$HA$4,BB$4,$B$5:$HA$5,"Proyección")))</f>
        <v>0</v>
      </c>
      <c r="BC60" s="58" cm="1">
        <f t="array" ref="BC60">IF(BC$5="Real",0,IF(INDEX('Supuestos Proyeccion'!$K$43:$K$52,BC$4-2025)="",0,((INDEX('Supuestos Proyeccion'!$K$43:$K$52,BC$4-2025)-SUMIFS($B$59:$HA$59,$B$4:$HA$4,BC$4,$B$5:$HA$5,"Real"))/(1-'Supuestos Proyeccion'!$B$8)-SUMIFS($B$58:$HA$58,$B$4:$HA$4,BC$4,$B$5:$HA$5,"Proyección"))*BC$10/SUMIFS($B$10:$HA$10,$B$4:$HA$4,BC$4,$B$5:$HA$5,"Proyección")))</f>
        <v>0</v>
      </c>
      <c r="BD60" s="58" cm="1">
        <f t="array" ref="BD60">IF(BD$5="Real",0,IF(INDEX('Supuestos Proyeccion'!$K$43:$K$52,BD$4-2025)="",0,((INDEX('Supuestos Proyeccion'!$K$43:$K$52,BD$4-2025)-SUMIFS($B$59:$HA$59,$B$4:$HA$4,BD$4,$B$5:$HA$5,"Real"))/(1-'Supuestos Proyeccion'!$B$8)-SUMIFS($B$58:$HA$58,$B$4:$HA$4,BD$4,$B$5:$HA$5,"Proyección"))*BD$10/SUMIFS($B$10:$HA$10,$B$4:$HA$4,BD$4,$B$5:$HA$5,"Proyección")))</f>
        <v>0</v>
      </c>
      <c r="BE60" s="58" cm="1">
        <f t="array" ref="BE60">IF(BE$5="Real",0,IF(INDEX('Supuestos Proyeccion'!$K$43:$K$52,BE$4-2025)="",0,((INDEX('Supuestos Proyeccion'!$K$43:$K$52,BE$4-2025)-SUMIFS($B$59:$HA$59,$B$4:$HA$4,BE$4,$B$5:$HA$5,"Real"))/(1-'Supuestos Proyeccion'!$B$8)-SUMIFS($B$58:$HA$58,$B$4:$HA$4,BE$4,$B$5:$HA$5,"Proyección"))*BE$10/SUMIFS($B$10:$HA$10,$B$4:$HA$4,BE$4,$B$5:$HA$5,"Proyección")))</f>
        <v>0</v>
      </c>
      <c r="BF60" s="58" cm="1">
        <f t="array" ref="BF60">IF(BF$5="Real",0,IF(INDEX('Supuestos Proyeccion'!$K$43:$K$52,BF$4-2025)="",0,((INDEX('Supuestos Proyeccion'!$K$43:$K$52,BF$4-2025)-SUMIFS($B$59:$HA$59,$B$4:$HA$4,BF$4,$B$5:$HA$5,"Real"))/(1-'Supuestos Proyeccion'!$B$8)-SUMIFS($B$58:$HA$58,$B$4:$HA$4,BF$4,$B$5:$HA$5,"Proyección"))*BF$10/SUMIFS($B$10:$HA$10,$B$4:$HA$4,BF$4,$B$5:$HA$5,"Proyección")))</f>
        <v>0</v>
      </c>
      <c r="BG60" s="58" cm="1">
        <f t="array" ref="BG60">IF(BG$5="Real",0,IF(INDEX('Supuestos Proyeccion'!$K$43:$K$52,BG$4-2025)="",0,((INDEX('Supuestos Proyeccion'!$K$43:$K$52,BG$4-2025)-SUMIFS($B$59:$HA$59,$B$4:$HA$4,BG$4,$B$5:$HA$5,"Real"))/(1-'Supuestos Proyeccion'!$B$8)-SUMIFS($B$58:$HA$58,$B$4:$HA$4,BG$4,$B$5:$HA$5,"Proyección"))*BG$10/SUMIFS($B$10:$HA$10,$B$4:$HA$4,BG$4,$B$5:$HA$5,"Proyección")))</f>
        <v>0</v>
      </c>
      <c r="BH60" s="58" cm="1">
        <f t="array" ref="BH60">IF(BH$5="Real",0,IF(INDEX('Supuestos Proyeccion'!$K$43:$K$52,BH$4-2025)="",0,((INDEX('Supuestos Proyeccion'!$K$43:$K$52,BH$4-2025)-SUMIFS($B$59:$HA$59,$B$4:$HA$4,BH$4,$B$5:$HA$5,"Real"))/(1-'Supuestos Proyeccion'!$B$8)-SUMIFS($B$58:$HA$58,$B$4:$HA$4,BH$4,$B$5:$HA$5,"Proyección"))*BH$10/SUMIFS($B$10:$HA$10,$B$4:$HA$4,BH$4,$B$5:$HA$5,"Proyección")))</f>
        <v>0</v>
      </c>
      <c r="BI60" s="58" cm="1">
        <f t="array" ref="BI60">IF(BI$5="Real",0,IF(INDEX('Supuestos Proyeccion'!$K$43:$K$52,BI$4-2025)="",0,((INDEX('Supuestos Proyeccion'!$K$43:$K$52,BI$4-2025)-SUMIFS($B$59:$HA$59,$B$4:$HA$4,BI$4,$B$5:$HA$5,"Real"))/(1-'Supuestos Proyeccion'!$B$8)-SUMIFS($B$58:$HA$58,$B$4:$HA$4,BI$4,$B$5:$HA$5,"Proyección"))*BI$10/SUMIFS($B$10:$HA$10,$B$4:$HA$4,BI$4,$B$5:$HA$5,"Proyección")))</f>
        <v>0</v>
      </c>
      <c r="BJ60" s="58" cm="1">
        <f t="array" ref="BJ60">IF(BJ$5="Real",0,IF(INDEX('Supuestos Proyeccion'!$K$43:$K$52,BJ$4-2025)="",0,((INDEX('Supuestos Proyeccion'!$K$43:$K$52,BJ$4-2025)-SUMIFS($B$59:$HA$59,$B$4:$HA$4,BJ$4,$B$5:$HA$5,"Real"))/(1-'Supuestos Proyeccion'!$B$8)-SUMIFS($B$58:$HA$58,$B$4:$HA$4,BJ$4,$B$5:$HA$5,"Proyección"))*BJ$10/SUMIFS($B$10:$HA$10,$B$4:$HA$4,BJ$4,$B$5:$HA$5,"Proyección")))</f>
        <v>0</v>
      </c>
      <c r="BK60" s="58" cm="1">
        <f t="array" ref="BK60">IF(BK$5="Real",0,IF(INDEX('Supuestos Proyeccion'!$K$43:$K$52,BK$4-2025)="",0,((INDEX('Supuestos Proyeccion'!$K$43:$K$52,BK$4-2025)-SUMIFS($B$59:$HA$59,$B$4:$HA$4,BK$4,$B$5:$HA$5,"Real"))/(1-'Supuestos Proyeccion'!$B$8)-SUMIFS($B$58:$HA$58,$B$4:$HA$4,BK$4,$B$5:$HA$5,"Proyección"))*BK$10/SUMIFS($B$10:$HA$10,$B$4:$HA$4,BK$4,$B$5:$HA$5,"Proyección")))</f>
        <v>0</v>
      </c>
      <c r="BL60" s="58" cm="1">
        <f t="array" ref="BL60">IF(BL$5="Real",0,IF(INDEX('Supuestos Proyeccion'!$K$43:$K$52,BL$4-2025)="",0,((INDEX('Supuestos Proyeccion'!$K$43:$K$52,BL$4-2025)-SUMIFS($B$59:$HA$59,$B$4:$HA$4,BL$4,$B$5:$HA$5,"Real"))/(1-'Supuestos Proyeccion'!$B$8)-SUMIFS($B$58:$HA$58,$B$4:$HA$4,BL$4,$B$5:$HA$5,"Proyección"))*BL$10/SUMIFS($B$10:$HA$10,$B$4:$HA$4,BL$4,$B$5:$HA$5,"Proyección")))</f>
        <v>0</v>
      </c>
      <c r="BM60" s="58" cm="1">
        <f t="array" ref="BM60">IF(BM$5="Real",0,IF(INDEX('Supuestos Proyeccion'!$K$43:$K$52,BM$4-2025)="",0,((INDEX('Supuestos Proyeccion'!$K$43:$K$52,BM$4-2025)-SUMIFS($B$59:$HA$59,$B$4:$HA$4,BM$4,$B$5:$HA$5,"Real"))/(1-'Supuestos Proyeccion'!$B$8)-SUMIFS($B$58:$HA$58,$B$4:$HA$4,BM$4,$B$5:$HA$5,"Proyección"))*BM$10/SUMIFS($B$10:$HA$10,$B$4:$HA$4,BM$4,$B$5:$HA$5,"Proyección")))</f>
        <v>0</v>
      </c>
      <c r="BN60" s="58">
        <f>SUM(BB60:BM60)</f>
        <v>0</v>
      </c>
      <c r="BO60" s="58" cm="1">
        <f t="array" ref="BO60">IF(BO$5="Real",0,IF(INDEX('Supuestos Proyeccion'!$K$43:$K$52,BO$4-2025)="",0,((INDEX('Supuestos Proyeccion'!$K$43:$K$52,BO$4-2025)-SUMIFS($B$59:$HA$59,$B$4:$HA$4,BO$4,$B$5:$HA$5,"Real"))/(1-'Supuestos Proyeccion'!$B$8)-SUMIFS($B$58:$HA$58,$B$4:$HA$4,BO$4,$B$5:$HA$5,"Proyección"))*BO$10/SUMIFS($B$10:$HA$10,$B$4:$HA$4,BO$4,$B$5:$HA$5,"Proyección")))</f>
        <v>0</v>
      </c>
      <c r="BP60" s="58" cm="1">
        <f t="array" ref="BP60">IF(BP$5="Real",0,IF(INDEX('Supuestos Proyeccion'!$K$43:$K$52,BP$4-2025)="",0,((INDEX('Supuestos Proyeccion'!$K$43:$K$52,BP$4-2025)-SUMIFS($B$59:$HA$59,$B$4:$HA$4,BP$4,$B$5:$HA$5,"Real"))/(1-'Supuestos Proyeccion'!$B$8)-SUMIFS($B$58:$HA$58,$B$4:$HA$4,BP$4,$B$5:$HA$5,"Proyección"))*BP$10/SUMIFS($B$10:$HA$10,$B$4:$HA$4,BP$4,$B$5:$HA$5,"Proyección")))</f>
        <v>0</v>
      </c>
      <c r="BQ60" s="58" cm="1">
        <f t="array" ref="BQ60">IF(BQ$5="Real",0,IF(INDEX('Supuestos Proyeccion'!$K$43:$K$52,BQ$4-2025)="",0,((INDEX('Supuestos Proyeccion'!$K$43:$K$52,BQ$4-2025)-SUMIFS($B$59:$HA$59,$B$4:$HA$4,BQ$4,$B$5:$HA$5,"Real"))/(1-'Supuestos Proyeccion'!$B$8)-SUMIFS($B$58:$HA$58,$B$4:$HA$4,BQ$4,$B$5:$HA$5,"Proyección"))*BQ$10/SUMIFS($B$10:$HA$10,$B$4:$HA$4,BQ$4,$B$5:$HA$5,"Proyección")))</f>
        <v>0</v>
      </c>
      <c r="BR60" s="58" cm="1">
        <f t="array" ref="BR60">IF(BR$5="Real",0,IF(INDEX('Supuestos Proyeccion'!$K$43:$K$52,BR$4-2025)="",0,((INDEX('Supuestos Proyeccion'!$K$43:$K$52,BR$4-2025)-SUMIFS($B$59:$HA$59,$B$4:$HA$4,BR$4,$B$5:$HA$5,"Real"))/(1-'Supuestos Proyeccion'!$B$8)-SUMIFS($B$58:$HA$58,$B$4:$HA$4,BR$4,$B$5:$HA$5,"Proyección"))*BR$10/SUMIFS($B$10:$HA$10,$B$4:$HA$4,BR$4,$B$5:$HA$5,"Proyección")))</f>
        <v>0</v>
      </c>
      <c r="BS60" s="58" cm="1">
        <f t="array" ref="BS60">IF(BS$5="Real",0,IF(INDEX('Supuestos Proyeccion'!$K$43:$K$52,BS$4-2025)="",0,((INDEX('Supuestos Proyeccion'!$K$43:$K$52,BS$4-2025)-SUMIFS($B$59:$HA$59,$B$4:$HA$4,BS$4,$B$5:$HA$5,"Real"))/(1-'Supuestos Proyeccion'!$B$8)-SUMIFS($B$58:$HA$58,$B$4:$HA$4,BS$4,$B$5:$HA$5,"Proyección"))*BS$10/SUMIFS($B$10:$HA$10,$B$4:$HA$4,BS$4,$B$5:$HA$5,"Proyección")))</f>
        <v>0</v>
      </c>
      <c r="BT60" s="58" cm="1">
        <f t="array" ref="BT60">IF(BT$5="Real",0,IF(INDEX('Supuestos Proyeccion'!$K$43:$K$52,BT$4-2025)="",0,((INDEX('Supuestos Proyeccion'!$K$43:$K$52,BT$4-2025)-SUMIFS($B$59:$HA$59,$B$4:$HA$4,BT$4,$B$5:$HA$5,"Real"))/(1-'Supuestos Proyeccion'!$B$8)-SUMIFS($B$58:$HA$58,$B$4:$HA$4,BT$4,$B$5:$HA$5,"Proyección"))*BT$10/SUMIFS($B$10:$HA$10,$B$4:$HA$4,BT$4,$B$5:$HA$5,"Proyección")))</f>
        <v>0</v>
      </c>
      <c r="BU60" s="58" cm="1">
        <f t="array" ref="BU60">IF(BU$5="Real",0,IF(INDEX('Supuestos Proyeccion'!$K$43:$K$52,BU$4-2025)="",0,((INDEX('Supuestos Proyeccion'!$K$43:$K$52,BU$4-2025)-SUMIFS($B$59:$HA$59,$B$4:$HA$4,BU$4,$B$5:$HA$5,"Real"))/(1-'Supuestos Proyeccion'!$B$8)-SUMIFS($B$58:$HA$58,$B$4:$HA$4,BU$4,$B$5:$HA$5,"Proyección"))*BU$10/SUMIFS($B$10:$HA$10,$B$4:$HA$4,BU$4,$B$5:$HA$5,"Proyección")))</f>
        <v>0</v>
      </c>
      <c r="BV60" s="58" cm="1">
        <f t="array" ref="BV60">IF(BV$5="Real",0,IF(INDEX('Supuestos Proyeccion'!$K$43:$K$52,BV$4-2025)="",0,((INDEX('Supuestos Proyeccion'!$K$43:$K$52,BV$4-2025)-SUMIFS($B$59:$HA$59,$B$4:$HA$4,BV$4,$B$5:$HA$5,"Real"))/(1-'Supuestos Proyeccion'!$B$8)-SUMIFS($B$58:$HA$58,$B$4:$HA$4,BV$4,$B$5:$HA$5,"Proyección"))*BV$10/SUMIFS($B$10:$HA$10,$B$4:$HA$4,BV$4,$B$5:$HA$5,"Proyección")))</f>
        <v>0</v>
      </c>
      <c r="BW60" s="58" cm="1">
        <f t="array" ref="BW60">IF(BW$5="Real",0,IF(INDEX('Supuestos Proyeccion'!$K$43:$K$52,BW$4-2025)="",0,((INDEX('Supuestos Proyeccion'!$K$43:$K$52,BW$4-2025)-SUMIFS($B$59:$HA$59,$B$4:$HA$4,BW$4,$B$5:$HA$5,"Real"))/(1-'Supuestos Proyeccion'!$B$8)-SUMIFS($B$58:$HA$58,$B$4:$HA$4,BW$4,$B$5:$HA$5,"Proyección"))*BW$10/SUMIFS($B$10:$HA$10,$B$4:$HA$4,BW$4,$B$5:$HA$5,"Proyección")))</f>
        <v>0</v>
      </c>
      <c r="BX60" s="58" cm="1">
        <f t="array" ref="BX60">IF(BX$5="Real",0,IF(INDEX('Supuestos Proyeccion'!$K$43:$K$52,BX$4-2025)="",0,((INDEX('Supuestos Proyeccion'!$K$43:$K$52,BX$4-2025)-SUMIFS($B$59:$HA$59,$B$4:$HA$4,BX$4,$B$5:$HA$5,"Real"))/(1-'Supuestos Proyeccion'!$B$8)-SUMIFS($B$58:$HA$58,$B$4:$HA$4,BX$4,$B$5:$HA$5,"Proyección"))*BX$10/SUMIFS($B$10:$HA$10,$B$4:$HA$4,BX$4,$B$5:$HA$5,"Proyección")))</f>
        <v>0</v>
      </c>
      <c r="BY60" s="58" cm="1">
        <f t="array" ref="BY60">IF(BY$5="Real",0,IF(INDEX('Supuestos Proyeccion'!$K$43:$K$52,BY$4-2025)="",0,((INDEX('Supuestos Proyeccion'!$K$43:$K$52,BY$4-2025)-SUMIFS($B$59:$HA$59,$B$4:$HA$4,BY$4,$B$5:$HA$5,"Real"))/(1-'Supuestos Proyeccion'!$B$8)-SUMIFS($B$58:$HA$58,$B$4:$HA$4,BY$4,$B$5:$HA$5,"Proyección"))*BY$10/SUMIFS($B$10:$HA$10,$B$4:$HA$4,BY$4,$B$5:$HA$5,"Proyección")))</f>
        <v>0</v>
      </c>
      <c r="BZ60" s="58" cm="1">
        <f t="array" ref="BZ60">IF(BZ$5="Real",0,IF(INDEX('Supuestos Proyeccion'!$K$43:$K$52,BZ$4-2025)="",0,((INDEX('Supuestos Proyeccion'!$K$43:$K$52,BZ$4-2025)-SUMIFS($B$59:$HA$59,$B$4:$HA$4,BZ$4,$B$5:$HA$5,"Real"))/(1-'Supuestos Proyeccion'!$B$8)-SUMIFS($B$58:$HA$58,$B$4:$HA$4,BZ$4,$B$5:$HA$5,"Proyección"))*BZ$10/SUMIFS($B$10:$HA$10,$B$4:$HA$4,BZ$4,$B$5:$HA$5,"Proyección")))</f>
        <v>0</v>
      </c>
      <c r="CA60" s="58">
        <f>SUM(BO60:BZ60)</f>
        <v>0</v>
      </c>
      <c r="CB60" s="58" cm="1">
        <f t="array" ref="CB60">IF(CB$5="Real",0,IF(INDEX('Supuestos Proyeccion'!$K$43:$K$52,CB$4-2025)="",0,((INDEX('Supuestos Proyeccion'!$K$43:$K$52,CB$4-2025)-SUMIFS($B$59:$HA$59,$B$4:$HA$4,CB$4,$B$5:$HA$5,"Real"))/(1-'Supuestos Proyeccion'!$B$8)-SUMIFS($B$58:$HA$58,$B$4:$HA$4,CB$4,$B$5:$HA$5,"Proyección"))*CB$10/SUMIFS($B$10:$HA$10,$B$4:$HA$4,CB$4,$B$5:$HA$5,"Proyección")))</f>
        <v>0</v>
      </c>
      <c r="CC60" s="58" cm="1">
        <f t="array" ref="CC60">IF(CC$5="Real",0,IF(INDEX('Supuestos Proyeccion'!$K$43:$K$52,CC$4-2025)="",0,((INDEX('Supuestos Proyeccion'!$K$43:$K$52,CC$4-2025)-SUMIFS($B$59:$HA$59,$B$4:$HA$4,CC$4,$B$5:$HA$5,"Real"))/(1-'Supuestos Proyeccion'!$B$8)-SUMIFS($B$58:$HA$58,$B$4:$HA$4,CC$4,$B$5:$HA$5,"Proyección"))*CC$10/SUMIFS($B$10:$HA$10,$B$4:$HA$4,CC$4,$B$5:$HA$5,"Proyección")))</f>
        <v>0</v>
      </c>
      <c r="CD60" s="58" cm="1">
        <f t="array" ref="CD60">IF(CD$5="Real",0,IF(INDEX('Supuestos Proyeccion'!$K$43:$K$52,CD$4-2025)="",0,((INDEX('Supuestos Proyeccion'!$K$43:$K$52,CD$4-2025)-SUMIFS($B$59:$HA$59,$B$4:$HA$4,CD$4,$B$5:$HA$5,"Real"))/(1-'Supuestos Proyeccion'!$B$8)-SUMIFS($B$58:$HA$58,$B$4:$HA$4,CD$4,$B$5:$HA$5,"Proyección"))*CD$10/SUMIFS($B$10:$HA$10,$B$4:$HA$4,CD$4,$B$5:$HA$5,"Proyección")))</f>
        <v>0</v>
      </c>
      <c r="CE60" s="58" cm="1">
        <f t="array" ref="CE60">IF(CE$5="Real",0,IF(INDEX('Supuestos Proyeccion'!$K$43:$K$52,CE$4-2025)="",0,((INDEX('Supuestos Proyeccion'!$K$43:$K$52,CE$4-2025)-SUMIFS($B$59:$HA$59,$B$4:$HA$4,CE$4,$B$5:$HA$5,"Real"))/(1-'Supuestos Proyeccion'!$B$8)-SUMIFS($B$58:$HA$58,$B$4:$HA$4,CE$4,$B$5:$HA$5,"Proyección"))*CE$10/SUMIFS($B$10:$HA$10,$B$4:$HA$4,CE$4,$B$5:$HA$5,"Proyección")))</f>
        <v>0</v>
      </c>
      <c r="CF60" s="58" cm="1">
        <f t="array" ref="CF60">IF(CF$5="Real",0,IF(INDEX('Supuestos Proyeccion'!$K$43:$K$52,CF$4-2025)="",0,((INDEX('Supuestos Proyeccion'!$K$43:$K$52,CF$4-2025)-SUMIFS($B$59:$HA$59,$B$4:$HA$4,CF$4,$B$5:$HA$5,"Real"))/(1-'Supuestos Proyeccion'!$B$8)-SUMIFS($B$58:$HA$58,$B$4:$HA$4,CF$4,$B$5:$HA$5,"Proyección"))*CF$10/SUMIFS($B$10:$HA$10,$B$4:$HA$4,CF$4,$B$5:$HA$5,"Proyección")))</f>
        <v>0</v>
      </c>
      <c r="CG60" s="58" cm="1">
        <f t="array" ref="CG60">IF(CG$5="Real",0,IF(INDEX('Supuestos Proyeccion'!$K$43:$K$52,CG$4-2025)="",0,((INDEX('Supuestos Proyeccion'!$K$43:$K$52,CG$4-2025)-SUMIFS($B$59:$HA$59,$B$4:$HA$4,CG$4,$B$5:$HA$5,"Real"))/(1-'Supuestos Proyeccion'!$B$8)-SUMIFS($B$58:$HA$58,$B$4:$HA$4,CG$4,$B$5:$HA$5,"Proyección"))*CG$10/SUMIFS($B$10:$HA$10,$B$4:$HA$4,CG$4,$B$5:$HA$5,"Proyección")))</f>
        <v>0</v>
      </c>
      <c r="CH60" s="58" cm="1">
        <f t="array" ref="CH60">IF(CH$5="Real",0,IF(INDEX('Supuestos Proyeccion'!$K$43:$K$52,CH$4-2025)="",0,((INDEX('Supuestos Proyeccion'!$K$43:$K$52,CH$4-2025)-SUMIFS($B$59:$HA$59,$B$4:$HA$4,CH$4,$B$5:$HA$5,"Real"))/(1-'Supuestos Proyeccion'!$B$8)-SUMIFS($B$58:$HA$58,$B$4:$HA$4,CH$4,$B$5:$HA$5,"Proyección"))*CH$10/SUMIFS($B$10:$HA$10,$B$4:$HA$4,CH$4,$B$5:$HA$5,"Proyección")))</f>
        <v>0</v>
      </c>
      <c r="CI60" s="58" cm="1">
        <f t="array" ref="CI60">IF(CI$5="Real",0,IF(INDEX('Supuestos Proyeccion'!$K$43:$K$52,CI$4-2025)="",0,((INDEX('Supuestos Proyeccion'!$K$43:$K$52,CI$4-2025)-SUMIFS($B$59:$HA$59,$B$4:$HA$4,CI$4,$B$5:$HA$5,"Real"))/(1-'Supuestos Proyeccion'!$B$8)-SUMIFS($B$58:$HA$58,$B$4:$HA$4,CI$4,$B$5:$HA$5,"Proyección"))*CI$10/SUMIFS($B$10:$HA$10,$B$4:$HA$4,CI$4,$B$5:$HA$5,"Proyección")))</f>
        <v>0</v>
      </c>
      <c r="CJ60" s="58" cm="1">
        <f t="array" ref="CJ60">IF(CJ$5="Real",0,IF(INDEX('Supuestos Proyeccion'!$K$43:$K$52,CJ$4-2025)="",0,((INDEX('Supuestos Proyeccion'!$K$43:$K$52,CJ$4-2025)-SUMIFS($B$59:$HA$59,$B$4:$HA$4,CJ$4,$B$5:$HA$5,"Real"))/(1-'Supuestos Proyeccion'!$B$8)-SUMIFS($B$58:$HA$58,$B$4:$HA$4,CJ$4,$B$5:$HA$5,"Proyección"))*CJ$10/SUMIFS($B$10:$HA$10,$B$4:$HA$4,CJ$4,$B$5:$HA$5,"Proyección")))</f>
        <v>0</v>
      </c>
      <c r="CK60" s="58" cm="1">
        <f t="array" ref="CK60">IF(CK$5="Real",0,IF(INDEX('Supuestos Proyeccion'!$K$43:$K$52,CK$4-2025)="",0,((INDEX('Supuestos Proyeccion'!$K$43:$K$52,CK$4-2025)-SUMIFS($B$59:$HA$59,$B$4:$HA$4,CK$4,$B$5:$HA$5,"Real"))/(1-'Supuestos Proyeccion'!$B$8)-SUMIFS($B$58:$HA$58,$B$4:$HA$4,CK$4,$B$5:$HA$5,"Proyección"))*CK$10/SUMIFS($B$10:$HA$10,$B$4:$HA$4,CK$4,$B$5:$HA$5,"Proyección")))</f>
        <v>0</v>
      </c>
      <c r="CL60" s="58" cm="1">
        <f t="array" ref="CL60">IF(CL$5="Real",0,IF(INDEX('Supuestos Proyeccion'!$K$43:$K$52,CL$4-2025)="",0,((INDEX('Supuestos Proyeccion'!$K$43:$K$52,CL$4-2025)-SUMIFS($B$59:$HA$59,$B$4:$HA$4,CL$4,$B$5:$HA$5,"Real"))/(1-'Supuestos Proyeccion'!$B$8)-SUMIFS($B$58:$HA$58,$B$4:$HA$4,CL$4,$B$5:$HA$5,"Proyección"))*CL$10/SUMIFS($B$10:$HA$10,$B$4:$HA$4,CL$4,$B$5:$HA$5,"Proyección")))</f>
        <v>0</v>
      </c>
      <c r="CM60" s="58" cm="1">
        <f t="array" ref="CM60">IF(CM$5="Real",0,IF(INDEX('Supuestos Proyeccion'!$K$43:$K$52,CM$4-2025)="",0,((INDEX('Supuestos Proyeccion'!$K$43:$K$52,CM$4-2025)-SUMIFS($B$59:$HA$59,$B$4:$HA$4,CM$4,$B$5:$HA$5,"Real"))/(1-'Supuestos Proyeccion'!$B$8)-SUMIFS($B$58:$HA$58,$B$4:$HA$4,CM$4,$B$5:$HA$5,"Proyección"))*CM$10/SUMIFS($B$10:$HA$10,$B$4:$HA$4,CM$4,$B$5:$HA$5,"Proyección")))</f>
        <v>0</v>
      </c>
      <c r="CN60" s="58">
        <f>SUM(CB60:CM60)</f>
        <v>0</v>
      </c>
      <c r="CO60" s="58" cm="1">
        <f t="array" ref="CO60">IF(CO$5="Real",0,IF(INDEX('Supuestos Proyeccion'!$K$43:$K$52,CO$4-2025)="",0,((INDEX('Supuestos Proyeccion'!$K$43:$K$52,CO$4-2025)-SUMIFS($B$59:$HA$59,$B$4:$HA$4,CO$4,$B$5:$HA$5,"Real"))/(1-'Supuestos Proyeccion'!$B$8)-SUMIFS($B$58:$HA$58,$B$4:$HA$4,CO$4,$B$5:$HA$5,"Proyección"))*CO$10/SUMIFS($B$10:$HA$10,$B$4:$HA$4,CO$4,$B$5:$HA$5,"Proyección")))</f>
        <v>0</v>
      </c>
      <c r="CP60" s="58" cm="1">
        <f t="array" ref="CP60">IF(CP$5="Real",0,IF(INDEX('Supuestos Proyeccion'!$K$43:$K$52,CP$4-2025)="",0,((INDEX('Supuestos Proyeccion'!$K$43:$K$52,CP$4-2025)-SUMIFS($B$59:$HA$59,$B$4:$HA$4,CP$4,$B$5:$HA$5,"Real"))/(1-'Supuestos Proyeccion'!$B$8)-SUMIFS($B$58:$HA$58,$B$4:$HA$4,CP$4,$B$5:$HA$5,"Proyección"))*CP$10/SUMIFS($B$10:$HA$10,$B$4:$HA$4,CP$4,$B$5:$HA$5,"Proyección")))</f>
        <v>0</v>
      </c>
      <c r="CQ60" s="58" cm="1">
        <f t="array" ref="CQ60">IF(CQ$5="Real",0,IF(INDEX('Supuestos Proyeccion'!$K$43:$K$52,CQ$4-2025)="",0,((INDEX('Supuestos Proyeccion'!$K$43:$K$52,CQ$4-2025)-SUMIFS($B$59:$HA$59,$B$4:$HA$4,CQ$4,$B$5:$HA$5,"Real"))/(1-'Supuestos Proyeccion'!$B$8)-SUMIFS($B$58:$HA$58,$B$4:$HA$4,CQ$4,$B$5:$HA$5,"Proyección"))*CQ$10/SUMIFS($B$10:$HA$10,$B$4:$HA$4,CQ$4,$B$5:$HA$5,"Proyección")))</f>
        <v>0</v>
      </c>
      <c r="CR60" s="58" cm="1">
        <f t="array" ref="CR60">IF(CR$5="Real",0,IF(INDEX('Supuestos Proyeccion'!$K$43:$K$52,CR$4-2025)="",0,((INDEX('Supuestos Proyeccion'!$K$43:$K$52,CR$4-2025)-SUMIFS($B$59:$HA$59,$B$4:$HA$4,CR$4,$B$5:$HA$5,"Real"))/(1-'Supuestos Proyeccion'!$B$8)-SUMIFS($B$58:$HA$58,$B$4:$HA$4,CR$4,$B$5:$HA$5,"Proyección"))*CR$10/SUMIFS($B$10:$HA$10,$B$4:$HA$4,CR$4,$B$5:$HA$5,"Proyección")))</f>
        <v>0</v>
      </c>
      <c r="CS60" s="58" cm="1">
        <f t="array" ref="CS60">IF(CS$5="Real",0,IF(INDEX('Supuestos Proyeccion'!$K$43:$K$52,CS$4-2025)="",0,((INDEX('Supuestos Proyeccion'!$K$43:$K$52,CS$4-2025)-SUMIFS($B$59:$HA$59,$B$4:$HA$4,CS$4,$B$5:$HA$5,"Real"))/(1-'Supuestos Proyeccion'!$B$8)-SUMIFS($B$58:$HA$58,$B$4:$HA$4,CS$4,$B$5:$HA$5,"Proyección"))*CS$10/SUMIFS($B$10:$HA$10,$B$4:$HA$4,CS$4,$B$5:$HA$5,"Proyección")))</f>
        <v>0</v>
      </c>
      <c r="CT60" s="58" cm="1">
        <f t="array" ref="CT60">IF(CT$5="Real",0,IF(INDEX('Supuestos Proyeccion'!$K$43:$K$52,CT$4-2025)="",0,((INDEX('Supuestos Proyeccion'!$K$43:$K$52,CT$4-2025)-SUMIFS($B$59:$HA$59,$B$4:$HA$4,CT$4,$B$5:$HA$5,"Real"))/(1-'Supuestos Proyeccion'!$B$8)-SUMIFS($B$58:$HA$58,$B$4:$HA$4,CT$4,$B$5:$HA$5,"Proyección"))*CT$10/SUMIFS($B$10:$HA$10,$B$4:$HA$4,CT$4,$B$5:$HA$5,"Proyección")))</f>
        <v>0</v>
      </c>
      <c r="CU60" s="58" cm="1">
        <f t="array" ref="CU60">IF(CU$5="Real",0,IF(INDEX('Supuestos Proyeccion'!$K$43:$K$52,CU$4-2025)="",0,((INDEX('Supuestos Proyeccion'!$K$43:$K$52,CU$4-2025)-SUMIFS($B$59:$HA$59,$B$4:$HA$4,CU$4,$B$5:$HA$5,"Real"))/(1-'Supuestos Proyeccion'!$B$8)-SUMIFS($B$58:$HA$58,$B$4:$HA$4,CU$4,$B$5:$HA$5,"Proyección"))*CU$10/SUMIFS($B$10:$HA$10,$B$4:$HA$4,CU$4,$B$5:$HA$5,"Proyección")))</f>
        <v>0</v>
      </c>
      <c r="CV60" s="58" cm="1">
        <f t="array" ref="CV60">IF(CV$5="Real",0,IF(INDEX('Supuestos Proyeccion'!$K$43:$K$52,CV$4-2025)="",0,((INDEX('Supuestos Proyeccion'!$K$43:$K$52,CV$4-2025)-SUMIFS($B$59:$HA$59,$B$4:$HA$4,CV$4,$B$5:$HA$5,"Real"))/(1-'Supuestos Proyeccion'!$B$8)-SUMIFS($B$58:$HA$58,$B$4:$HA$4,CV$4,$B$5:$HA$5,"Proyección"))*CV$10/SUMIFS($B$10:$HA$10,$B$4:$HA$4,CV$4,$B$5:$HA$5,"Proyección")))</f>
        <v>0</v>
      </c>
      <c r="CW60" s="58" cm="1">
        <f t="array" ref="CW60">IF(CW$5="Real",0,IF(INDEX('Supuestos Proyeccion'!$K$43:$K$52,CW$4-2025)="",0,((INDEX('Supuestos Proyeccion'!$K$43:$K$52,CW$4-2025)-SUMIFS($B$59:$HA$59,$B$4:$HA$4,CW$4,$B$5:$HA$5,"Real"))/(1-'Supuestos Proyeccion'!$B$8)-SUMIFS($B$58:$HA$58,$B$4:$HA$4,CW$4,$B$5:$HA$5,"Proyección"))*CW$10/SUMIFS($B$10:$HA$10,$B$4:$HA$4,CW$4,$B$5:$HA$5,"Proyección")))</f>
        <v>0</v>
      </c>
      <c r="CX60" s="58" cm="1">
        <f t="array" ref="CX60">IF(CX$5="Real",0,IF(INDEX('Supuestos Proyeccion'!$K$43:$K$52,CX$4-2025)="",0,((INDEX('Supuestos Proyeccion'!$K$43:$K$52,CX$4-2025)-SUMIFS($B$59:$HA$59,$B$4:$HA$4,CX$4,$B$5:$HA$5,"Real"))/(1-'Supuestos Proyeccion'!$B$8)-SUMIFS($B$58:$HA$58,$B$4:$HA$4,CX$4,$B$5:$HA$5,"Proyección"))*CX$10/SUMIFS($B$10:$HA$10,$B$4:$HA$4,CX$4,$B$5:$HA$5,"Proyección")))</f>
        <v>0</v>
      </c>
      <c r="CY60" s="58" cm="1">
        <f t="array" ref="CY60">IF(CY$5="Real",0,IF(INDEX('Supuestos Proyeccion'!$K$43:$K$52,CY$4-2025)="",0,((INDEX('Supuestos Proyeccion'!$K$43:$K$52,CY$4-2025)-SUMIFS($B$59:$HA$59,$B$4:$HA$4,CY$4,$B$5:$HA$5,"Real"))/(1-'Supuestos Proyeccion'!$B$8)-SUMIFS($B$58:$HA$58,$B$4:$HA$4,CY$4,$B$5:$HA$5,"Proyección"))*CY$10/SUMIFS($B$10:$HA$10,$B$4:$HA$4,CY$4,$B$5:$HA$5,"Proyección")))</f>
        <v>0</v>
      </c>
      <c r="CZ60" s="58" cm="1">
        <f t="array" ref="CZ60">IF(CZ$5="Real",0,IF(INDEX('Supuestos Proyeccion'!$K$43:$K$52,CZ$4-2025)="",0,((INDEX('Supuestos Proyeccion'!$K$43:$K$52,CZ$4-2025)-SUMIFS($B$59:$HA$59,$B$4:$HA$4,CZ$4,$B$5:$HA$5,"Real"))/(1-'Supuestos Proyeccion'!$B$8)-SUMIFS($B$58:$HA$58,$B$4:$HA$4,CZ$4,$B$5:$HA$5,"Proyección"))*CZ$10/SUMIFS($B$10:$HA$10,$B$4:$HA$4,CZ$4,$B$5:$HA$5,"Proyección")))</f>
        <v>0</v>
      </c>
      <c r="DA60" s="58">
        <f>SUM(CO60:CZ60)</f>
        <v>0</v>
      </c>
      <c r="DB60" s="58" cm="1">
        <f t="array" ref="DB60">IF(DB$5="Real",0,IF(INDEX('Supuestos Proyeccion'!$K$43:$K$52,DB$4-2025)="",0,((INDEX('Supuestos Proyeccion'!$K$43:$K$52,DB$4-2025)-SUMIFS($B$59:$HA$59,$B$4:$HA$4,DB$4,$B$5:$HA$5,"Real"))/(1-'Supuestos Proyeccion'!$B$8)-SUMIFS($B$58:$HA$58,$B$4:$HA$4,DB$4,$B$5:$HA$5,"Proyección"))*DB$10/SUMIFS($B$10:$HA$10,$B$4:$HA$4,DB$4,$B$5:$HA$5,"Proyección")))</f>
        <v>0</v>
      </c>
      <c r="DC60" s="58" cm="1">
        <f t="array" ref="DC60">IF(DC$5="Real",0,IF(INDEX('Supuestos Proyeccion'!$K$43:$K$52,DC$4-2025)="",0,((INDEX('Supuestos Proyeccion'!$K$43:$K$52,DC$4-2025)-SUMIFS($B$59:$HA$59,$B$4:$HA$4,DC$4,$B$5:$HA$5,"Real"))/(1-'Supuestos Proyeccion'!$B$8)-SUMIFS($B$58:$HA$58,$B$4:$HA$4,DC$4,$B$5:$HA$5,"Proyección"))*DC$10/SUMIFS($B$10:$HA$10,$B$4:$HA$4,DC$4,$B$5:$HA$5,"Proyección")))</f>
        <v>0</v>
      </c>
      <c r="DD60" s="58" cm="1">
        <f t="array" ref="DD60">IF(DD$5="Real",0,IF(INDEX('Supuestos Proyeccion'!$K$43:$K$52,DD$4-2025)="",0,((INDEX('Supuestos Proyeccion'!$K$43:$K$52,DD$4-2025)-SUMIFS($B$59:$HA$59,$B$4:$HA$4,DD$4,$B$5:$HA$5,"Real"))/(1-'Supuestos Proyeccion'!$B$8)-SUMIFS($B$58:$HA$58,$B$4:$HA$4,DD$4,$B$5:$HA$5,"Proyección"))*DD$10/SUMIFS($B$10:$HA$10,$B$4:$HA$4,DD$4,$B$5:$HA$5,"Proyección")))</f>
        <v>0</v>
      </c>
      <c r="DE60" s="58" cm="1">
        <f t="array" ref="DE60">IF(DE$5="Real",0,IF(INDEX('Supuestos Proyeccion'!$K$43:$K$52,DE$4-2025)="",0,((INDEX('Supuestos Proyeccion'!$K$43:$K$52,DE$4-2025)-SUMIFS($B$59:$HA$59,$B$4:$HA$4,DE$4,$B$5:$HA$5,"Real"))/(1-'Supuestos Proyeccion'!$B$8)-SUMIFS($B$58:$HA$58,$B$4:$HA$4,DE$4,$B$5:$HA$5,"Proyección"))*DE$10/SUMIFS($B$10:$HA$10,$B$4:$HA$4,DE$4,$B$5:$HA$5,"Proyección")))</f>
        <v>0</v>
      </c>
      <c r="DF60" s="58" cm="1">
        <f t="array" ref="DF60">IF(DF$5="Real",0,IF(INDEX('Supuestos Proyeccion'!$K$43:$K$52,DF$4-2025)="",0,((INDEX('Supuestos Proyeccion'!$K$43:$K$52,DF$4-2025)-SUMIFS($B$59:$HA$59,$B$4:$HA$4,DF$4,$B$5:$HA$5,"Real"))/(1-'Supuestos Proyeccion'!$B$8)-SUMIFS($B$58:$HA$58,$B$4:$HA$4,DF$4,$B$5:$HA$5,"Proyección"))*DF$10/SUMIFS($B$10:$HA$10,$B$4:$HA$4,DF$4,$B$5:$HA$5,"Proyección")))</f>
        <v>0</v>
      </c>
      <c r="DG60" s="58" cm="1">
        <f t="array" ref="DG60">IF(DG$5="Real",0,IF(INDEX('Supuestos Proyeccion'!$K$43:$K$52,DG$4-2025)="",0,((INDEX('Supuestos Proyeccion'!$K$43:$K$52,DG$4-2025)-SUMIFS($B$59:$HA$59,$B$4:$HA$4,DG$4,$B$5:$HA$5,"Real"))/(1-'Supuestos Proyeccion'!$B$8)-SUMIFS($B$58:$HA$58,$B$4:$HA$4,DG$4,$B$5:$HA$5,"Proyección"))*DG$10/SUMIFS($B$10:$HA$10,$B$4:$HA$4,DG$4,$B$5:$HA$5,"Proyección")))</f>
        <v>0</v>
      </c>
      <c r="DH60" s="58" cm="1">
        <f t="array" ref="DH60">IF(DH$5="Real",0,IF(INDEX('Supuestos Proyeccion'!$K$43:$K$52,DH$4-2025)="",0,((INDEX('Supuestos Proyeccion'!$K$43:$K$52,DH$4-2025)-SUMIFS($B$59:$HA$59,$B$4:$HA$4,DH$4,$B$5:$HA$5,"Real"))/(1-'Supuestos Proyeccion'!$B$8)-SUMIFS($B$58:$HA$58,$B$4:$HA$4,DH$4,$B$5:$HA$5,"Proyección"))*DH$10/SUMIFS($B$10:$HA$10,$B$4:$HA$4,DH$4,$B$5:$HA$5,"Proyección")))</f>
        <v>0</v>
      </c>
      <c r="DI60" s="58" cm="1">
        <f t="array" ref="DI60">IF(DI$5="Real",0,IF(INDEX('Supuestos Proyeccion'!$K$43:$K$52,DI$4-2025)="",0,((INDEX('Supuestos Proyeccion'!$K$43:$K$52,DI$4-2025)-SUMIFS($B$59:$HA$59,$B$4:$HA$4,DI$4,$B$5:$HA$5,"Real"))/(1-'Supuestos Proyeccion'!$B$8)-SUMIFS($B$58:$HA$58,$B$4:$HA$4,DI$4,$B$5:$HA$5,"Proyección"))*DI$10/SUMIFS($B$10:$HA$10,$B$4:$HA$4,DI$4,$B$5:$HA$5,"Proyección")))</f>
        <v>0</v>
      </c>
      <c r="DJ60" s="58" cm="1">
        <f t="array" ref="DJ60">IF(DJ$5="Real",0,IF(INDEX('Supuestos Proyeccion'!$K$43:$K$52,DJ$4-2025)="",0,((INDEX('Supuestos Proyeccion'!$K$43:$K$52,DJ$4-2025)-SUMIFS($B$59:$HA$59,$B$4:$HA$4,DJ$4,$B$5:$HA$5,"Real"))/(1-'Supuestos Proyeccion'!$B$8)-SUMIFS($B$58:$HA$58,$B$4:$HA$4,DJ$4,$B$5:$HA$5,"Proyección"))*DJ$10/SUMIFS($B$10:$HA$10,$B$4:$HA$4,DJ$4,$B$5:$HA$5,"Proyección")))</f>
        <v>0</v>
      </c>
      <c r="DK60" s="58" cm="1">
        <f t="array" ref="DK60">IF(DK$5="Real",0,IF(INDEX('Supuestos Proyeccion'!$K$43:$K$52,DK$4-2025)="",0,((INDEX('Supuestos Proyeccion'!$K$43:$K$52,DK$4-2025)-SUMIFS($B$59:$HA$59,$B$4:$HA$4,DK$4,$B$5:$HA$5,"Real"))/(1-'Supuestos Proyeccion'!$B$8)-SUMIFS($B$58:$HA$58,$B$4:$HA$4,DK$4,$B$5:$HA$5,"Proyección"))*DK$10/SUMIFS($B$10:$HA$10,$B$4:$HA$4,DK$4,$B$5:$HA$5,"Proyección")))</f>
        <v>0</v>
      </c>
      <c r="DL60" s="58" cm="1">
        <f t="array" ref="DL60">IF(DL$5="Real",0,IF(INDEX('Supuestos Proyeccion'!$K$43:$K$52,DL$4-2025)="",0,((INDEX('Supuestos Proyeccion'!$K$43:$K$52,DL$4-2025)-SUMIFS($B$59:$HA$59,$B$4:$HA$4,DL$4,$B$5:$HA$5,"Real"))/(1-'Supuestos Proyeccion'!$B$8)-SUMIFS($B$58:$HA$58,$B$4:$HA$4,DL$4,$B$5:$HA$5,"Proyección"))*DL$10/SUMIFS($B$10:$HA$10,$B$4:$HA$4,DL$4,$B$5:$HA$5,"Proyección")))</f>
        <v>0</v>
      </c>
      <c r="DM60" s="58" cm="1">
        <f t="array" ref="DM60">IF(DM$5="Real",0,IF(INDEX('Supuestos Proyeccion'!$K$43:$K$52,DM$4-2025)="",0,((INDEX('Supuestos Proyeccion'!$K$43:$K$52,DM$4-2025)-SUMIFS($B$59:$HA$59,$B$4:$HA$4,DM$4,$B$5:$HA$5,"Real"))/(1-'Supuestos Proyeccion'!$B$8)-SUMIFS($B$58:$HA$58,$B$4:$HA$4,DM$4,$B$5:$HA$5,"Proyección"))*DM$10/SUMIFS($B$10:$HA$10,$B$4:$HA$4,DM$4,$B$5:$HA$5,"Proyección")))</f>
        <v>0</v>
      </c>
      <c r="DN60" s="58">
        <f>SUM(DB60:DM60)</f>
        <v>0</v>
      </c>
      <c r="DO60" s="58" cm="1">
        <f t="array" ref="DO60">IF(DO$5="Real",0,IF(INDEX('Supuestos Proyeccion'!$K$43:$K$52,DO$4-2025)="",0,((INDEX('Supuestos Proyeccion'!$K$43:$K$52,DO$4-2025)-SUMIFS($B$59:$HA$59,$B$4:$HA$4,DO$4,$B$5:$HA$5,"Real"))/(1-'Supuestos Proyeccion'!$B$8)-SUMIFS($B$58:$HA$58,$B$4:$HA$4,DO$4,$B$5:$HA$5,"Proyección"))*DO$10/SUMIFS($B$10:$HA$10,$B$4:$HA$4,DO$4,$B$5:$HA$5,"Proyección")))</f>
        <v>0</v>
      </c>
      <c r="DP60" s="58" cm="1">
        <f t="array" ref="DP60">IF(DP$5="Real",0,IF(INDEX('Supuestos Proyeccion'!$K$43:$K$52,DP$4-2025)="",0,((INDEX('Supuestos Proyeccion'!$K$43:$K$52,DP$4-2025)-SUMIFS($B$59:$HA$59,$B$4:$HA$4,DP$4,$B$5:$HA$5,"Real"))/(1-'Supuestos Proyeccion'!$B$8)-SUMIFS($B$58:$HA$58,$B$4:$HA$4,DP$4,$B$5:$HA$5,"Proyección"))*DP$10/SUMIFS($B$10:$HA$10,$B$4:$HA$4,DP$4,$B$5:$HA$5,"Proyección")))</f>
        <v>0</v>
      </c>
      <c r="DQ60" s="58" cm="1">
        <f t="array" ref="DQ60">IF(DQ$5="Real",0,IF(INDEX('Supuestos Proyeccion'!$K$43:$K$52,DQ$4-2025)="",0,((INDEX('Supuestos Proyeccion'!$K$43:$K$52,DQ$4-2025)-SUMIFS($B$59:$HA$59,$B$4:$HA$4,DQ$4,$B$5:$HA$5,"Real"))/(1-'Supuestos Proyeccion'!$B$8)-SUMIFS($B$58:$HA$58,$B$4:$HA$4,DQ$4,$B$5:$HA$5,"Proyección"))*DQ$10/SUMIFS($B$10:$HA$10,$B$4:$HA$4,DQ$4,$B$5:$HA$5,"Proyección")))</f>
        <v>0</v>
      </c>
      <c r="DR60" s="58" cm="1">
        <f t="array" ref="DR60">IF(DR$5="Real",0,IF(INDEX('Supuestos Proyeccion'!$K$43:$K$52,DR$4-2025)="",0,((INDEX('Supuestos Proyeccion'!$K$43:$K$52,DR$4-2025)-SUMIFS($B$59:$HA$59,$B$4:$HA$4,DR$4,$B$5:$HA$5,"Real"))/(1-'Supuestos Proyeccion'!$B$8)-SUMIFS($B$58:$HA$58,$B$4:$HA$4,DR$4,$B$5:$HA$5,"Proyección"))*DR$10/SUMIFS($B$10:$HA$10,$B$4:$HA$4,DR$4,$B$5:$HA$5,"Proyección")))</f>
        <v>0</v>
      </c>
      <c r="DS60" s="58" cm="1">
        <f t="array" ref="DS60">IF(DS$5="Real",0,IF(INDEX('Supuestos Proyeccion'!$K$43:$K$52,DS$4-2025)="",0,((INDEX('Supuestos Proyeccion'!$K$43:$K$52,DS$4-2025)-SUMIFS($B$59:$HA$59,$B$4:$HA$4,DS$4,$B$5:$HA$5,"Real"))/(1-'Supuestos Proyeccion'!$B$8)-SUMIFS($B$58:$HA$58,$B$4:$HA$4,DS$4,$B$5:$HA$5,"Proyección"))*DS$10/SUMIFS($B$10:$HA$10,$B$4:$HA$4,DS$4,$B$5:$HA$5,"Proyección")))</f>
        <v>0</v>
      </c>
      <c r="DT60" s="58" cm="1">
        <f t="array" ref="DT60">IF(DT$5="Real",0,IF(INDEX('Supuestos Proyeccion'!$K$43:$K$52,DT$4-2025)="",0,((INDEX('Supuestos Proyeccion'!$K$43:$K$52,DT$4-2025)-SUMIFS($B$59:$HA$59,$B$4:$HA$4,DT$4,$B$5:$HA$5,"Real"))/(1-'Supuestos Proyeccion'!$B$8)-SUMIFS($B$58:$HA$58,$B$4:$HA$4,DT$4,$B$5:$HA$5,"Proyección"))*DT$10/SUMIFS($B$10:$HA$10,$B$4:$HA$4,DT$4,$B$5:$HA$5,"Proyección")))</f>
        <v>0</v>
      </c>
      <c r="DU60" s="58" cm="1">
        <f t="array" ref="DU60">IF(DU$5="Real",0,IF(INDEX('Supuestos Proyeccion'!$K$43:$K$52,DU$4-2025)="",0,((INDEX('Supuestos Proyeccion'!$K$43:$K$52,DU$4-2025)-SUMIFS($B$59:$HA$59,$B$4:$HA$4,DU$4,$B$5:$HA$5,"Real"))/(1-'Supuestos Proyeccion'!$B$8)-SUMIFS($B$58:$HA$58,$B$4:$HA$4,DU$4,$B$5:$HA$5,"Proyección"))*DU$10/SUMIFS($B$10:$HA$10,$B$4:$HA$4,DU$4,$B$5:$HA$5,"Proyección")))</f>
        <v>0</v>
      </c>
      <c r="DV60" s="58" cm="1">
        <f t="array" ref="DV60">IF(DV$5="Real",0,IF(INDEX('Supuestos Proyeccion'!$K$43:$K$52,DV$4-2025)="",0,((INDEX('Supuestos Proyeccion'!$K$43:$K$52,DV$4-2025)-SUMIFS($B$59:$HA$59,$B$4:$HA$4,DV$4,$B$5:$HA$5,"Real"))/(1-'Supuestos Proyeccion'!$B$8)-SUMIFS($B$58:$HA$58,$B$4:$HA$4,DV$4,$B$5:$HA$5,"Proyección"))*DV$10/SUMIFS($B$10:$HA$10,$B$4:$HA$4,DV$4,$B$5:$HA$5,"Proyección")))</f>
        <v>0</v>
      </c>
      <c r="DW60" s="58" cm="1">
        <f t="array" ref="DW60">IF(DW$5="Real",0,IF(INDEX('Supuestos Proyeccion'!$K$43:$K$52,DW$4-2025)="",0,((INDEX('Supuestos Proyeccion'!$K$43:$K$52,DW$4-2025)-SUMIFS($B$59:$HA$59,$B$4:$HA$4,DW$4,$B$5:$HA$5,"Real"))/(1-'Supuestos Proyeccion'!$B$8)-SUMIFS($B$58:$HA$58,$B$4:$HA$4,DW$4,$B$5:$HA$5,"Proyección"))*DW$10/SUMIFS($B$10:$HA$10,$B$4:$HA$4,DW$4,$B$5:$HA$5,"Proyección")))</f>
        <v>0</v>
      </c>
      <c r="DX60" s="58" cm="1">
        <f t="array" ref="DX60">IF(DX$5="Real",0,IF(INDEX('Supuestos Proyeccion'!$K$43:$K$52,DX$4-2025)="",0,((INDEX('Supuestos Proyeccion'!$K$43:$K$52,DX$4-2025)-SUMIFS($B$59:$HA$59,$B$4:$HA$4,DX$4,$B$5:$HA$5,"Real"))/(1-'Supuestos Proyeccion'!$B$8)-SUMIFS($B$58:$HA$58,$B$4:$HA$4,DX$4,$B$5:$HA$5,"Proyección"))*DX$10/SUMIFS($B$10:$HA$10,$B$4:$HA$4,DX$4,$B$5:$HA$5,"Proyección")))</f>
        <v>0</v>
      </c>
      <c r="DY60" s="58" cm="1">
        <f t="array" ref="DY60">IF(DY$5="Real",0,IF(INDEX('Supuestos Proyeccion'!$K$43:$K$52,DY$4-2025)="",0,((INDEX('Supuestos Proyeccion'!$K$43:$K$52,DY$4-2025)-SUMIFS($B$59:$HA$59,$B$4:$HA$4,DY$4,$B$5:$HA$5,"Real"))/(1-'Supuestos Proyeccion'!$B$8)-SUMIFS($B$58:$HA$58,$B$4:$HA$4,DY$4,$B$5:$HA$5,"Proyección"))*DY$10/SUMIFS($B$10:$HA$10,$B$4:$HA$4,DY$4,$B$5:$HA$5,"Proyección")))</f>
        <v>0</v>
      </c>
      <c r="DZ60" s="58" cm="1">
        <f t="array" ref="DZ60">IF(DZ$5="Real",0,IF(INDEX('Supuestos Proyeccion'!$K$43:$K$52,DZ$4-2025)="",0,((INDEX('Supuestos Proyeccion'!$K$43:$K$52,DZ$4-2025)-SUMIFS($B$59:$HA$59,$B$4:$HA$4,DZ$4,$B$5:$HA$5,"Real"))/(1-'Supuestos Proyeccion'!$B$8)-SUMIFS($B$58:$HA$58,$B$4:$HA$4,DZ$4,$B$5:$HA$5,"Proyección"))*DZ$10/SUMIFS($B$10:$HA$10,$B$4:$HA$4,DZ$4,$B$5:$HA$5,"Proyección")))</f>
        <v>0</v>
      </c>
      <c r="EA60" s="58">
        <f>SUM(DO60:DZ60)</f>
        <v>0</v>
      </c>
      <c r="EB60" s="58" cm="1">
        <f t="array" ref="EB60">IF(EB$5="Real",0,IF(INDEX('Supuestos Proyeccion'!$K$43:$K$52,EB$4-2025)="",0,((INDEX('Supuestos Proyeccion'!$K$43:$K$52,EB$4-2025)-SUMIFS($B$59:$HA$59,$B$4:$HA$4,EB$4,$B$5:$HA$5,"Real"))/(1-'Supuestos Proyeccion'!$B$8)-SUMIFS($B$58:$HA$58,$B$4:$HA$4,EB$4,$B$5:$HA$5,"Proyección"))*EB$10/SUMIFS($B$10:$HA$10,$B$4:$HA$4,EB$4,$B$5:$HA$5,"Proyección")))</f>
        <v>0</v>
      </c>
      <c r="EC60" s="58" cm="1">
        <f t="array" ref="EC60">IF(EC$5="Real",0,IF(INDEX('Supuestos Proyeccion'!$K$43:$K$52,EC$4-2025)="",0,((INDEX('Supuestos Proyeccion'!$K$43:$K$52,EC$4-2025)-SUMIFS($B$59:$HA$59,$B$4:$HA$4,EC$4,$B$5:$HA$5,"Real"))/(1-'Supuestos Proyeccion'!$B$8)-SUMIFS($B$58:$HA$58,$B$4:$HA$4,EC$4,$B$5:$HA$5,"Proyección"))*EC$10/SUMIFS($B$10:$HA$10,$B$4:$HA$4,EC$4,$B$5:$HA$5,"Proyección")))</f>
        <v>0</v>
      </c>
      <c r="ED60" s="58" cm="1">
        <f t="array" ref="ED60">IF(ED$5="Real",0,IF(INDEX('Supuestos Proyeccion'!$K$43:$K$52,ED$4-2025)="",0,((INDEX('Supuestos Proyeccion'!$K$43:$K$52,ED$4-2025)-SUMIFS($B$59:$HA$59,$B$4:$HA$4,ED$4,$B$5:$HA$5,"Real"))/(1-'Supuestos Proyeccion'!$B$8)-SUMIFS($B$58:$HA$58,$B$4:$HA$4,ED$4,$B$5:$HA$5,"Proyección"))*ED$10/SUMIFS($B$10:$HA$10,$B$4:$HA$4,ED$4,$B$5:$HA$5,"Proyección")))</f>
        <v>0</v>
      </c>
      <c r="EE60" s="58" cm="1">
        <f t="array" ref="EE60">IF(EE$5="Real",0,IF(INDEX('Supuestos Proyeccion'!$K$43:$K$52,EE$4-2025)="",0,((INDEX('Supuestos Proyeccion'!$K$43:$K$52,EE$4-2025)-SUMIFS($B$59:$HA$59,$B$4:$HA$4,EE$4,$B$5:$HA$5,"Real"))/(1-'Supuestos Proyeccion'!$B$8)-SUMIFS($B$58:$HA$58,$B$4:$HA$4,EE$4,$B$5:$HA$5,"Proyección"))*EE$10/SUMIFS($B$10:$HA$10,$B$4:$HA$4,EE$4,$B$5:$HA$5,"Proyección")))</f>
        <v>0</v>
      </c>
      <c r="EF60" s="58" cm="1">
        <f t="array" ref="EF60">IF(EF$5="Real",0,IF(INDEX('Supuestos Proyeccion'!$K$43:$K$52,EF$4-2025)="",0,((INDEX('Supuestos Proyeccion'!$K$43:$K$52,EF$4-2025)-SUMIFS($B$59:$HA$59,$B$4:$HA$4,EF$4,$B$5:$HA$5,"Real"))/(1-'Supuestos Proyeccion'!$B$8)-SUMIFS($B$58:$HA$58,$B$4:$HA$4,EF$4,$B$5:$HA$5,"Proyección"))*EF$10/SUMIFS($B$10:$HA$10,$B$4:$HA$4,EF$4,$B$5:$HA$5,"Proyección")))</f>
        <v>0</v>
      </c>
      <c r="EG60" s="58" cm="1">
        <f t="array" ref="EG60">IF(EG$5="Real",0,IF(INDEX('Supuestos Proyeccion'!$K$43:$K$52,EG$4-2025)="",0,((INDEX('Supuestos Proyeccion'!$K$43:$K$52,EG$4-2025)-SUMIFS($B$59:$HA$59,$B$4:$HA$4,EG$4,$B$5:$HA$5,"Real"))/(1-'Supuestos Proyeccion'!$B$8)-SUMIFS($B$58:$HA$58,$B$4:$HA$4,EG$4,$B$5:$HA$5,"Proyección"))*EG$10/SUMIFS($B$10:$HA$10,$B$4:$HA$4,EG$4,$B$5:$HA$5,"Proyección")))</f>
        <v>0</v>
      </c>
      <c r="EH60" s="58" cm="1">
        <f t="array" ref="EH60">IF(EH$5="Real",0,IF(INDEX('Supuestos Proyeccion'!$K$43:$K$52,EH$4-2025)="",0,((INDEX('Supuestos Proyeccion'!$K$43:$K$52,EH$4-2025)-SUMIFS($B$59:$HA$59,$B$4:$HA$4,EH$4,$B$5:$HA$5,"Real"))/(1-'Supuestos Proyeccion'!$B$8)-SUMIFS($B$58:$HA$58,$B$4:$HA$4,EH$4,$B$5:$HA$5,"Proyección"))*EH$10/SUMIFS($B$10:$HA$10,$B$4:$HA$4,EH$4,$B$5:$HA$5,"Proyección")))</f>
        <v>0</v>
      </c>
      <c r="EI60" s="58" cm="1">
        <f t="array" ref="EI60">IF(EI$5="Real",0,IF(INDEX('Supuestos Proyeccion'!$K$43:$K$52,EI$4-2025)="",0,((INDEX('Supuestos Proyeccion'!$K$43:$K$52,EI$4-2025)-SUMIFS($B$59:$HA$59,$B$4:$HA$4,EI$4,$B$5:$HA$5,"Real"))/(1-'Supuestos Proyeccion'!$B$8)-SUMIFS($B$58:$HA$58,$B$4:$HA$4,EI$4,$B$5:$HA$5,"Proyección"))*EI$10/SUMIFS($B$10:$HA$10,$B$4:$HA$4,EI$4,$B$5:$HA$5,"Proyección")))</f>
        <v>0</v>
      </c>
      <c r="EJ60" s="58" cm="1">
        <f t="array" ref="EJ60">IF(EJ$5="Real",0,IF(INDEX('Supuestos Proyeccion'!$K$43:$K$52,EJ$4-2025)="",0,((INDEX('Supuestos Proyeccion'!$K$43:$K$52,EJ$4-2025)-SUMIFS($B$59:$HA$59,$B$4:$HA$4,EJ$4,$B$5:$HA$5,"Real"))/(1-'Supuestos Proyeccion'!$B$8)-SUMIFS($B$58:$HA$58,$B$4:$HA$4,EJ$4,$B$5:$HA$5,"Proyección"))*EJ$10/SUMIFS($B$10:$HA$10,$B$4:$HA$4,EJ$4,$B$5:$HA$5,"Proyección")))</f>
        <v>0</v>
      </c>
      <c r="EK60" s="58" cm="1">
        <f t="array" ref="EK60">IF(EK$5="Real",0,IF(INDEX('Supuestos Proyeccion'!$K$43:$K$52,EK$4-2025)="",0,((INDEX('Supuestos Proyeccion'!$K$43:$K$52,EK$4-2025)-SUMIFS($B$59:$HA$59,$B$4:$HA$4,EK$4,$B$5:$HA$5,"Real"))/(1-'Supuestos Proyeccion'!$B$8)-SUMIFS($B$58:$HA$58,$B$4:$HA$4,EK$4,$B$5:$HA$5,"Proyección"))*EK$10/SUMIFS($B$10:$HA$10,$B$4:$HA$4,EK$4,$B$5:$HA$5,"Proyección")))</f>
        <v>0</v>
      </c>
      <c r="EL60" s="58" cm="1">
        <f t="array" ref="EL60">IF(EL$5="Real",0,IF(INDEX('Supuestos Proyeccion'!$K$43:$K$52,EL$4-2025)="",0,((INDEX('Supuestos Proyeccion'!$K$43:$K$52,EL$4-2025)-SUMIFS($B$59:$HA$59,$B$4:$HA$4,EL$4,$B$5:$HA$5,"Real"))/(1-'Supuestos Proyeccion'!$B$8)-SUMIFS($B$58:$HA$58,$B$4:$HA$4,EL$4,$B$5:$HA$5,"Proyección"))*EL$10/SUMIFS($B$10:$HA$10,$B$4:$HA$4,EL$4,$B$5:$HA$5,"Proyección")))</f>
        <v>0</v>
      </c>
      <c r="EM60" s="58" cm="1">
        <f t="array" ref="EM60">IF(EM$5="Real",0,IF(INDEX('Supuestos Proyeccion'!$K$43:$K$52,EM$4-2025)="",0,((INDEX('Supuestos Proyeccion'!$K$43:$K$52,EM$4-2025)-SUMIFS($B$59:$HA$59,$B$4:$HA$4,EM$4,$B$5:$HA$5,"Real"))/(1-'Supuestos Proyeccion'!$B$8)-SUMIFS($B$58:$HA$58,$B$4:$HA$4,EM$4,$B$5:$HA$5,"Proyección"))*EM$10/SUMIFS($B$10:$HA$10,$B$4:$HA$4,EM$4,$B$5:$HA$5,"Proyección")))</f>
        <v>0</v>
      </c>
      <c r="EN60" s="58">
        <f>SUM(EB60:EM60)</f>
        <v>0</v>
      </c>
      <c r="EO60" s="58" cm="1">
        <f t="array" ref="EO60">IF(EO$5="Real",0,IF(INDEX('Supuestos Proyeccion'!$K$43:$K$52,EO$4-2025)="",0,((INDEX('Supuestos Proyeccion'!$K$43:$K$52,EO$4-2025)-SUMIFS($B$59:$HA$59,$B$4:$HA$4,EO$4,$B$5:$HA$5,"Real"))/(1-'Supuestos Proyeccion'!$B$8)-SUMIFS($B$58:$HA$58,$B$4:$HA$4,EO$4,$B$5:$HA$5,"Proyección"))*EO$10/SUMIFS($B$10:$HA$10,$B$4:$HA$4,EO$4,$B$5:$HA$5,"Proyección")))</f>
        <v>0</v>
      </c>
      <c r="EP60" s="58" cm="1">
        <f t="array" ref="EP60">IF(EP$5="Real",0,IF(INDEX('Supuestos Proyeccion'!$K$43:$K$52,EP$4-2025)="",0,((INDEX('Supuestos Proyeccion'!$K$43:$K$52,EP$4-2025)-SUMIFS($B$59:$HA$59,$B$4:$HA$4,EP$4,$B$5:$HA$5,"Real"))/(1-'Supuestos Proyeccion'!$B$8)-SUMIFS($B$58:$HA$58,$B$4:$HA$4,EP$4,$B$5:$HA$5,"Proyección"))*EP$10/SUMIFS($B$10:$HA$10,$B$4:$HA$4,EP$4,$B$5:$HA$5,"Proyección")))</f>
        <v>0</v>
      </c>
      <c r="EQ60" s="58" cm="1">
        <f t="array" ref="EQ60">IF(EQ$5="Real",0,IF(INDEX('Supuestos Proyeccion'!$K$43:$K$52,EQ$4-2025)="",0,((INDEX('Supuestos Proyeccion'!$K$43:$K$52,EQ$4-2025)-SUMIFS($B$59:$HA$59,$B$4:$HA$4,EQ$4,$B$5:$HA$5,"Real"))/(1-'Supuestos Proyeccion'!$B$8)-SUMIFS($B$58:$HA$58,$B$4:$HA$4,EQ$4,$B$5:$HA$5,"Proyección"))*EQ$10/SUMIFS($B$10:$HA$10,$B$4:$HA$4,EQ$4,$B$5:$HA$5,"Proyección")))</f>
        <v>0</v>
      </c>
      <c r="ER60" s="58" cm="1">
        <f t="array" ref="ER60">IF(ER$5="Real",0,IF(INDEX('Supuestos Proyeccion'!$K$43:$K$52,ER$4-2025)="",0,((INDEX('Supuestos Proyeccion'!$K$43:$K$52,ER$4-2025)-SUMIFS($B$59:$HA$59,$B$4:$HA$4,ER$4,$B$5:$HA$5,"Real"))/(1-'Supuestos Proyeccion'!$B$8)-SUMIFS($B$58:$HA$58,$B$4:$HA$4,ER$4,$B$5:$HA$5,"Proyección"))*ER$10/SUMIFS($B$10:$HA$10,$B$4:$HA$4,ER$4,$B$5:$HA$5,"Proyección")))</f>
        <v>0</v>
      </c>
      <c r="ES60" s="58" cm="1">
        <f t="array" ref="ES60">IF(ES$5="Real",0,IF(INDEX('Supuestos Proyeccion'!$K$43:$K$52,ES$4-2025)="",0,((INDEX('Supuestos Proyeccion'!$K$43:$K$52,ES$4-2025)-SUMIFS($B$59:$HA$59,$B$4:$HA$4,ES$4,$B$5:$HA$5,"Real"))/(1-'Supuestos Proyeccion'!$B$8)-SUMIFS($B$58:$HA$58,$B$4:$HA$4,ES$4,$B$5:$HA$5,"Proyección"))*ES$10/SUMIFS($B$10:$HA$10,$B$4:$HA$4,ES$4,$B$5:$HA$5,"Proyección")))</f>
        <v>0</v>
      </c>
      <c r="ET60" s="58" cm="1">
        <f t="array" ref="ET60">IF(ET$5="Real",0,IF(INDEX('Supuestos Proyeccion'!$K$43:$K$52,ET$4-2025)="",0,((INDEX('Supuestos Proyeccion'!$K$43:$K$52,ET$4-2025)-SUMIFS($B$59:$HA$59,$B$4:$HA$4,ET$4,$B$5:$HA$5,"Real"))/(1-'Supuestos Proyeccion'!$B$8)-SUMIFS($B$58:$HA$58,$B$4:$HA$4,ET$4,$B$5:$HA$5,"Proyección"))*ET$10/SUMIFS($B$10:$HA$10,$B$4:$HA$4,ET$4,$B$5:$HA$5,"Proyección")))</f>
        <v>0</v>
      </c>
      <c r="EU60" s="58" cm="1">
        <f t="array" ref="EU60">IF(EU$5="Real",0,IF(INDEX('Supuestos Proyeccion'!$K$43:$K$52,EU$4-2025)="",0,((INDEX('Supuestos Proyeccion'!$K$43:$K$52,EU$4-2025)-SUMIFS($B$59:$HA$59,$B$4:$HA$4,EU$4,$B$5:$HA$5,"Real"))/(1-'Supuestos Proyeccion'!$B$8)-SUMIFS($B$58:$HA$58,$B$4:$HA$4,EU$4,$B$5:$HA$5,"Proyección"))*EU$10/SUMIFS($B$10:$HA$10,$B$4:$HA$4,EU$4,$B$5:$HA$5,"Proyección")))</f>
        <v>0</v>
      </c>
      <c r="EV60" s="58" cm="1">
        <f t="array" ref="EV60">IF(EV$5="Real",0,IF(INDEX('Supuestos Proyeccion'!$K$43:$K$52,EV$4-2025)="",0,((INDEX('Supuestos Proyeccion'!$K$43:$K$52,EV$4-2025)-SUMIFS($B$59:$HA$59,$B$4:$HA$4,EV$4,$B$5:$HA$5,"Real"))/(1-'Supuestos Proyeccion'!$B$8)-SUMIFS($B$58:$HA$58,$B$4:$HA$4,EV$4,$B$5:$HA$5,"Proyección"))*EV$10/SUMIFS($B$10:$HA$10,$B$4:$HA$4,EV$4,$B$5:$HA$5,"Proyección")))</f>
        <v>0</v>
      </c>
      <c r="EW60" s="58" cm="1">
        <f t="array" ref="EW60">IF(EW$5="Real",0,IF(INDEX('Supuestos Proyeccion'!$K$43:$K$52,EW$4-2025)="",0,((INDEX('Supuestos Proyeccion'!$K$43:$K$52,EW$4-2025)-SUMIFS($B$59:$HA$59,$B$4:$HA$4,EW$4,$B$5:$HA$5,"Real"))/(1-'Supuestos Proyeccion'!$B$8)-SUMIFS($B$58:$HA$58,$B$4:$HA$4,EW$4,$B$5:$HA$5,"Proyección"))*EW$10/SUMIFS($B$10:$HA$10,$B$4:$HA$4,EW$4,$B$5:$HA$5,"Proyección")))</f>
        <v>0</v>
      </c>
      <c r="EX60" s="58" cm="1">
        <f t="array" ref="EX60">IF(EX$5="Real",0,IF(INDEX('Supuestos Proyeccion'!$K$43:$K$52,EX$4-2025)="",0,((INDEX('Supuestos Proyeccion'!$K$43:$K$52,EX$4-2025)-SUMIFS($B$59:$HA$59,$B$4:$HA$4,EX$4,$B$5:$HA$5,"Real"))/(1-'Supuestos Proyeccion'!$B$8)-SUMIFS($B$58:$HA$58,$B$4:$HA$4,EX$4,$B$5:$HA$5,"Proyección"))*EX$10/SUMIFS($B$10:$HA$10,$B$4:$HA$4,EX$4,$B$5:$HA$5,"Proyección")))</f>
        <v>0</v>
      </c>
      <c r="EY60" s="58" cm="1">
        <f t="array" ref="EY60">IF(EY$5="Real",0,IF(INDEX('Supuestos Proyeccion'!$K$43:$K$52,EY$4-2025)="",0,((INDEX('Supuestos Proyeccion'!$K$43:$K$52,EY$4-2025)-SUMIFS($B$59:$HA$59,$B$4:$HA$4,EY$4,$B$5:$HA$5,"Real"))/(1-'Supuestos Proyeccion'!$B$8)-SUMIFS($B$58:$HA$58,$B$4:$HA$4,EY$4,$B$5:$HA$5,"Proyección"))*EY$10/SUMIFS($B$10:$HA$10,$B$4:$HA$4,EY$4,$B$5:$HA$5,"Proyección")))</f>
        <v>0</v>
      </c>
      <c r="EZ60" s="58" cm="1">
        <f t="array" ref="EZ60">IF(EZ$5="Real",0,IF(INDEX('Supuestos Proyeccion'!$K$43:$K$52,EZ$4-2025)="",0,((INDEX('Supuestos Proyeccion'!$K$43:$K$52,EZ$4-2025)-SUMIFS($B$59:$HA$59,$B$4:$HA$4,EZ$4,$B$5:$HA$5,"Real"))/(1-'Supuestos Proyeccion'!$B$8)-SUMIFS($B$58:$HA$58,$B$4:$HA$4,EZ$4,$B$5:$HA$5,"Proyección"))*EZ$10/SUMIFS($B$10:$HA$10,$B$4:$HA$4,EZ$4,$B$5:$HA$5,"Proyección")))</f>
        <v>0</v>
      </c>
      <c r="FA60" s="58">
        <f>SUM(EO60:EZ60)</f>
        <v>0</v>
      </c>
      <c r="FB60" s="58" cm="1">
        <f t="array" ref="FB60">IF(FB$5="Real",0,IF(INDEX('Supuestos Proyeccion'!$K$43:$K$52,FB$4-2025)="",0,((INDEX('Supuestos Proyeccion'!$K$43:$K$52,FB$4-2025)-SUMIFS($B$59:$HA$59,$B$4:$HA$4,FB$4,$B$5:$HA$5,"Real"))/(1-'Supuestos Proyeccion'!$B$8)-SUMIFS($B$58:$HA$58,$B$4:$HA$4,FB$4,$B$5:$HA$5,"Proyección"))*FB$10/SUMIFS($B$10:$HA$10,$B$4:$HA$4,FB$4,$B$5:$HA$5,"Proyección")))</f>
        <v>0</v>
      </c>
      <c r="FC60" s="58" cm="1">
        <f t="array" ref="FC60">IF(FC$5="Real",0,IF(INDEX('Supuestos Proyeccion'!$K$43:$K$52,FC$4-2025)="",0,((INDEX('Supuestos Proyeccion'!$K$43:$K$52,FC$4-2025)-SUMIFS($B$59:$HA$59,$B$4:$HA$4,FC$4,$B$5:$HA$5,"Real"))/(1-'Supuestos Proyeccion'!$B$8)-SUMIFS($B$58:$HA$58,$B$4:$HA$4,FC$4,$B$5:$HA$5,"Proyección"))*FC$10/SUMIFS($B$10:$HA$10,$B$4:$HA$4,FC$4,$B$5:$HA$5,"Proyección")))</f>
        <v>0</v>
      </c>
      <c r="FD60" s="58" cm="1">
        <f t="array" ref="FD60">IF(FD$5="Real",0,IF(INDEX('Supuestos Proyeccion'!$K$43:$K$52,FD$4-2025)="",0,((INDEX('Supuestos Proyeccion'!$K$43:$K$52,FD$4-2025)-SUMIFS($B$59:$HA$59,$B$4:$HA$4,FD$4,$B$5:$HA$5,"Real"))/(1-'Supuestos Proyeccion'!$B$8)-SUMIFS($B$58:$HA$58,$B$4:$HA$4,FD$4,$B$5:$HA$5,"Proyección"))*FD$10/SUMIFS($B$10:$HA$10,$B$4:$HA$4,FD$4,$B$5:$HA$5,"Proyección")))</f>
        <v>0</v>
      </c>
      <c r="FE60" s="58" cm="1">
        <f t="array" ref="FE60">IF(FE$5="Real",0,IF(INDEX('Supuestos Proyeccion'!$K$43:$K$52,FE$4-2025)="",0,((INDEX('Supuestos Proyeccion'!$K$43:$K$52,FE$4-2025)-SUMIFS($B$59:$HA$59,$B$4:$HA$4,FE$4,$B$5:$HA$5,"Real"))/(1-'Supuestos Proyeccion'!$B$8)-SUMIFS($B$58:$HA$58,$B$4:$HA$4,FE$4,$B$5:$HA$5,"Proyección"))*FE$10/SUMIFS($B$10:$HA$10,$B$4:$HA$4,FE$4,$B$5:$HA$5,"Proyección")))</f>
        <v>0</v>
      </c>
      <c r="FF60" s="58" cm="1">
        <f t="array" ref="FF60">IF(FF$5="Real",0,IF(INDEX('Supuestos Proyeccion'!$K$43:$K$52,FF$4-2025)="",0,((INDEX('Supuestos Proyeccion'!$K$43:$K$52,FF$4-2025)-SUMIFS($B$59:$HA$59,$B$4:$HA$4,FF$4,$B$5:$HA$5,"Real"))/(1-'Supuestos Proyeccion'!$B$8)-SUMIFS($B$58:$HA$58,$B$4:$HA$4,FF$4,$B$5:$HA$5,"Proyección"))*FF$10/SUMIFS($B$10:$HA$10,$B$4:$HA$4,FF$4,$B$5:$HA$5,"Proyección")))</f>
        <v>0</v>
      </c>
      <c r="FG60" s="58" cm="1">
        <f t="array" ref="FG60">IF(FG$5="Real",0,IF(INDEX('Supuestos Proyeccion'!$K$43:$K$52,FG$4-2025)="",0,((INDEX('Supuestos Proyeccion'!$K$43:$K$52,FG$4-2025)-SUMIFS($B$59:$HA$59,$B$4:$HA$4,FG$4,$B$5:$HA$5,"Real"))/(1-'Supuestos Proyeccion'!$B$8)-SUMIFS($B$58:$HA$58,$B$4:$HA$4,FG$4,$B$5:$HA$5,"Proyección"))*FG$10/SUMIFS($B$10:$HA$10,$B$4:$HA$4,FG$4,$B$5:$HA$5,"Proyección")))</f>
        <v>0</v>
      </c>
      <c r="FH60" s="58" cm="1">
        <f t="array" ref="FH60">IF(FH$5="Real",0,IF(INDEX('Supuestos Proyeccion'!$K$43:$K$52,FH$4-2025)="",0,((INDEX('Supuestos Proyeccion'!$K$43:$K$52,FH$4-2025)-SUMIFS($B$59:$HA$59,$B$4:$HA$4,FH$4,$B$5:$HA$5,"Real"))/(1-'Supuestos Proyeccion'!$B$8)-SUMIFS($B$58:$HA$58,$B$4:$HA$4,FH$4,$B$5:$HA$5,"Proyección"))*FH$10/SUMIFS($B$10:$HA$10,$B$4:$HA$4,FH$4,$B$5:$HA$5,"Proyección")))</f>
        <v>0</v>
      </c>
      <c r="FI60" s="58" cm="1">
        <f t="array" ref="FI60">IF(FI$5="Real",0,IF(INDEX('Supuestos Proyeccion'!$K$43:$K$52,FI$4-2025)="",0,((INDEX('Supuestos Proyeccion'!$K$43:$K$52,FI$4-2025)-SUMIFS($B$59:$HA$59,$B$4:$HA$4,FI$4,$B$5:$HA$5,"Real"))/(1-'Supuestos Proyeccion'!$B$8)-SUMIFS($B$58:$HA$58,$B$4:$HA$4,FI$4,$B$5:$HA$5,"Proyección"))*FI$10/SUMIFS($B$10:$HA$10,$B$4:$HA$4,FI$4,$B$5:$HA$5,"Proyección")))</f>
        <v>0</v>
      </c>
      <c r="FJ60" s="58" cm="1">
        <f t="array" ref="FJ60">IF(FJ$5="Real",0,IF(INDEX('Supuestos Proyeccion'!$K$43:$K$52,FJ$4-2025)="",0,((INDEX('Supuestos Proyeccion'!$K$43:$K$52,FJ$4-2025)-SUMIFS($B$59:$HA$59,$B$4:$HA$4,FJ$4,$B$5:$HA$5,"Real"))/(1-'Supuestos Proyeccion'!$B$8)-SUMIFS($B$58:$HA$58,$B$4:$HA$4,FJ$4,$B$5:$HA$5,"Proyección"))*FJ$10/SUMIFS($B$10:$HA$10,$B$4:$HA$4,FJ$4,$B$5:$HA$5,"Proyección")))</f>
        <v>0</v>
      </c>
      <c r="FK60" s="58" cm="1">
        <f t="array" ref="FK60">IF(FK$5="Real",0,IF(INDEX('Supuestos Proyeccion'!$K$43:$K$52,FK$4-2025)="",0,((INDEX('Supuestos Proyeccion'!$K$43:$K$52,FK$4-2025)-SUMIFS($B$59:$HA$59,$B$4:$HA$4,FK$4,$B$5:$HA$5,"Real"))/(1-'Supuestos Proyeccion'!$B$8)-SUMIFS($B$58:$HA$58,$B$4:$HA$4,FK$4,$B$5:$HA$5,"Proyección"))*FK$10/SUMIFS($B$10:$HA$10,$B$4:$HA$4,FK$4,$B$5:$HA$5,"Proyección")))</f>
        <v>0</v>
      </c>
      <c r="FL60" s="58" cm="1">
        <f t="array" ref="FL60">IF(FL$5="Real",0,IF(INDEX('Supuestos Proyeccion'!$K$43:$K$52,FL$4-2025)="",0,((INDEX('Supuestos Proyeccion'!$K$43:$K$52,FL$4-2025)-SUMIFS($B$59:$HA$59,$B$4:$HA$4,FL$4,$B$5:$HA$5,"Real"))/(1-'Supuestos Proyeccion'!$B$8)-SUMIFS($B$58:$HA$58,$B$4:$HA$4,FL$4,$B$5:$HA$5,"Proyección"))*FL$10/SUMIFS($B$10:$HA$10,$B$4:$HA$4,FL$4,$B$5:$HA$5,"Proyección")))</f>
        <v>0</v>
      </c>
      <c r="FM60" s="58" cm="1">
        <f t="array" ref="FM60">IF(FM$5="Real",0,IF(INDEX('Supuestos Proyeccion'!$K$43:$K$52,FM$4-2025)="",0,((INDEX('Supuestos Proyeccion'!$K$43:$K$52,FM$4-2025)-SUMIFS($B$59:$HA$59,$B$4:$HA$4,FM$4,$B$5:$HA$5,"Real"))/(1-'Supuestos Proyeccion'!$B$8)-SUMIFS($B$58:$HA$58,$B$4:$HA$4,FM$4,$B$5:$HA$5,"Proyección"))*FM$10/SUMIFS($B$10:$HA$10,$B$4:$HA$4,FM$4,$B$5:$HA$5,"Proyección")))</f>
        <v>0</v>
      </c>
      <c r="FN60" s="58">
        <f>SUM(FB60:FM60)</f>
        <v>0</v>
      </c>
      <c r="FO60" s="58" cm="1">
        <f t="array" ref="FO60">IF(FO$5="Real",0,IF(INDEX('Supuestos Proyeccion'!$K$43:$K$52,FO$4-2025)="",0,((INDEX('Supuestos Proyeccion'!$K$43:$K$52,FO$4-2025)-SUMIFS($B$59:$HA$59,$B$4:$HA$4,FO$4,$B$5:$HA$5,"Real"))/(1-'Supuestos Proyeccion'!$B$8)-SUMIFS($B$58:$HA$58,$B$4:$HA$4,FO$4,$B$5:$HA$5,"Proyección"))*FO$10/SUMIFS($B$10:$HA$10,$B$4:$HA$4,FO$4,$B$5:$HA$5,"Proyección")))</f>
        <v>0</v>
      </c>
      <c r="FP60" s="58" cm="1">
        <f t="array" ref="FP60">IF(FP$5="Real",0,IF(INDEX('Supuestos Proyeccion'!$K$43:$K$52,FP$4-2025)="",0,((INDEX('Supuestos Proyeccion'!$K$43:$K$52,FP$4-2025)-SUMIFS($B$59:$HA$59,$B$4:$HA$4,FP$4,$B$5:$HA$5,"Real"))/(1-'Supuestos Proyeccion'!$B$8)-SUMIFS($B$58:$HA$58,$B$4:$HA$4,FP$4,$B$5:$HA$5,"Proyección"))*FP$10/SUMIFS($B$10:$HA$10,$B$4:$HA$4,FP$4,$B$5:$HA$5,"Proyección")))</f>
        <v>0</v>
      </c>
      <c r="FQ60" s="58" cm="1">
        <f t="array" ref="FQ60">IF(FQ$5="Real",0,IF(INDEX('Supuestos Proyeccion'!$K$43:$K$52,FQ$4-2025)="",0,((INDEX('Supuestos Proyeccion'!$K$43:$K$52,FQ$4-2025)-SUMIFS($B$59:$HA$59,$B$4:$HA$4,FQ$4,$B$5:$HA$5,"Real"))/(1-'Supuestos Proyeccion'!$B$8)-SUMIFS($B$58:$HA$58,$B$4:$HA$4,FQ$4,$B$5:$HA$5,"Proyección"))*FQ$10/SUMIFS($B$10:$HA$10,$B$4:$HA$4,FQ$4,$B$5:$HA$5,"Proyección")))</f>
        <v>0</v>
      </c>
      <c r="FR60" s="58" cm="1">
        <f t="array" ref="FR60">IF(FR$5="Real",0,IF(INDEX('Supuestos Proyeccion'!$K$43:$K$52,FR$4-2025)="",0,((INDEX('Supuestos Proyeccion'!$K$43:$K$52,FR$4-2025)-SUMIFS($B$59:$HA$59,$B$4:$HA$4,FR$4,$B$5:$HA$5,"Real"))/(1-'Supuestos Proyeccion'!$B$8)-SUMIFS($B$58:$HA$58,$B$4:$HA$4,FR$4,$B$5:$HA$5,"Proyección"))*FR$10/SUMIFS($B$10:$HA$10,$B$4:$HA$4,FR$4,$B$5:$HA$5,"Proyección")))</f>
        <v>0</v>
      </c>
      <c r="FS60" s="58" cm="1">
        <f t="array" ref="FS60">IF(FS$5="Real",0,IF(INDEX('Supuestos Proyeccion'!$K$43:$K$52,FS$4-2025)="",0,((INDEX('Supuestos Proyeccion'!$K$43:$K$52,FS$4-2025)-SUMIFS($B$59:$HA$59,$B$4:$HA$4,FS$4,$B$5:$HA$5,"Real"))/(1-'Supuestos Proyeccion'!$B$8)-SUMIFS($B$58:$HA$58,$B$4:$HA$4,FS$4,$B$5:$HA$5,"Proyección"))*FS$10/SUMIFS($B$10:$HA$10,$B$4:$HA$4,FS$4,$B$5:$HA$5,"Proyección")))</f>
        <v>0</v>
      </c>
      <c r="FT60" s="58" cm="1">
        <f t="array" ref="FT60">IF(FT$5="Real",0,IF(INDEX('Supuestos Proyeccion'!$K$43:$K$52,FT$4-2025)="",0,((INDEX('Supuestos Proyeccion'!$K$43:$K$52,FT$4-2025)-SUMIFS($B$59:$HA$59,$B$4:$HA$4,FT$4,$B$5:$HA$5,"Real"))/(1-'Supuestos Proyeccion'!$B$8)-SUMIFS($B$58:$HA$58,$B$4:$HA$4,FT$4,$B$5:$HA$5,"Proyección"))*FT$10/SUMIFS($B$10:$HA$10,$B$4:$HA$4,FT$4,$B$5:$HA$5,"Proyección")))</f>
        <v>0</v>
      </c>
      <c r="FU60" s="58" cm="1">
        <f t="array" ref="FU60">IF(FU$5="Real",0,IF(INDEX('Supuestos Proyeccion'!$K$43:$K$52,FU$4-2025)="",0,((INDEX('Supuestos Proyeccion'!$K$43:$K$52,FU$4-2025)-SUMIFS($B$59:$HA$59,$B$4:$HA$4,FU$4,$B$5:$HA$5,"Real"))/(1-'Supuestos Proyeccion'!$B$8)-SUMIFS($B$58:$HA$58,$B$4:$HA$4,FU$4,$B$5:$HA$5,"Proyección"))*FU$10/SUMIFS($B$10:$HA$10,$B$4:$HA$4,FU$4,$B$5:$HA$5,"Proyección")))</f>
        <v>0</v>
      </c>
      <c r="FV60" s="58" cm="1">
        <f t="array" ref="FV60">IF(FV$5="Real",0,IF(INDEX('Supuestos Proyeccion'!$K$43:$K$52,FV$4-2025)="",0,((INDEX('Supuestos Proyeccion'!$K$43:$K$52,FV$4-2025)-SUMIFS($B$59:$HA$59,$B$4:$HA$4,FV$4,$B$5:$HA$5,"Real"))/(1-'Supuestos Proyeccion'!$B$8)-SUMIFS($B$58:$HA$58,$B$4:$HA$4,FV$4,$B$5:$HA$5,"Proyección"))*FV$10/SUMIFS($B$10:$HA$10,$B$4:$HA$4,FV$4,$B$5:$HA$5,"Proyección")))</f>
        <v>0</v>
      </c>
      <c r="FW60" s="58" cm="1">
        <f t="array" ref="FW60">IF(FW$5="Real",0,IF(INDEX('Supuestos Proyeccion'!$K$43:$K$52,FW$4-2025)="",0,((INDEX('Supuestos Proyeccion'!$K$43:$K$52,FW$4-2025)-SUMIFS($B$59:$HA$59,$B$4:$HA$4,FW$4,$B$5:$HA$5,"Real"))/(1-'Supuestos Proyeccion'!$B$8)-SUMIFS($B$58:$HA$58,$B$4:$HA$4,FW$4,$B$5:$HA$5,"Proyección"))*FW$10/SUMIFS($B$10:$HA$10,$B$4:$HA$4,FW$4,$B$5:$HA$5,"Proyección")))</f>
        <v>0</v>
      </c>
      <c r="FX60" s="58" cm="1">
        <f t="array" ref="FX60">IF(FX$5="Real",0,IF(INDEX('Supuestos Proyeccion'!$K$43:$K$52,FX$4-2025)="",0,((INDEX('Supuestos Proyeccion'!$K$43:$K$52,FX$4-2025)-SUMIFS($B$59:$HA$59,$B$4:$HA$4,FX$4,$B$5:$HA$5,"Real"))/(1-'Supuestos Proyeccion'!$B$8)-SUMIFS($B$58:$HA$58,$B$4:$HA$4,FX$4,$B$5:$HA$5,"Proyección"))*FX$10/SUMIFS($B$10:$HA$10,$B$4:$HA$4,FX$4,$B$5:$HA$5,"Proyección")))</f>
        <v>0</v>
      </c>
      <c r="FY60" s="58" cm="1">
        <f t="array" ref="FY60">IF(FY$5="Real",0,IF(INDEX('Supuestos Proyeccion'!$K$43:$K$52,FY$4-2025)="",0,((INDEX('Supuestos Proyeccion'!$K$43:$K$52,FY$4-2025)-SUMIFS($B$59:$HA$59,$B$4:$HA$4,FY$4,$B$5:$HA$5,"Real"))/(1-'Supuestos Proyeccion'!$B$8)-SUMIFS($B$58:$HA$58,$B$4:$HA$4,FY$4,$B$5:$HA$5,"Proyección"))*FY$10/SUMIFS($B$10:$HA$10,$B$4:$HA$4,FY$4,$B$5:$HA$5,"Proyección")))</f>
        <v>0</v>
      </c>
      <c r="FZ60" s="58" cm="1">
        <f t="array" ref="FZ60">IF(FZ$5="Real",0,IF(INDEX('Supuestos Proyeccion'!$K$43:$K$52,FZ$4-2025)="",0,((INDEX('Supuestos Proyeccion'!$K$43:$K$52,FZ$4-2025)-SUMIFS($B$59:$HA$59,$B$4:$HA$4,FZ$4,$B$5:$HA$5,"Real"))/(1-'Supuestos Proyeccion'!$B$8)-SUMIFS($B$58:$HA$58,$B$4:$HA$4,FZ$4,$B$5:$HA$5,"Proyección"))*FZ$10/SUMIFS($B$10:$HA$10,$B$4:$HA$4,FZ$4,$B$5:$HA$5,"Proyección")))</f>
        <v>0</v>
      </c>
      <c r="GA60" s="58">
        <f>SUM(FO60:FZ60)</f>
        <v>0</v>
      </c>
      <c r="GB60" s="58" cm="1">
        <f t="array" ref="GB60">IF(GB$5="Real",0,IF(INDEX('Supuestos Proyeccion'!$K$43:$K$52,GB$4-2025)="",0,((INDEX('Supuestos Proyeccion'!$K$43:$K$52,GB$4-2025)-SUMIFS($B$59:$HA$59,$B$4:$HA$4,GB$4,$B$5:$HA$5,"Real"))/(1-'Supuestos Proyeccion'!$B$8)-SUMIFS($B$58:$HA$58,$B$4:$HA$4,GB$4,$B$5:$HA$5,"Proyección"))*GB$10/SUMIFS($B$10:$HA$10,$B$4:$HA$4,GB$4,$B$5:$HA$5,"Proyección")))</f>
        <v>0</v>
      </c>
      <c r="GC60" s="58" cm="1">
        <f t="array" ref="GC60">IF(GC$5="Real",0,IF(INDEX('Supuestos Proyeccion'!$K$43:$K$52,GC$4-2025)="",0,((INDEX('Supuestos Proyeccion'!$K$43:$K$52,GC$4-2025)-SUMIFS($B$59:$HA$59,$B$4:$HA$4,GC$4,$B$5:$HA$5,"Real"))/(1-'Supuestos Proyeccion'!$B$8)-SUMIFS($B$58:$HA$58,$B$4:$HA$4,GC$4,$B$5:$HA$5,"Proyección"))*GC$10/SUMIFS($B$10:$HA$10,$B$4:$HA$4,GC$4,$B$5:$HA$5,"Proyección")))</f>
        <v>0</v>
      </c>
      <c r="GD60" s="58" cm="1">
        <f t="array" ref="GD60">IF(GD$5="Real",0,IF(INDEX('Supuestos Proyeccion'!$K$43:$K$52,GD$4-2025)="",0,((INDEX('Supuestos Proyeccion'!$K$43:$K$52,GD$4-2025)-SUMIFS($B$59:$HA$59,$B$4:$HA$4,GD$4,$B$5:$HA$5,"Real"))/(1-'Supuestos Proyeccion'!$B$8)-SUMIFS($B$58:$HA$58,$B$4:$HA$4,GD$4,$B$5:$HA$5,"Proyección"))*GD$10/SUMIFS($B$10:$HA$10,$B$4:$HA$4,GD$4,$B$5:$HA$5,"Proyección")))</f>
        <v>0</v>
      </c>
      <c r="GE60" s="58" cm="1">
        <f t="array" ref="GE60">IF(GE$5="Real",0,IF(INDEX('Supuestos Proyeccion'!$K$43:$K$52,GE$4-2025)="",0,((INDEX('Supuestos Proyeccion'!$K$43:$K$52,GE$4-2025)-SUMIFS($B$59:$HA$59,$B$4:$HA$4,GE$4,$B$5:$HA$5,"Real"))/(1-'Supuestos Proyeccion'!$B$8)-SUMIFS($B$58:$HA$58,$B$4:$HA$4,GE$4,$B$5:$HA$5,"Proyección"))*GE$10/SUMIFS($B$10:$HA$10,$B$4:$HA$4,GE$4,$B$5:$HA$5,"Proyección")))</f>
        <v>0</v>
      </c>
      <c r="GF60" s="58" cm="1">
        <f t="array" ref="GF60">IF(GF$5="Real",0,IF(INDEX('Supuestos Proyeccion'!$K$43:$K$52,GF$4-2025)="",0,((INDEX('Supuestos Proyeccion'!$K$43:$K$52,GF$4-2025)-SUMIFS($B$59:$HA$59,$B$4:$HA$4,GF$4,$B$5:$HA$5,"Real"))/(1-'Supuestos Proyeccion'!$B$8)-SUMIFS($B$58:$HA$58,$B$4:$HA$4,GF$4,$B$5:$HA$5,"Proyección"))*GF$10/SUMIFS($B$10:$HA$10,$B$4:$HA$4,GF$4,$B$5:$HA$5,"Proyección")))</f>
        <v>0</v>
      </c>
      <c r="GG60" s="58" cm="1">
        <f t="array" ref="GG60">IF(GG$5="Real",0,IF(INDEX('Supuestos Proyeccion'!$K$43:$K$52,GG$4-2025)="",0,((INDEX('Supuestos Proyeccion'!$K$43:$K$52,GG$4-2025)-SUMIFS($B$59:$HA$59,$B$4:$HA$4,GG$4,$B$5:$HA$5,"Real"))/(1-'Supuestos Proyeccion'!$B$8)-SUMIFS($B$58:$HA$58,$B$4:$HA$4,GG$4,$B$5:$HA$5,"Proyección"))*GG$10/SUMIFS($B$10:$HA$10,$B$4:$HA$4,GG$4,$B$5:$HA$5,"Proyección")))</f>
        <v>0</v>
      </c>
      <c r="GH60" s="58" cm="1">
        <f t="array" ref="GH60">IF(GH$5="Real",0,IF(INDEX('Supuestos Proyeccion'!$K$43:$K$52,GH$4-2025)="",0,((INDEX('Supuestos Proyeccion'!$K$43:$K$52,GH$4-2025)-SUMIFS($B$59:$HA$59,$B$4:$HA$4,GH$4,$B$5:$HA$5,"Real"))/(1-'Supuestos Proyeccion'!$B$8)-SUMIFS($B$58:$HA$58,$B$4:$HA$4,GH$4,$B$5:$HA$5,"Proyección"))*GH$10/SUMIFS($B$10:$HA$10,$B$4:$HA$4,GH$4,$B$5:$HA$5,"Proyección")))</f>
        <v>0</v>
      </c>
      <c r="GI60" s="58" cm="1">
        <f t="array" ref="GI60">IF(GI$5="Real",0,IF(INDEX('Supuestos Proyeccion'!$K$43:$K$52,GI$4-2025)="",0,((INDEX('Supuestos Proyeccion'!$K$43:$K$52,GI$4-2025)-SUMIFS($B$59:$HA$59,$B$4:$HA$4,GI$4,$B$5:$HA$5,"Real"))/(1-'Supuestos Proyeccion'!$B$8)-SUMIFS($B$58:$HA$58,$B$4:$HA$4,GI$4,$B$5:$HA$5,"Proyección"))*GI$10/SUMIFS($B$10:$HA$10,$B$4:$HA$4,GI$4,$B$5:$HA$5,"Proyección")))</f>
        <v>0</v>
      </c>
      <c r="GJ60" s="58" cm="1">
        <f t="array" ref="GJ60">IF(GJ$5="Real",0,IF(INDEX('Supuestos Proyeccion'!$K$43:$K$52,GJ$4-2025)="",0,((INDEX('Supuestos Proyeccion'!$K$43:$K$52,GJ$4-2025)-SUMIFS($B$59:$HA$59,$B$4:$HA$4,GJ$4,$B$5:$HA$5,"Real"))/(1-'Supuestos Proyeccion'!$B$8)-SUMIFS($B$58:$HA$58,$B$4:$HA$4,GJ$4,$B$5:$HA$5,"Proyección"))*GJ$10/SUMIFS($B$10:$HA$10,$B$4:$HA$4,GJ$4,$B$5:$HA$5,"Proyección")))</f>
        <v>0</v>
      </c>
      <c r="GK60" s="58" cm="1">
        <f t="array" ref="GK60">IF(GK$5="Real",0,IF(INDEX('Supuestos Proyeccion'!$K$43:$K$52,GK$4-2025)="",0,((INDEX('Supuestos Proyeccion'!$K$43:$K$52,GK$4-2025)-SUMIFS($B$59:$HA$59,$B$4:$HA$4,GK$4,$B$5:$HA$5,"Real"))/(1-'Supuestos Proyeccion'!$B$8)-SUMIFS($B$58:$HA$58,$B$4:$HA$4,GK$4,$B$5:$HA$5,"Proyección"))*GK$10/SUMIFS($B$10:$HA$10,$B$4:$HA$4,GK$4,$B$5:$HA$5,"Proyección")))</f>
        <v>0</v>
      </c>
      <c r="GL60" s="58" cm="1">
        <f t="array" ref="GL60">IF(GL$5="Real",0,IF(INDEX('Supuestos Proyeccion'!$K$43:$K$52,GL$4-2025)="",0,((INDEX('Supuestos Proyeccion'!$K$43:$K$52,GL$4-2025)-SUMIFS($B$59:$HA$59,$B$4:$HA$4,GL$4,$B$5:$HA$5,"Real"))/(1-'Supuestos Proyeccion'!$B$8)-SUMIFS($B$58:$HA$58,$B$4:$HA$4,GL$4,$B$5:$HA$5,"Proyección"))*GL$10/SUMIFS($B$10:$HA$10,$B$4:$HA$4,GL$4,$B$5:$HA$5,"Proyección")))</f>
        <v>0</v>
      </c>
      <c r="GM60" s="58" cm="1">
        <f t="array" ref="GM60">IF(GM$5="Real",0,IF(INDEX('Supuestos Proyeccion'!$K$43:$K$52,GM$4-2025)="",0,((INDEX('Supuestos Proyeccion'!$K$43:$K$52,GM$4-2025)-SUMIFS($B$59:$HA$59,$B$4:$HA$4,GM$4,$B$5:$HA$5,"Real"))/(1-'Supuestos Proyeccion'!$B$8)-SUMIFS($B$58:$HA$58,$B$4:$HA$4,GM$4,$B$5:$HA$5,"Proyección"))*GM$10/SUMIFS($B$10:$HA$10,$B$4:$HA$4,GM$4,$B$5:$HA$5,"Proyección")))</f>
        <v>0</v>
      </c>
      <c r="GN60" s="58">
        <f>SUM(GB60:GM60)</f>
        <v>0</v>
      </c>
      <c r="GO60" s="58" cm="1">
        <f t="array" ref="GO60">IF(GO$5="Real",0,IF(INDEX('Supuestos Proyeccion'!$K$43:$K$52,GO$4-2025)="",0,((INDEX('Supuestos Proyeccion'!$K$43:$K$52,GO$4-2025)-SUMIFS($B$59:$HA$59,$B$4:$HA$4,GO$4,$B$5:$HA$5,"Real"))/(1-'Supuestos Proyeccion'!$B$8)-SUMIFS($B$58:$HA$58,$B$4:$HA$4,GO$4,$B$5:$HA$5,"Proyección"))*GO$10/SUMIFS($B$10:$HA$10,$B$4:$HA$4,GO$4,$B$5:$HA$5,"Proyección")))</f>
        <v>0</v>
      </c>
      <c r="GP60" s="58" cm="1">
        <f t="array" ref="GP60">IF(GP$5="Real",0,IF(INDEX('Supuestos Proyeccion'!$K$43:$K$52,GP$4-2025)="",0,((INDEX('Supuestos Proyeccion'!$K$43:$K$52,GP$4-2025)-SUMIFS($B$59:$HA$59,$B$4:$HA$4,GP$4,$B$5:$HA$5,"Real"))/(1-'Supuestos Proyeccion'!$B$8)-SUMIFS($B$58:$HA$58,$B$4:$HA$4,GP$4,$B$5:$HA$5,"Proyección"))*GP$10/SUMIFS($B$10:$HA$10,$B$4:$HA$4,GP$4,$B$5:$HA$5,"Proyección")))</f>
        <v>0</v>
      </c>
      <c r="GQ60" s="58" cm="1">
        <f t="array" ref="GQ60">IF(GQ$5="Real",0,IF(INDEX('Supuestos Proyeccion'!$K$43:$K$52,GQ$4-2025)="",0,((INDEX('Supuestos Proyeccion'!$K$43:$K$52,GQ$4-2025)-SUMIFS($B$59:$HA$59,$B$4:$HA$4,GQ$4,$B$5:$HA$5,"Real"))/(1-'Supuestos Proyeccion'!$B$8)-SUMIFS($B$58:$HA$58,$B$4:$HA$4,GQ$4,$B$5:$HA$5,"Proyección"))*GQ$10/SUMIFS($B$10:$HA$10,$B$4:$HA$4,GQ$4,$B$5:$HA$5,"Proyección")))</f>
        <v>0</v>
      </c>
      <c r="GR60" s="58" cm="1">
        <f t="array" ref="GR60">IF(GR$5="Real",0,IF(INDEX('Supuestos Proyeccion'!$K$43:$K$52,GR$4-2025)="",0,((INDEX('Supuestos Proyeccion'!$K$43:$K$52,GR$4-2025)-SUMIFS($B$59:$HA$59,$B$4:$HA$4,GR$4,$B$5:$HA$5,"Real"))/(1-'Supuestos Proyeccion'!$B$8)-SUMIFS($B$58:$HA$58,$B$4:$HA$4,GR$4,$B$5:$HA$5,"Proyección"))*GR$10/SUMIFS($B$10:$HA$10,$B$4:$HA$4,GR$4,$B$5:$HA$5,"Proyección")))</f>
        <v>0</v>
      </c>
      <c r="GS60" s="58" cm="1">
        <f t="array" ref="GS60">IF(GS$5="Real",0,IF(INDEX('Supuestos Proyeccion'!$K$43:$K$52,GS$4-2025)="",0,((INDEX('Supuestos Proyeccion'!$K$43:$K$52,GS$4-2025)-SUMIFS($B$59:$HA$59,$B$4:$HA$4,GS$4,$B$5:$HA$5,"Real"))/(1-'Supuestos Proyeccion'!$B$8)-SUMIFS($B$58:$HA$58,$B$4:$HA$4,GS$4,$B$5:$HA$5,"Proyección"))*GS$10/SUMIFS($B$10:$HA$10,$B$4:$HA$4,GS$4,$B$5:$HA$5,"Proyección")))</f>
        <v>0</v>
      </c>
      <c r="GT60" s="58" cm="1">
        <f t="array" ref="GT60">IF(GT$5="Real",0,IF(INDEX('Supuestos Proyeccion'!$K$43:$K$52,GT$4-2025)="",0,((INDEX('Supuestos Proyeccion'!$K$43:$K$52,GT$4-2025)-SUMIFS($B$59:$HA$59,$B$4:$HA$4,GT$4,$B$5:$HA$5,"Real"))/(1-'Supuestos Proyeccion'!$B$8)-SUMIFS($B$58:$HA$58,$B$4:$HA$4,GT$4,$B$5:$HA$5,"Proyección"))*GT$10/SUMIFS($B$10:$HA$10,$B$4:$HA$4,GT$4,$B$5:$HA$5,"Proyección")))</f>
        <v>0</v>
      </c>
      <c r="GU60" s="58" cm="1">
        <f t="array" ref="GU60">IF(GU$5="Real",0,IF(INDEX('Supuestos Proyeccion'!$K$43:$K$52,GU$4-2025)="",0,((INDEX('Supuestos Proyeccion'!$K$43:$K$52,GU$4-2025)-SUMIFS($B$59:$HA$59,$B$4:$HA$4,GU$4,$B$5:$HA$5,"Real"))/(1-'Supuestos Proyeccion'!$B$8)-SUMIFS($B$58:$HA$58,$B$4:$HA$4,GU$4,$B$5:$HA$5,"Proyección"))*GU$10/SUMIFS($B$10:$HA$10,$B$4:$HA$4,GU$4,$B$5:$HA$5,"Proyección")))</f>
        <v>0</v>
      </c>
      <c r="GV60" s="58" cm="1">
        <f t="array" ref="GV60">IF(GV$5="Real",0,IF(INDEX('Supuestos Proyeccion'!$K$43:$K$52,GV$4-2025)="",0,((INDEX('Supuestos Proyeccion'!$K$43:$K$52,GV$4-2025)-SUMIFS($B$59:$HA$59,$B$4:$HA$4,GV$4,$B$5:$HA$5,"Real"))/(1-'Supuestos Proyeccion'!$B$8)-SUMIFS($B$58:$HA$58,$B$4:$HA$4,GV$4,$B$5:$HA$5,"Proyección"))*GV$10/SUMIFS($B$10:$HA$10,$B$4:$HA$4,GV$4,$B$5:$HA$5,"Proyección")))</f>
        <v>0</v>
      </c>
      <c r="GW60" s="58" cm="1">
        <f t="array" ref="GW60">IF(GW$5="Real",0,IF(INDEX('Supuestos Proyeccion'!$K$43:$K$52,GW$4-2025)="",0,((INDEX('Supuestos Proyeccion'!$K$43:$K$52,GW$4-2025)-SUMIFS($B$59:$HA$59,$B$4:$HA$4,GW$4,$B$5:$HA$5,"Real"))/(1-'Supuestos Proyeccion'!$B$8)-SUMIFS($B$58:$HA$58,$B$4:$HA$4,GW$4,$B$5:$HA$5,"Proyección"))*GW$10/SUMIFS($B$10:$HA$10,$B$4:$HA$4,GW$4,$B$5:$HA$5,"Proyección")))</f>
        <v>0</v>
      </c>
      <c r="GX60" s="58" cm="1">
        <f t="array" ref="GX60">IF(GX$5="Real",0,IF(INDEX('Supuestos Proyeccion'!$K$43:$K$52,GX$4-2025)="",0,((INDEX('Supuestos Proyeccion'!$K$43:$K$52,GX$4-2025)-SUMIFS($B$59:$HA$59,$B$4:$HA$4,GX$4,$B$5:$HA$5,"Real"))/(1-'Supuestos Proyeccion'!$B$8)-SUMIFS($B$58:$HA$58,$B$4:$HA$4,GX$4,$B$5:$HA$5,"Proyección"))*GX$10/SUMIFS($B$10:$HA$10,$B$4:$HA$4,GX$4,$B$5:$HA$5,"Proyección")))</f>
        <v>0</v>
      </c>
      <c r="GY60" s="58" cm="1">
        <f t="array" ref="GY60">IF(GY$5="Real",0,IF(INDEX('Supuestos Proyeccion'!$K$43:$K$52,GY$4-2025)="",0,((INDEX('Supuestos Proyeccion'!$K$43:$K$52,GY$4-2025)-SUMIFS($B$59:$HA$59,$B$4:$HA$4,GY$4,$B$5:$HA$5,"Real"))/(1-'Supuestos Proyeccion'!$B$8)-SUMIFS($B$58:$HA$58,$B$4:$HA$4,GY$4,$B$5:$HA$5,"Proyección"))*GY$10/SUMIFS($B$10:$HA$10,$B$4:$HA$4,GY$4,$B$5:$HA$5,"Proyección")))</f>
        <v>0</v>
      </c>
      <c r="GZ60" s="58" cm="1">
        <f t="array" ref="GZ60">IF(GZ$5="Real",0,IF(INDEX('Supuestos Proyeccion'!$K$43:$K$52,GZ$4-2025)="",0,((INDEX('Supuestos Proyeccion'!$K$43:$K$52,GZ$4-2025)-SUMIFS($B$59:$HA$59,$B$4:$HA$4,GZ$4,$B$5:$HA$5,"Real"))/(1-'Supuestos Proyeccion'!$B$8)-SUMIFS($B$58:$HA$58,$B$4:$HA$4,GZ$4,$B$5:$HA$5,"Proyección"))*GZ$10/SUMIFS($B$10:$HA$10,$B$4:$HA$4,GZ$4,$B$5:$HA$5,"Proyección")))</f>
        <v>0</v>
      </c>
      <c r="HA60" s="58">
        <f>SUM(GO60:GZ60)</f>
        <v>0</v>
      </c>
      <c r="HB60" s="58"/>
      <c r="HC60" s="59">
        <f t="shared" si="19"/>
        <v>0</v>
      </c>
      <c r="HD60" s="59">
        <f t="shared" si="19"/>
        <v>0</v>
      </c>
      <c r="HE60" s="59">
        <f t="shared" si="19"/>
        <v>0</v>
      </c>
      <c r="HF60" s="59">
        <f t="shared" si="19"/>
        <v>0</v>
      </c>
      <c r="HG60" s="59">
        <f t="shared" si="19"/>
        <v>0</v>
      </c>
      <c r="HH60" s="59">
        <f t="shared" si="19"/>
        <v>0</v>
      </c>
      <c r="HI60" s="59">
        <f t="shared" si="19"/>
        <v>0</v>
      </c>
      <c r="HJ60" s="59">
        <f t="shared" si="19"/>
        <v>0</v>
      </c>
      <c r="HK60" s="59">
        <f t="shared" si="19"/>
        <v>0</v>
      </c>
      <c r="HL60" s="59">
        <f t="shared" si="19"/>
        <v>0</v>
      </c>
      <c r="HM60" s="59">
        <f t="shared" si="19"/>
        <v>0</v>
      </c>
      <c r="HN60" s="59">
        <f t="shared" si="19"/>
        <v>0</v>
      </c>
      <c r="HO60" s="59">
        <f t="shared" si="19"/>
        <v>0</v>
      </c>
      <c r="HP60" s="59">
        <f t="shared" si="19"/>
        <v>0</v>
      </c>
      <c r="HQ60" s="59">
        <f t="shared" si="19"/>
        <v>0</v>
      </c>
      <c r="HR60" s="59">
        <f t="shared" si="19"/>
        <v>0</v>
      </c>
    </row>
  </sheetData>
  <conditionalFormatting sqref="B5:HA5">
    <cfRule type="expression" dxfId="2" priority="3">
      <formula>B$5="Proyección"</formula>
    </cfRule>
  </conditionalFormatting>
  <conditionalFormatting sqref="B7:HA55">
    <cfRule type="expression" dxfId="1" priority="1">
      <formula>B$5="Proyección"</formula>
    </cfRule>
    <cfRule type="expression" dxfId="0" priority="2">
      <formula>B$5="Acumulado"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34D8-DE13-4E54-9D3C-272DD6C096E0}">
  <dimension ref="A1:W81"/>
  <sheetViews>
    <sheetView topLeftCell="S1" workbookViewId="0">
      <selection activeCell="B1" sqref="B1:B1048576"/>
    </sheetView>
  </sheetViews>
  <sheetFormatPr defaultRowHeight="14.5" x14ac:dyDescent="0.35"/>
  <cols>
    <col min="1" max="1" width="9.08984375" customWidth="1"/>
    <col min="2" max="11" width="16.36328125" customWidth="1"/>
    <col min="12" max="12" width="3.6328125" customWidth="1"/>
    <col min="13" max="13" width="9.08984375" customWidth="1"/>
    <col min="14" max="23" width="16.36328125" customWidth="1"/>
  </cols>
  <sheetData>
    <row r="1" spans="1:12" ht="18.5" x14ac:dyDescent="0.45">
      <c r="A1" s="60" t="s">
        <v>165</v>
      </c>
    </row>
    <row r="2" spans="1:12" x14ac:dyDescent="0.35">
      <c r="A2" s="45" t="s">
        <v>166</v>
      </c>
      <c r="L2" s="45" t="s">
        <v>167</v>
      </c>
    </row>
    <row r="63" spans="1:23" x14ac:dyDescent="0.35">
      <c r="A63" s="24" t="s">
        <v>168</v>
      </c>
      <c r="M63" s="24" t="s">
        <v>169</v>
      </c>
    </row>
    <row r="64" spans="1:23" x14ac:dyDescent="0.35">
      <c r="A64" s="61" t="s">
        <v>94</v>
      </c>
      <c r="B64" s="61" t="s">
        <v>53</v>
      </c>
      <c r="C64" s="61"/>
      <c r="D64" s="61" t="s">
        <v>170</v>
      </c>
      <c r="E64" s="61"/>
      <c r="F64" s="61" t="s">
        <v>171</v>
      </c>
      <c r="G64" s="61"/>
      <c r="H64" s="61" t="s">
        <v>73</v>
      </c>
      <c r="I64" s="61"/>
      <c r="J64" s="61" t="s">
        <v>172</v>
      </c>
      <c r="K64" s="61"/>
      <c r="M64" s="61" t="s">
        <v>94</v>
      </c>
      <c r="N64" s="61" t="s">
        <v>173</v>
      </c>
      <c r="O64" s="61"/>
      <c r="P64" s="61"/>
      <c r="Q64" s="61"/>
      <c r="R64" s="61"/>
      <c r="S64" s="61" t="s">
        <v>174</v>
      </c>
      <c r="T64" s="61"/>
      <c r="U64" s="61"/>
      <c r="V64" s="61"/>
      <c r="W64" s="61"/>
    </row>
    <row r="65" spans="1:23" ht="43.5" x14ac:dyDescent="0.35">
      <c r="A65" s="61"/>
      <c r="B65" s="62" t="s">
        <v>175</v>
      </c>
      <c r="C65" s="62" t="s">
        <v>176</v>
      </c>
      <c r="D65" s="62" t="s">
        <v>175</v>
      </c>
      <c r="E65" s="62" t="s">
        <v>176</v>
      </c>
      <c r="F65" s="62" t="s">
        <v>175</v>
      </c>
      <c r="G65" s="62" t="s">
        <v>176</v>
      </c>
      <c r="H65" s="62" t="s">
        <v>175</v>
      </c>
      <c r="I65" s="62" t="s">
        <v>176</v>
      </c>
      <c r="J65" s="62" t="s">
        <v>175</v>
      </c>
      <c r="K65" s="62" t="s">
        <v>176</v>
      </c>
      <c r="M65" s="61"/>
      <c r="N65" s="62" t="s">
        <v>53</v>
      </c>
      <c r="O65" s="62" t="s">
        <v>177</v>
      </c>
      <c r="P65" s="62" t="s">
        <v>171</v>
      </c>
      <c r="Q65" s="62" t="s">
        <v>73</v>
      </c>
      <c r="R65" s="62" t="s">
        <v>172</v>
      </c>
      <c r="S65" s="62" t="s">
        <v>178</v>
      </c>
      <c r="T65" s="62" t="s">
        <v>179</v>
      </c>
      <c r="U65" s="62" t="s">
        <v>180</v>
      </c>
      <c r="V65" s="62" t="s">
        <v>181</v>
      </c>
      <c r="W65" s="62" t="s">
        <v>182</v>
      </c>
    </row>
    <row r="66" spans="1:23" x14ac:dyDescent="0.35">
      <c r="A66" s="63" cm="1">
        <f t="array" ref="A66">INDEX('Proyeccion Agromercantil'!$HC$6:$HR$6,ROWS($A$66:A66))</f>
        <v>2020</v>
      </c>
      <c r="B66" s="10">
        <f>SUMIFS('Proyeccion Agromercantil'!$B$7:$HA$7,'Proyeccion Agromercantil'!$B$4:$HA$4,$A66,'Proyeccion Agromercantil'!$B$5:$HA$5,"Real")</f>
        <v>306806133.53000003</v>
      </c>
      <c r="C66" s="10">
        <f>SUMIFS('Proyeccion Agromercantil'!$B$7:$HA$7,'Proyeccion Agromercantil'!$B$4:$HA$4,$A66,'Proyeccion Agromercantil'!$B$5:$HA$5,"Proyección")</f>
        <v>0</v>
      </c>
      <c r="D66" s="10">
        <f>SUMIFS('Proyeccion Agromercantil'!$B$19:$HA$19,'Proyeccion Agromercantil'!$B$4:$HA$4,$A66,'Proyeccion Agromercantil'!$B$5:$HA$5,"Real")</f>
        <v>195125084.57000005</v>
      </c>
      <c r="E66" s="10">
        <f>SUMIFS('Proyeccion Agromercantil'!$B$19:$HA$19,'Proyeccion Agromercantil'!$B$4:$HA$4,$A66,'Proyeccion Agromercantil'!$B$5:$HA$5,"Proyección")</f>
        <v>0</v>
      </c>
      <c r="F66" s="10">
        <f>SUMIFS('Proyeccion Agromercantil'!$B$28:$HA$28,'Proyeccion Agromercantil'!$B$4:$HA$4,$A66,'Proyeccion Agromercantil'!$B$5:$HA$5,"Real")</f>
        <v>92359702.370000005</v>
      </c>
      <c r="G66" s="10">
        <f>SUMIFS('Proyeccion Agromercantil'!$B$28:$HA$28,'Proyeccion Agromercantil'!$B$4:$HA$4,$A66,'Proyeccion Agromercantil'!$B$5:$HA$5,"Proyección")</f>
        <v>0</v>
      </c>
      <c r="H66" s="10">
        <f>SUMIFS('Proyeccion Agromercantil'!$B$40:$HA$40,'Proyeccion Agromercantil'!$B$4:$HA$4,$A66,'Proyeccion Agromercantil'!$B$5:$HA$5,"Real")</f>
        <v>77168737.480000004</v>
      </c>
      <c r="I66" s="10">
        <f>SUMIFS('Proyeccion Agromercantil'!$B$40:$HA$40,'Proyeccion Agromercantil'!$B$4:$HA$4,$A66,'Proyeccion Agromercantil'!$B$5:$HA$5,"Proyección")</f>
        <v>0</v>
      </c>
      <c r="J66" s="10">
        <f>SUMIFS('Proyeccion Agromercantil'!$B$55:$HA$55,'Proyeccion Agromercantil'!$B$4:$HA$4,$A66,'Proyeccion Agromercantil'!$B$5:$HA$5,"Real")</f>
        <v>38297184.180000007</v>
      </c>
      <c r="K66" s="10">
        <f>SUMIFS('Proyeccion Agromercantil'!$B$55:$HA$55,'Proyeccion Agromercantil'!$B$4:$HA$4,$A66,'Proyeccion Agromercantil'!$B$5:$HA$5,"Proyección")</f>
        <v>0</v>
      </c>
      <c r="M66" s="63">
        <f t="shared" ref="M66:M81" si="0">A66</f>
        <v>2020</v>
      </c>
      <c r="N66" s="10">
        <f t="shared" ref="N66:N81" si="1">B66+C66</f>
        <v>306806133.53000003</v>
      </c>
      <c r="O66" s="10">
        <f t="shared" ref="O66:O81" si="2">D66+E66</f>
        <v>195125084.57000005</v>
      </c>
      <c r="P66" s="10">
        <f t="shared" ref="P66:P81" si="3">F66+G66</f>
        <v>92359702.370000005</v>
      </c>
      <c r="Q66" s="10">
        <f t="shared" ref="Q66:Q81" si="4">H66+I66</f>
        <v>77168737.480000004</v>
      </c>
      <c r="R66" s="10">
        <f t="shared" ref="R66:R81" si="5">J66+K66</f>
        <v>38297184.180000007</v>
      </c>
      <c r="S66" s="64">
        <f t="shared" ref="S66:T81" si="6">IFERROR(O66/N66,0)</f>
        <v>0.63598821289835916</v>
      </c>
      <c r="T66" s="64">
        <f t="shared" si="6"/>
        <v>0.47333587361939861</v>
      </c>
      <c r="U66" s="64">
        <f t="shared" ref="U66:U81" si="7">IFERROR(Q66/N66,0)</f>
        <v>0.25152279907876846</v>
      </c>
      <c r="V66" s="64">
        <f t="shared" ref="V66:V81" si="8">IFERROR(Q66/O66,0)</f>
        <v>0.39548342874550374</v>
      </c>
      <c r="W66" s="64">
        <f t="shared" ref="W66:W81" si="9">IFERROR(R66/N66,0)</f>
        <v>0.12482535384598249</v>
      </c>
    </row>
    <row r="67" spans="1:23" x14ac:dyDescent="0.35">
      <c r="A67" s="63" cm="1">
        <f t="array" ref="A67">INDEX('Proyeccion Agromercantil'!$HC$6:$HR$6,ROWS($A$66:A67))</f>
        <v>2021</v>
      </c>
      <c r="B67" s="10">
        <f>SUMIFS('Proyeccion Agromercantil'!$B$7:$HA$7,'Proyeccion Agromercantil'!$B$4:$HA$4,$A67,'Proyeccion Agromercantil'!$B$5:$HA$5,"Real")</f>
        <v>466654437.22999996</v>
      </c>
      <c r="C67" s="10">
        <f>SUMIFS('Proyeccion Agromercantil'!$B$7:$HA$7,'Proyeccion Agromercantil'!$B$4:$HA$4,$A67,'Proyeccion Agromercantil'!$B$5:$HA$5,"Proyección")</f>
        <v>0</v>
      </c>
      <c r="D67" s="10">
        <f>SUMIFS('Proyeccion Agromercantil'!$B$19:$HA$19,'Proyeccion Agromercantil'!$B$4:$HA$4,$A67,'Proyeccion Agromercantil'!$B$5:$HA$5,"Real")</f>
        <v>202569971.75</v>
      </c>
      <c r="E67" s="10">
        <f>SUMIFS('Proyeccion Agromercantil'!$B$19:$HA$19,'Proyeccion Agromercantil'!$B$4:$HA$4,$A67,'Proyeccion Agromercantil'!$B$5:$HA$5,"Proyección")</f>
        <v>0</v>
      </c>
      <c r="F67" s="10">
        <f>SUMIFS('Proyeccion Agromercantil'!$B$28:$HA$28,'Proyeccion Agromercantil'!$B$4:$HA$4,$A67,'Proyeccion Agromercantil'!$B$5:$HA$5,"Real")</f>
        <v>111575400.55999999</v>
      </c>
      <c r="G67" s="10">
        <f>SUMIFS('Proyeccion Agromercantil'!$B$28:$HA$28,'Proyeccion Agromercantil'!$B$4:$HA$4,$A67,'Proyeccion Agromercantil'!$B$5:$HA$5,"Proyección")</f>
        <v>0</v>
      </c>
      <c r="H67" s="10">
        <f>SUMIFS('Proyeccion Agromercantil'!$B$40:$HA$40,'Proyeccion Agromercantil'!$B$4:$HA$4,$A67,'Proyeccion Agromercantil'!$B$5:$HA$5,"Real")</f>
        <v>90981776.469999999</v>
      </c>
      <c r="I67" s="10">
        <f>SUMIFS('Proyeccion Agromercantil'!$B$40:$HA$40,'Proyeccion Agromercantil'!$B$4:$HA$4,$A67,'Proyeccion Agromercantil'!$B$5:$HA$5,"Proyección")</f>
        <v>0</v>
      </c>
      <c r="J67" s="10">
        <f>SUMIFS('Proyeccion Agromercantil'!$B$55:$HA$55,'Proyeccion Agromercantil'!$B$4:$HA$4,$A67,'Proyeccion Agromercantil'!$B$5:$HA$5,"Real")</f>
        <v>20199360.350000001</v>
      </c>
      <c r="K67" s="10">
        <f>SUMIFS('Proyeccion Agromercantil'!$B$55:$HA$55,'Proyeccion Agromercantil'!$B$4:$HA$4,$A67,'Proyeccion Agromercantil'!$B$5:$HA$5,"Proyección")</f>
        <v>0</v>
      </c>
      <c r="M67" s="63">
        <f t="shared" si="0"/>
        <v>2021</v>
      </c>
      <c r="N67" s="10">
        <f t="shared" si="1"/>
        <v>466654437.22999996</v>
      </c>
      <c r="O67" s="10">
        <f t="shared" si="2"/>
        <v>202569971.75</v>
      </c>
      <c r="P67" s="10">
        <f t="shared" si="3"/>
        <v>111575400.55999999</v>
      </c>
      <c r="Q67" s="10">
        <f t="shared" si="4"/>
        <v>90981776.469999999</v>
      </c>
      <c r="R67" s="10">
        <f t="shared" si="5"/>
        <v>20199360.350000001</v>
      </c>
      <c r="S67" s="64">
        <f t="shared" si="6"/>
        <v>0.4340898866245203</v>
      </c>
      <c r="T67" s="64">
        <f t="shared" si="6"/>
        <v>0.55079930947366584</v>
      </c>
      <c r="U67" s="64">
        <f t="shared" si="7"/>
        <v>0.19496605884657606</v>
      </c>
      <c r="V67" s="64">
        <f t="shared" si="8"/>
        <v>0.44913752854882349</v>
      </c>
      <c r="W67" s="64">
        <f t="shared" si="9"/>
        <v>4.3285477943595219E-2</v>
      </c>
    </row>
    <row r="68" spans="1:23" x14ac:dyDescent="0.35">
      <c r="A68" s="63" cm="1">
        <f t="array" ref="A68">INDEX('Proyeccion Agromercantil'!$HC$6:$HR$6,ROWS($A$66:A68))</f>
        <v>2022</v>
      </c>
      <c r="B68" s="10">
        <f>SUMIFS('Proyeccion Agromercantil'!$B$7:$HA$7,'Proyeccion Agromercantil'!$B$4:$HA$4,$A68,'Proyeccion Agromercantil'!$B$5:$HA$5,"Real")</f>
        <v>633484052.64999974</v>
      </c>
      <c r="C68" s="10">
        <f>SUMIFS('Proyeccion Agromercantil'!$B$7:$HA$7,'Proyeccion Agromercantil'!$B$4:$HA$4,$A68,'Proyeccion Agromercantil'!$B$5:$HA$5,"Proyección")</f>
        <v>0</v>
      </c>
      <c r="D68" s="10">
        <f>SUMIFS('Proyeccion Agromercantil'!$B$19:$HA$19,'Proyeccion Agromercantil'!$B$4:$HA$4,$A68,'Proyeccion Agromercantil'!$B$5:$HA$5,"Real")</f>
        <v>256649322.02999994</v>
      </c>
      <c r="E68" s="10">
        <f>SUMIFS('Proyeccion Agromercantil'!$B$19:$HA$19,'Proyeccion Agromercantil'!$B$4:$HA$4,$A68,'Proyeccion Agromercantil'!$B$5:$HA$5,"Proyección")</f>
        <v>0</v>
      </c>
      <c r="F68" s="10">
        <f>SUMIFS('Proyeccion Agromercantil'!$B$28:$HA$28,'Proyeccion Agromercantil'!$B$4:$HA$4,$A68,'Proyeccion Agromercantil'!$B$5:$HA$5,"Real")</f>
        <v>123808504.79000001</v>
      </c>
      <c r="G68" s="10">
        <f>SUMIFS('Proyeccion Agromercantil'!$B$28:$HA$28,'Proyeccion Agromercantil'!$B$4:$HA$4,$A68,'Proyeccion Agromercantil'!$B$5:$HA$5,"Proyección")</f>
        <v>0</v>
      </c>
      <c r="H68" s="10">
        <f>SUMIFS('Proyeccion Agromercantil'!$B$40:$HA$40,'Proyeccion Agromercantil'!$B$4:$HA$4,$A68,'Proyeccion Agromercantil'!$B$5:$HA$5,"Real")</f>
        <v>132867620.14</v>
      </c>
      <c r="I68" s="10">
        <f>SUMIFS('Proyeccion Agromercantil'!$B$40:$HA$40,'Proyeccion Agromercantil'!$B$4:$HA$4,$A68,'Proyeccion Agromercantil'!$B$5:$HA$5,"Proyección")</f>
        <v>0</v>
      </c>
      <c r="J68" s="10">
        <f>SUMIFS('Proyeccion Agromercantil'!$B$55:$HA$55,'Proyeccion Agromercantil'!$B$4:$HA$4,$A68,'Proyeccion Agromercantil'!$B$5:$HA$5,"Real")</f>
        <v>29648289.150000002</v>
      </c>
      <c r="K68" s="10">
        <f>SUMIFS('Proyeccion Agromercantil'!$B$55:$HA$55,'Proyeccion Agromercantil'!$B$4:$HA$4,$A68,'Proyeccion Agromercantil'!$B$5:$HA$5,"Proyección")</f>
        <v>0</v>
      </c>
      <c r="M68" s="63">
        <f t="shared" si="0"/>
        <v>2022</v>
      </c>
      <c r="N68" s="10">
        <f t="shared" si="1"/>
        <v>633484052.64999974</v>
      </c>
      <c r="O68" s="10">
        <f t="shared" si="2"/>
        <v>256649322.02999994</v>
      </c>
      <c r="P68" s="10">
        <f t="shared" si="3"/>
        <v>123808504.79000001</v>
      </c>
      <c r="Q68" s="10">
        <f t="shared" si="4"/>
        <v>132867620.14</v>
      </c>
      <c r="R68" s="10">
        <f t="shared" si="5"/>
        <v>29648289.150000002</v>
      </c>
      <c r="S68" s="64">
        <f t="shared" si="6"/>
        <v>0.40513935742562224</v>
      </c>
      <c r="T68" s="64">
        <f t="shared" si="6"/>
        <v>0.48240339701940821</v>
      </c>
      <c r="U68" s="64">
        <f t="shared" si="7"/>
        <v>0.20974106543674814</v>
      </c>
      <c r="V68" s="64">
        <f t="shared" si="8"/>
        <v>0.51770103692098979</v>
      </c>
      <c r="W68" s="64">
        <f t="shared" si="9"/>
        <v>4.6801950303207863E-2</v>
      </c>
    </row>
    <row r="69" spans="1:23" x14ac:dyDescent="0.35">
      <c r="A69" s="63" cm="1">
        <f t="array" ref="A69">INDEX('Proyeccion Agromercantil'!$HC$6:$HR$6,ROWS($A$66:A69))</f>
        <v>2023</v>
      </c>
      <c r="B69" s="10">
        <f>SUMIFS('Proyeccion Agromercantil'!$B$7:$HA$7,'Proyeccion Agromercantil'!$B$4:$HA$4,$A69,'Proyeccion Agromercantil'!$B$5:$HA$5,"Real")</f>
        <v>676872047.57999992</v>
      </c>
      <c r="C69" s="10">
        <f>SUMIFS('Proyeccion Agromercantil'!$B$7:$HA$7,'Proyeccion Agromercantil'!$B$4:$HA$4,$A69,'Proyeccion Agromercantil'!$B$5:$HA$5,"Proyección")</f>
        <v>0</v>
      </c>
      <c r="D69" s="10">
        <f>SUMIFS('Proyeccion Agromercantil'!$B$19:$HA$19,'Proyeccion Agromercantil'!$B$4:$HA$4,$A69,'Proyeccion Agromercantil'!$B$5:$HA$5,"Real")</f>
        <v>303103896.09000003</v>
      </c>
      <c r="E69" s="10">
        <f>SUMIFS('Proyeccion Agromercantil'!$B$19:$HA$19,'Proyeccion Agromercantil'!$B$4:$HA$4,$A69,'Proyeccion Agromercantil'!$B$5:$HA$5,"Proyección")</f>
        <v>0</v>
      </c>
      <c r="F69" s="10">
        <f>SUMIFS('Proyeccion Agromercantil'!$B$28:$HA$28,'Proyeccion Agromercantil'!$B$4:$HA$4,$A69,'Proyeccion Agromercantil'!$B$5:$HA$5,"Real")</f>
        <v>140037069.28999996</v>
      </c>
      <c r="G69" s="10">
        <f>SUMIFS('Proyeccion Agromercantil'!$B$28:$HA$28,'Proyeccion Agromercantil'!$B$4:$HA$4,$A69,'Proyeccion Agromercantil'!$B$5:$HA$5,"Proyección")</f>
        <v>0</v>
      </c>
      <c r="H69" s="10">
        <f>SUMIFS('Proyeccion Agromercantil'!$B$40:$HA$40,'Proyeccion Agromercantil'!$B$4:$HA$4,$A69,'Proyeccion Agromercantil'!$B$5:$HA$5,"Real")</f>
        <v>145356583.26999998</v>
      </c>
      <c r="I69" s="10">
        <f>SUMIFS('Proyeccion Agromercantil'!$B$40:$HA$40,'Proyeccion Agromercantil'!$B$4:$HA$4,$A69,'Proyeccion Agromercantil'!$B$5:$HA$5,"Proyección")</f>
        <v>0</v>
      </c>
      <c r="J69" s="10">
        <f>SUMIFS('Proyeccion Agromercantil'!$B$55:$HA$55,'Proyeccion Agromercantil'!$B$4:$HA$4,$A69,'Proyeccion Agromercantil'!$B$5:$HA$5,"Real")</f>
        <v>39463753.090000004</v>
      </c>
      <c r="K69" s="10">
        <f>SUMIFS('Proyeccion Agromercantil'!$B$55:$HA$55,'Proyeccion Agromercantil'!$B$4:$HA$4,$A69,'Proyeccion Agromercantil'!$B$5:$HA$5,"Proyección")</f>
        <v>0</v>
      </c>
      <c r="M69" s="63">
        <f t="shared" si="0"/>
        <v>2023</v>
      </c>
      <c r="N69" s="10">
        <f t="shared" si="1"/>
        <v>676872047.57999992</v>
      </c>
      <c r="O69" s="10">
        <f t="shared" si="2"/>
        <v>303103896.09000003</v>
      </c>
      <c r="P69" s="10">
        <f t="shared" si="3"/>
        <v>140037069.28999996</v>
      </c>
      <c r="Q69" s="10">
        <f t="shared" si="4"/>
        <v>145356583.26999998</v>
      </c>
      <c r="R69" s="10">
        <f t="shared" si="5"/>
        <v>39463753.090000004</v>
      </c>
      <c r="S69" s="64">
        <f t="shared" si="6"/>
        <v>0.44780087636013066</v>
      </c>
      <c r="T69" s="64">
        <f t="shared" si="6"/>
        <v>0.4620101262189617</v>
      </c>
      <c r="U69" s="64">
        <f t="shared" si="7"/>
        <v>0.21474750477536922</v>
      </c>
      <c r="V69" s="64">
        <f t="shared" si="8"/>
        <v>0.47956026017837639</v>
      </c>
      <c r="W69" s="64">
        <f t="shared" si="9"/>
        <v>5.8303121293150698E-2</v>
      </c>
    </row>
    <row r="70" spans="1:23" x14ac:dyDescent="0.35">
      <c r="A70" s="63" cm="1">
        <f t="array" ref="A70">INDEX('Proyeccion Agromercantil'!$HC$6:$HR$6,ROWS($A$66:A70))</f>
        <v>2024</v>
      </c>
      <c r="B70" s="10">
        <f>SUMIFS('Proyeccion Agromercantil'!$B$7:$HA$7,'Proyeccion Agromercantil'!$B$4:$HA$4,$A70,'Proyeccion Agromercantil'!$B$5:$HA$5,"Real")</f>
        <v>774927751.51999998</v>
      </c>
      <c r="C70" s="10">
        <f>SUMIFS('Proyeccion Agromercantil'!$B$7:$HA$7,'Proyeccion Agromercantil'!$B$4:$HA$4,$A70,'Proyeccion Agromercantil'!$B$5:$HA$5,"Proyección")</f>
        <v>0</v>
      </c>
      <c r="D70" s="10">
        <f>SUMIFS('Proyeccion Agromercantil'!$B$19:$HA$19,'Proyeccion Agromercantil'!$B$4:$HA$4,$A70,'Proyeccion Agromercantil'!$B$5:$HA$5,"Real")</f>
        <v>350235900.29000008</v>
      </c>
      <c r="E70" s="10">
        <f>SUMIFS('Proyeccion Agromercantil'!$B$19:$HA$19,'Proyeccion Agromercantil'!$B$4:$HA$4,$A70,'Proyeccion Agromercantil'!$B$5:$HA$5,"Proyección")</f>
        <v>0</v>
      </c>
      <c r="F70" s="10">
        <f>SUMIFS('Proyeccion Agromercantil'!$B$28:$HA$28,'Proyeccion Agromercantil'!$B$4:$HA$4,$A70,'Proyeccion Agromercantil'!$B$5:$HA$5,"Real")</f>
        <v>166968531.11999997</v>
      </c>
      <c r="G70" s="10">
        <f>SUMIFS('Proyeccion Agromercantil'!$B$28:$HA$28,'Proyeccion Agromercantil'!$B$4:$HA$4,$A70,'Proyeccion Agromercantil'!$B$5:$HA$5,"Proyección")</f>
        <v>0</v>
      </c>
      <c r="H70" s="10">
        <f>SUMIFS('Proyeccion Agromercantil'!$B$40:$HA$40,'Proyeccion Agromercantil'!$B$4:$HA$4,$A70,'Proyeccion Agromercantil'!$B$5:$HA$5,"Real")</f>
        <v>188705923.38999999</v>
      </c>
      <c r="I70" s="10">
        <f>SUMIFS('Proyeccion Agromercantil'!$B$40:$HA$40,'Proyeccion Agromercantil'!$B$4:$HA$4,$A70,'Proyeccion Agromercantil'!$B$5:$HA$5,"Proyección")</f>
        <v>0</v>
      </c>
      <c r="J70" s="10">
        <f>SUMIFS('Proyeccion Agromercantil'!$B$55:$HA$55,'Proyeccion Agromercantil'!$B$4:$HA$4,$A70,'Proyeccion Agromercantil'!$B$5:$HA$5,"Real")</f>
        <v>18927654.980000004</v>
      </c>
      <c r="K70" s="10">
        <f>SUMIFS('Proyeccion Agromercantil'!$B$55:$HA$55,'Proyeccion Agromercantil'!$B$4:$HA$4,$A70,'Proyeccion Agromercantil'!$B$5:$HA$5,"Proyección")</f>
        <v>0</v>
      </c>
      <c r="M70" s="63">
        <f t="shared" si="0"/>
        <v>2024</v>
      </c>
      <c r="N70" s="10">
        <f t="shared" si="1"/>
        <v>774927751.51999998</v>
      </c>
      <c r="O70" s="10">
        <f t="shared" si="2"/>
        <v>350235900.29000008</v>
      </c>
      <c r="P70" s="10">
        <f t="shared" si="3"/>
        <v>166968531.11999997</v>
      </c>
      <c r="Q70" s="10">
        <f t="shared" si="4"/>
        <v>188705923.38999999</v>
      </c>
      <c r="R70" s="10">
        <f t="shared" si="5"/>
        <v>18927654.980000004</v>
      </c>
      <c r="S70" s="64">
        <f t="shared" si="6"/>
        <v>0.45195942409214507</v>
      </c>
      <c r="T70" s="64">
        <f t="shared" si="6"/>
        <v>0.47673162854449747</v>
      </c>
      <c r="U70" s="64">
        <f t="shared" si="7"/>
        <v>0.24351421538312235</v>
      </c>
      <c r="V70" s="64">
        <f t="shared" si="8"/>
        <v>0.53879663173806258</v>
      </c>
      <c r="W70" s="64">
        <f t="shared" si="9"/>
        <v>2.44250576171442E-2</v>
      </c>
    </row>
    <row r="71" spans="1:23" x14ac:dyDescent="0.35">
      <c r="A71" s="63" cm="1">
        <f t="array" ref="A71">INDEX('Proyeccion Agromercantil'!$HC$6:$HR$6,ROWS($A$66:A71))</f>
        <v>2025</v>
      </c>
      <c r="B71" s="10">
        <f>SUMIFS('Proyeccion Agromercantil'!$B$7:$HA$7,'Proyeccion Agromercantil'!$B$4:$HA$4,$A71,'Proyeccion Agromercantil'!$B$5:$HA$5,"Real")</f>
        <v>761226769.03000009</v>
      </c>
      <c r="C71" s="10">
        <f>SUMIFS('Proyeccion Agromercantil'!$B$7:$HA$7,'Proyeccion Agromercantil'!$B$4:$HA$4,$A71,'Proyeccion Agromercantil'!$B$5:$HA$5,"Proyección")</f>
        <v>0</v>
      </c>
      <c r="D71" s="10">
        <f>SUMIFS('Proyeccion Agromercantil'!$B$19:$HA$19,'Proyeccion Agromercantil'!$B$4:$HA$4,$A71,'Proyeccion Agromercantil'!$B$5:$HA$5,"Real")</f>
        <v>360035243.07000005</v>
      </c>
      <c r="E71" s="10">
        <f>SUMIFS('Proyeccion Agromercantil'!$B$19:$HA$19,'Proyeccion Agromercantil'!$B$4:$HA$4,$A71,'Proyeccion Agromercantil'!$B$5:$HA$5,"Proyección")</f>
        <v>0</v>
      </c>
      <c r="F71" s="10">
        <f>SUMIFS('Proyeccion Agromercantil'!$B$28:$HA$28,'Proyeccion Agromercantil'!$B$4:$HA$4,$A71,'Proyeccion Agromercantil'!$B$5:$HA$5,"Real")</f>
        <v>191206347.05999997</v>
      </c>
      <c r="G71" s="10">
        <f>SUMIFS('Proyeccion Agromercantil'!$B$28:$HA$28,'Proyeccion Agromercantil'!$B$4:$HA$4,$A71,'Proyeccion Agromercantil'!$B$5:$HA$5,"Proyección")</f>
        <v>0</v>
      </c>
      <c r="H71" s="10">
        <f>SUMIFS('Proyeccion Agromercantil'!$B$40:$HA$40,'Proyeccion Agromercantil'!$B$4:$HA$4,$A71,'Proyeccion Agromercantil'!$B$5:$HA$5,"Real")</f>
        <v>183301317.11000001</v>
      </c>
      <c r="I71" s="10">
        <f>SUMIFS('Proyeccion Agromercantil'!$B$40:$HA$40,'Proyeccion Agromercantil'!$B$4:$HA$4,$A71,'Proyeccion Agromercantil'!$B$5:$HA$5,"Proyección")</f>
        <v>0</v>
      </c>
      <c r="J71" s="10">
        <f>SUMIFS('Proyeccion Agromercantil'!$B$55:$HA$55,'Proyeccion Agromercantil'!$B$4:$HA$4,$A71,'Proyeccion Agromercantil'!$B$5:$HA$5,"Real")</f>
        <v>17936246.079999998</v>
      </c>
      <c r="K71" s="10">
        <f>SUMIFS('Proyeccion Agromercantil'!$B$55:$HA$55,'Proyeccion Agromercantil'!$B$4:$HA$4,$A71,'Proyeccion Agromercantil'!$B$5:$HA$5,"Proyección")</f>
        <v>0</v>
      </c>
      <c r="M71" s="63">
        <f t="shared" si="0"/>
        <v>2025</v>
      </c>
      <c r="N71" s="10">
        <f t="shared" si="1"/>
        <v>761226769.03000009</v>
      </c>
      <c r="O71" s="10">
        <f t="shared" si="2"/>
        <v>360035243.07000005</v>
      </c>
      <c r="P71" s="10">
        <f t="shared" si="3"/>
        <v>191206347.05999997</v>
      </c>
      <c r="Q71" s="10">
        <f t="shared" si="4"/>
        <v>183301317.11000001</v>
      </c>
      <c r="R71" s="10">
        <f t="shared" si="5"/>
        <v>17936246.079999998</v>
      </c>
      <c r="S71" s="64">
        <f t="shared" si="6"/>
        <v>0.47296713373437738</v>
      </c>
      <c r="T71" s="64">
        <f t="shared" si="6"/>
        <v>0.53107675079137895</v>
      </c>
      <c r="U71" s="64">
        <f t="shared" si="7"/>
        <v>0.2407972559130748</v>
      </c>
      <c r="V71" s="64">
        <f t="shared" si="8"/>
        <v>0.50912048372542673</v>
      </c>
      <c r="W71" s="64">
        <f t="shared" si="9"/>
        <v>2.356229025268701E-2</v>
      </c>
    </row>
    <row r="72" spans="1:23" x14ac:dyDescent="0.35">
      <c r="A72" s="63" cm="1">
        <f t="array" ref="A72">INDEX('Proyeccion Agromercantil'!$HC$6:$HR$6,ROWS($A$66:A72))</f>
        <v>2026</v>
      </c>
      <c r="B72" s="10">
        <f>SUMIFS('Proyeccion Agromercantil'!$B$7:$HA$7,'Proyeccion Agromercantil'!$B$4:$HA$4,$A72,'Proyeccion Agromercantil'!$B$5:$HA$5,"Real")</f>
        <v>469544068.63000005</v>
      </c>
      <c r="C72" s="10">
        <f>SUMIFS('Proyeccion Agromercantil'!$B$7:$HA$7,'Proyeccion Agromercantil'!$B$4:$HA$4,$A72,'Proyeccion Agromercantil'!$B$5:$HA$5,"Proyección")</f>
        <v>200476356.28574365</v>
      </c>
      <c r="D72" s="10">
        <f>SUMIFS('Proyeccion Agromercantil'!$B$19:$HA$19,'Proyeccion Agromercantil'!$B$4:$HA$4,$A72,'Proyeccion Agromercantil'!$B$5:$HA$5,"Real")</f>
        <v>231577350.81</v>
      </c>
      <c r="E72" s="10">
        <f>SUMIFS('Proyeccion Agromercantil'!$B$19:$HA$19,'Proyeccion Agromercantil'!$B$4:$HA$4,$A72,'Proyeccion Agromercantil'!$B$5:$HA$5,"Proyección")</f>
        <v>99865398.545911908</v>
      </c>
      <c r="F72" s="10">
        <f>SUMIFS('Proyeccion Agromercantil'!$B$28:$HA$28,'Proyeccion Agromercantil'!$B$4:$HA$4,$A72,'Proyeccion Agromercantil'!$B$5:$HA$5,"Real")</f>
        <v>110313559.60000002</v>
      </c>
      <c r="G72" s="10">
        <f>SUMIFS('Proyeccion Agromercantil'!$B$28:$HA$28,'Proyeccion Agromercantil'!$B$4:$HA$4,$A72,'Proyeccion Agromercantil'!$B$5:$HA$5,"Proyección")</f>
        <v>53100245.659624591</v>
      </c>
      <c r="H72" s="10">
        <f>SUMIFS('Proyeccion Agromercantil'!$B$40:$HA$40,'Proyeccion Agromercantil'!$B$4:$HA$4,$A72,'Proyeccion Agromercantil'!$B$5:$HA$5,"Real")</f>
        <v>111807365.09</v>
      </c>
      <c r="I72" s="10">
        <f>SUMIFS('Proyeccion Agromercantil'!$B$40:$HA$40,'Proyeccion Agromercantil'!$B$4:$HA$4,$A72,'Proyeccion Agromercantil'!$B$5:$HA$5,"Proyección")</f>
        <v>41821785.245266765</v>
      </c>
      <c r="J72" s="10">
        <f>SUMIFS('Proyeccion Agromercantil'!$B$55:$HA$55,'Proyeccion Agromercantil'!$B$4:$HA$4,$A72,'Proyeccion Agromercantil'!$B$5:$HA$5,"Real")</f>
        <v>23950878.240000002</v>
      </c>
      <c r="K72" s="10">
        <f>SUMIFS('Proyeccion Agromercantil'!$B$55:$HA$55,'Proyeccion Agromercantil'!$B$4:$HA$4,$A72,'Proyeccion Agromercantil'!$B$5:$HA$5,"Proyección")</f>
        <v>11758121.259142213</v>
      </c>
      <c r="M72" s="63">
        <f t="shared" si="0"/>
        <v>2026</v>
      </c>
      <c r="N72" s="10">
        <f t="shared" si="1"/>
        <v>670020424.91574371</v>
      </c>
      <c r="O72" s="10">
        <f t="shared" si="2"/>
        <v>331442749.35591191</v>
      </c>
      <c r="P72" s="10">
        <f t="shared" si="3"/>
        <v>163413805.2596246</v>
      </c>
      <c r="Q72" s="10">
        <f t="shared" si="4"/>
        <v>153629150.33526677</v>
      </c>
      <c r="R72" s="10">
        <f t="shared" si="5"/>
        <v>35708999.499142215</v>
      </c>
      <c r="S72" s="64">
        <f t="shared" si="6"/>
        <v>0.49467559052038068</v>
      </c>
      <c r="T72" s="64">
        <f t="shared" si="6"/>
        <v>0.49303780389579915</v>
      </c>
      <c r="U72" s="64">
        <f t="shared" si="7"/>
        <v>0.22929024940483853</v>
      </c>
      <c r="V72" s="64">
        <f t="shared" si="8"/>
        <v>0.46351640104908665</v>
      </c>
      <c r="W72" s="64">
        <f t="shared" si="9"/>
        <v>5.3295389470601119E-2</v>
      </c>
    </row>
    <row r="73" spans="1:23" x14ac:dyDescent="0.35">
      <c r="A73" s="63" cm="1">
        <f t="array" ref="A73">INDEX('Proyeccion Agromercantil'!$HC$6:$HR$6,ROWS($A$66:A73))</f>
        <v>2027</v>
      </c>
      <c r="B73" s="10">
        <f>SUMIFS('Proyeccion Agromercantil'!$B$7:$HA$7,'Proyeccion Agromercantil'!$B$4:$HA$4,$A73,'Proyeccion Agromercantil'!$B$5:$HA$5,"Real")</f>
        <v>0</v>
      </c>
      <c r="C73" s="10">
        <f>SUMIFS('Proyeccion Agromercantil'!$B$7:$HA$7,'Proyeccion Agromercantil'!$B$4:$HA$4,$A73,'Proyeccion Agromercantil'!$B$5:$HA$5,"Proyección")</f>
        <v>827742525.55625701</v>
      </c>
      <c r="D73" s="10">
        <f>SUMIFS('Proyeccion Agromercantil'!$B$19:$HA$19,'Proyeccion Agromercantil'!$B$4:$HA$4,$A73,'Proyeccion Agromercantil'!$B$5:$HA$5,"Real")</f>
        <v>0</v>
      </c>
      <c r="E73" s="10">
        <f>SUMIFS('Proyeccion Agromercantil'!$B$19:$HA$19,'Proyeccion Agromercantil'!$B$4:$HA$4,$A73,'Proyeccion Agromercantil'!$B$5:$HA$5,"Proyección")</f>
        <v>373718922.92261147</v>
      </c>
      <c r="F73" s="10">
        <f>SUMIFS('Proyeccion Agromercantil'!$B$28:$HA$28,'Proyeccion Agromercantil'!$B$4:$HA$4,$A73,'Proyeccion Agromercantil'!$B$5:$HA$5,"Real")</f>
        <v>0</v>
      </c>
      <c r="G73" s="10">
        <f>SUMIFS('Proyeccion Agromercantil'!$B$28:$HA$28,'Proyeccion Agromercantil'!$B$4:$HA$4,$A73,'Proyeccion Agromercantil'!$B$5:$HA$5,"Proyección")</f>
        <v>219244464.85503569</v>
      </c>
      <c r="H73" s="10">
        <f>SUMIFS('Proyeccion Agromercantil'!$B$40:$HA$40,'Proyeccion Agromercantil'!$B$4:$HA$4,$A73,'Proyeccion Agromercantil'!$B$5:$HA$5,"Real")</f>
        <v>0</v>
      </c>
      <c r="I73" s="10">
        <f>SUMIFS('Proyeccion Agromercantil'!$B$40:$HA$40,'Proyeccion Agromercantil'!$B$4:$HA$4,$A73,'Proyeccion Agromercantil'!$B$5:$HA$5,"Proyección")</f>
        <v>172677071.66847715</v>
      </c>
      <c r="J73" s="10">
        <f>SUMIFS('Proyeccion Agromercantil'!$B$55:$HA$55,'Proyeccion Agromercantil'!$B$4:$HA$4,$A73,'Proyeccion Agromercantil'!$B$5:$HA$5,"Real")</f>
        <v>0</v>
      </c>
      <c r="K73" s="10">
        <f>SUMIFS('Proyeccion Agromercantil'!$B$55:$HA$55,'Proyeccion Agromercantil'!$B$4:$HA$4,$A73,'Proyeccion Agromercantil'!$B$5:$HA$5,"Proyección")</f>
        <v>19587970.923134089</v>
      </c>
      <c r="M73" s="63">
        <f t="shared" si="0"/>
        <v>2027</v>
      </c>
      <c r="N73" s="10">
        <f t="shared" si="1"/>
        <v>827742525.55625701</v>
      </c>
      <c r="O73" s="10">
        <f t="shared" si="2"/>
        <v>373718922.92261147</v>
      </c>
      <c r="P73" s="10">
        <f t="shared" si="3"/>
        <v>219244464.85503569</v>
      </c>
      <c r="Q73" s="10">
        <f t="shared" si="4"/>
        <v>172677071.66847715</v>
      </c>
      <c r="R73" s="10">
        <f t="shared" si="5"/>
        <v>19587970.923134089</v>
      </c>
      <c r="S73" s="64">
        <f t="shared" si="6"/>
        <v>0.45149175182399387</v>
      </c>
      <c r="T73" s="64">
        <f t="shared" si="6"/>
        <v>0.58665604390719106</v>
      </c>
      <c r="U73" s="64">
        <f t="shared" si="7"/>
        <v>0.20861205790101847</v>
      </c>
      <c r="V73" s="64">
        <f t="shared" si="8"/>
        <v>0.46205065110988391</v>
      </c>
      <c r="W73" s="64">
        <f t="shared" si="9"/>
        <v>2.3664328361008926E-2</v>
      </c>
    </row>
    <row r="74" spans="1:23" x14ac:dyDescent="0.35">
      <c r="A74" s="63" cm="1">
        <f t="array" ref="A74">INDEX('Proyeccion Agromercantil'!$HC$6:$HR$6,ROWS($A$66:A74))</f>
        <v>2028</v>
      </c>
      <c r="B74" s="10">
        <f>SUMIFS('Proyeccion Agromercantil'!$B$7:$HA$7,'Proyeccion Agromercantil'!$B$4:$HA$4,$A74,'Proyeccion Agromercantil'!$B$5:$HA$5,"Real")</f>
        <v>0</v>
      </c>
      <c r="C74" s="10">
        <f>SUMIFS('Proyeccion Agromercantil'!$B$7:$HA$7,'Proyeccion Agromercantil'!$B$4:$HA$4,$A74,'Proyeccion Agromercantil'!$B$5:$HA$5,"Proyección")</f>
        <v>1034678156.9453213</v>
      </c>
      <c r="D74" s="10">
        <f>SUMIFS('Proyeccion Agromercantil'!$B$19:$HA$19,'Proyeccion Agromercantil'!$B$4:$HA$4,$A74,'Proyeccion Agromercantil'!$B$5:$HA$5,"Real")</f>
        <v>0</v>
      </c>
      <c r="E74" s="10">
        <f>SUMIFS('Proyeccion Agromercantil'!$B$19:$HA$19,'Proyeccion Agromercantil'!$B$4:$HA$4,$A74,'Proyeccion Agromercantil'!$B$5:$HA$5,"Proyección")</f>
        <v>467148653.65326434</v>
      </c>
      <c r="F74" s="10">
        <f>SUMIFS('Proyeccion Agromercantil'!$B$28:$HA$28,'Proyeccion Agromercantil'!$B$4:$HA$4,$A74,'Proyeccion Agromercantil'!$B$5:$HA$5,"Real")</f>
        <v>0</v>
      </c>
      <c r="G74" s="10">
        <f>SUMIFS('Proyeccion Agromercantil'!$B$28:$HA$28,'Proyeccion Agromercantil'!$B$4:$HA$4,$A74,'Proyeccion Agromercantil'!$B$5:$HA$5,"Proyección")</f>
        <v>274055581.06879461</v>
      </c>
      <c r="H74" s="10">
        <f>SUMIFS('Proyeccion Agromercantil'!$B$40:$HA$40,'Proyeccion Agromercantil'!$B$4:$HA$4,$A74,'Proyeccion Agromercantil'!$B$5:$HA$5,"Real")</f>
        <v>0</v>
      </c>
      <c r="I74" s="10">
        <f>SUMIFS('Proyeccion Agromercantil'!$B$40:$HA$40,'Proyeccion Agromercantil'!$B$4:$HA$4,$A74,'Proyeccion Agromercantil'!$B$5:$HA$5,"Proyección")</f>
        <v>215846339.58559641</v>
      </c>
      <c r="J74" s="10">
        <f>SUMIFS('Proyeccion Agromercantil'!$B$55:$HA$55,'Proyeccion Agromercantil'!$B$4:$HA$4,$A74,'Proyeccion Agromercantil'!$B$5:$HA$5,"Real")</f>
        <v>0</v>
      </c>
      <c r="K74" s="10">
        <f>SUMIFS('Proyeccion Agromercantil'!$B$55:$HA$55,'Proyeccion Agromercantil'!$B$4:$HA$4,$A74,'Proyeccion Agromercantil'!$B$5:$HA$5,"Proyección")</f>
        <v>24484963.653917596</v>
      </c>
      <c r="M74" s="63">
        <f t="shared" si="0"/>
        <v>2028</v>
      </c>
      <c r="N74" s="10">
        <f t="shared" si="1"/>
        <v>1034678156.9453213</v>
      </c>
      <c r="O74" s="10">
        <f t="shared" si="2"/>
        <v>467148653.65326434</v>
      </c>
      <c r="P74" s="10">
        <f t="shared" si="3"/>
        <v>274055581.06879461</v>
      </c>
      <c r="Q74" s="10">
        <f t="shared" si="4"/>
        <v>215846339.58559641</v>
      </c>
      <c r="R74" s="10">
        <f t="shared" si="5"/>
        <v>24484963.653917596</v>
      </c>
      <c r="S74" s="64">
        <f t="shared" si="6"/>
        <v>0.45149175182399381</v>
      </c>
      <c r="T74" s="64">
        <f t="shared" si="6"/>
        <v>0.58665604390719095</v>
      </c>
      <c r="U74" s="64">
        <f t="shared" si="7"/>
        <v>0.20861205790101844</v>
      </c>
      <c r="V74" s="64">
        <f t="shared" si="8"/>
        <v>0.46205065110988386</v>
      </c>
      <c r="W74" s="64">
        <f t="shared" si="9"/>
        <v>2.3664328361008909E-2</v>
      </c>
    </row>
    <row r="75" spans="1:23" x14ac:dyDescent="0.35">
      <c r="A75" s="63" cm="1">
        <f t="array" ref="A75">INDEX('Proyeccion Agromercantil'!$HC$6:$HR$6,ROWS($A$66:A75))</f>
        <v>2029</v>
      </c>
      <c r="B75" s="10">
        <f>SUMIFS('Proyeccion Agromercantil'!$B$7:$HA$7,'Proyeccion Agromercantil'!$B$4:$HA$4,$A75,'Proyeccion Agromercantil'!$B$5:$HA$5,"Real")</f>
        <v>0</v>
      </c>
      <c r="C75" s="10">
        <f>SUMIFS('Proyeccion Agromercantil'!$B$7:$HA$7,'Proyeccion Agromercantil'!$B$4:$HA$4,$A75,'Proyeccion Agromercantil'!$B$5:$HA$5,"Proyección")</f>
        <v>1293347696.1816516</v>
      </c>
      <c r="D75" s="10">
        <f>SUMIFS('Proyeccion Agromercantil'!$B$19:$HA$19,'Proyeccion Agromercantil'!$B$4:$HA$4,$A75,'Proyeccion Agromercantil'!$B$5:$HA$5,"Real")</f>
        <v>0</v>
      </c>
      <c r="E75" s="10">
        <f>SUMIFS('Proyeccion Agromercantil'!$B$19:$HA$19,'Proyeccion Agromercantil'!$B$4:$HA$4,$A75,'Proyeccion Agromercantil'!$B$5:$HA$5,"Proyección")</f>
        <v>583935817.0665803</v>
      </c>
      <c r="F75" s="10">
        <f>SUMIFS('Proyeccion Agromercantil'!$B$28:$HA$28,'Proyeccion Agromercantil'!$B$4:$HA$4,$A75,'Proyeccion Agromercantil'!$B$5:$HA$5,"Real")</f>
        <v>0</v>
      </c>
      <c r="G75" s="10">
        <f>SUMIFS('Proyeccion Agromercantil'!$B$28:$HA$28,'Proyeccion Agromercantil'!$B$4:$HA$4,$A75,'Proyeccion Agromercantil'!$B$5:$HA$5,"Proyección")</f>
        <v>342569476.33599323</v>
      </c>
      <c r="H75" s="10">
        <f>SUMIFS('Proyeccion Agromercantil'!$B$40:$HA$40,'Proyeccion Agromercantil'!$B$4:$HA$4,$A75,'Proyeccion Agromercantil'!$B$5:$HA$5,"Real")</f>
        <v>0</v>
      </c>
      <c r="I75" s="10">
        <f>SUMIFS('Proyeccion Agromercantil'!$B$40:$HA$40,'Proyeccion Agromercantil'!$B$4:$HA$4,$A75,'Proyeccion Agromercantil'!$B$5:$HA$5,"Proyección")</f>
        <v>269807924.48199552</v>
      </c>
      <c r="J75" s="10">
        <f>SUMIFS('Proyeccion Agromercantil'!$B$55:$HA$55,'Proyeccion Agromercantil'!$B$4:$HA$4,$A75,'Proyeccion Agromercantil'!$B$5:$HA$5,"Real")</f>
        <v>0</v>
      </c>
      <c r="K75" s="10">
        <f>SUMIFS('Proyeccion Agromercantil'!$B$55:$HA$55,'Proyeccion Agromercantil'!$B$4:$HA$4,$A75,'Proyeccion Agromercantil'!$B$5:$HA$5,"Proyección")</f>
        <v>30606204.567396998</v>
      </c>
      <c r="M75" s="63">
        <f t="shared" si="0"/>
        <v>2029</v>
      </c>
      <c r="N75" s="10">
        <f t="shared" si="1"/>
        <v>1293347696.1816516</v>
      </c>
      <c r="O75" s="10">
        <f t="shared" si="2"/>
        <v>583935817.0665803</v>
      </c>
      <c r="P75" s="10">
        <f t="shared" si="3"/>
        <v>342569476.33599323</v>
      </c>
      <c r="Q75" s="10">
        <f t="shared" si="4"/>
        <v>269807924.48199552</v>
      </c>
      <c r="R75" s="10">
        <f t="shared" si="5"/>
        <v>30606204.567396998</v>
      </c>
      <c r="S75" s="64">
        <f t="shared" si="6"/>
        <v>0.45149175182399376</v>
      </c>
      <c r="T75" s="64">
        <f t="shared" si="6"/>
        <v>0.58665604390719106</v>
      </c>
      <c r="U75" s="64">
        <f t="shared" si="7"/>
        <v>0.20861205790101844</v>
      </c>
      <c r="V75" s="64">
        <f t="shared" si="8"/>
        <v>0.46205065110988397</v>
      </c>
      <c r="W75" s="64">
        <f t="shared" si="9"/>
        <v>2.3664328361008916E-2</v>
      </c>
    </row>
    <row r="76" spans="1:23" x14ac:dyDescent="0.35">
      <c r="A76" s="63" cm="1">
        <f t="array" ref="A76">INDEX('Proyeccion Agromercantil'!$HC$6:$HR$6,ROWS($A$66:A76))</f>
        <v>2030</v>
      </c>
      <c r="B76" s="10">
        <f>SUMIFS('Proyeccion Agromercantil'!$B$7:$HA$7,'Proyeccion Agromercantil'!$B$4:$HA$4,$A76,'Proyeccion Agromercantil'!$B$5:$HA$5,"Real")</f>
        <v>0</v>
      </c>
      <c r="C76" s="10">
        <f>SUMIFS('Proyeccion Agromercantil'!$B$7:$HA$7,'Proyeccion Agromercantil'!$B$4:$HA$4,$A76,'Proyeccion Agromercantil'!$B$5:$HA$5,"Proyección")</f>
        <v>1616684620.2270646</v>
      </c>
      <c r="D76" s="10">
        <f>SUMIFS('Proyeccion Agromercantil'!$B$19:$HA$19,'Proyeccion Agromercantil'!$B$4:$HA$4,$A76,'Proyeccion Agromercantil'!$B$5:$HA$5,"Real")</f>
        <v>0</v>
      </c>
      <c r="E76" s="10">
        <f>SUMIFS('Proyeccion Agromercantil'!$B$19:$HA$19,'Proyeccion Agromercantil'!$B$4:$HA$4,$A76,'Proyeccion Agromercantil'!$B$5:$HA$5,"Proyección")</f>
        <v>729919771.33322561</v>
      </c>
      <c r="F76" s="10">
        <f>SUMIFS('Proyeccion Agromercantil'!$B$28:$HA$28,'Proyeccion Agromercantil'!$B$4:$HA$4,$A76,'Proyeccion Agromercantil'!$B$5:$HA$5,"Real")</f>
        <v>0</v>
      </c>
      <c r="G76" s="10">
        <f>SUMIFS('Proyeccion Agromercantil'!$B$28:$HA$28,'Proyeccion Agromercantil'!$B$4:$HA$4,$A76,'Proyeccion Agromercantil'!$B$5:$HA$5,"Proyección")</f>
        <v>428211845.41999161</v>
      </c>
      <c r="H76" s="10">
        <f>SUMIFS('Proyeccion Agromercantil'!$B$40:$HA$40,'Proyeccion Agromercantil'!$B$4:$HA$4,$A76,'Proyeccion Agromercantil'!$B$5:$HA$5,"Real")</f>
        <v>0</v>
      </c>
      <c r="I76" s="10">
        <f>SUMIFS('Proyeccion Agromercantil'!$B$40:$HA$40,'Proyeccion Agromercantil'!$B$4:$HA$4,$A76,'Proyeccion Agromercantil'!$B$5:$HA$5,"Proyección")</f>
        <v>337259905.60249448</v>
      </c>
      <c r="J76" s="10">
        <f>SUMIFS('Proyeccion Agromercantil'!$B$55:$HA$55,'Proyeccion Agromercantil'!$B$4:$HA$4,$A76,'Proyeccion Agromercantil'!$B$5:$HA$5,"Real")</f>
        <v>0</v>
      </c>
      <c r="K76" s="10">
        <f>SUMIFS('Proyeccion Agromercantil'!$B$55:$HA$55,'Proyeccion Agromercantil'!$B$4:$HA$4,$A76,'Proyeccion Agromercantil'!$B$5:$HA$5,"Proyección")</f>
        <v>38257755.709246226</v>
      </c>
      <c r="M76" s="63">
        <f t="shared" si="0"/>
        <v>2030</v>
      </c>
      <c r="N76" s="10">
        <f t="shared" si="1"/>
        <v>1616684620.2270646</v>
      </c>
      <c r="O76" s="10">
        <f t="shared" si="2"/>
        <v>729919771.33322561</v>
      </c>
      <c r="P76" s="10">
        <f t="shared" si="3"/>
        <v>428211845.41999161</v>
      </c>
      <c r="Q76" s="10">
        <f t="shared" si="4"/>
        <v>337259905.60249448</v>
      </c>
      <c r="R76" s="10">
        <f t="shared" si="5"/>
        <v>38257755.709246226</v>
      </c>
      <c r="S76" s="64">
        <f t="shared" si="6"/>
        <v>0.45149175182399387</v>
      </c>
      <c r="T76" s="64">
        <f t="shared" si="6"/>
        <v>0.58665604390719095</v>
      </c>
      <c r="U76" s="64">
        <f t="shared" si="7"/>
        <v>0.20861205790101847</v>
      </c>
      <c r="V76" s="64">
        <f t="shared" si="8"/>
        <v>0.46205065110988391</v>
      </c>
      <c r="W76" s="64">
        <f t="shared" si="9"/>
        <v>2.3664328361008898E-2</v>
      </c>
    </row>
    <row r="77" spans="1:23" x14ac:dyDescent="0.35">
      <c r="A77" s="63" cm="1">
        <f t="array" ref="A77">INDEX('Proyeccion Agromercantil'!$HC$6:$HR$6,ROWS($A$66:A77))</f>
        <v>2031</v>
      </c>
      <c r="B77" s="10">
        <f>SUMIFS('Proyeccion Agromercantil'!$B$7:$HA$7,'Proyeccion Agromercantil'!$B$4:$HA$4,$A77,'Proyeccion Agromercantil'!$B$5:$HA$5,"Real")</f>
        <v>0</v>
      </c>
      <c r="C77" s="10">
        <f>SUMIFS('Proyeccion Agromercantil'!$B$7:$HA$7,'Proyeccion Agromercantil'!$B$4:$HA$4,$A77,'Proyeccion Agromercantil'!$B$5:$HA$5,"Proyección")</f>
        <v>2020855775.2838304</v>
      </c>
      <c r="D77" s="10">
        <f>SUMIFS('Proyeccion Agromercantil'!$B$19:$HA$19,'Proyeccion Agromercantil'!$B$4:$HA$4,$A77,'Proyeccion Agromercantil'!$B$5:$HA$5,"Real")</f>
        <v>0</v>
      </c>
      <c r="E77" s="10">
        <f>SUMIFS('Proyeccion Agromercantil'!$B$19:$HA$19,'Proyeccion Agromercantil'!$B$4:$HA$4,$A77,'Proyeccion Agromercantil'!$B$5:$HA$5,"Proyección")</f>
        <v>912399714.16653204</v>
      </c>
      <c r="F77" s="10">
        <f>SUMIFS('Proyeccion Agromercantil'!$B$28:$HA$28,'Proyeccion Agromercantil'!$B$4:$HA$4,$A77,'Proyeccion Agromercantil'!$B$5:$HA$5,"Real")</f>
        <v>0</v>
      </c>
      <c r="G77" s="10">
        <f>SUMIFS('Proyeccion Agromercantil'!$B$28:$HA$28,'Proyeccion Agromercantil'!$B$4:$HA$4,$A77,'Proyeccion Agromercantil'!$B$5:$HA$5,"Proyección")</f>
        <v>535264806.77498949</v>
      </c>
      <c r="H77" s="10">
        <f>SUMIFS('Proyeccion Agromercantil'!$B$40:$HA$40,'Proyeccion Agromercantil'!$B$4:$HA$4,$A77,'Proyeccion Agromercantil'!$B$5:$HA$5,"Real")</f>
        <v>0</v>
      </c>
      <c r="I77" s="10">
        <f>SUMIFS('Proyeccion Agromercantil'!$B$40:$HA$40,'Proyeccion Agromercantil'!$B$4:$HA$4,$A77,'Proyeccion Agromercantil'!$B$5:$HA$5,"Proyección")</f>
        <v>421574882.00311804</v>
      </c>
      <c r="J77" s="10">
        <f>SUMIFS('Proyeccion Agromercantil'!$B$55:$HA$55,'Proyeccion Agromercantil'!$B$4:$HA$4,$A77,'Proyeccion Agromercantil'!$B$5:$HA$5,"Real")</f>
        <v>0</v>
      </c>
      <c r="K77" s="10">
        <f>SUMIFS('Proyeccion Agromercantil'!$B$55:$HA$55,'Proyeccion Agromercantil'!$B$4:$HA$4,$A77,'Proyeccion Agromercantil'!$B$5:$HA$5,"Proyección")</f>
        <v>47822194.636557847</v>
      </c>
      <c r="M77" s="63">
        <f t="shared" si="0"/>
        <v>2031</v>
      </c>
      <c r="N77" s="10">
        <f t="shared" si="1"/>
        <v>2020855775.2838304</v>
      </c>
      <c r="O77" s="10">
        <f t="shared" si="2"/>
        <v>912399714.16653204</v>
      </c>
      <c r="P77" s="10">
        <f t="shared" si="3"/>
        <v>535264806.77498949</v>
      </c>
      <c r="Q77" s="10">
        <f t="shared" si="4"/>
        <v>421574882.00311804</v>
      </c>
      <c r="R77" s="10">
        <f t="shared" si="5"/>
        <v>47822194.636557847</v>
      </c>
      <c r="S77" s="64">
        <f t="shared" si="6"/>
        <v>0.45149175182399393</v>
      </c>
      <c r="T77" s="64">
        <f t="shared" si="6"/>
        <v>0.58665604390719095</v>
      </c>
      <c r="U77" s="64">
        <f t="shared" si="7"/>
        <v>0.2086120579010185</v>
      </c>
      <c r="V77" s="64">
        <f t="shared" si="8"/>
        <v>0.46205065110988386</v>
      </c>
      <c r="W77" s="64">
        <f t="shared" si="9"/>
        <v>2.3664328361008936E-2</v>
      </c>
    </row>
    <row r="78" spans="1:23" x14ac:dyDescent="0.35">
      <c r="A78" s="63" cm="1">
        <f t="array" ref="A78">INDEX('Proyeccion Agromercantil'!$HC$6:$HR$6,ROWS($A$66:A78))</f>
        <v>2032</v>
      </c>
      <c r="B78" s="10">
        <f>SUMIFS('Proyeccion Agromercantil'!$B$7:$HA$7,'Proyeccion Agromercantil'!$B$4:$HA$4,$A78,'Proyeccion Agromercantil'!$B$5:$HA$5,"Real")</f>
        <v>0</v>
      </c>
      <c r="C78" s="10">
        <f>SUMIFS('Proyeccion Agromercantil'!$B$7:$HA$7,'Proyeccion Agromercantil'!$B$4:$HA$4,$A78,'Proyeccion Agromercantil'!$B$5:$HA$5,"Proyección")</f>
        <v>2526069719.1047883</v>
      </c>
      <c r="D78" s="10">
        <f>SUMIFS('Proyeccion Agromercantil'!$B$19:$HA$19,'Proyeccion Agromercantil'!$B$4:$HA$4,$A78,'Proyeccion Agromercantil'!$B$5:$HA$5,"Real")</f>
        <v>0</v>
      </c>
      <c r="E78" s="10">
        <f>SUMIFS('Proyeccion Agromercantil'!$B$19:$HA$19,'Proyeccion Agromercantil'!$B$4:$HA$4,$A78,'Proyeccion Agromercantil'!$B$5:$HA$5,"Proyección")</f>
        <v>1140499642.7081652</v>
      </c>
      <c r="F78" s="10">
        <f>SUMIFS('Proyeccion Agromercantil'!$B$28:$HA$28,'Proyeccion Agromercantil'!$B$4:$HA$4,$A78,'Proyeccion Agromercantil'!$B$5:$HA$5,"Real")</f>
        <v>0</v>
      </c>
      <c r="G78" s="10">
        <f>SUMIFS('Proyeccion Agromercantil'!$B$28:$HA$28,'Proyeccion Agromercantil'!$B$4:$HA$4,$A78,'Proyeccion Agromercantil'!$B$5:$HA$5,"Proyección")</f>
        <v>669081008.46873689</v>
      </c>
      <c r="H78" s="10">
        <f>SUMIFS('Proyeccion Agromercantil'!$B$40:$HA$40,'Proyeccion Agromercantil'!$B$4:$HA$4,$A78,'Proyeccion Agromercantil'!$B$5:$HA$5,"Real")</f>
        <v>0</v>
      </c>
      <c r="I78" s="10">
        <f>SUMIFS('Proyeccion Agromercantil'!$B$40:$HA$40,'Proyeccion Agromercantil'!$B$4:$HA$4,$A78,'Proyeccion Agromercantil'!$B$5:$HA$5,"Proyección")</f>
        <v>526968602.50389755</v>
      </c>
      <c r="J78" s="10">
        <f>SUMIFS('Proyeccion Agromercantil'!$B$55:$HA$55,'Proyeccion Agromercantil'!$B$4:$HA$4,$A78,'Proyeccion Agromercantil'!$B$5:$HA$5,"Real")</f>
        <v>0</v>
      </c>
      <c r="K78" s="10">
        <f>SUMIFS('Proyeccion Agromercantil'!$B$55:$HA$55,'Proyeccion Agromercantil'!$B$4:$HA$4,$A78,'Proyeccion Agromercantil'!$B$5:$HA$5,"Proyección")</f>
        <v>59777743.295697264</v>
      </c>
      <c r="M78" s="63">
        <f t="shared" si="0"/>
        <v>2032</v>
      </c>
      <c r="N78" s="10">
        <f t="shared" si="1"/>
        <v>2526069719.1047883</v>
      </c>
      <c r="O78" s="10">
        <f t="shared" si="2"/>
        <v>1140499642.7081652</v>
      </c>
      <c r="P78" s="10">
        <f t="shared" si="3"/>
        <v>669081008.46873689</v>
      </c>
      <c r="Q78" s="10">
        <f t="shared" si="4"/>
        <v>526968602.50389755</v>
      </c>
      <c r="R78" s="10">
        <f t="shared" si="5"/>
        <v>59777743.295697264</v>
      </c>
      <c r="S78" s="64">
        <f t="shared" si="6"/>
        <v>0.45149175182399393</v>
      </c>
      <c r="T78" s="64">
        <f t="shared" si="6"/>
        <v>0.58665604390719095</v>
      </c>
      <c r="U78" s="64">
        <f t="shared" si="7"/>
        <v>0.20861205790101847</v>
      </c>
      <c r="V78" s="64">
        <f t="shared" si="8"/>
        <v>0.4620506511098838</v>
      </c>
      <c r="W78" s="64">
        <f t="shared" si="9"/>
        <v>2.3664328361008916E-2</v>
      </c>
    </row>
    <row r="79" spans="1:23" x14ac:dyDescent="0.35">
      <c r="A79" s="63" cm="1">
        <f t="array" ref="A79">INDEX('Proyeccion Agromercantil'!$HC$6:$HR$6,ROWS($A$66:A79))</f>
        <v>2033</v>
      </c>
      <c r="B79" s="10">
        <f>SUMIFS('Proyeccion Agromercantil'!$B$7:$HA$7,'Proyeccion Agromercantil'!$B$4:$HA$4,$A79,'Proyeccion Agromercantil'!$B$5:$HA$5,"Real")</f>
        <v>0</v>
      </c>
      <c r="C79" s="10">
        <f>SUMIFS('Proyeccion Agromercantil'!$B$7:$HA$7,'Proyeccion Agromercantil'!$B$4:$HA$4,$A79,'Proyeccion Agromercantil'!$B$5:$HA$5,"Proyección")</f>
        <v>3157587148.8809848</v>
      </c>
      <c r="D79" s="10">
        <f>SUMIFS('Proyeccion Agromercantil'!$B$19:$HA$19,'Proyeccion Agromercantil'!$B$4:$HA$4,$A79,'Proyeccion Agromercantil'!$B$5:$HA$5,"Real")</f>
        <v>0</v>
      </c>
      <c r="E79" s="10">
        <f>SUMIFS('Proyeccion Agromercantil'!$B$19:$HA$19,'Proyeccion Agromercantil'!$B$4:$HA$4,$A79,'Proyeccion Agromercantil'!$B$5:$HA$5,"Proyección")</f>
        <v>1425624553.3852062</v>
      </c>
      <c r="F79" s="10">
        <f>SUMIFS('Proyeccion Agromercantil'!$B$28:$HA$28,'Proyeccion Agromercantil'!$B$4:$HA$4,$A79,'Proyeccion Agromercantil'!$B$5:$HA$5,"Real")</f>
        <v>0</v>
      </c>
      <c r="G79" s="10">
        <f>SUMIFS('Proyeccion Agromercantil'!$B$28:$HA$28,'Proyeccion Agromercantil'!$B$4:$HA$4,$A79,'Proyeccion Agromercantil'!$B$5:$HA$5,"Proyección")</f>
        <v>836351260.58592117</v>
      </c>
      <c r="H79" s="10">
        <f>SUMIFS('Proyeccion Agromercantil'!$B$40:$HA$40,'Proyeccion Agromercantil'!$B$4:$HA$4,$A79,'Proyeccion Agromercantil'!$B$5:$HA$5,"Real")</f>
        <v>0</v>
      </c>
      <c r="I79" s="10">
        <f>SUMIFS('Proyeccion Agromercantil'!$B$40:$HA$40,'Proyeccion Agromercantil'!$B$4:$HA$4,$A79,'Proyeccion Agromercantil'!$B$5:$HA$5,"Proyección")</f>
        <v>658710753.12987185</v>
      </c>
      <c r="J79" s="10">
        <f>SUMIFS('Proyeccion Agromercantil'!$B$55:$HA$55,'Proyeccion Agromercantil'!$B$4:$HA$4,$A79,'Proyeccion Agromercantil'!$B$5:$HA$5,"Real")</f>
        <v>0</v>
      </c>
      <c r="K79" s="10">
        <f>SUMIFS('Proyeccion Agromercantil'!$B$55:$HA$55,'Proyeccion Agromercantil'!$B$4:$HA$4,$A79,'Proyeccion Agromercantil'!$B$5:$HA$5,"Proyección")</f>
        <v>74722179.119621575</v>
      </c>
      <c r="M79" s="63">
        <f t="shared" si="0"/>
        <v>2033</v>
      </c>
      <c r="N79" s="10">
        <f t="shared" si="1"/>
        <v>3157587148.8809848</v>
      </c>
      <c r="O79" s="10">
        <f t="shared" si="2"/>
        <v>1425624553.3852062</v>
      </c>
      <c r="P79" s="10">
        <f t="shared" si="3"/>
        <v>836351260.58592117</v>
      </c>
      <c r="Q79" s="10">
        <f t="shared" si="4"/>
        <v>658710753.12987185</v>
      </c>
      <c r="R79" s="10">
        <f t="shared" si="5"/>
        <v>74722179.119621575</v>
      </c>
      <c r="S79" s="64">
        <f t="shared" si="6"/>
        <v>0.45149175182399393</v>
      </c>
      <c r="T79" s="64">
        <f t="shared" si="6"/>
        <v>0.58665604390719106</v>
      </c>
      <c r="U79" s="64">
        <f t="shared" si="7"/>
        <v>0.20861205790101847</v>
      </c>
      <c r="V79" s="64">
        <f t="shared" si="8"/>
        <v>0.4620506511098838</v>
      </c>
      <c r="W79" s="64">
        <f t="shared" si="9"/>
        <v>2.3664328361008919E-2</v>
      </c>
    </row>
    <row r="80" spans="1:23" x14ac:dyDescent="0.35">
      <c r="A80" s="63" cm="1">
        <f t="array" ref="A80">INDEX('Proyeccion Agromercantil'!$HC$6:$HR$6,ROWS($A$66:A80))</f>
        <v>2034</v>
      </c>
      <c r="B80" s="10">
        <f>SUMIFS('Proyeccion Agromercantil'!$B$7:$HA$7,'Proyeccion Agromercantil'!$B$4:$HA$4,$A80,'Proyeccion Agromercantil'!$B$5:$HA$5,"Real")</f>
        <v>0</v>
      </c>
      <c r="C80" s="10">
        <f>SUMIFS('Proyeccion Agromercantil'!$B$7:$HA$7,'Proyeccion Agromercantil'!$B$4:$HA$4,$A80,'Proyeccion Agromercantil'!$B$5:$HA$5,"Proyección")</f>
        <v>3946983936.1012321</v>
      </c>
      <c r="D80" s="10">
        <f>SUMIFS('Proyeccion Agromercantil'!$B$19:$HA$19,'Proyeccion Agromercantil'!$B$4:$HA$4,$A80,'Proyeccion Agromercantil'!$B$5:$HA$5,"Real")</f>
        <v>0</v>
      </c>
      <c r="E80" s="10">
        <f>SUMIFS('Proyeccion Agromercantil'!$B$19:$HA$19,'Proyeccion Agromercantil'!$B$4:$HA$4,$A80,'Proyeccion Agromercantil'!$B$5:$HA$5,"Proyección")</f>
        <v>1782030691.731508</v>
      </c>
      <c r="F80" s="10">
        <f>SUMIFS('Proyeccion Agromercantil'!$B$28:$HA$28,'Proyeccion Agromercantil'!$B$4:$HA$4,$A80,'Proyeccion Agromercantil'!$B$5:$HA$5,"Real")</f>
        <v>0</v>
      </c>
      <c r="G80" s="10">
        <f>SUMIFS('Proyeccion Agromercantil'!$B$28:$HA$28,'Proyeccion Agromercantil'!$B$4:$HA$4,$A80,'Proyeccion Agromercantil'!$B$5:$HA$5,"Proyección")</f>
        <v>1045439075.7324015</v>
      </c>
      <c r="H80" s="10">
        <f>SUMIFS('Proyeccion Agromercantil'!$B$40:$HA$40,'Proyeccion Agromercantil'!$B$4:$HA$4,$A80,'Proyeccion Agromercantil'!$B$5:$HA$5,"Real")</f>
        <v>0</v>
      </c>
      <c r="I80" s="10">
        <f>SUMIFS('Proyeccion Agromercantil'!$B$40:$HA$40,'Proyeccion Agromercantil'!$B$4:$HA$4,$A80,'Proyeccion Agromercantil'!$B$5:$HA$5,"Proyección")</f>
        <v>823388441.41233993</v>
      </c>
      <c r="J80" s="10">
        <f>SUMIFS('Proyeccion Agromercantil'!$B$55:$HA$55,'Proyeccion Agromercantil'!$B$4:$HA$4,$A80,'Proyeccion Agromercantil'!$B$5:$HA$5,"Real")</f>
        <v>0</v>
      </c>
      <c r="K80" s="10">
        <f>SUMIFS('Proyeccion Agromercantil'!$B$55:$HA$55,'Proyeccion Agromercantil'!$B$4:$HA$4,$A80,'Proyeccion Agromercantil'!$B$5:$HA$5,"Proyección")</f>
        <v>93402723.899526924</v>
      </c>
      <c r="M80" s="63">
        <f t="shared" si="0"/>
        <v>2034</v>
      </c>
      <c r="N80" s="10">
        <f t="shared" si="1"/>
        <v>3946983936.1012321</v>
      </c>
      <c r="O80" s="10">
        <f t="shared" si="2"/>
        <v>1782030691.731508</v>
      </c>
      <c r="P80" s="10">
        <f t="shared" si="3"/>
        <v>1045439075.7324015</v>
      </c>
      <c r="Q80" s="10">
        <f t="shared" si="4"/>
        <v>823388441.41233993</v>
      </c>
      <c r="R80" s="10">
        <f t="shared" si="5"/>
        <v>93402723.899526924</v>
      </c>
      <c r="S80" s="64">
        <f t="shared" si="6"/>
        <v>0.45149175182399387</v>
      </c>
      <c r="T80" s="64">
        <f t="shared" si="6"/>
        <v>0.58665604390719095</v>
      </c>
      <c r="U80" s="64">
        <f t="shared" si="7"/>
        <v>0.20861205790101844</v>
      </c>
      <c r="V80" s="64">
        <f t="shared" si="8"/>
        <v>0.4620506511098838</v>
      </c>
      <c r="W80" s="64">
        <f t="shared" si="9"/>
        <v>2.3664328361008898E-2</v>
      </c>
    </row>
    <row r="81" spans="1:23" x14ac:dyDescent="0.35">
      <c r="A81" s="63" cm="1">
        <f t="array" ref="A81">INDEX('Proyeccion Agromercantil'!$HC$6:$HR$6,ROWS($A$66:A81))</f>
        <v>2035</v>
      </c>
      <c r="B81" s="10">
        <f>SUMIFS('Proyeccion Agromercantil'!$B$7:$HA$7,'Proyeccion Agromercantil'!$B$4:$HA$4,$A81,'Proyeccion Agromercantil'!$B$5:$HA$5,"Real")</f>
        <v>0</v>
      </c>
      <c r="C81" s="10">
        <f>SUMIFS('Proyeccion Agromercantil'!$B$7:$HA$7,'Proyeccion Agromercantil'!$B$4:$HA$4,$A81,'Proyeccion Agromercantil'!$B$5:$HA$5,"Proyección")</f>
        <v>4933729920.1265392</v>
      </c>
      <c r="D81" s="10">
        <f>SUMIFS('Proyeccion Agromercantil'!$B$19:$HA$19,'Proyeccion Agromercantil'!$B$4:$HA$4,$A81,'Proyeccion Agromercantil'!$B$5:$HA$5,"Real")</f>
        <v>0</v>
      </c>
      <c r="E81" s="10">
        <f>SUMIFS('Proyeccion Agromercantil'!$B$19:$HA$19,'Proyeccion Agromercantil'!$B$4:$HA$4,$A81,'Proyeccion Agromercantil'!$B$5:$HA$5,"Proyección")</f>
        <v>2227538364.6643844</v>
      </c>
      <c r="F81" s="10">
        <f>SUMIFS('Proyeccion Agromercantil'!$B$28:$HA$28,'Proyeccion Agromercantil'!$B$4:$HA$4,$A81,'Proyeccion Agromercantil'!$B$5:$HA$5,"Real")</f>
        <v>0</v>
      </c>
      <c r="G81" s="10">
        <f>SUMIFS('Proyeccion Agromercantil'!$B$28:$HA$28,'Proyeccion Agromercantil'!$B$4:$HA$4,$A81,'Proyeccion Agromercantil'!$B$5:$HA$5,"Proyección")</f>
        <v>1306798844.6655016</v>
      </c>
      <c r="H81" s="10">
        <f>SUMIFS('Proyeccion Agromercantil'!$B$40:$HA$40,'Proyeccion Agromercantil'!$B$4:$HA$4,$A81,'Proyeccion Agromercantil'!$B$5:$HA$5,"Real")</f>
        <v>0</v>
      </c>
      <c r="I81" s="10">
        <f>SUMIFS('Proyeccion Agromercantil'!$B$40:$HA$40,'Proyeccion Agromercantil'!$B$4:$HA$4,$A81,'Proyeccion Agromercantil'!$B$5:$HA$5,"Proyección")</f>
        <v>1029235551.7654247</v>
      </c>
      <c r="J81" s="10">
        <f>SUMIFS('Proyeccion Agromercantil'!$B$55:$HA$55,'Proyeccion Agromercantil'!$B$4:$HA$4,$A81,'Proyeccion Agromercantil'!$B$5:$HA$5,"Real")</f>
        <v>0</v>
      </c>
      <c r="K81" s="10">
        <f>SUMIFS('Proyeccion Agromercantil'!$B$55:$HA$55,'Proyeccion Agromercantil'!$B$4:$HA$4,$A81,'Proyeccion Agromercantil'!$B$5:$HA$5,"Proyección")</f>
        <v>116753404.87440881</v>
      </c>
      <c r="M81" s="63">
        <f t="shared" si="0"/>
        <v>2035</v>
      </c>
      <c r="N81" s="10">
        <f t="shared" si="1"/>
        <v>4933729920.1265392</v>
      </c>
      <c r="O81" s="10">
        <f t="shared" si="2"/>
        <v>2227538364.6643844</v>
      </c>
      <c r="P81" s="10">
        <f t="shared" si="3"/>
        <v>1306798844.6655016</v>
      </c>
      <c r="Q81" s="10">
        <f t="shared" si="4"/>
        <v>1029235551.7654247</v>
      </c>
      <c r="R81" s="10">
        <f t="shared" si="5"/>
        <v>116753404.87440881</v>
      </c>
      <c r="S81" s="64">
        <f t="shared" si="6"/>
        <v>0.45149175182399381</v>
      </c>
      <c r="T81" s="64">
        <f t="shared" si="6"/>
        <v>0.58665604390719106</v>
      </c>
      <c r="U81" s="64">
        <f t="shared" si="7"/>
        <v>0.20861205790101844</v>
      </c>
      <c r="V81" s="64">
        <f t="shared" si="8"/>
        <v>0.46205065110988386</v>
      </c>
      <c r="W81" s="64">
        <f t="shared" si="9"/>
        <v>2.3664328361008936E-2</v>
      </c>
    </row>
  </sheetData>
  <mergeCells count="9">
    <mergeCell ref="M64:M65"/>
    <mergeCell ref="N64:R64"/>
    <mergeCell ref="S64:W64"/>
    <mergeCell ref="A64:A65"/>
    <mergeCell ref="B64:C64"/>
    <mergeCell ref="D64:E64"/>
    <mergeCell ref="F64:G64"/>
    <mergeCell ref="H64:I64"/>
    <mergeCell ref="J64:K6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3A95-A1AD-455A-8224-C41103AE98E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Mercado 2025 y 2026</vt:lpstr>
      <vt:lpstr>Informacion de Sam</vt:lpstr>
      <vt:lpstr>Supuestos Proyeccion</vt:lpstr>
      <vt:lpstr>Proyeccion Agromercantil</vt:lpstr>
      <vt:lpstr>Graficos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2026-09-30T21:09:12Z</dcterms:created>
  <dcterms:modified xsi:type="dcterms:W3CDTF">2026-09-30T21:11:43Z</dcterms:modified>
</cp:coreProperties>
</file>