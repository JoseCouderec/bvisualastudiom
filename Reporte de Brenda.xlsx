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"/>
    </mc:Choice>
  </mc:AlternateContent>
  <xr:revisionPtr revIDLastSave="0" documentId="13_ncr:1_{72BA8D8A-4987-43F1-8674-1D69C12434E8}" xr6:coauthVersionLast="47" xr6:coauthVersionMax="47" xr10:uidLastSave="{00000000-0000-0000-0000-000000000000}"/>
  <bookViews>
    <workbookView xWindow="-110" yWindow="-110" windowWidth="19420" windowHeight="11500" activeTab="1" xr2:uid="{C462F672-366D-4C77-8083-444075833068}"/>
  </bookViews>
  <sheets>
    <sheet name="sep" sheetId="2" r:id="rId1"/>
    <sheet name="Datos" sheetId="3" r:id="rId2"/>
  </sheets>
  <externalReferences>
    <externalReference r:id="rId3"/>
    <externalReference r:id="rId4"/>
  </externalReferences>
  <definedNames>
    <definedName name="_xlnm._FilterDatabase" localSheetId="1" hidden="1">Datos!$F$1:$H$1</definedName>
    <definedName name="_xlnm._FilterDatabase" localSheetId="0" hidden="1">sep!$A$1:$Z$662</definedName>
    <definedName name="A" localSheetId="1">#REF!</definedName>
    <definedName name="A">#REF!</definedName>
    <definedName name="alex" localSheetId="1">[2]AGENCIA!#REF!</definedName>
    <definedName name="alex">[2]AGENCIA!#REF!</definedName>
    <definedName name="asdf" localSheetId="1">#REF!</definedName>
    <definedName name="asdf">#REF!</definedName>
    <definedName name="EV__EVCOM_OPTIONS__" hidden="1">8</definedName>
    <definedName name="EV__EXPOPTIONS__" hidden="1">0</definedName>
    <definedName name="EV__LASTREFTIME__" hidden="1">40843.760787037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MEWarning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0" i="3" l="1"/>
  <c r="S20" i="3"/>
  <c r="R20" i="3"/>
  <c r="N20" i="3"/>
  <c r="M20" i="3"/>
  <c r="L20" i="3"/>
  <c r="T19" i="3"/>
  <c r="S19" i="3"/>
  <c r="R19" i="3"/>
  <c r="N19" i="3"/>
  <c r="M19" i="3"/>
  <c r="L19" i="3"/>
  <c r="T18" i="3"/>
  <c r="S18" i="3"/>
  <c r="R18" i="3"/>
  <c r="N18" i="3"/>
  <c r="M18" i="3"/>
  <c r="L18" i="3"/>
  <c r="T17" i="3"/>
  <c r="S17" i="3"/>
  <c r="R17" i="3"/>
  <c r="N17" i="3"/>
  <c r="M17" i="3"/>
  <c r="L17" i="3"/>
  <c r="T16" i="3"/>
  <c r="S16" i="3"/>
  <c r="R16" i="3"/>
  <c r="N16" i="3"/>
  <c r="M16" i="3"/>
  <c r="L16" i="3"/>
  <c r="T15" i="3"/>
  <c r="S15" i="3"/>
  <c r="R15" i="3"/>
  <c r="N15" i="3"/>
  <c r="M15" i="3"/>
  <c r="L15" i="3"/>
  <c r="T14" i="3"/>
  <c r="S14" i="3"/>
  <c r="R14" i="3"/>
  <c r="N14" i="3"/>
  <c r="M14" i="3"/>
  <c r="L14" i="3"/>
  <c r="T13" i="3"/>
  <c r="S13" i="3"/>
  <c r="R13" i="3"/>
  <c r="N13" i="3"/>
  <c r="M13" i="3"/>
  <c r="L13" i="3"/>
  <c r="T12" i="3"/>
  <c r="S12" i="3"/>
  <c r="R12" i="3"/>
  <c r="N12" i="3"/>
  <c r="M12" i="3"/>
  <c r="L12" i="3"/>
  <c r="T11" i="3"/>
  <c r="S11" i="3"/>
  <c r="R11" i="3"/>
  <c r="N11" i="3"/>
  <c r="M11" i="3"/>
  <c r="L11" i="3"/>
  <c r="T10" i="3"/>
  <c r="S10" i="3"/>
  <c r="R10" i="3"/>
  <c r="N10" i="3"/>
  <c r="M10" i="3"/>
  <c r="L10" i="3"/>
  <c r="T9" i="3"/>
  <c r="S9" i="3"/>
  <c r="R9" i="3"/>
  <c r="N9" i="3"/>
  <c r="M9" i="3"/>
  <c r="L9" i="3"/>
  <c r="T8" i="3"/>
  <c r="S8" i="3"/>
  <c r="R8" i="3"/>
  <c r="N8" i="3"/>
  <c r="M8" i="3"/>
  <c r="L8" i="3"/>
  <c r="T7" i="3"/>
  <c r="S7" i="3"/>
  <c r="R7" i="3"/>
  <c r="N7" i="3"/>
  <c r="M7" i="3"/>
  <c r="L7" i="3"/>
  <c r="T6" i="3"/>
  <c r="S6" i="3"/>
  <c r="R6" i="3"/>
  <c r="N6" i="3"/>
  <c r="M6" i="3"/>
  <c r="L6" i="3"/>
  <c r="T5" i="3"/>
  <c r="S5" i="3"/>
  <c r="R5" i="3"/>
  <c r="N5" i="3"/>
  <c r="M5" i="3"/>
  <c r="L5" i="3"/>
  <c r="T4" i="3"/>
  <c r="S4" i="3"/>
  <c r="R4" i="3"/>
  <c r="N4" i="3"/>
  <c r="M4" i="3"/>
  <c r="L4" i="3"/>
  <c r="T3" i="3"/>
  <c r="S3" i="3"/>
  <c r="R3" i="3"/>
  <c r="N3" i="3"/>
  <c r="M3" i="3"/>
  <c r="L3" i="3"/>
  <c r="T2" i="3"/>
  <c r="S2" i="3"/>
  <c r="R2" i="3"/>
  <c r="N2" i="3"/>
  <c r="M2" i="3"/>
  <c r="L2" i="3"/>
  <c r="T662" i="2"/>
  <c r="S662" i="2"/>
  <c r="Q662" i="2"/>
  <c r="O662" i="2"/>
  <c r="N662" i="2"/>
  <c r="L662" i="2"/>
  <c r="J662" i="2"/>
  <c r="T661" i="2"/>
  <c r="S661" i="2"/>
  <c r="Q661" i="2"/>
  <c r="O661" i="2"/>
  <c r="N661" i="2"/>
  <c r="L661" i="2"/>
  <c r="J661" i="2"/>
  <c r="T660" i="2"/>
  <c r="S660" i="2"/>
  <c r="Q660" i="2"/>
  <c r="O660" i="2"/>
  <c r="N660" i="2"/>
  <c r="L660" i="2"/>
  <c r="J660" i="2"/>
  <c r="T659" i="2"/>
  <c r="S659" i="2"/>
  <c r="Q659" i="2"/>
  <c r="O659" i="2"/>
  <c r="N659" i="2"/>
  <c r="L659" i="2"/>
  <c r="J659" i="2"/>
  <c r="T658" i="2"/>
  <c r="S658" i="2"/>
  <c r="Q658" i="2"/>
  <c r="O658" i="2"/>
  <c r="N658" i="2"/>
  <c r="L658" i="2"/>
  <c r="J658" i="2"/>
  <c r="T657" i="2"/>
  <c r="S657" i="2"/>
  <c r="Q657" i="2"/>
  <c r="O657" i="2"/>
  <c r="N657" i="2"/>
  <c r="L657" i="2"/>
  <c r="J657" i="2"/>
  <c r="T656" i="2"/>
  <c r="S656" i="2"/>
  <c r="Q656" i="2"/>
  <c r="O656" i="2"/>
  <c r="N656" i="2"/>
  <c r="L656" i="2"/>
  <c r="J656" i="2"/>
  <c r="T655" i="2"/>
  <c r="S655" i="2"/>
  <c r="Q655" i="2"/>
  <c r="O655" i="2"/>
  <c r="N655" i="2"/>
  <c r="L655" i="2"/>
  <c r="J655" i="2"/>
  <c r="T654" i="2"/>
  <c r="S654" i="2"/>
  <c r="Q654" i="2"/>
  <c r="O654" i="2"/>
  <c r="N654" i="2"/>
  <c r="L654" i="2"/>
  <c r="J654" i="2"/>
  <c r="T653" i="2"/>
  <c r="S653" i="2"/>
  <c r="Q653" i="2"/>
  <c r="O653" i="2"/>
  <c r="N653" i="2"/>
  <c r="L653" i="2"/>
  <c r="J653" i="2"/>
  <c r="T652" i="2"/>
  <c r="S652" i="2"/>
  <c r="Q652" i="2"/>
  <c r="O652" i="2"/>
  <c r="N652" i="2"/>
  <c r="L652" i="2"/>
  <c r="J652" i="2"/>
  <c r="T651" i="2"/>
  <c r="S651" i="2"/>
  <c r="Q651" i="2"/>
  <c r="O651" i="2"/>
  <c r="N651" i="2"/>
  <c r="L651" i="2"/>
  <c r="J651" i="2"/>
  <c r="T650" i="2"/>
  <c r="S650" i="2"/>
  <c r="Q650" i="2"/>
  <c r="O650" i="2"/>
  <c r="N650" i="2"/>
  <c r="L650" i="2"/>
  <c r="J650" i="2"/>
  <c r="T649" i="2"/>
  <c r="S649" i="2"/>
  <c r="Q649" i="2"/>
  <c r="O649" i="2"/>
  <c r="N649" i="2"/>
  <c r="L649" i="2"/>
  <c r="J649" i="2"/>
  <c r="T648" i="2"/>
  <c r="S648" i="2"/>
  <c r="Q648" i="2"/>
  <c r="O648" i="2"/>
  <c r="N648" i="2"/>
  <c r="L648" i="2"/>
  <c r="J648" i="2"/>
  <c r="T647" i="2"/>
  <c r="S647" i="2"/>
  <c r="Q647" i="2"/>
  <c r="O647" i="2"/>
  <c r="N647" i="2"/>
  <c r="L647" i="2"/>
  <c r="J647" i="2"/>
  <c r="T646" i="2"/>
  <c r="S646" i="2"/>
  <c r="Q646" i="2"/>
  <c r="O646" i="2"/>
  <c r="N646" i="2"/>
  <c r="L646" i="2"/>
  <c r="J646" i="2"/>
  <c r="T645" i="2"/>
  <c r="S645" i="2"/>
  <c r="Q645" i="2"/>
  <c r="O645" i="2"/>
  <c r="N645" i="2"/>
  <c r="L645" i="2"/>
  <c r="J645" i="2"/>
  <c r="T644" i="2"/>
  <c r="S644" i="2"/>
  <c r="Q644" i="2"/>
  <c r="O644" i="2"/>
  <c r="N644" i="2"/>
  <c r="L644" i="2"/>
  <c r="J644" i="2"/>
  <c r="T643" i="2"/>
  <c r="S643" i="2"/>
  <c r="Q643" i="2"/>
  <c r="O643" i="2"/>
  <c r="N643" i="2"/>
  <c r="L643" i="2"/>
  <c r="J643" i="2"/>
  <c r="T642" i="2"/>
  <c r="S642" i="2"/>
  <c r="Q642" i="2"/>
  <c r="O642" i="2"/>
  <c r="N642" i="2"/>
  <c r="L642" i="2"/>
  <c r="J642" i="2"/>
  <c r="T641" i="2"/>
  <c r="S641" i="2"/>
  <c r="Q641" i="2"/>
  <c r="O641" i="2"/>
  <c r="N641" i="2"/>
  <c r="L641" i="2"/>
  <c r="J641" i="2"/>
  <c r="T640" i="2"/>
  <c r="S640" i="2"/>
  <c r="Q640" i="2"/>
  <c r="O640" i="2"/>
  <c r="N640" i="2"/>
  <c r="L640" i="2"/>
  <c r="J640" i="2"/>
  <c r="T639" i="2"/>
  <c r="S639" i="2"/>
  <c r="Q639" i="2"/>
  <c r="O639" i="2"/>
  <c r="N639" i="2"/>
  <c r="L639" i="2"/>
  <c r="J639" i="2"/>
  <c r="T638" i="2"/>
  <c r="S638" i="2"/>
  <c r="Q638" i="2"/>
  <c r="O638" i="2"/>
  <c r="N638" i="2"/>
  <c r="L638" i="2"/>
  <c r="J638" i="2"/>
  <c r="T637" i="2"/>
  <c r="S637" i="2"/>
  <c r="Q637" i="2"/>
  <c r="O637" i="2"/>
  <c r="N637" i="2"/>
  <c r="L637" i="2"/>
  <c r="J637" i="2"/>
  <c r="T636" i="2"/>
  <c r="S636" i="2"/>
  <c r="Q636" i="2"/>
  <c r="O636" i="2"/>
  <c r="N636" i="2"/>
  <c r="L636" i="2"/>
  <c r="J636" i="2"/>
  <c r="T635" i="2"/>
  <c r="S635" i="2"/>
  <c r="Q635" i="2"/>
  <c r="O635" i="2"/>
  <c r="N635" i="2"/>
  <c r="L635" i="2"/>
  <c r="J635" i="2"/>
  <c r="T634" i="2"/>
  <c r="S634" i="2"/>
  <c r="Q634" i="2"/>
  <c r="O634" i="2"/>
  <c r="N634" i="2"/>
  <c r="L634" i="2"/>
  <c r="J634" i="2"/>
  <c r="T633" i="2"/>
  <c r="S633" i="2"/>
  <c r="Q633" i="2"/>
  <c r="O633" i="2"/>
  <c r="N633" i="2"/>
  <c r="L633" i="2"/>
  <c r="J633" i="2"/>
  <c r="T632" i="2"/>
  <c r="S632" i="2"/>
  <c r="Q632" i="2"/>
  <c r="O632" i="2"/>
  <c r="N632" i="2"/>
  <c r="L632" i="2"/>
  <c r="J632" i="2"/>
  <c r="T631" i="2"/>
  <c r="S631" i="2"/>
  <c r="Q631" i="2"/>
  <c r="O631" i="2"/>
  <c r="N631" i="2"/>
  <c r="L631" i="2"/>
  <c r="J631" i="2"/>
  <c r="T630" i="2"/>
  <c r="S630" i="2"/>
  <c r="Q630" i="2"/>
  <c r="O630" i="2"/>
  <c r="N630" i="2"/>
  <c r="L630" i="2"/>
  <c r="J630" i="2"/>
  <c r="T629" i="2"/>
  <c r="S629" i="2"/>
  <c r="Q629" i="2"/>
  <c r="O629" i="2"/>
  <c r="N629" i="2"/>
  <c r="L629" i="2"/>
  <c r="J629" i="2"/>
  <c r="T628" i="2"/>
  <c r="S628" i="2"/>
  <c r="Q628" i="2"/>
  <c r="O628" i="2"/>
  <c r="N628" i="2"/>
  <c r="L628" i="2"/>
  <c r="J628" i="2"/>
  <c r="T627" i="2"/>
  <c r="S627" i="2"/>
  <c r="Q627" i="2"/>
  <c r="O627" i="2"/>
  <c r="N627" i="2"/>
  <c r="L627" i="2"/>
  <c r="J627" i="2"/>
  <c r="T626" i="2"/>
  <c r="S626" i="2"/>
  <c r="Q626" i="2"/>
  <c r="O626" i="2"/>
  <c r="N626" i="2"/>
  <c r="L626" i="2"/>
  <c r="J626" i="2"/>
  <c r="T625" i="2"/>
  <c r="S625" i="2"/>
  <c r="Q625" i="2"/>
  <c r="O625" i="2"/>
  <c r="N625" i="2"/>
  <c r="L625" i="2"/>
  <c r="J625" i="2"/>
  <c r="T624" i="2"/>
  <c r="S624" i="2"/>
  <c r="Q624" i="2"/>
  <c r="O624" i="2"/>
  <c r="N624" i="2"/>
  <c r="L624" i="2"/>
  <c r="J624" i="2"/>
  <c r="T623" i="2"/>
  <c r="S623" i="2"/>
  <c r="Q623" i="2"/>
  <c r="O623" i="2"/>
  <c r="N623" i="2"/>
  <c r="L623" i="2"/>
  <c r="J623" i="2"/>
  <c r="T622" i="2"/>
  <c r="S622" i="2"/>
  <c r="Q622" i="2"/>
  <c r="O622" i="2"/>
  <c r="N622" i="2"/>
  <c r="L622" i="2"/>
  <c r="J622" i="2"/>
  <c r="T621" i="2"/>
  <c r="S621" i="2"/>
  <c r="Q621" i="2"/>
  <c r="O621" i="2"/>
  <c r="N621" i="2"/>
  <c r="L621" i="2"/>
  <c r="J621" i="2"/>
  <c r="T620" i="2"/>
  <c r="S620" i="2"/>
  <c r="Q620" i="2"/>
  <c r="O620" i="2"/>
  <c r="N620" i="2"/>
  <c r="L620" i="2"/>
  <c r="J620" i="2"/>
  <c r="T619" i="2"/>
  <c r="S619" i="2"/>
  <c r="Q619" i="2"/>
  <c r="O619" i="2"/>
  <c r="N619" i="2"/>
  <c r="L619" i="2"/>
  <c r="J619" i="2"/>
  <c r="T618" i="2"/>
  <c r="S618" i="2"/>
  <c r="Q618" i="2"/>
  <c r="O618" i="2"/>
  <c r="N618" i="2"/>
  <c r="L618" i="2"/>
  <c r="J618" i="2"/>
  <c r="T617" i="2"/>
  <c r="S617" i="2"/>
  <c r="Q617" i="2"/>
  <c r="O617" i="2"/>
  <c r="N617" i="2"/>
  <c r="L617" i="2"/>
  <c r="J617" i="2"/>
  <c r="T616" i="2"/>
  <c r="S616" i="2"/>
  <c r="Q616" i="2"/>
  <c r="O616" i="2"/>
  <c r="N616" i="2"/>
  <c r="L616" i="2"/>
  <c r="J616" i="2"/>
  <c r="T615" i="2"/>
  <c r="S615" i="2"/>
  <c r="Q615" i="2"/>
  <c r="O615" i="2"/>
  <c r="N615" i="2"/>
  <c r="L615" i="2"/>
  <c r="J615" i="2"/>
  <c r="T614" i="2"/>
  <c r="S614" i="2"/>
  <c r="Q614" i="2"/>
  <c r="O614" i="2"/>
  <c r="N614" i="2"/>
  <c r="L614" i="2"/>
  <c r="J614" i="2"/>
  <c r="T613" i="2"/>
  <c r="S613" i="2"/>
  <c r="Q613" i="2"/>
  <c r="O613" i="2"/>
  <c r="N613" i="2"/>
  <c r="L613" i="2"/>
  <c r="J613" i="2"/>
  <c r="T612" i="2"/>
  <c r="S612" i="2"/>
  <c r="Q612" i="2"/>
  <c r="O612" i="2"/>
  <c r="N612" i="2"/>
  <c r="L612" i="2"/>
  <c r="J612" i="2"/>
  <c r="T611" i="2"/>
  <c r="S611" i="2"/>
  <c r="Q611" i="2"/>
  <c r="O611" i="2"/>
  <c r="N611" i="2"/>
  <c r="L611" i="2"/>
  <c r="J611" i="2"/>
  <c r="T610" i="2"/>
  <c r="S610" i="2"/>
  <c r="Q610" i="2"/>
  <c r="O610" i="2"/>
  <c r="N610" i="2"/>
  <c r="L610" i="2"/>
  <c r="J610" i="2"/>
  <c r="T609" i="2"/>
  <c r="S609" i="2"/>
  <c r="Q609" i="2"/>
  <c r="O609" i="2"/>
  <c r="N609" i="2"/>
  <c r="L609" i="2"/>
  <c r="J609" i="2"/>
  <c r="T608" i="2"/>
  <c r="S608" i="2"/>
  <c r="Q608" i="2"/>
  <c r="O608" i="2"/>
  <c r="N608" i="2"/>
  <c r="L608" i="2"/>
  <c r="J608" i="2"/>
  <c r="T607" i="2"/>
  <c r="S607" i="2"/>
  <c r="Q607" i="2"/>
  <c r="O607" i="2"/>
  <c r="N607" i="2"/>
  <c r="L607" i="2"/>
  <c r="J607" i="2"/>
  <c r="T606" i="2"/>
  <c r="S606" i="2"/>
  <c r="Q606" i="2"/>
  <c r="O606" i="2"/>
  <c r="N606" i="2"/>
  <c r="L606" i="2"/>
  <c r="J606" i="2"/>
  <c r="T605" i="2"/>
  <c r="S605" i="2"/>
  <c r="Q605" i="2"/>
  <c r="O605" i="2"/>
  <c r="N605" i="2"/>
  <c r="L605" i="2"/>
  <c r="J605" i="2"/>
  <c r="T604" i="2"/>
  <c r="S604" i="2"/>
  <c r="Q604" i="2"/>
  <c r="O604" i="2"/>
  <c r="N604" i="2"/>
  <c r="L604" i="2"/>
  <c r="J604" i="2"/>
  <c r="T603" i="2"/>
  <c r="S603" i="2"/>
  <c r="Q603" i="2"/>
  <c r="O603" i="2"/>
  <c r="N603" i="2"/>
  <c r="L603" i="2"/>
  <c r="J603" i="2"/>
  <c r="T602" i="2"/>
  <c r="S602" i="2"/>
  <c r="Q602" i="2"/>
  <c r="O602" i="2"/>
  <c r="N602" i="2"/>
  <c r="L602" i="2"/>
  <c r="J602" i="2"/>
  <c r="T601" i="2"/>
  <c r="S601" i="2"/>
  <c r="Q601" i="2"/>
  <c r="O601" i="2"/>
  <c r="N601" i="2"/>
  <c r="L601" i="2"/>
  <c r="J601" i="2"/>
  <c r="T600" i="2"/>
  <c r="S600" i="2"/>
  <c r="Q600" i="2"/>
  <c r="O600" i="2"/>
  <c r="N600" i="2"/>
  <c r="L600" i="2"/>
  <c r="J600" i="2"/>
  <c r="T599" i="2"/>
  <c r="S599" i="2"/>
  <c r="Q599" i="2"/>
  <c r="O599" i="2"/>
  <c r="N599" i="2"/>
  <c r="L599" i="2"/>
  <c r="J599" i="2"/>
  <c r="T598" i="2"/>
  <c r="S598" i="2"/>
  <c r="Q598" i="2"/>
  <c r="O598" i="2"/>
  <c r="N598" i="2"/>
  <c r="L598" i="2"/>
  <c r="J598" i="2"/>
  <c r="T597" i="2"/>
  <c r="S597" i="2"/>
  <c r="Q597" i="2"/>
  <c r="O597" i="2"/>
  <c r="N597" i="2"/>
  <c r="L597" i="2"/>
  <c r="J597" i="2"/>
  <c r="T596" i="2"/>
  <c r="S596" i="2"/>
  <c r="Q596" i="2"/>
  <c r="O596" i="2"/>
  <c r="N596" i="2"/>
  <c r="L596" i="2"/>
  <c r="J596" i="2"/>
  <c r="T595" i="2"/>
  <c r="S595" i="2"/>
  <c r="Q595" i="2"/>
  <c r="O595" i="2"/>
  <c r="N595" i="2"/>
  <c r="L595" i="2"/>
  <c r="J595" i="2"/>
  <c r="T594" i="2"/>
  <c r="S594" i="2"/>
  <c r="Q594" i="2"/>
  <c r="O594" i="2"/>
  <c r="N594" i="2"/>
  <c r="L594" i="2"/>
  <c r="J594" i="2"/>
  <c r="T593" i="2"/>
  <c r="S593" i="2"/>
  <c r="Q593" i="2"/>
  <c r="O593" i="2"/>
  <c r="N593" i="2"/>
  <c r="L593" i="2"/>
  <c r="J593" i="2"/>
  <c r="T592" i="2"/>
  <c r="S592" i="2"/>
  <c r="Q592" i="2"/>
  <c r="O592" i="2"/>
  <c r="N592" i="2"/>
  <c r="L592" i="2"/>
  <c r="J592" i="2"/>
  <c r="T591" i="2"/>
  <c r="S591" i="2"/>
  <c r="Q591" i="2"/>
  <c r="O591" i="2"/>
  <c r="N591" i="2"/>
  <c r="L591" i="2"/>
  <c r="J591" i="2"/>
  <c r="T590" i="2"/>
  <c r="S590" i="2"/>
  <c r="Q590" i="2"/>
  <c r="O590" i="2"/>
  <c r="N590" i="2"/>
  <c r="L590" i="2"/>
  <c r="J590" i="2"/>
  <c r="T589" i="2"/>
  <c r="S589" i="2"/>
  <c r="Q589" i="2"/>
  <c r="O589" i="2"/>
  <c r="N589" i="2"/>
  <c r="L589" i="2"/>
  <c r="J589" i="2"/>
  <c r="T588" i="2"/>
  <c r="S588" i="2"/>
  <c r="Q588" i="2"/>
  <c r="O588" i="2"/>
  <c r="N588" i="2"/>
  <c r="L588" i="2"/>
  <c r="J588" i="2"/>
  <c r="T587" i="2"/>
  <c r="S587" i="2"/>
  <c r="Q587" i="2"/>
  <c r="O587" i="2"/>
  <c r="N587" i="2"/>
  <c r="L587" i="2"/>
  <c r="J587" i="2"/>
  <c r="T586" i="2"/>
  <c r="S586" i="2"/>
  <c r="Q586" i="2"/>
  <c r="O586" i="2"/>
  <c r="N586" i="2"/>
  <c r="L586" i="2"/>
  <c r="J586" i="2"/>
  <c r="T585" i="2"/>
  <c r="S585" i="2"/>
  <c r="Q585" i="2"/>
  <c r="O585" i="2"/>
  <c r="N585" i="2"/>
  <c r="L585" i="2"/>
  <c r="J585" i="2"/>
  <c r="T584" i="2"/>
  <c r="S584" i="2"/>
  <c r="Q584" i="2"/>
  <c r="O584" i="2"/>
  <c r="N584" i="2"/>
  <c r="L584" i="2"/>
  <c r="J584" i="2"/>
  <c r="T583" i="2"/>
  <c r="S583" i="2"/>
  <c r="Q583" i="2"/>
  <c r="O583" i="2"/>
  <c r="N583" i="2"/>
  <c r="L583" i="2"/>
  <c r="J583" i="2"/>
  <c r="T582" i="2"/>
  <c r="S582" i="2"/>
  <c r="Q582" i="2"/>
  <c r="O582" i="2"/>
  <c r="N582" i="2"/>
  <c r="L582" i="2"/>
  <c r="J582" i="2"/>
  <c r="T581" i="2"/>
  <c r="S581" i="2"/>
  <c r="Q581" i="2"/>
  <c r="O581" i="2"/>
  <c r="N581" i="2"/>
  <c r="L581" i="2"/>
  <c r="J581" i="2"/>
  <c r="T580" i="2"/>
  <c r="S580" i="2"/>
  <c r="Q580" i="2"/>
  <c r="O580" i="2"/>
  <c r="N580" i="2"/>
  <c r="L580" i="2"/>
  <c r="J580" i="2"/>
  <c r="T579" i="2"/>
  <c r="S579" i="2"/>
  <c r="Q579" i="2"/>
  <c r="O579" i="2"/>
  <c r="N579" i="2"/>
  <c r="L579" i="2"/>
  <c r="J579" i="2"/>
  <c r="T578" i="2"/>
  <c r="S578" i="2"/>
  <c r="Q578" i="2"/>
  <c r="O578" i="2"/>
  <c r="N578" i="2"/>
  <c r="L578" i="2"/>
  <c r="J578" i="2"/>
  <c r="T577" i="2"/>
  <c r="S577" i="2"/>
  <c r="Q577" i="2"/>
  <c r="O577" i="2"/>
  <c r="N577" i="2"/>
  <c r="L577" i="2"/>
  <c r="J577" i="2"/>
  <c r="T576" i="2"/>
  <c r="S576" i="2"/>
  <c r="Q576" i="2"/>
  <c r="O576" i="2"/>
  <c r="N576" i="2"/>
  <c r="L576" i="2"/>
  <c r="J576" i="2"/>
  <c r="T575" i="2"/>
  <c r="S575" i="2"/>
  <c r="Q575" i="2"/>
  <c r="O575" i="2"/>
  <c r="N575" i="2"/>
  <c r="L575" i="2"/>
  <c r="J575" i="2"/>
  <c r="T574" i="2"/>
  <c r="S574" i="2"/>
  <c r="Q574" i="2"/>
  <c r="O574" i="2"/>
  <c r="N574" i="2"/>
  <c r="L574" i="2"/>
  <c r="J574" i="2"/>
  <c r="T573" i="2"/>
  <c r="S573" i="2"/>
  <c r="Q573" i="2"/>
  <c r="O573" i="2"/>
  <c r="N573" i="2"/>
  <c r="L573" i="2"/>
  <c r="J573" i="2"/>
  <c r="T572" i="2"/>
  <c r="S572" i="2"/>
  <c r="Q572" i="2"/>
  <c r="O572" i="2"/>
  <c r="N572" i="2"/>
  <c r="L572" i="2"/>
  <c r="J572" i="2"/>
  <c r="T571" i="2"/>
  <c r="S571" i="2"/>
  <c r="Q571" i="2"/>
  <c r="O571" i="2"/>
  <c r="N571" i="2"/>
  <c r="L571" i="2"/>
  <c r="J571" i="2"/>
  <c r="T570" i="2"/>
  <c r="S570" i="2"/>
  <c r="Q570" i="2"/>
  <c r="O570" i="2"/>
  <c r="N570" i="2"/>
  <c r="L570" i="2"/>
  <c r="J570" i="2"/>
  <c r="T569" i="2"/>
  <c r="S569" i="2"/>
  <c r="Q569" i="2"/>
  <c r="O569" i="2"/>
  <c r="N569" i="2"/>
  <c r="L569" i="2"/>
  <c r="J569" i="2"/>
  <c r="T568" i="2"/>
  <c r="S568" i="2"/>
  <c r="Q568" i="2"/>
  <c r="O568" i="2"/>
  <c r="N568" i="2"/>
  <c r="L568" i="2"/>
  <c r="J568" i="2"/>
  <c r="T567" i="2"/>
  <c r="S567" i="2"/>
  <c r="Q567" i="2"/>
  <c r="O567" i="2"/>
  <c r="N567" i="2"/>
  <c r="L567" i="2"/>
  <c r="J567" i="2"/>
  <c r="T566" i="2"/>
  <c r="S566" i="2"/>
  <c r="Q566" i="2"/>
  <c r="O566" i="2"/>
  <c r="N566" i="2"/>
  <c r="L566" i="2"/>
  <c r="J566" i="2"/>
  <c r="T565" i="2"/>
  <c r="S565" i="2"/>
  <c r="Q565" i="2"/>
  <c r="O565" i="2"/>
  <c r="N565" i="2"/>
  <c r="L565" i="2"/>
  <c r="J565" i="2"/>
  <c r="T564" i="2"/>
  <c r="S564" i="2"/>
  <c r="Q564" i="2"/>
  <c r="O564" i="2"/>
  <c r="N564" i="2"/>
  <c r="L564" i="2"/>
  <c r="J564" i="2"/>
  <c r="T563" i="2"/>
  <c r="S563" i="2"/>
  <c r="Q563" i="2"/>
  <c r="O563" i="2"/>
  <c r="N563" i="2"/>
  <c r="L563" i="2"/>
  <c r="J563" i="2"/>
  <c r="T562" i="2"/>
  <c r="S562" i="2"/>
  <c r="Q562" i="2"/>
  <c r="O562" i="2"/>
  <c r="N562" i="2"/>
  <c r="L562" i="2"/>
  <c r="J562" i="2"/>
  <c r="T561" i="2"/>
  <c r="S561" i="2"/>
  <c r="Q561" i="2"/>
  <c r="O561" i="2"/>
  <c r="N561" i="2"/>
  <c r="L561" i="2"/>
  <c r="J561" i="2"/>
  <c r="T560" i="2"/>
  <c r="S560" i="2"/>
  <c r="Q560" i="2"/>
  <c r="O560" i="2"/>
  <c r="N560" i="2"/>
  <c r="L560" i="2"/>
  <c r="J560" i="2"/>
  <c r="T559" i="2"/>
  <c r="S559" i="2"/>
  <c r="Q559" i="2"/>
  <c r="O559" i="2"/>
  <c r="N559" i="2"/>
  <c r="L559" i="2"/>
  <c r="J559" i="2"/>
  <c r="T558" i="2"/>
  <c r="S558" i="2"/>
  <c r="Q558" i="2"/>
  <c r="O558" i="2"/>
  <c r="N558" i="2"/>
  <c r="L558" i="2"/>
  <c r="J558" i="2"/>
  <c r="T557" i="2"/>
  <c r="S557" i="2"/>
  <c r="Q557" i="2"/>
  <c r="O557" i="2"/>
  <c r="N557" i="2"/>
  <c r="L557" i="2"/>
  <c r="J557" i="2"/>
  <c r="T556" i="2"/>
  <c r="S556" i="2"/>
  <c r="Q556" i="2"/>
  <c r="O556" i="2"/>
  <c r="N556" i="2"/>
  <c r="L556" i="2"/>
  <c r="J556" i="2"/>
  <c r="T555" i="2"/>
  <c r="S555" i="2"/>
  <c r="Q555" i="2"/>
  <c r="O555" i="2"/>
  <c r="N555" i="2"/>
  <c r="L555" i="2"/>
  <c r="J555" i="2"/>
  <c r="T554" i="2"/>
  <c r="S554" i="2"/>
  <c r="Q554" i="2"/>
  <c r="O554" i="2"/>
  <c r="N554" i="2"/>
  <c r="L554" i="2"/>
  <c r="J554" i="2"/>
  <c r="T553" i="2"/>
  <c r="S553" i="2"/>
  <c r="Q553" i="2"/>
  <c r="O553" i="2"/>
  <c r="N553" i="2"/>
  <c r="L553" i="2"/>
  <c r="J553" i="2"/>
  <c r="T552" i="2"/>
  <c r="S552" i="2"/>
  <c r="Q552" i="2"/>
  <c r="O552" i="2"/>
  <c r="N552" i="2"/>
  <c r="L552" i="2"/>
  <c r="J552" i="2"/>
  <c r="T551" i="2"/>
  <c r="S551" i="2"/>
  <c r="Q551" i="2"/>
  <c r="O551" i="2"/>
  <c r="N551" i="2"/>
  <c r="L551" i="2"/>
  <c r="J551" i="2"/>
  <c r="T550" i="2"/>
  <c r="S550" i="2"/>
  <c r="Q550" i="2"/>
  <c r="O550" i="2"/>
  <c r="N550" i="2"/>
  <c r="L550" i="2"/>
  <c r="J550" i="2"/>
  <c r="T549" i="2"/>
  <c r="S549" i="2"/>
  <c r="Q549" i="2"/>
  <c r="O549" i="2"/>
  <c r="N549" i="2"/>
  <c r="L549" i="2"/>
  <c r="J549" i="2"/>
  <c r="T548" i="2"/>
  <c r="S548" i="2"/>
  <c r="Q548" i="2"/>
  <c r="O548" i="2"/>
  <c r="N548" i="2"/>
  <c r="L548" i="2"/>
  <c r="J548" i="2"/>
  <c r="T547" i="2"/>
  <c r="S547" i="2"/>
  <c r="Q547" i="2"/>
  <c r="O547" i="2"/>
  <c r="N547" i="2"/>
  <c r="L547" i="2"/>
  <c r="J547" i="2"/>
  <c r="T546" i="2"/>
  <c r="S546" i="2"/>
  <c r="Q546" i="2"/>
  <c r="O546" i="2"/>
  <c r="N546" i="2"/>
  <c r="L546" i="2"/>
  <c r="J546" i="2"/>
  <c r="T545" i="2"/>
  <c r="S545" i="2"/>
  <c r="Q545" i="2"/>
  <c r="O545" i="2"/>
  <c r="N545" i="2"/>
  <c r="L545" i="2"/>
  <c r="J545" i="2"/>
  <c r="T544" i="2"/>
  <c r="S544" i="2"/>
  <c r="Q544" i="2"/>
  <c r="O544" i="2"/>
  <c r="N544" i="2"/>
  <c r="L544" i="2"/>
  <c r="J544" i="2"/>
  <c r="T543" i="2"/>
  <c r="S543" i="2"/>
  <c r="Q543" i="2"/>
  <c r="O543" i="2"/>
  <c r="N543" i="2"/>
  <c r="L543" i="2"/>
  <c r="J543" i="2"/>
  <c r="T542" i="2"/>
  <c r="S542" i="2"/>
  <c r="Q542" i="2"/>
  <c r="O542" i="2"/>
  <c r="N542" i="2"/>
  <c r="L542" i="2"/>
  <c r="J542" i="2"/>
  <c r="T541" i="2"/>
  <c r="S541" i="2"/>
  <c r="Q541" i="2"/>
  <c r="O541" i="2"/>
  <c r="N541" i="2"/>
  <c r="L541" i="2"/>
  <c r="J541" i="2"/>
  <c r="T540" i="2"/>
  <c r="S540" i="2"/>
  <c r="Q540" i="2"/>
  <c r="O540" i="2"/>
  <c r="N540" i="2"/>
  <c r="L540" i="2"/>
  <c r="J540" i="2"/>
  <c r="T539" i="2"/>
  <c r="S539" i="2"/>
  <c r="Q539" i="2"/>
  <c r="O539" i="2"/>
  <c r="N539" i="2"/>
  <c r="L539" i="2"/>
  <c r="J539" i="2"/>
  <c r="T538" i="2"/>
  <c r="S538" i="2"/>
  <c r="Q538" i="2"/>
  <c r="O538" i="2"/>
  <c r="N538" i="2"/>
  <c r="L538" i="2"/>
  <c r="J538" i="2"/>
  <c r="T537" i="2"/>
  <c r="S537" i="2"/>
  <c r="Q537" i="2"/>
  <c r="O537" i="2"/>
  <c r="N537" i="2"/>
  <c r="L537" i="2"/>
  <c r="J537" i="2"/>
  <c r="T536" i="2"/>
  <c r="S536" i="2"/>
  <c r="Q536" i="2"/>
  <c r="O536" i="2"/>
  <c r="N536" i="2"/>
  <c r="L536" i="2"/>
  <c r="J536" i="2"/>
  <c r="T535" i="2"/>
  <c r="S535" i="2"/>
  <c r="Q535" i="2"/>
  <c r="O535" i="2"/>
  <c r="N535" i="2"/>
  <c r="L535" i="2"/>
  <c r="J535" i="2"/>
  <c r="T534" i="2"/>
  <c r="S534" i="2"/>
  <c r="Q534" i="2"/>
  <c r="O534" i="2"/>
  <c r="N534" i="2"/>
  <c r="L534" i="2"/>
  <c r="J534" i="2"/>
  <c r="T533" i="2"/>
  <c r="S533" i="2"/>
  <c r="Q533" i="2"/>
  <c r="O533" i="2"/>
  <c r="N533" i="2"/>
  <c r="L533" i="2"/>
  <c r="J533" i="2"/>
  <c r="T532" i="2"/>
  <c r="S532" i="2"/>
  <c r="Q532" i="2"/>
  <c r="O532" i="2"/>
  <c r="N532" i="2"/>
  <c r="L532" i="2"/>
  <c r="J532" i="2"/>
  <c r="T531" i="2"/>
  <c r="S531" i="2"/>
  <c r="Q531" i="2"/>
  <c r="O531" i="2"/>
  <c r="N531" i="2"/>
  <c r="L531" i="2"/>
  <c r="J531" i="2"/>
  <c r="T530" i="2"/>
  <c r="S530" i="2"/>
  <c r="Q530" i="2"/>
  <c r="O530" i="2"/>
  <c r="N530" i="2"/>
  <c r="L530" i="2"/>
  <c r="J530" i="2"/>
  <c r="T529" i="2"/>
  <c r="S529" i="2"/>
  <c r="Q529" i="2"/>
  <c r="O529" i="2"/>
  <c r="N529" i="2"/>
  <c r="L529" i="2"/>
  <c r="J529" i="2"/>
  <c r="T528" i="2"/>
  <c r="S528" i="2"/>
  <c r="Q528" i="2"/>
  <c r="O528" i="2"/>
  <c r="N528" i="2"/>
  <c r="L528" i="2"/>
  <c r="J528" i="2"/>
  <c r="T527" i="2"/>
  <c r="S527" i="2"/>
  <c r="Q527" i="2"/>
  <c r="O527" i="2"/>
  <c r="N527" i="2"/>
  <c r="L527" i="2"/>
  <c r="J527" i="2"/>
  <c r="T526" i="2"/>
  <c r="S526" i="2"/>
  <c r="Q526" i="2"/>
  <c r="O526" i="2"/>
  <c r="N526" i="2"/>
  <c r="L526" i="2"/>
  <c r="J526" i="2"/>
  <c r="T525" i="2"/>
  <c r="S525" i="2"/>
  <c r="Q525" i="2"/>
  <c r="O525" i="2"/>
  <c r="N525" i="2"/>
  <c r="L525" i="2"/>
  <c r="J525" i="2"/>
  <c r="T524" i="2"/>
  <c r="S524" i="2"/>
  <c r="Q524" i="2"/>
  <c r="O524" i="2"/>
  <c r="N524" i="2"/>
  <c r="L524" i="2"/>
  <c r="J524" i="2"/>
  <c r="T523" i="2"/>
  <c r="S523" i="2"/>
  <c r="Q523" i="2"/>
  <c r="O523" i="2"/>
  <c r="N523" i="2"/>
  <c r="L523" i="2"/>
  <c r="J523" i="2"/>
  <c r="T522" i="2"/>
  <c r="S522" i="2"/>
  <c r="Q522" i="2"/>
  <c r="O522" i="2"/>
  <c r="N522" i="2"/>
  <c r="L522" i="2"/>
  <c r="J522" i="2"/>
  <c r="T521" i="2"/>
  <c r="S521" i="2"/>
  <c r="Q521" i="2"/>
  <c r="O521" i="2"/>
  <c r="N521" i="2"/>
  <c r="L521" i="2"/>
  <c r="J521" i="2"/>
  <c r="T520" i="2"/>
  <c r="S520" i="2"/>
  <c r="Q520" i="2"/>
  <c r="O520" i="2"/>
  <c r="N520" i="2"/>
  <c r="L520" i="2"/>
  <c r="J520" i="2"/>
  <c r="T519" i="2"/>
  <c r="S519" i="2"/>
  <c r="Q519" i="2"/>
  <c r="O519" i="2"/>
  <c r="N519" i="2"/>
  <c r="L519" i="2"/>
  <c r="J519" i="2"/>
  <c r="T518" i="2"/>
  <c r="S518" i="2"/>
  <c r="Q518" i="2"/>
  <c r="O518" i="2"/>
  <c r="N518" i="2"/>
  <c r="L518" i="2"/>
  <c r="J518" i="2"/>
  <c r="T517" i="2"/>
  <c r="S517" i="2"/>
  <c r="Q517" i="2"/>
  <c r="O517" i="2"/>
  <c r="N517" i="2"/>
  <c r="L517" i="2"/>
  <c r="J517" i="2"/>
  <c r="T516" i="2"/>
  <c r="S516" i="2"/>
  <c r="Q516" i="2"/>
  <c r="O516" i="2"/>
  <c r="N516" i="2"/>
  <c r="L516" i="2"/>
  <c r="J516" i="2"/>
  <c r="T515" i="2"/>
  <c r="S515" i="2"/>
  <c r="Q515" i="2"/>
  <c r="O515" i="2"/>
  <c r="N515" i="2"/>
  <c r="L515" i="2"/>
  <c r="J515" i="2"/>
  <c r="T514" i="2"/>
  <c r="S514" i="2"/>
  <c r="Q514" i="2"/>
  <c r="O514" i="2"/>
  <c r="N514" i="2"/>
  <c r="L514" i="2"/>
  <c r="J514" i="2"/>
  <c r="T513" i="2"/>
  <c r="S513" i="2"/>
  <c r="Q513" i="2"/>
  <c r="O513" i="2"/>
  <c r="N513" i="2"/>
  <c r="L513" i="2"/>
  <c r="J513" i="2"/>
  <c r="T512" i="2"/>
  <c r="S512" i="2"/>
  <c r="Q512" i="2"/>
  <c r="O512" i="2"/>
  <c r="N512" i="2"/>
  <c r="L512" i="2"/>
  <c r="J512" i="2"/>
  <c r="T511" i="2"/>
  <c r="S511" i="2"/>
  <c r="Q511" i="2"/>
  <c r="O511" i="2"/>
  <c r="N511" i="2"/>
  <c r="L511" i="2"/>
  <c r="J511" i="2"/>
  <c r="T510" i="2"/>
  <c r="S510" i="2"/>
  <c r="Q510" i="2"/>
  <c r="O510" i="2"/>
  <c r="N510" i="2"/>
  <c r="L510" i="2"/>
  <c r="J510" i="2"/>
  <c r="T509" i="2"/>
  <c r="S509" i="2"/>
  <c r="Q509" i="2"/>
  <c r="O509" i="2"/>
  <c r="N509" i="2"/>
  <c r="L509" i="2"/>
  <c r="J509" i="2"/>
  <c r="T508" i="2"/>
  <c r="S508" i="2"/>
  <c r="Q508" i="2"/>
  <c r="O508" i="2"/>
  <c r="N508" i="2"/>
  <c r="L508" i="2"/>
  <c r="J508" i="2"/>
  <c r="T507" i="2"/>
  <c r="S507" i="2"/>
  <c r="Q507" i="2"/>
  <c r="O507" i="2"/>
  <c r="N507" i="2"/>
  <c r="L507" i="2"/>
  <c r="J507" i="2"/>
  <c r="T506" i="2"/>
  <c r="S506" i="2"/>
  <c r="Q506" i="2"/>
  <c r="O506" i="2"/>
  <c r="N506" i="2"/>
  <c r="L506" i="2"/>
  <c r="J506" i="2"/>
  <c r="T505" i="2"/>
  <c r="S505" i="2"/>
  <c r="Q505" i="2"/>
  <c r="O505" i="2"/>
  <c r="N505" i="2"/>
  <c r="L505" i="2"/>
  <c r="J505" i="2"/>
  <c r="T504" i="2"/>
  <c r="S504" i="2"/>
  <c r="Q504" i="2"/>
  <c r="O504" i="2"/>
  <c r="N504" i="2"/>
  <c r="L504" i="2"/>
  <c r="J504" i="2"/>
  <c r="T503" i="2"/>
  <c r="S503" i="2"/>
  <c r="Q503" i="2"/>
  <c r="O503" i="2"/>
  <c r="N503" i="2"/>
  <c r="L503" i="2"/>
  <c r="J503" i="2"/>
  <c r="T502" i="2"/>
  <c r="S502" i="2"/>
  <c r="Q502" i="2"/>
  <c r="O502" i="2"/>
  <c r="N502" i="2"/>
  <c r="L502" i="2"/>
  <c r="J502" i="2"/>
  <c r="T501" i="2"/>
  <c r="S501" i="2"/>
  <c r="Q501" i="2"/>
  <c r="O501" i="2"/>
  <c r="N501" i="2"/>
  <c r="L501" i="2"/>
  <c r="J501" i="2"/>
  <c r="T500" i="2"/>
  <c r="S500" i="2"/>
  <c r="Q500" i="2"/>
  <c r="O500" i="2"/>
  <c r="N500" i="2"/>
  <c r="L500" i="2"/>
  <c r="J500" i="2"/>
  <c r="T499" i="2"/>
  <c r="S499" i="2"/>
  <c r="Q499" i="2"/>
  <c r="O499" i="2"/>
  <c r="N499" i="2"/>
  <c r="L499" i="2"/>
  <c r="J499" i="2"/>
  <c r="T498" i="2"/>
  <c r="S498" i="2"/>
  <c r="Q498" i="2"/>
  <c r="O498" i="2"/>
  <c r="N498" i="2"/>
  <c r="L498" i="2"/>
  <c r="J498" i="2"/>
  <c r="T497" i="2"/>
  <c r="S497" i="2"/>
  <c r="Q497" i="2"/>
  <c r="O497" i="2"/>
  <c r="N497" i="2"/>
  <c r="L497" i="2"/>
  <c r="J497" i="2"/>
  <c r="T496" i="2"/>
  <c r="S496" i="2"/>
  <c r="Q496" i="2"/>
  <c r="O496" i="2"/>
  <c r="N496" i="2"/>
  <c r="L496" i="2"/>
  <c r="J496" i="2"/>
  <c r="T495" i="2"/>
  <c r="S495" i="2"/>
  <c r="Q495" i="2"/>
  <c r="O495" i="2"/>
  <c r="N495" i="2"/>
  <c r="L495" i="2"/>
  <c r="J495" i="2"/>
  <c r="T494" i="2"/>
  <c r="S494" i="2"/>
  <c r="Q494" i="2"/>
  <c r="O494" i="2"/>
  <c r="N494" i="2"/>
  <c r="L494" i="2"/>
  <c r="J494" i="2"/>
  <c r="T493" i="2"/>
  <c r="S493" i="2"/>
  <c r="Q493" i="2"/>
  <c r="O493" i="2"/>
  <c r="N493" i="2"/>
  <c r="L493" i="2"/>
  <c r="J493" i="2"/>
  <c r="T492" i="2"/>
  <c r="S492" i="2"/>
  <c r="Q492" i="2"/>
  <c r="O492" i="2"/>
  <c r="N492" i="2"/>
  <c r="L492" i="2"/>
  <c r="J492" i="2"/>
  <c r="T491" i="2"/>
  <c r="S491" i="2"/>
  <c r="Q491" i="2"/>
  <c r="O491" i="2"/>
  <c r="N491" i="2"/>
  <c r="L491" i="2"/>
  <c r="J491" i="2"/>
  <c r="T490" i="2"/>
  <c r="S490" i="2"/>
  <c r="Q490" i="2"/>
  <c r="O490" i="2"/>
  <c r="N490" i="2"/>
  <c r="L490" i="2"/>
  <c r="J490" i="2"/>
  <c r="T489" i="2"/>
  <c r="S489" i="2"/>
  <c r="Q489" i="2"/>
  <c r="O489" i="2"/>
  <c r="N489" i="2"/>
  <c r="L489" i="2"/>
  <c r="J489" i="2"/>
  <c r="T488" i="2"/>
  <c r="S488" i="2"/>
  <c r="Q488" i="2"/>
  <c r="O488" i="2"/>
  <c r="N488" i="2"/>
  <c r="L488" i="2"/>
  <c r="J488" i="2"/>
  <c r="T487" i="2"/>
  <c r="S487" i="2"/>
  <c r="Q487" i="2"/>
  <c r="O487" i="2"/>
  <c r="N487" i="2"/>
  <c r="L487" i="2"/>
  <c r="J487" i="2"/>
  <c r="T486" i="2"/>
  <c r="S486" i="2"/>
  <c r="Q486" i="2"/>
  <c r="O486" i="2"/>
  <c r="N486" i="2"/>
  <c r="L486" i="2"/>
  <c r="J486" i="2"/>
  <c r="T485" i="2"/>
  <c r="S485" i="2"/>
  <c r="Q485" i="2"/>
  <c r="O485" i="2"/>
  <c r="N485" i="2"/>
  <c r="L485" i="2"/>
  <c r="J485" i="2"/>
  <c r="T484" i="2"/>
  <c r="S484" i="2"/>
  <c r="Q484" i="2"/>
  <c r="O484" i="2"/>
  <c r="N484" i="2"/>
  <c r="L484" i="2"/>
  <c r="J484" i="2"/>
  <c r="T483" i="2"/>
  <c r="S483" i="2"/>
  <c r="Q483" i="2"/>
  <c r="O483" i="2"/>
  <c r="N483" i="2"/>
  <c r="L483" i="2"/>
  <c r="J483" i="2"/>
  <c r="T482" i="2"/>
  <c r="S482" i="2"/>
  <c r="Q482" i="2"/>
  <c r="O482" i="2"/>
  <c r="N482" i="2"/>
  <c r="L482" i="2"/>
  <c r="J482" i="2"/>
  <c r="T481" i="2"/>
  <c r="S481" i="2"/>
  <c r="Q481" i="2"/>
  <c r="O481" i="2"/>
  <c r="N481" i="2"/>
  <c r="L481" i="2"/>
  <c r="J481" i="2"/>
  <c r="T480" i="2"/>
  <c r="S480" i="2"/>
  <c r="Q480" i="2"/>
  <c r="O480" i="2"/>
  <c r="N480" i="2"/>
  <c r="L480" i="2"/>
  <c r="J480" i="2"/>
  <c r="T479" i="2"/>
  <c r="S479" i="2"/>
  <c r="Q479" i="2"/>
  <c r="O479" i="2"/>
  <c r="N479" i="2"/>
  <c r="L479" i="2"/>
  <c r="J479" i="2"/>
  <c r="T478" i="2"/>
  <c r="S478" i="2"/>
  <c r="Q478" i="2"/>
  <c r="O478" i="2"/>
  <c r="N478" i="2"/>
  <c r="L478" i="2"/>
  <c r="J478" i="2"/>
  <c r="T477" i="2"/>
  <c r="S477" i="2"/>
  <c r="Q477" i="2"/>
  <c r="O477" i="2"/>
  <c r="N477" i="2"/>
  <c r="L477" i="2"/>
  <c r="J477" i="2"/>
  <c r="T476" i="2"/>
  <c r="S476" i="2"/>
  <c r="Q476" i="2"/>
  <c r="O476" i="2"/>
  <c r="N476" i="2"/>
  <c r="L476" i="2"/>
  <c r="J476" i="2"/>
  <c r="T475" i="2"/>
  <c r="S475" i="2"/>
  <c r="Q475" i="2"/>
  <c r="O475" i="2"/>
  <c r="N475" i="2"/>
  <c r="L475" i="2"/>
  <c r="J475" i="2"/>
  <c r="T474" i="2"/>
  <c r="S474" i="2"/>
  <c r="Q474" i="2"/>
  <c r="O474" i="2"/>
  <c r="N474" i="2"/>
  <c r="L474" i="2"/>
  <c r="J474" i="2"/>
  <c r="T473" i="2"/>
  <c r="S473" i="2"/>
  <c r="Q473" i="2"/>
  <c r="O473" i="2"/>
  <c r="N473" i="2"/>
  <c r="L473" i="2"/>
  <c r="J473" i="2"/>
  <c r="T472" i="2"/>
  <c r="S472" i="2"/>
  <c r="Q472" i="2"/>
  <c r="O472" i="2"/>
  <c r="N472" i="2"/>
  <c r="L472" i="2"/>
  <c r="J472" i="2"/>
  <c r="T471" i="2"/>
  <c r="S471" i="2"/>
  <c r="Q471" i="2"/>
  <c r="O471" i="2"/>
  <c r="N471" i="2"/>
  <c r="L471" i="2"/>
  <c r="J471" i="2"/>
  <c r="T470" i="2"/>
  <c r="S470" i="2"/>
  <c r="Q470" i="2"/>
  <c r="O470" i="2"/>
  <c r="N470" i="2"/>
  <c r="L470" i="2"/>
  <c r="J470" i="2"/>
  <c r="T469" i="2"/>
  <c r="S469" i="2"/>
  <c r="Q469" i="2"/>
  <c r="O469" i="2"/>
  <c r="N469" i="2"/>
  <c r="L469" i="2"/>
  <c r="J469" i="2"/>
  <c r="T468" i="2"/>
  <c r="S468" i="2"/>
  <c r="Q468" i="2"/>
  <c r="O468" i="2"/>
  <c r="N468" i="2"/>
  <c r="L468" i="2"/>
  <c r="J468" i="2"/>
  <c r="T467" i="2"/>
  <c r="S467" i="2"/>
  <c r="Q467" i="2"/>
  <c r="O467" i="2"/>
  <c r="N467" i="2"/>
  <c r="L467" i="2"/>
  <c r="J467" i="2"/>
  <c r="T466" i="2"/>
  <c r="S466" i="2"/>
  <c r="Q466" i="2"/>
  <c r="O466" i="2"/>
  <c r="N466" i="2"/>
  <c r="L466" i="2"/>
  <c r="J466" i="2"/>
  <c r="T465" i="2"/>
  <c r="S465" i="2"/>
  <c r="Q465" i="2"/>
  <c r="O465" i="2"/>
  <c r="N465" i="2"/>
  <c r="L465" i="2"/>
  <c r="J465" i="2"/>
  <c r="T464" i="2"/>
  <c r="S464" i="2"/>
  <c r="Q464" i="2"/>
  <c r="O464" i="2"/>
  <c r="N464" i="2"/>
  <c r="L464" i="2"/>
  <c r="J464" i="2"/>
  <c r="T463" i="2"/>
  <c r="S463" i="2"/>
  <c r="Q463" i="2"/>
  <c r="O463" i="2"/>
  <c r="N463" i="2"/>
  <c r="L463" i="2"/>
  <c r="J463" i="2"/>
  <c r="T462" i="2"/>
  <c r="S462" i="2"/>
  <c r="Q462" i="2"/>
  <c r="O462" i="2"/>
  <c r="N462" i="2"/>
  <c r="L462" i="2"/>
  <c r="J462" i="2"/>
  <c r="T461" i="2"/>
  <c r="S461" i="2"/>
  <c r="Q461" i="2"/>
  <c r="O461" i="2"/>
  <c r="N461" i="2"/>
  <c r="L461" i="2"/>
  <c r="J461" i="2"/>
  <c r="T460" i="2"/>
  <c r="S460" i="2"/>
  <c r="Q460" i="2"/>
  <c r="O460" i="2"/>
  <c r="N460" i="2"/>
  <c r="L460" i="2"/>
  <c r="J460" i="2"/>
  <c r="T459" i="2"/>
  <c r="S459" i="2"/>
  <c r="Q459" i="2"/>
  <c r="O459" i="2"/>
  <c r="N459" i="2"/>
  <c r="L459" i="2"/>
  <c r="J459" i="2"/>
  <c r="T458" i="2"/>
  <c r="S458" i="2"/>
  <c r="Q458" i="2"/>
  <c r="O458" i="2"/>
  <c r="N458" i="2"/>
  <c r="L458" i="2"/>
  <c r="J458" i="2"/>
  <c r="T457" i="2"/>
  <c r="S457" i="2"/>
  <c r="Q457" i="2"/>
  <c r="O457" i="2"/>
  <c r="N457" i="2"/>
  <c r="L457" i="2"/>
  <c r="J457" i="2"/>
  <c r="T456" i="2"/>
  <c r="S456" i="2"/>
  <c r="Q456" i="2"/>
  <c r="O456" i="2"/>
  <c r="N456" i="2"/>
  <c r="L456" i="2"/>
  <c r="J456" i="2"/>
  <c r="T455" i="2"/>
  <c r="S455" i="2"/>
  <c r="Q455" i="2"/>
  <c r="O455" i="2"/>
  <c r="N455" i="2"/>
  <c r="L455" i="2"/>
  <c r="J455" i="2"/>
  <c r="T454" i="2"/>
  <c r="S454" i="2"/>
  <c r="Q454" i="2"/>
  <c r="O454" i="2"/>
  <c r="N454" i="2"/>
  <c r="L454" i="2"/>
  <c r="J454" i="2"/>
  <c r="T453" i="2"/>
  <c r="S453" i="2"/>
  <c r="Q453" i="2"/>
  <c r="O453" i="2"/>
  <c r="N453" i="2"/>
  <c r="L453" i="2"/>
  <c r="J453" i="2"/>
  <c r="T452" i="2"/>
  <c r="S452" i="2"/>
  <c r="Q452" i="2"/>
  <c r="O452" i="2"/>
  <c r="N452" i="2"/>
  <c r="L452" i="2"/>
  <c r="J452" i="2"/>
  <c r="T451" i="2"/>
  <c r="S451" i="2"/>
  <c r="Q451" i="2"/>
  <c r="O451" i="2"/>
  <c r="N451" i="2"/>
  <c r="L451" i="2"/>
  <c r="J451" i="2"/>
  <c r="T450" i="2"/>
  <c r="S450" i="2"/>
  <c r="Q450" i="2"/>
  <c r="O450" i="2"/>
  <c r="N450" i="2"/>
  <c r="L450" i="2"/>
  <c r="J450" i="2"/>
  <c r="T449" i="2"/>
  <c r="S449" i="2"/>
  <c r="Q449" i="2"/>
  <c r="O449" i="2"/>
  <c r="N449" i="2"/>
  <c r="L449" i="2"/>
  <c r="J449" i="2"/>
  <c r="T448" i="2"/>
  <c r="S448" i="2"/>
  <c r="Q448" i="2"/>
  <c r="O448" i="2"/>
  <c r="N448" i="2"/>
  <c r="L448" i="2"/>
  <c r="J448" i="2"/>
  <c r="T447" i="2"/>
  <c r="S447" i="2"/>
  <c r="Q447" i="2"/>
  <c r="O447" i="2"/>
  <c r="N447" i="2"/>
  <c r="L447" i="2"/>
  <c r="J447" i="2"/>
  <c r="T446" i="2"/>
  <c r="S446" i="2"/>
  <c r="Q446" i="2"/>
  <c r="O446" i="2"/>
  <c r="N446" i="2"/>
  <c r="L446" i="2"/>
  <c r="J446" i="2"/>
  <c r="T445" i="2"/>
  <c r="S445" i="2"/>
  <c r="Q445" i="2"/>
  <c r="O445" i="2"/>
  <c r="N445" i="2"/>
  <c r="L445" i="2"/>
  <c r="J445" i="2"/>
  <c r="T444" i="2"/>
  <c r="S444" i="2"/>
  <c r="Q444" i="2"/>
  <c r="O444" i="2"/>
  <c r="N444" i="2"/>
  <c r="L444" i="2"/>
  <c r="J444" i="2"/>
  <c r="T443" i="2"/>
  <c r="S443" i="2"/>
  <c r="Q443" i="2"/>
  <c r="O443" i="2"/>
  <c r="N443" i="2"/>
  <c r="L443" i="2"/>
  <c r="J443" i="2"/>
  <c r="T442" i="2"/>
  <c r="S442" i="2"/>
  <c r="Q442" i="2"/>
  <c r="O442" i="2"/>
  <c r="N442" i="2"/>
  <c r="L442" i="2"/>
  <c r="J442" i="2"/>
  <c r="T441" i="2"/>
  <c r="S441" i="2"/>
  <c r="Q441" i="2"/>
  <c r="O441" i="2"/>
  <c r="N441" i="2"/>
  <c r="L441" i="2"/>
  <c r="J441" i="2"/>
  <c r="T440" i="2"/>
  <c r="S440" i="2"/>
  <c r="Q440" i="2"/>
  <c r="O440" i="2"/>
  <c r="N440" i="2"/>
  <c r="L440" i="2"/>
  <c r="J440" i="2"/>
  <c r="T439" i="2"/>
  <c r="S439" i="2"/>
  <c r="Q439" i="2"/>
  <c r="O439" i="2"/>
  <c r="N439" i="2"/>
  <c r="L439" i="2"/>
  <c r="J439" i="2"/>
  <c r="T438" i="2"/>
  <c r="S438" i="2"/>
  <c r="Q438" i="2"/>
  <c r="O438" i="2"/>
  <c r="N438" i="2"/>
  <c r="L438" i="2"/>
  <c r="J438" i="2"/>
  <c r="T437" i="2"/>
  <c r="S437" i="2"/>
  <c r="Q437" i="2"/>
  <c r="O437" i="2"/>
  <c r="N437" i="2"/>
  <c r="L437" i="2"/>
  <c r="J437" i="2"/>
  <c r="T436" i="2"/>
  <c r="S436" i="2"/>
  <c r="Q436" i="2"/>
  <c r="O436" i="2"/>
  <c r="N436" i="2"/>
  <c r="L436" i="2"/>
  <c r="J436" i="2"/>
  <c r="T435" i="2"/>
  <c r="S435" i="2"/>
  <c r="Q435" i="2"/>
  <c r="O435" i="2"/>
  <c r="N435" i="2"/>
  <c r="L435" i="2"/>
  <c r="J435" i="2"/>
  <c r="T434" i="2"/>
  <c r="S434" i="2"/>
  <c r="Q434" i="2"/>
  <c r="O434" i="2"/>
  <c r="N434" i="2"/>
  <c r="L434" i="2"/>
  <c r="J434" i="2"/>
  <c r="T433" i="2"/>
  <c r="S433" i="2"/>
  <c r="Q433" i="2"/>
  <c r="O433" i="2"/>
  <c r="N433" i="2"/>
  <c r="L433" i="2"/>
  <c r="J433" i="2"/>
  <c r="T432" i="2"/>
  <c r="S432" i="2"/>
  <c r="Q432" i="2"/>
  <c r="O432" i="2"/>
  <c r="N432" i="2"/>
  <c r="L432" i="2"/>
  <c r="J432" i="2"/>
  <c r="T431" i="2"/>
  <c r="S431" i="2"/>
  <c r="Q431" i="2"/>
  <c r="O431" i="2"/>
  <c r="N431" i="2"/>
  <c r="L431" i="2"/>
  <c r="J431" i="2"/>
  <c r="T430" i="2"/>
  <c r="S430" i="2"/>
  <c r="Q430" i="2"/>
  <c r="O430" i="2"/>
  <c r="N430" i="2"/>
  <c r="L430" i="2"/>
  <c r="J430" i="2"/>
  <c r="T429" i="2"/>
  <c r="S429" i="2"/>
  <c r="Q429" i="2"/>
  <c r="O429" i="2"/>
  <c r="N429" i="2"/>
  <c r="L429" i="2"/>
  <c r="J429" i="2"/>
  <c r="T428" i="2"/>
  <c r="S428" i="2"/>
  <c r="Q428" i="2"/>
  <c r="O428" i="2"/>
  <c r="N428" i="2"/>
  <c r="L428" i="2"/>
  <c r="J428" i="2"/>
  <c r="T427" i="2"/>
  <c r="S427" i="2"/>
  <c r="Q427" i="2"/>
  <c r="O427" i="2"/>
  <c r="N427" i="2"/>
  <c r="L427" i="2"/>
  <c r="J427" i="2"/>
  <c r="T426" i="2"/>
  <c r="S426" i="2"/>
  <c r="Q426" i="2"/>
  <c r="O426" i="2"/>
  <c r="N426" i="2"/>
  <c r="L426" i="2"/>
  <c r="J426" i="2"/>
  <c r="T425" i="2"/>
  <c r="S425" i="2"/>
  <c r="Q425" i="2"/>
  <c r="O425" i="2"/>
  <c r="N425" i="2"/>
  <c r="L425" i="2"/>
  <c r="J425" i="2"/>
  <c r="T424" i="2"/>
  <c r="S424" i="2"/>
  <c r="Q424" i="2"/>
  <c r="O424" i="2"/>
  <c r="N424" i="2"/>
  <c r="L424" i="2"/>
  <c r="J424" i="2"/>
  <c r="T423" i="2"/>
  <c r="S423" i="2"/>
  <c r="Q423" i="2"/>
  <c r="O423" i="2"/>
  <c r="N423" i="2"/>
  <c r="L423" i="2"/>
  <c r="J423" i="2"/>
  <c r="T422" i="2"/>
  <c r="S422" i="2"/>
  <c r="Q422" i="2"/>
  <c r="O422" i="2"/>
  <c r="N422" i="2"/>
  <c r="L422" i="2"/>
  <c r="J422" i="2"/>
  <c r="T421" i="2"/>
  <c r="S421" i="2"/>
  <c r="Q421" i="2"/>
  <c r="O421" i="2"/>
  <c r="N421" i="2"/>
  <c r="L421" i="2"/>
  <c r="J421" i="2"/>
  <c r="T420" i="2"/>
  <c r="S420" i="2"/>
  <c r="Q420" i="2"/>
  <c r="O420" i="2"/>
  <c r="N420" i="2"/>
  <c r="L420" i="2"/>
  <c r="J420" i="2"/>
  <c r="T419" i="2"/>
  <c r="S419" i="2"/>
  <c r="Q419" i="2"/>
  <c r="O419" i="2"/>
  <c r="N419" i="2"/>
  <c r="L419" i="2"/>
  <c r="J419" i="2"/>
  <c r="T418" i="2"/>
  <c r="S418" i="2"/>
  <c r="Q418" i="2"/>
  <c r="O418" i="2"/>
  <c r="N418" i="2"/>
  <c r="L418" i="2"/>
  <c r="J418" i="2"/>
  <c r="T417" i="2"/>
  <c r="S417" i="2"/>
  <c r="Q417" i="2"/>
  <c r="O417" i="2"/>
  <c r="N417" i="2"/>
  <c r="L417" i="2"/>
  <c r="J417" i="2"/>
  <c r="T416" i="2"/>
  <c r="S416" i="2"/>
  <c r="Q416" i="2"/>
  <c r="O416" i="2"/>
  <c r="N416" i="2"/>
  <c r="L416" i="2"/>
  <c r="J416" i="2"/>
  <c r="T415" i="2"/>
  <c r="S415" i="2"/>
  <c r="Q415" i="2"/>
  <c r="O415" i="2"/>
  <c r="N415" i="2"/>
  <c r="L415" i="2"/>
  <c r="J415" i="2"/>
  <c r="T414" i="2"/>
  <c r="S414" i="2"/>
  <c r="Q414" i="2"/>
  <c r="O414" i="2"/>
  <c r="N414" i="2"/>
  <c r="L414" i="2"/>
  <c r="J414" i="2"/>
  <c r="T413" i="2"/>
  <c r="S413" i="2"/>
  <c r="Q413" i="2"/>
  <c r="O413" i="2"/>
  <c r="N413" i="2"/>
  <c r="L413" i="2"/>
  <c r="J413" i="2"/>
  <c r="T412" i="2"/>
  <c r="S412" i="2"/>
  <c r="Q412" i="2"/>
  <c r="O412" i="2"/>
  <c r="N412" i="2"/>
  <c r="L412" i="2"/>
  <c r="J412" i="2"/>
  <c r="T411" i="2"/>
  <c r="S411" i="2"/>
  <c r="Q411" i="2"/>
  <c r="O411" i="2"/>
  <c r="N411" i="2"/>
  <c r="L411" i="2"/>
  <c r="J411" i="2"/>
  <c r="T410" i="2"/>
  <c r="S410" i="2"/>
  <c r="Q410" i="2"/>
  <c r="O410" i="2"/>
  <c r="N410" i="2"/>
  <c r="L410" i="2"/>
  <c r="J410" i="2"/>
  <c r="T409" i="2"/>
  <c r="S409" i="2"/>
  <c r="Q409" i="2"/>
  <c r="O409" i="2"/>
  <c r="N409" i="2"/>
  <c r="L409" i="2"/>
  <c r="J409" i="2"/>
  <c r="T408" i="2"/>
  <c r="S408" i="2"/>
  <c r="Q408" i="2"/>
  <c r="O408" i="2"/>
  <c r="N408" i="2"/>
  <c r="L408" i="2"/>
  <c r="J408" i="2"/>
  <c r="T407" i="2"/>
  <c r="S407" i="2"/>
  <c r="Q407" i="2"/>
  <c r="O407" i="2"/>
  <c r="N407" i="2"/>
  <c r="L407" i="2"/>
  <c r="J407" i="2"/>
  <c r="T406" i="2"/>
  <c r="S406" i="2"/>
  <c r="Q406" i="2"/>
  <c r="O406" i="2"/>
  <c r="N406" i="2"/>
  <c r="L406" i="2"/>
  <c r="J406" i="2"/>
  <c r="T405" i="2"/>
  <c r="S405" i="2"/>
  <c r="Q405" i="2"/>
  <c r="O405" i="2"/>
  <c r="N405" i="2"/>
  <c r="L405" i="2"/>
  <c r="J405" i="2"/>
  <c r="T404" i="2"/>
  <c r="S404" i="2"/>
  <c r="Q404" i="2"/>
  <c r="O404" i="2"/>
  <c r="N404" i="2"/>
  <c r="L404" i="2"/>
  <c r="J404" i="2"/>
  <c r="T403" i="2"/>
  <c r="S403" i="2"/>
  <c r="Q403" i="2"/>
  <c r="O403" i="2"/>
  <c r="N403" i="2"/>
  <c r="L403" i="2"/>
  <c r="J403" i="2"/>
  <c r="T402" i="2"/>
  <c r="S402" i="2"/>
  <c r="Q402" i="2"/>
  <c r="O402" i="2"/>
  <c r="N402" i="2"/>
  <c r="L402" i="2"/>
  <c r="J402" i="2"/>
  <c r="T401" i="2"/>
  <c r="S401" i="2"/>
  <c r="Q401" i="2"/>
  <c r="O401" i="2"/>
  <c r="N401" i="2"/>
  <c r="L401" i="2"/>
  <c r="J401" i="2"/>
  <c r="T400" i="2"/>
  <c r="S400" i="2"/>
  <c r="Q400" i="2"/>
  <c r="O400" i="2"/>
  <c r="N400" i="2"/>
  <c r="L400" i="2"/>
  <c r="J400" i="2"/>
  <c r="T399" i="2"/>
  <c r="S399" i="2"/>
  <c r="Q399" i="2"/>
  <c r="O399" i="2"/>
  <c r="N399" i="2"/>
  <c r="L399" i="2"/>
  <c r="J399" i="2"/>
  <c r="T398" i="2"/>
  <c r="S398" i="2"/>
  <c r="Q398" i="2"/>
  <c r="O398" i="2"/>
  <c r="N398" i="2"/>
  <c r="L398" i="2"/>
  <c r="J398" i="2"/>
  <c r="T397" i="2"/>
  <c r="S397" i="2"/>
  <c r="Q397" i="2"/>
  <c r="O397" i="2"/>
  <c r="N397" i="2"/>
  <c r="L397" i="2"/>
  <c r="J397" i="2"/>
  <c r="T396" i="2"/>
  <c r="S396" i="2"/>
  <c r="Q396" i="2"/>
  <c r="O396" i="2"/>
  <c r="N396" i="2"/>
  <c r="L396" i="2"/>
  <c r="J396" i="2"/>
  <c r="T395" i="2"/>
  <c r="S395" i="2"/>
  <c r="Q395" i="2"/>
  <c r="O395" i="2"/>
  <c r="N395" i="2"/>
  <c r="L395" i="2"/>
  <c r="J395" i="2"/>
  <c r="T394" i="2"/>
  <c r="S394" i="2"/>
  <c r="Q394" i="2"/>
  <c r="O394" i="2"/>
  <c r="N394" i="2"/>
  <c r="L394" i="2"/>
  <c r="J394" i="2"/>
  <c r="T393" i="2"/>
  <c r="S393" i="2"/>
  <c r="Q393" i="2"/>
  <c r="O393" i="2"/>
  <c r="N393" i="2"/>
  <c r="L393" i="2"/>
  <c r="J393" i="2"/>
  <c r="T392" i="2"/>
  <c r="S392" i="2"/>
  <c r="Q392" i="2"/>
  <c r="O392" i="2"/>
  <c r="N392" i="2"/>
  <c r="L392" i="2"/>
  <c r="J392" i="2"/>
  <c r="T391" i="2"/>
  <c r="S391" i="2"/>
  <c r="Q391" i="2"/>
  <c r="O391" i="2"/>
  <c r="N391" i="2"/>
  <c r="L391" i="2"/>
  <c r="J391" i="2"/>
  <c r="T390" i="2"/>
  <c r="S390" i="2"/>
  <c r="Q390" i="2"/>
  <c r="O390" i="2"/>
  <c r="N390" i="2"/>
  <c r="L390" i="2"/>
  <c r="J390" i="2"/>
  <c r="T389" i="2"/>
  <c r="S389" i="2"/>
  <c r="Q389" i="2"/>
  <c r="O389" i="2"/>
  <c r="N389" i="2"/>
  <c r="L389" i="2"/>
  <c r="J389" i="2"/>
  <c r="T388" i="2"/>
  <c r="S388" i="2"/>
  <c r="Q388" i="2"/>
  <c r="O388" i="2"/>
  <c r="N388" i="2"/>
  <c r="L388" i="2"/>
  <c r="J388" i="2"/>
  <c r="T387" i="2"/>
  <c r="S387" i="2"/>
  <c r="Q387" i="2"/>
  <c r="O387" i="2"/>
  <c r="N387" i="2"/>
  <c r="L387" i="2"/>
  <c r="J387" i="2"/>
  <c r="T386" i="2"/>
  <c r="S386" i="2"/>
  <c r="Q386" i="2"/>
  <c r="O386" i="2"/>
  <c r="N386" i="2"/>
  <c r="L386" i="2"/>
  <c r="J386" i="2"/>
  <c r="T385" i="2"/>
  <c r="S385" i="2"/>
  <c r="Q385" i="2"/>
  <c r="O385" i="2"/>
  <c r="N385" i="2"/>
  <c r="L385" i="2"/>
  <c r="J385" i="2"/>
  <c r="T384" i="2"/>
  <c r="S384" i="2"/>
  <c r="Q384" i="2"/>
  <c r="O384" i="2"/>
  <c r="N384" i="2"/>
  <c r="L384" i="2"/>
  <c r="J384" i="2"/>
  <c r="T383" i="2"/>
  <c r="S383" i="2"/>
  <c r="Q383" i="2"/>
  <c r="O383" i="2"/>
  <c r="N383" i="2"/>
  <c r="L383" i="2"/>
  <c r="J383" i="2"/>
  <c r="T382" i="2"/>
  <c r="S382" i="2"/>
  <c r="Q382" i="2"/>
  <c r="O382" i="2"/>
  <c r="N382" i="2"/>
  <c r="L382" i="2"/>
  <c r="J382" i="2"/>
  <c r="T381" i="2"/>
  <c r="S381" i="2"/>
  <c r="Q381" i="2"/>
  <c r="O381" i="2"/>
  <c r="N381" i="2"/>
  <c r="L381" i="2"/>
  <c r="J381" i="2"/>
  <c r="T380" i="2"/>
  <c r="S380" i="2"/>
  <c r="Q380" i="2"/>
  <c r="O380" i="2"/>
  <c r="N380" i="2"/>
  <c r="L380" i="2"/>
  <c r="J380" i="2"/>
  <c r="T379" i="2"/>
  <c r="S379" i="2"/>
  <c r="Q379" i="2"/>
  <c r="O379" i="2"/>
  <c r="N379" i="2"/>
  <c r="L379" i="2"/>
  <c r="J379" i="2"/>
  <c r="T378" i="2"/>
  <c r="S378" i="2"/>
  <c r="Q378" i="2"/>
  <c r="O378" i="2"/>
  <c r="N378" i="2"/>
  <c r="L378" i="2"/>
  <c r="J378" i="2"/>
  <c r="T377" i="2"/>
  <c r="S377" i="2"/>
  <c r="Q377" i="2"/>
  <c r="O377" i="2"/>
  <c r="N377" i="2"/>
  <c r="L377" i="2"/>
  <c r="J377" i="2"/>
  <c r="T376" i="2"/>
  <c r="S376" i="2"/>
  <c r="Q376" i="2"/>
  <c r="O376" i="2"/>
  <c r="N376" i="2"/>
  <c r="L376" i="2"/>
  <c r="J376" i="2"/>
  <c r="T375" i="2"/>
  <c r="S375" i="2"/>
  <c r="Q375" i="2"/>
  <c r="O375" i="2"/>
  <c r="N375" i="2"/>
  <c r="L375" i="2"/>
  <c r="J375" i="2"/>
  <c r="T374" i="2"/>
  <c r="S374" i="2"/>
  <c r="Q374" i="2"/>
  <c r="O374" i="2"/>
  <c r="N374" i="2"/>
  <c r="L374" i="2"/>
  <c r="J374" i="2"/>
  <c r="T373" i="2"/>
  <c r="S373" i="2"/>
  <c r="Q373" i="2"/>
  <c r="O373" i="2"/>
  <c r="N373" i="2"/>
  <c r="L373" i="2"/>
  <c r="J373" i="2"/>
  <c r="T372" i="2"/>
  <c r="S372" i="2"/>
  <c r="Q372" i="2"/>
  <c r="O372" i="2"/>
  <c r="N372" i="2"/>
  <c r="L372" i="2"/>
  <c r="J372" i="2"/>
  <c r="T371" i="2"/>
  <c r="S371" i="2"/>
  <c r="Q371" i="2"/>
  <c r="O371" i="2"/>
  <c r="N371" i="2"/>
  <c r="L371" i="2"/>
  <c r="J371" i="2"/>
  <c r="T370" i="2"/>
  <c r="S370" i="2"/>
  <c r="Q370" i="2"/>
  <c r="O370" i="2"/>
  <c r="N370" i="2"/>
  <c r="L370" i="2"/>
  <c r="J370" i="2"/>
  <c r="T369" i="2"/>
  <c r="S369" i="2"/>
  <c r="Q369" i="2"/>
  <c r="O369" i="2"/>
  <c r="N369" i="2"/>
  <c r="L369" i="2"/>
  <c r="J369" i="2"/>
  <c r="T368" i="2"/>
  <c r="S368" i="2"/>
  <c r="Q368" i="2"/>
  <c r="O368" i="2"/>
  <c r="N368" i="2"/>
  <c r="L368" i="2"/>
  <c r="J368" i="2"/>
  <c r="T367" i="2"/>
  <c r="S367" i="2"/>
  <c r="Q367" i="2"/>
  <c r="O367" i="2"/>
  <c r="N367" i="2"/>
  <c r="L367" i="2"/>
  <c r="J367" i="2"/>
  <c r="T366" i="2"/>
  <c r="S366" i="2"/>
  <c r="Q366" i="2"/>
  <c r="O366" i="2"/>
  <c r="N366" i="2"/>
  <c r="L366" i="2"/>
  <c r="J366" i="2"/>
  <c r="T365" i="2"/>
  <c r="S365" i="2"/>
  <c r="Q365" i="2"/>
  <c r="O365" i="2"/>
  <c r="N365" i="2"/>
  <c r="L365" i="2"/>
  <c r="J365" i="2"/>
  <c r="T364" i="2"/>
  <c r="S364" i="2"/>
  <c r="Q364" i="2"/>
  <c r="O364" i="2"/>
  <c r="N364" i="2"/>
  <c r="L364" i="2"/>
  <c r="J364" i="2"/>
  <c r="T363" i="2"/>
  <c r="S363" i="2"/>
  <c r="Q363" i="2"/>
  <c r="O363" i="2"/>
  <c r="N363" i="2"/>
  <c r="L363" i="2"/>
  <c r="J363" i="2"/>
  <c r="T362" i="2"/>
  <c r="S362" i="2"/>
  <c r="Q362" i="2"/>
  <c r="O362" i="2"/>
  <c r="N362" i="2"/>
  <c r="L362" i="2"/>
  <c r="J362" i="2"/>
  <c r="T361" i="2"/>
  <c r="S361" i="2"/>
  <c r="Q361" i="2"/>
  <c r="O361" i="2"/>
  <c r="N361" i="2"/>
  <c r="L361" i="2"/>
  <c r="J361" i="2"/>
  <c r="T360" i="2"/>
  <c r="S360" i="2"/>
  <c r="Q360" i="2"/>
  <c r="O360" i="2"/>
  <c r="N360" i="2"/>
  <c r="L360" i="2"/>
  <c r="J360" i="2"/>
  <c r="T359" i="2"/>
  <c r="S359" i="2"/>
  <c r="Q359" i="2"/>
  <c r="O359" i="2"/>
  <c r="N359" i="2"/>
  <c r="L359" i="2"/>
  <c r="J359" i="2"/>
  <c r="T358" i="2"/>
  <c r="S358" i="2"/>
  <c r="Q358" i="2"/>
  <c r="O358" i="2"/>
  <c r="N358" i="2"/>
  <c r="L358" i="2"/>
  <c r="J358" i="2"/>
  <c r="T357" i="2"/>
  <c r="S357" i="2"/>
  <c r="Q357" i="2"/>
  <c r="O357" i="2"/>
  <c r="N357" i="2"/>
  <c r="L357" i="2"/>
  <c r="J357" i="2"/>
  <c r="T356" i="2"/>
  <c r="S356" i="2"/>
  <c r="Q356" i="2"/>
  <c r="O356" i="2"/>
  <c r="N356" i="2"/>
  <c r="L356" i="2"/>
  <c r="J356" i="2"/>
  <c r="T355" i="2"/>
  <c r="S355" i="2"/>
  <c r="Q355" i="2"/>
  <c r="O355" i="2"/>
  <c r="N355" i="2"/>
  <c r="L355" i="2"/>
  <c r="J355" i="2"/>
  <c r="T354" i="2"/>
  <c r="S354" i="2"/>
  <c r="Q354" i="2"/>
  <c r="O354" i="2"/>
  <c r="N354" i="2"/>
  <c r="L354" i="2"/>
  <c r="J354" i="2"/>
  <c r="T353" i="2"/>
  <c r="S353" i="2"/>
  <c r="Q353" i="2"/>
  <c r="O353" i="2"/>
  <c r="N353" i="2"/>
  <c r="L353" i="2"/>
  <c r="J353" i="2"/>
  <c r="T352" i="2"/>
  <c r="S352" i="2"/>
  <c r="Q352" i="2"/>
  <c r="O352" i="2"/>
  <c r="N352" i="2"/>
  <c r="L352" i="2"/>
  <c r="J352" i="2"/>
  <c r="T351" i="2"/>
  <c r="S351" i="2"/>
  <c r="Q351" i="2"/>
  <c r="O351" i="2"/>
  <c r="N351" i="2"/>
  <c r="L351" i="2"/>
  <c r="J351" i="2"/>
  <c r="T350" i="2"/>
  <c r="S350" i="2"/>
  <c r="Q350" i="2"/>
  <c r="O350" i="2"/>
  <c r="N350" i="2"/>
  <c r="L350" i="2"/>
  <c r="J350" i="2"/>
  <c r="T349" i="2"/>
  <c r="S349" i="2"/>
  <c r="Q349" i="2"/>
  <c r="O349" i="2"/>
  <c r="N349" i="2"/>
  <c r="L349" i="2"/>
  <c r="J349" i="2"/>
  <c r="T348" i="2"/>
  <c r="S348" i="2"/>
  <c r="Q348" i="2"/>
  <c r="O348" i="2"/>
  <c r="N348" i="2"/>
  <c r="L348" i="2"/>
  <c r="J348" i="2"/>
  <c r="T347" i="2"/>
  <c r="S347" i="2"/>
  <c r="Q347" i="2"/>
  <c r="O347" i="2"/>
  <c r="N347" i="2"/>
  <c r="L347" i="2"/>
  <c r="J347" i="2"/>
  <c r="T346" i="2"/>
  <c r="S346" i="2"/>
  <c r="Q346" i="2"/>
  <c r="O346" i="2"/>
  <c r="N346" i="2"/>
  <c r="L346" i="2"/>
  <c r="J346" i="2"/>
  <c r="T345" i="2"/>
  <c r="S345" i="2"/>
  <c r="Q345" i="2"/>
  <c r="O345" i="2"/>
  <c r="N345" i="2"/>
  <c r="L345" i="2"/>
  <c r="J345" i="2"/>
  <c r="T344" i="2"/>
  <c r="S344" i="2"/>
  <c r="Q344" i="2"/>
  <c r="O344" i="2"/>
  <c r="N344" i="2"/>
  <c r="L344" i="2"/>
  <c r="J344" i="2"/>
  <c r="T343" i="2"/>
  <c r="S343" i="2"/>
  <c r="Q343" i="2"/>
  <c r="O343" i="2"/>
  <c r="N343" i="2"/>
  <c r="L343" i="2"/>
  <c r="J343" i="2"/>
  <c r="T342" i="2"/>
  <c r="S342" i="2"/>
  <c r="Q342" i="2"/>
  <c r="O342" i="2"/>
  <c r="N342" i="2"/>
  <c r="L342" i="2"/>
  <c r="J342" i="2"/>
  <c r="T341" i="2"/>
  <c r="S341" i="2"/>
  <c r="Q341" i="2"/>
  <c r="O341" i="2"/>
  <c r="N341" i="2"/>
  <c r="L341" i="2"/>
  <c r="J341" i="2"/>
  <c r="T340" i="2"/>
  <c r="S340" i="2"/>
  <c r="Q340" i="2"/>
  <c r="O340" i="2"/>
  <c r="N340" i="2"/>
  <c r="L340" i="2"/>
  <c r="J340" i="2"/>
  <c r="T339" i="2"/>
  <c r="S339" i="2"/>
  <c r="Q339" i="2"/>
  <c r="O339" i="2"/>
  <c r="N339" i="2"/>
  <c r="L339" i="2"/>
  <c r="J339" i="2"/>
  <c r="T338" i="2"/>
  <c r="S338" i="2"/>
  <c r="Q338" i="2"/>
  <c r="O338" i="2"/>
  <c r="N338" i="2"/>
  <c r="L338" i="2"/>
  <c r="J338" i="2"/>
  <c r="T337" i="2"/>
  <c r="S337" i="2"/>
  <c r="Q337" i="2"/>
  <c r="O337" i="2"/>
  <c r="N337" i="2"/>
  <c r="L337" i="2"/>
  <c r="J337" i="2"/>
  <c r="T336" i="2"/>
  <c r="S336" i="2"/>
  <c r="Q336" i="2"/>
  <c r="O336" i="2"/>
  <c r="N336" i="2"/>
  <c r="L336" i="2"/>
  <c r="J336" i="2"/>
  <c r="T335" i="2"/>
  <c r="S335" i="2"/>
  <c r="Q335" i="2"/>
  <c r="O335" i="2"/>
  <c r="N335" i="2"/>
  <c r="L335" i="2"/>
  <c r="J335" i="2"/>
  <c r="T334" i="2"/>
  <c r="S334" i="2"/>
  <c r="Q334" i="2"/>
  <c r="O334" i="2"/>
  <c r="N334" i="2"/>
  <c r="L334" i="2"/>
  <c r="J334" i="2"/>
  <c r="T333" i="2"/>
  <c r="S333" i="2"/>
  <c r="Q333" i="2"/>
  <c r="O333" i="2"/>
  <c r="N333" i="2"/>
  <c r="L333" i="2"/>
  <c r="J333" i="2"/>
  <c r="T332" i="2"/>
  <c r="S332" i="2"/>
  <c r="Q332" i="2"/>
  <c r="O332" i="2"/>
  <c r="N332" i="2"/>
  <c r="L332" i="2"/>
  <c r="J332" i="2"/>
  <c r="T331" i="2"/>
  <c r="S331" i="2"/>
  <c r="Q331" i="2"/>
  <c r="O331" i="2"/>
  <c r="N331" i="2"/>
  <c r="L331" i="2"/>
  <c r="J331" i="2"/>
  <c r="T330" i="2"/>
  <c r="S330" i="2"/>
  <c r="Q330" i="2"/>
  <c r="O330" i="2"/>
  <c r="N330" i="2"/>
  <c r="L330" i="2"/>
  <c r="J330" i="2"/>
  <c r="T329" i="2"/>
  <c r="S329" i="2"/>
  <c r="Q329" i="2"/>
  <c r="O329" i="2"/>
  <c r="N329" i="2"/>
  <c r="L329" i="2"/>
  <c r="J329" i="2"/>
  <c r="T328" i="2"/>
  <c r="S328" i="2"/>
  <c r="Q328" i="2"/>
  <c r="O328" i="2"/>
  <c r="N328" i="2"/>
  <c r="L328" i="2"/>
  <c r="J328" i="2"/>
  <c r="T327" i="2"/>
  <c r="S327" i="2"/>
  <c r="Q327" i="2"/>
  <c r="O327" i="2"/>
  <c r="N327" i="2"/>
  <c r="L327" i="2"/>
  <c r="J327" i="2"/>
  <c r="T326" i="2"/>
  <c r="S326" i="2"/>
  <c r="Q326" i="2"/>
  <c r="O326" i="2"/>
  <c r="N326" i="2"/>
  <c r="L326" i="2"/>
  <c r="J326" i="2"/>
  <c r="T325" i="2"/>
  <c r="S325" i="2"/>
  <c r="Q325" i="2"/>
  <c r="O325" i="2"/>
  <c r="N325" i="2"/>
  <c r="L325" i="2"/>
  <c r="J325" i="2"/>
  <c r="T324" i="2"/>
  <c r="S324" i="2"/>
  <c r="Q324" i="2"/>
  <c r="O324" i="2"/>
  <c r="N324" i="2"/>
  <c r="L324" i="2"/>
  <c r="J324" i="2"/>
  <c r="T323" i="2"/>
  <c r="S323" i="2"/>
  <c r="Q323" i="2"/>
  <c r="O323" i="2"/>
  <c r="N323" i="2"/>
  <c r="L323" i="2"/>
  <c r="J323" i="2"/>
  <c r="T322" i="2"/>
  <c r="S322" i="2"/>
  <c r="Q322" i="2"/>
  <c r="O322" i="2"/>
  <c r="N322" i="2"/>
  <c r="L322" i="2"/>
  <c r="J322" i="2"/>
  <c r="T321" i="2"/>
  <c r="S321" i="2"/>
  <c r="Q321" i="2"/>
  <c r="O321" i="2"/>
  <c r="N321" i="2"/>
  <c r="L321" i="2"/>
  <c r="J321" i="2"/>
  <c r="T320" i="2"/>
  <c r="S320" i="2"/>
  <c r="Q320" i="2"/>
  <c r="O320" i="2"/>
  <c r="N320" i="2"/>
  <c r="L320" i="2"/>
  <c r="J320" i="2"/>
  <c r="T319" i="2"/>
  <c r="S319" i="2"/>
  <c r="Q319" i="2"/>
  <c r="O319" i="2"/>
  <c r="N319" i="2"/>
  <c r="L319" i="2"/>
  <c r="J319" i="2"/>
  <c r="T318" i="2"/>
  <c r="S318" i="2"/>
  <c r="Q318" i="2"/>
  <c r="O318" i="2"/>
  <c r="N318" i="2"/>
  <c r="L318" i="2"/>
  <c r="J318" i="2"/>
  <c r="T317" i="2"/>
  <c r="S317" i="2"/>
  <c r="Q317" i="2"/>
  <c r="O317" i="2"/>
  <c r="N317" i="2"/>
  <c r="L317" i="2"/>
  <c r="J317" i="2"/>
  <c r="T316" i="2"/>
  <c r="S316" i="2"/>
  <c r="Q316" i="2"/>
  <c r="O316" i="2"/>
  <c r="N316" i="2"/>
  <c r="L316" i="2"/>
  <c r="J316" i="2"/>
  <c r="T315" i="2"/>
  <c r="S315" i="2"/>
  <c r="Q315" i="2"/>
  <c r="O315" i="2"/>
  <c r="N315" i="2"/>
  <c r="L315" i="2"/>
  <c r="J315" i="2"/>
  <c r="T314" i="2"/>
  <c r="S314" i="2"/>
  <c r="Q314" i="2"/>
  <c r="O314" i="2"/>
  <c r="N314" i="2"/>
  <c r="L314" i="2"/>
  <c r="J314" i="2"/>
  <c r="T313" i="2"/>
  <c r="S313" i="2"/>
  <c r="Q313" i="2"/>
  <c r="O313" i="2"/>
  <c r="N313" i="2"/>
  <c r="L313" i="2"/>
  <c r="J313" i="2"/>
  <c r="T312" i="2"/>
  <c r="S312" i="2"/>
  <c r="Q312" i="2"/>
  <c r="O312" i="2"/>
  <c r="N312" i="2"/>
  <c r="L312" i="2"/>
  <c r="J312" i="2"/>
  <c r="T311" i="2"/>
  <c r="S311" i="2"/>
  <c r="Q311" i="2"/>
  <c r="O311" i="2"/>
  <c r="N311" i="2"/>
  <c r="L311" i="2"/>
  <c r="J311" i="2"/>
  <c r="T310" i="2"/>
  <c r="S310" i="2"/>
  <c r="Q310" i="2"/>
  <c r="O310" i="2"/>
  <c r="N310" i="2"/>
  <c r="L310" i="2"/>
  <c r="J310" i="2"/>
  <c r="T309" i="2"/>
  <c r="S309" i="2"/>
  <c r="Q309" i="2"/>
  <c r="O309" i="2"/>
  <c r="N309" i="2"/>
  <c r="L309" i="2"/>
  <c r="J309" i="2"/>
  <c r="T308" i="2"/>
  <c r="S308" i="2"/>
  <c r="Q308" i="2"/>
  <c r="O308" i="2"/>
  <c r="N308" i="2"/>
  <c r="L308" i="2"/>
  <c r="J308" i="2"/>
  <c r="T307" i="2"/>
  <c r="S307" i="2"/>
  <c r="Q307" i="2"/>
  <c r="O307" i="2"/>
  <c r="N307" i="2"/>
  <c r="L307" i="2"/>
  <c r="J307" i="2"/>
  <c r="T306" i="2"/>
  <c r="S306" i="2"/>
  <c r="Q306" i="2"/>
  <c r="O306" i="2"/>
  <c r="N306" i="2"/>
  <c r="L306" i="2"/>
  <c r="J306" i="2"/>
  <c r="T305" i="2"/>
  <c r="S305" i="2"/>
  <c r="Q305" i="2"/>
  <c r="O305" i="2"/>
  <c r="N305" i="2"/>
  <c r="L305" i="2"/>
  <c r="J305" i="2"/>
  <c r="T304" i="2"/>
  <c r="S304" i="2"/>
  <c r="Q304" i="2"/>
  <c r="O304" i="2"/>
  <c r="N304" i="2"/>
  <c r="L304" i="2"/>
  <c r="J304" i="2"/>
  <c r="T303" i="2"/>
  <c r="S303" i="2"/>
  <c r="Q303" i="2"/>
  <c r="O303" i="2"/>
  <c r="N303" i="2"/>
  <c r="L303" i="2"/>
  <c r="J303" i="2"/>
  <c r="T302" i="2"/>
  <c r="S302" i="2"/>
  <c r="Q302" i="2"/>
  <c r="O302" i="2"/>
  <c r="N302" i="2"/>
  <c r="L302" i="2"/>
  <c r="J302" i="2"/>
  <c r="T301" i="2"/>
  <c r="S301" i="2"/>
  <c r="Q301" i="2"/>
  <c r="O301" i="2"/>
  <c r="N301" i="2"/>
  <c r="L301" i="2"/>
  <c r="J301" i="2"/>
  <c r="T300" i="2"/>
  <c r="S300" i="2"/>
  <c r="Q300" i="2"/>
  <c r="O300" i="2"/>
  <c r="N300" i="2"/>
  <c r="L300" i="2"/>
  <c r="J300" i="2"/>
  <c r="T299" i="2"/>
  <c r="S299" i="2"/>
  <c r="Q299" i="2"/>
  <c r="O299" i="2"/>
  <c r="N299" i="2"/>
  <c r="L299" i="2"/>
  <c r="J299" i="2"/>
  <c r="T298" i="2"/>
  <c r="S298" i="2"/>
  <c r="Q298" i="2"/>
  <c r="O298" i="2"/>
  <c r="N298" i="2"/>
  <c r="L298" i="2"/>
  <c r="J298" i="2"/>
  <c r="T297" i="2"/>
  <c r="S297" i="2"/>
  <c r="Q297" i="2"/>
  <c r="O297" i="2"/>
  <c r="N297" i="2"/>
  <c r="L297" i="2"/>
  <c r="J297" i="2"/>
  <c r="T296" i="2"/>
  <c r="S296" i="2"/>
  <c r="Q296" i="2"/>
  <c r="O296" i="2"/>
  <c r="N296" i="2"/>
  <c r="L296" i="2"/>
  <c r="J296" i="2"/>
  <c r="T295" i="2"/>
  <c r="S295" i="2"/>
  <c r="Q295" i="2"/>
  <c r="O295" i="2"/>
  <c r="N295" i="2"/>
  <c r="L295" i="2"/>
  <c r="J295" i="2"/>
  <c r="T294" i="2"/>
  <c r="S294" i="2"/>
  <c r="Q294" i="2"/>
  <c r="O294" i="2"/>
  <c r="N294" i="2"/>
  <c r="L294" i="2"/>
  <c r="J294" i="2"/>
  <c r="T293" i="2"/>
  <c r="S293" i="2"/>
  <c r="Q293" i="2"/>
  <c r="O293" i="2"/>
  <c r="N293" i="2"/>
  <c r="L293" i="2"/>
  <c r="J293" i="2"/>
  <c r="T292" i="2"/>
  <c r="S292" i="2"/>
  <c r="Q292" i="2"/>
  <c r="O292" i="2"/>
  <c r="N292" i="2"/>
  <c r="L292" i="2"/>
  <c r="J292" i="2"/>
  <c r="T291" i="2"/>
  <c r="S291" i="2"/>
  <c r="Q291" i="2"/>
  <c r="O291" i="2"/>
  <c r="N291" i="2"/>
  <c r="L291" i="2"/>
  <c r="J291" i="2"/>
  <c r="T290" i="2"/>
  <c r="S290" i="2"/>
  <c r="Q290" i="2"/>
  <c r="O290" i="2"/>
  <c r="N290" i="2"/>
  <c r="L290" i="2"/>
  <c r="J290" i="2"/>
  <c r="T289" i="2"/>
  <c r="S289" i="2"/>
  <c r="Q289" i="2"/>
  <c r="O289" i="2"/>
  <c r="N289" i="2"/>
  <c r="L289" i="2"/>
  <c r="J289" i="2"/>
  <c r="T288" i="2"/>
  <c r="S288" i="2"/>
  <c r="Q288" i="2"/>
  <c r="O288" i="2"/>
  <c r="N288" i="2"/>
  <c r="L288" i="2"/>
  <c r="J288" i="2"/>
  <c r="T287" i="2"/>
  <c r="S287" i="2"/>
  <c r="Q287" i="2"/>
  <c r="O287" i="2"/>
  <c r="N287" i="2"/>
  <c r="L287" i="2"/>
  <c r="J287" i="2"/>
  <c r="T286" i="2"/>
  <c r="S286" i="2"/>
  <c r="Q286" i="2"/>
  <c r="O286" i="2"/>
  <c r="N286" i="2"/>
  <c r="L286" i="2"/>
  <c r="J286" i="2"/>
  <c r="T285" i="2"/>
  <c r="S285" i="2"/>
  <c r="Q285" i="2"/>
  <c r="O285" i="2"/>
  <c r="N285" i="2"/>
  <c r="L285" i="2"/>
  <c r="J285" i="2"/>
  <c r="T284" i="2"/>
  <c r="S284" i="2"/>
  <c r="Q284" i="2"/>
  <c r="O284" i="2"/>
  <c r="N284" i="2"/>
  <c r="L284" i="2"/>
  <c r="J284" i="2"/>
  <c r="T283" i="2"/>
  <c r="S283" i="2"/>
  <c r="Q283" i="2"/>
  <c r="O283" i="2"/>
  <c r="N283" i="2"/>
  <c r="L283" i="2"/>
  <c r="J283" i="2"/>
  <c r="T282" i="2"/>
  <c r="S282" i="2"/>
  <c r="Q282" i="2"/>
  <c r="O282" i="2"/>
  <c r="N282" i="2"/>
  <c r="L282" i="2"/>
  <c r="J282" i="2"/>
  <c r="T281" i="2"/>
  <c r="S281" i="2"/>
  <c r="Q281" i="2"/>
  <c r="O281" i="2"/>
  <c r="N281" i="2"/>
  <c r="L281" i="2"/>
  <c r="J281" i="2"/>
  <c r="T280" i="2"/>
  <c r="S280" i="2"/>
  <c r="Q280" i="2"/>
  <c r="O280" i="2"/>
  <c r="N280" i="2"/>
  <c r="L280" i="2"/>
  <c r="J280" i="2"/>
  <c r="T279" i="2"/>
  <c r="S279" i="2"/>
  <c r="Q279" i="2"/>
  <c r="O279" i="2"/>
  <c r="N279" i="2"/>
  <c r="L279" i="2"/>
  <c r="J279" i="2"/>
  <c r="T278" i="2"/>
  <c r="S278" i="2"/>
  <c r="Q278" i="2"/>
  <c r="O278" i="2"/>
  <c r="N278" i="2"/>
  <c r="L278" i="2"/>
  <c r="J278" i="2"/>
  <c r="T277" i="2"/>
  <c r="S277" i="2"/>
  <c r="Q277" i="2"/>
  <c r="O277" i="2"/>
  <c r="N277" i="2"/>
  <c r="L277" i="2"/>
  <c r="J277" i="2"/>
  <c r="T276" i="2"/>
  <c r="S276" i="2"/>
  <c r="Q276" i="2"/>
  <c r="O276" i="2"/>
  <c r="N276" i="2"/>
  <c r="L276" i="2"/>
  <c r="J276" i="2"/>
  <c r="T275" i="2"/>
  <c r="S275" i="2"/>
  <c r="Q275" i="2"/>
  <c r="O275" i="2"/>
  <c r="N275" i="2"/>
  <c r="L275" i="2"/>
  <c r="J275" i="2"/>
  <c r="T274" i="2"/>
  <c r="S274" i="2"/>
  <c r="Q274" i="2"/>
  <c r="O274" i="2"/>
  <c r="N274" i="2"/>
  <c r="L274" i="2"/>
  <c r="J274" i="2"/>
  <c r="T273" i="2"/>
  <c r="S273" i="2"/>
  <c r="Q273" i="2"/>
  <c r="O273" i="2"/>
  <c r="N273" i="2"/>
  <c r="L273" i="2"/>
  <c r="J273" i="2"/>
  <c r="T272" i="2"/>
  <c r="S272" i="2"/>
  <c r="Q272" i="2"/>
  <c r="O272" i="2"/>
  <c r="N272" i="2"/>
  <c r="L272" i="2"/>
  <c r="J272" i="2"/>
  <c r="T271" i="2"/>
  <c r="S271" i="2"/>
  <c r="Q271" i="2"/>
  <c r="O271" i="2"/>
  <c r="N271" i="2"/>
  <c r="L271" i="2"/>
  <c r="J271" i="2"/>
  <c r="T270" i="2"/>
  <c r="S270" i="2"/>
  <c r="Q270" i="2"/>
  <c r="O270" i="2"/>
  <c r="N270" i="2"/>
  <c r="L270" i="2"/>
  <c r="J270" i="2"/>
  <c r="T269" i="2"/>
  <c r="S269" i="2"/>
  <c r="Q269" i="2"/>
  <c r="O269" i="2"/>
  <c r="N269" i="2"/>
  <c r="L269" i="2"/>
  <c r="J269" i="2"/>
  <c r="T268" i="2"/>
  <c r="S268" i="2"/>
  <c r="Q268" i="2"/>
  <c r="O268" i="2"/>
  <c r="N268" i="2"/>
  <c r="L268" i="2"/>
  <c r="J268" i="2"/>
  <c r="T267" i="2"/>
  <c r="S267" i="2"/>
  <c r="Q267" i="2"/>
  <c r="O267" i="2"/>
  <c r="N267" i="2"/>
  <c r="L267" i="2"/>
  <c r="J267" i="2"/>
  <c r="T266" i="2"/>
  <c r="S266" i="2"/>
  <c r="Q266" i="2"/>
  <c r="O266" i="2"/>
  <c r="N266" i="2"/>
  <c r="L266" i="2"/>
  <c r="J266" i="2"/>
  <c r="T265" i="2"/>
  <c r="S265" i="2"/>
  <c r="Q265" i="2"/>
  <c r="O265" i="2"/>
  <c r="N265" i="2"/>
  <c r="L265" i="2"/>
  <c r="J265" i="2"/>
  <c r="T264" i="2"/>
  <c r="S264" i="2"/>
  <c r="Q264" i="2"/>
  <c r="O264" i="2"/>
  <c r="N264" i="2"/>
  <c r="L264" i="2"/>
  <c r="J264" i="2"/>
  <c r="T263" i="2"/>
  <c r="S263" i="2"/>
  <c r="Q263" i="2"/>
  <c r="O263" i="2"/>
  <c r="N263" i="2"/>
  <c r="L263" i="2"/>
  <c r="J263" i="2"/>
  <c r="T262" i="2"/>
  <c r="S262" i="2"/>
  <c r="Q262" i="2"/>
  <c r="O262" i="2"/>
  <c r="N262" i="2"/>
  <c r="L262" i="2"/>
  <c r="J262" i="2"/>
  <c r="T261" i="2"/>
  <c r="S261" i="2"/>
  <c r="Q261" i="2"/>
  <c r="O261" i="2"/>
  <c r="N261" i="2"/>
  <c r="L261" i="2"/>
  <c r="J261" i="2"/>
  <c r="T260" i="2"/>
  <c r="S260" i="2"/>
  <c r="Q260" i="2"/>
  <c r="O260" i="2"/>
  <c r="N260" i="2"/>
  <c r="L260" i="2"/>
  <c r="J260" i="2"/>
  <c r="T259" i="2"/>
  <c r="S259" i="2"/>
  <c r="Q259" i="2"/>
  <c r="O259" i="2"/>
  <c r="N259" i="2"/>
  <c r="L259" i="2"/>
  <c r="J259" i="2"/>
  <c r="T258" i="2"/>
  <c r="S258" i="2"/>
  <c r="Q258" i="2"/>
  <c r="O258" i="2"/>
  <c r="N258" i="2"/>
  <c r="L258" i="2"/>
  <c r="J258" i="2"/>
  <c r="T257" i="2"/>
  <c r="S257" i="2"/>
  <c r="Q257" i="2"/>
  <c r="O257" i="2"/>
  <c r="N257" i="2"/>
  <c r="L257" i="2"/>
  <c r="J257" i="2"/>
  <c r="T256" i="2"/>
  <c r="S256" i="2"/>
  <c r="Q256" i="2"/>
  <c r="O256" i="2"/>
  <c r="N256" i="2"/>
  <c r="L256" i="2"/>
  <c r="J256" i="2"/>
  <c r="T255" i="2"/>
  <c r="S255" i="2"/>
  <c r="Q255" i="2"/>
  <c r="O255" i="2"/>
  <c r="N255" i="2"/>
  <c r="L255" i="2"/>
  <c r="J255" i="2"/>
  <c r="T254" i="2"/>
  <c r="S254" i="2"/>
  <c r="Q254" i="2"/>
  <c r="O254" i="2"/>
  <c r="N254" i="2"/>
  <c r="L254" i="2"/>
  <c r="J254" i="2"/>
  <c r="T253" i="2"/>
  <c r="S253" i="2"/>
  <c r="Q253" i="2"/>
  <c r="O253" i="2"/>
  <c r="N253" i="2"/>
  <c r="L253" i="2"/>
  <c r="J253" i="2"/>
  <c r="T252" i="2"/>
  <c r="S252" i="2"/>
  <c r="Q252" i="2"/>
  <c r="O252" i="2"/>
  <c r="N252" i="2"/>
  <c r="L252" i="2"/>
  <c r="J252" i="2"/>
  <c r="T251" i="2"/>
  <c r="S251" i="2"/>
  <c r="Q251" i="2"/>
  <c r="O251" i="2"/>
  <c r="N251" i="2"/>
  <c r="L251" i="2"/>
  <c r="J251" i="2"/>
  <c r="T250" i="2"/>
  <c r="S250" i="2"/>
  <c r="Q250" i="2"/>
  <c r="O250" i="2"/>
  <c r="N250" i="2"/>
  <c r="L250" i="2"/>
  <c r="J250" i="2"/>
  <c r="T249" i="2"/>
  <c r="S249" i="2"/>
  <c r="Q249" i="2"/>
  <c r="O249" i="2"/>
  <c r="N249" i="2"/>
  <c r="L249" i="2"/>
  <c r="J249" i="2"/>
  <c r="T248" i="2"/>
  <c r="S248" i="2"/>
  <c r="Q248" i="2"/>
  <c r="O248" i="2"/>
  <c r="N248" i="2"/>
  <c r="L248" i="2"/>
  <c r="J248" i="2"/>
  <c r="T247" i="2"/>
  <c r="S247" i="2"/>
  <c r="Q247" i="2"/>
  <c r="O247" i="2"/>
  <c r="N247" i="2"/>
  <c r="L247" i="2"/>
  <c r="J247" i="2"/>
  <c r="T246" i="2"/>
  <c r="S246" i="2"/>
  <c r="Q246" i="2"/>
  <c r="O246" i="2"/>
  <c r="N246" i="2"/>
  <c r="L246" i="2"/>
  <c r="J246" i="2"/>
  <c r="T245" i="2"/>
  <c r="S245" i="2"/>
  <c r="Q245" i="2"/>
  <c r="O245" i="2"/>
  <c r="N245" i="2"/>
  <c r="L245" i="2"/>
  <c r="J245" i="2"/>
  <c r="T244" i="2"/>
  <c r="S244" i="2"/>
  <c r="Q244" i="2"/>
  <c r="O244" i="2"/>
  <c r="N244" i="2"/>
  <c r="L244" i="2"/>
  <c r="J244" i="2"/>
  <c r="T243" i="2"/>
  <c r="S243" i="2"/>
  <c r="Q243" i="2"/>
  <c r="O243" i="2"/>
  <c r="N243" i="2"/>
  <c r="L243" i="2"/>
  <c r="J243" i="2"/>
  <c r="T242" i="2"/>
  <c r="S242" i="2"/>
  <c r="Q242" i="2"/>
  <c r="O242" i="2"/>
  <c r="N242" i="2"/>
  <c r="L242" i="2"/>
  <c r="J242" i="2"/>
  <c r="T241" i="2"/>
  <c r="S241" i="2"/>
  <c r="Q241" i="2"/>
  <c r="O241" i="2"/>
  <c r="N241" i="2"/>
  <c r="L241" i="2"/>
  <c r="J241" i="2"/>
  <c r="T240" i="2"/>
  <c r="S240" i="2"/>
  <c r="Q240" i="2"/>
  <c r="O240" i="2"/>
  <c r="N240" i="2"/>
  <c r="L240" i="2"/>
  <c r="J240" i="2"/>
  <c r="T239" i="2"/>
  <c r="S239" i="2"/>
  <c r="Q239" i="2"/>
  <c r="O239" i="2"/>
  <c r="N239" i="2"/>
  <c r="L239" i="2"/>
  <c r="J239" i="2"/>
  <c r="T238" i="2"/>
  <c r="S238" i="2"/>
  <c r="Q238" i="2"/>
  <c r="O238" i="2"/>
  <c r="N238" i="2"/>
  <c r="L238" i="2"/>
  <c r="J238" i="2"/>
  <c r="T237" i="2"/>
  <c r="S237" i="2"/>
  <c r="Q237" i="2"/>
  <c r="O237" i="2"/>
  <c r="N237" i="2"/>
  <c r="L237" i="2"/>
  <c r="J237" i="2"/>
  <c r="T236" i="2"/>
  <c r="S236" i="2"/>
  <c r="Q236" i="2"/>
  <c r="O236" i="2"/>
  <c r="N236" i="2"/>
  <c r="L236" i="2"/>
  <c r="J236" i="2"/>
  <c r="T235" i="2"/>
  <c r="S235" i="2"/>
  <c r="Q235" i="2"/>
  <c r="O235" i="2"/>
  <c r="N235" i="2"/>
  <c r="L235" i="2"/>
  <c r="J235" i="2"/>
  <c r="T234" i="2"/>
  <c r="S234" i="2"/>
  <c r="Q234" i="2"/>
  <c r="O234" i="2"/>
  <c r="N234" i="2"/>
  <c r="L234" i="2"/>
  <c r="J234" i="2"/>
  <c r="T233" i="2"/>
  <c r="S233" i="2"/>
  <c r="Q233" i="2"/>
  <c r="O233" i="2"/>
  <c r="N233" i="2"/>
  <c r="L233" i="2"/>
  <c r="J233" i="2"/>
  <c r="T232" i="2"/>
  <c r="S232" i="2"/>
  <c r="Q232" i="2"/>
  <c r="O232" i="2"/>
  <c r="N232" i="2"/>
  <c r="L232" i="2"/>
  <c r="J232" i="2"/>
  <c r="T231" i="2"/>
  <c r="S231" i="2"/>
  <c r="Q231" i="2"/>
  <c r="O231" i="2"/>
  <c r="N231" i="2"/>
  <c r="L231" i="2"/>
  <c r="J231" i="2"/>
  <c r="T230" i="2"/>
  <c r="S230" i="2"/>
  <c r="Q230" i="2"/>
  <c r="O230" i="2"/>
  <c r="N230" i="2"/>
  <c r="L230" i="2"/>
  <c r="J230" i="2"/>
  <c r="T229" i="2"/>
  <c r="S229" i="2"/>
  <c r="Q229" i="2"/>
  <c r="O229" i="2"/>
  <c r="N229" i="2"/>
  <c r="L229" i="2"/>
  <c r="J229" i="2"/>
  <c r="T228" i="2"/>
  <c r="S228" i="2"/>
  <c r="Q228" i="2"/>
  <c r="O228" i="2"/>
  <c r="N228" i="2"/>
  <c r="L228" i="2"/>
  <c r="J228" i="2"/>
  <c r="T227" i="2"/>
  <c r="S227" i="2"/>
  <c r="Q227" i="2"/>
  <c r="O227" i="2"/>
  <c r="N227" i="2"/>
  <c r="L227" i="2"/>
  <c r="J227" i="2"/>
  <c r="T226" i="2"/>
  <c r="S226" i="2"/>
  <c r="Q226" i="2"/>
  <c r="O226" i="2"/>
  <c r="N226" i="2"/>
  <c r="L226" i="2"/>
  <c r="J226" i="2"/>
  <c r="T225" i="2"/>
  <c r="S225" i="2"/>
  <c r="Q225" i="2"/>
  <c r="O225" i="2"/>
  <c r="N225" i="2"/>
  <c r="L225" i="2"/>
  <c r="J225" i="2"/>
  <c r="T224" i="2"/>
  <c r="S224" i="2"/>
  <c r="Q224" i="2"/>
  <c r="O224" i="2"/>
  <c r="N224" i="2"/>
  <c r="L224" i="2"/>
  <c r="J224" i="2"/>
  <c r="T223" i="2"/>
  <c r="S223" i="2"/>
  <c r="Q223" i="2"/>
  <c r="O223" i="2"/>
  <c r="N223" i="2"/>
  <c r="L223" i="2"/>
  <c r="J223" i="2"/>
  <c r="T222" i="2"/>
  <c r="S222" i="2"/>
  <c r="Q222" i="2"/>
  <c r="O222" i="2"/>
  <c r="N222" i="2"/>
  <c r="L222" i="2"/>
  <c r="J222" i="2"/>
  <c r="T221" i="2"/>
  <c r="S221" i="2"/>
  <c r="Q221" i="2"/>
  <c r="O221" i="2"/>
  <c r="N221" i="2"/>
  <c r="L221" i="2"/>
  <c r="J221" i="2"/>
  <c r="T220" i="2"/>
  <c r="S220" i="2"/>
  <c r="Q220" i="2"/>
  <c r="O220" i="2"/>
  <c r="N220" i="2"/>
  <c r="L220" i="2"/>
  <c r="J220" i="2"/>
  <c r="T219" i="2"/>
  <c r="S219" i="2"/>
  <c r="Q219" i="2"/>
  <c r="O219" i="2"/>
  <c r="N219" i="2"/>
  <c r="L219" i="2"/>
  <c r="J219" i="2"/>
  <c r="T218" i="2"/>
  <c r="S218" i="2"/>
  <c r="Q218" i="2"/>
  <c r="O218" i="2"/>
  <c r="N218" i="2"/>
  <c r="L218" i="2"/>
  <c r="J218" i="2"/>
  <c r="T217" i="2"/>
  <c r="S217" i="2"/>
  <c r="Q217" i="2"/>
  <c r="O217" i="2"/>
  <c r="N217" i="2"/>
  <c r="L217" i="2"/>
  <c r="J217" i="2"/>
  <c r="T216" i="2"/>
  <c r="S216" i="2"/>
  <c r="Q216" i="2"/>
  <c r="O216" i="2"/>
  <c r="N216" i="2"/>
  <c r="L216" i="2"/>
  <c r="J216" i="2"/>
  <c r="T215" i="2"/>
  <c r="S215" i="2"/>
  <c r="Q215" i="2"/>
  <c r="O215" i="2"/>
  <c r="N215" i="2"/>
  <c r="L215" i="2"/>
  <c r="J215" i="2"/>
  <c r="T214" i="2"/>
  <c r="S214" i="2"/>
  <c r="Q214" i="2"/>
  <c r="O214" i="2"/>
  <c r="N214" i="2"/>
  <c r="L214" i="2"/>
  <c r="J214" i="2"/>
  <c r="T213" i="2"/>
  <c r="S213" i="2"/>
  <c r="Q213" i="2"/>
  <c r="O213" i="2"/>
  <c r="N213" i="2"/>
  <c r="L213" i="2"/>
  <c r="J213" i="2"/>
  <c r="T212" i="2"/>
  <c r="S212" i="2"/>
  <c r="Q212" i="2"/>
  <c r="O212" i="2"/>
  <c r="N212" i="2"/>
  <c r="L212" i="2"/>
  <c r="J212" i="2"/>
  <c r="T211" i="2"/>
  <c r="S211" i="2"/>
  <c r="Q211" i="2"/>
  <c r="O211" i="2"/>
  <c r="N211" i="2"/>
  <c r="L211" i="2"/>
  <c r="J211" i="2"/>
  <c r="T210" i="2"/>
  <c r="S210" i="2"/>
  <c r="Q210" i="2"/>
  <c r="O210" i="2"/>
  <c r="N210" i="2"/>
  <c r="L210" i="2"/>
  <c r="J210" i="2"/>
  <c r="T209" i="2"/>
  <c r="S209" i="2"/>
  <c r="Q209" i="2"/>
  <c r="O209" i="2"/>
  <c r="N209" i="2"/>
  <c r="L209" i="2"/>
  <c r="J209" i="2"/>
  <c r="T208" i="2"/>
  <c r="S208" i="2"/>
  <c r="Q208" i="2"/>
  <c r="O208" i="2"/>
  <c r="N208" i="2"/>
  <c r="L208" i="2"/>
  <c r="J208" i="2"/>
  <c r="T207" i="2"/>
  <c r="S207" i="2"/>
  <c r="Q207" i="2"/>
  <c r="O207" i="2"/>
  <c r="N207" i="2"/>
  <c r="L207" i="2"/>
  <c r="J207" i="2"/>
  <c r="T206" i="2"/>
  <c r="S206" i="2"/>
  <c r="Q206" i="2"/>
  <c r="O206" i="2"/>
  <c r="N206" i="2"/>
  <c r="L206" i="2"/>
  <c r="J206" i="2"/>
  <c r="T205" i="2"/>
  <c r="S205" i="2"/>
  <c r="Q205" i="2"/>
  <c r="O205" i="2"/>
  <c r="N205" i="2"/>
  <c r="L205" i="2"/>
  <c r="J205" i="2"/>
  <c r="T204" i="2"/>
  <c r="S204" i="2"/>
  <c r="Q204" i="2"/>
  <c r="O204" i="2"/>
  <c r="N204" i="2"/>
  <c r="L204" i="2"/>
  <c r="J204" i="2"/>
  <c r="T203" i="2"/>
  <c r="S203" i="2"/>
  <c r="Q203" i="2"/>
  <c r="O203" i="2"/>
  <c r="N203" i="2"/>
  <c r="L203" i="2"/>
  <c r="J203" i="2"/>
  <c r="T202" i="2"/>
  <c r="S202" i="2"/>
  <c r="Q202" i="2"/>
  <c r="O202" i="2"/>
  <c r="N202" i="2"/>
  <c r="L202" i="2"/>
  <c r="J202" i="2"/>
  <c r="T201" i="2"/>
  <c r="S201" i="2"/>
  <c r="Q201" i="2"/>
  <c r="O201" i="2"/>
  <c r="N201" i="2"/>
  <c r="L201" i="2"/>
  <c r="J201" i="2"/>
  <c r="T200" i="2"/>
  <c r="S200" i="2"/>
  <c r="Q200" i="2"/>
  <c r="O200" i="2"/>
  <c r="N200" i="2"/>
  <c r="L200" i="2"/>
  <c r="J200" i="2"/>
  <c r="T199" i="2"/>
  <c r="S199" i="2"/>
  <c r="Q199" i="2"/>
  <c r="O199" i="2"/>
  <c r="N199" i="2"/>
  <c r="L199" i="2"/>
  <c r="J199" i="2"/>
  <c r="T198" i="2"/>
  <c r="S198" i="2"/>
  <c r="Q198" i="2"/>
  <c r="O198" i="2"/>
  <c r="N198" i="2"/>
  <c r="L198" i="2"/>
  <c r="J198" i="2"/>
  <c r="T197" i="2"/>
  <c r="S197" i="2"/>
  <c r="Q197" i="2"/>
  <c r="O197" i="2"/>
  <c r="N197" i="2"/>
  <c r="L197" i="2"/>
  <c r="J197" i="2"/>
  <c r="T196" i="2"/>
  <c r="S196" i="2"/>
  <c r="Q196" i="2"/>
  <c r="O196" i="2"/>
  <c r="N196" i="2"/>
  <c r="L196" i="2"/>
  <c r="J196" i="2"/>
  <c r="T195" i="2"/>
  <c r="S195" i="2"/>
  <c r="Q195" i="2"/>
  <c r="O195" i="2"/>
  <c r="N195" i="2"/>
  <c r="L195" i="2"/>
  <c r="J195" i="2"/>
  <c r="T194" i="2"/>
  <c r="S194" i="2"/>
  <c r="Q194" i="2"/>
  <c r="O194" i="2"/>
  <c r="N194" i="2"/>
  <c r="L194" i="2"/>
  <c r="J194" i="2"/>
  <c r="T193" i="2"/>
  <c r="S193" i="2"/>
  <c r="Q193" i="2"/>
  <c r="O193" i="2"/>
  <c r="N193" i="2"/>
  <c r="L193" i="2"/>
  <c r="J193" i="2"/>
  <c r="T192" i="2"/>
  <c r="S192" i="2"/>
  <c r="Q192" i="2"/>
  <c r="O192" i="2"/>
  <c r="N192" i="2"/>
  <c r="L192" i="2"/>
  <c r="J192" i="2"/>
  <c r="T191" i="2"/>
  <c r="S191" i="2"/>
  <c r="Q191" i="2"/>
  <c r="O191" i="2"/>
  <c r="N191" i="2"/>
  <c r="L191" i="2"/>
  <c r="J191" i="2"/>
  <c r="T190" i="2"/>
  <c r="S190" i="2"/>
  <c r="Q190" i="2"/>
  <c r="O190" i="2"/>
  <c r="N190" i="2"/>
  <c r="L190" i="2"/>
  <c r="J190" i="2"/>
  <c r="T189" i="2"/>
  <c r="S189" i="2"/>
  <c r="Q189" i="2"/>
  <c r="O189" i="2"/>
  <c r="N189" i="2"/>
  <c r="L189" i="2"/>
  <c r="J189" i="2"/>
  <c r="T188" i="2"/>
  <c r="S188" i="2"/>
  <c r="Q188" i="2"/>
  <c r="O188" i="2"/>
  <c r="N188" i="2"/>
  <c r="L188" i="2"/>
  <c r="J188" i="2"/>
  <c r="T187" i="2"/>
  <c r="S187" i="2"/>
  <c r="Q187" i="2"/>
  <c r="O187" i="2"/>
  <c r="N187" i="2"/>
  <c r="L187" i="2"/>
  <c r="J187" i="2"/>
  <c r="T186" i="2"/>
  <c r="S186" i="2"/>
  <c r="Q186" i="2"/>
  <c r="O186" i="2"/>
  <c r="N186" i="2"/>
  <c r="L186" i="2"/>
  <c r="J186" i="2"/>
  <c r="T185" i="2"/>
  <c r="S185" i="2"/>
  <c r="Q185" i="2"/>
  <c r="O185" i="2"/>
  <c r="N185" i="2"/>
  <c r="L185" i="2"/>
  <c r="J185" i="2"/>
  <c r="T184" i="2"/>
  <c r="S184" i="2"/>
  <c r="Q184" i="2"/>
  <c r="O184" i="2"/>
  <c r="N184" i="2"/>
  <c r="L184" i="2"/>
  <c r="J184" i="2"/>
  <c r="T183" i="2"/>
  <c r="S183" i="2"/>
  <c r="Q183" i="2"/>
  <c r="O183" i="2"/>
  <c r="N183" i="2"/>
  <c r="L183" i="2"/>
  <c r="J183" i="2"/>
  <c r="T182" i="2"/>
  <c r="S182" i="2"/>
  <c r="Q182" i="2"/>
  <c r="O182" i="2"/>
  <c r="N182" i="2"/>
  <c r="L182" i="2"/>
  <c r="J182" i="2"/>
  <c r="T181" i="2"/>
  <c r="S181" i="2"/>
  <c r="Q181" i="2"/>
  <c r="O181" i="2"/>
  <c r="N181" i="2"/>
  <c r="L181" i="2"/>
  <c r="J181" i="2"/>
  <c r="T180" i="2"/>
  <c r="S180" i="2"/>
  <c r="Q180" i="2"/>
  <c r="O180" i="2"/>
  <c r="N180" i="2"/>
  <c r="L180" i="2"/>
  <c r="J180" i="2"/>
  <c r="T179" i="2"/>
  <c r="S179" i="2"/>
  <c r="Q179" i="2"/>
  <c r="O179" i="2"/>
  <c r="N179" i="2"/>
  <c r="L179" i="2"/>
  <c r="J179" i="2"/>
  <c r="T178" i="2"/>
  <c r="S178" i="2"/>
  <c r="Q178" i="2"/>
  <c r="O178" i="2"/>
  <c r="N178" i="2"/>
  <c r="L178" i="2"/>
  <c r="J178" i="2"/>
  <c r="T177" i="2"/>
  <c r="S177" i="2"/>
  <c r="Q177" i="2"/>
  <c r="O177" i="2"/>
  <c r="N177" i="2"/>
  <c r="L177" i="2"/>
  <c r="J177" i="2"/>
  <c r="T176" i="2"/>
  <c r="S176" i="2"/>
  <c r="Q176" i="2"/>
  <c r="O176" i="2"/>
  <c r="N176" i="2"/>
  <c r="L176" i="2"/>
  <c r="J176" i="2"/>
  <c r="T175" i="2"/>
  <c r="S175" i="2"/>
  <c r="Q175" i="2"/>
  <c r="O175" i="2"/>
  <c r="N175" i="2"/>
  <c r="L175" i="2"/>
  <c r="J175" i="2"/>
  <c r="T174" i="2"/>
  <c r="S174" i="2"/>
  <c r="Q174" i="2"/>
  <c r="O174" i="2"/>
  <c r="N174" i="2"/>
  <c r="L174" i="2"/>
  <c r="J174" i="2"/>
  <c r="T173" i="2"/>
  <c r="S173" i="2"/>
  <c r="Q173" i="2"/>
  <c r="O173" i="2"/>
  <c r="N173" i="2"/>
  <c r="L173" i="2"/>
  <c r="J173" i="2"/>
  <c r="T172" i="2"/>
  <c r="S172" i="2"/>
  <c r="Q172" i="2"/>
  <c r="O172" i="2"/>
  <c r="N172" i="2"/>
  <c r="L172" i="2"/>
  <c r="J172" i="2"/>
  <c r="T171" i="2"/>
  <c r="S171" i="2"/>
  <c r="Q171" i="2"/>
  <c r="O171" i="2"/>
  <c r="N171" i="2"/>
  <c r="L171" i="2"/>
  <c r="J171" i="2"/>
  <c r="T170" i="2"/>
  <c r="S170" i="2"/>
  <c r="Q170" i="2"/>
  <c r="O170" i="2"/>
  <c r="N170" i="2"/>
  <c r="L170" i="2"/>
  <c r="J170" i="2"/>
  <c r="T169" i="2"/>
  <c r="S169" i="2"/>
  <c r="Q169" i="2"/>
  <c r="O169" i="2"/>
  <c r="N169" i="2"/>
  <c r="L169" i="2"/>
  <c r="J169" i="2"/>
  <c r="T168" i="2"/>
  <c r="S168" i="2"/>
  <c r="Q168" i="2"/>
  <c r="O168" i="2"/>
  <c r="N168" i="2"/>
  <c r="L168" i="2"/>
  <c r="J168" i="2"/>
  <c r="T167" i="2"/>
  <c r="S167" i="2"/>
  <c r="Q167" i="2"/>
  <c r="O167" i="2"/>
  <c r="N167" i="2"/>
  <c r="L167" i="2"/>
  <c r="J167" i="2"/>
  <c r="T166" i="2"/>
  <c r="S166" i="2"/>
  <c r="Q166" i="2"/>
  <c r="O166" i="2"/>
  <c r="N166" i="2"/>
  <c r="L166" i="2"/>
  <c r="J166" i="2"/>
  <c r="T165" i="2"/>
  <c r="S165" i="2"/>
  <c r="Q165" i="2"/>
  <c r="O165" i="2"/>
  <c r="N165" i="2"/>
  <c r="L165" i="2"/>
  <c r="J165" i="2"/>
  <c r="T164" i="2"/>
  <c r="S164" i="2"/>
  <c r="Q164" i="2"/>
  <c r="O164" i="2"/>
  <c r="N164" i="2"/>
  <c r="L164" i="2"/>
  <c r="J164" i="2"/>
  <c r="T163" i="2"/>
  <c r="S163" i="2"/>
  <c r="Q163" i="2"/>
  <c r="O163" i="2"/>
  <c r="N163" i="2"/>
  <c r="L163" i="2"/>
  <c r="J163" i="2"/>
  <c r="T162" i="2"/>
  <c r="S162" i="2"/>
  <c r="Q162" i="2"/>
  <c r="O162" i="2"/>
  <c r="N162" i="2"/>
  <c r="L162" i="2"/>
  <c r="J162" i="2"/>
  <c r="T161" i="2"/>
  <c r="S161" i="2"/>
  <c r="Q161" i="2"/>
  <c r="O161" i="2"/>
  <c r="N161" i="2"/>
  <c r="L161" i="2"/>
  <c r="J161" i="2"/>
  <c r="T160" i="2"/>
  <c r="S160" i="2"/>
  <c r="Q160" i="2"/>
  <c r="O160" i="2"/>
  <c r="N160" i="2"/>
  <c r="L160" i="2"/>
  <c r="J160" i="2"/>
  <c r="T159" i="2"/>
  <c r="S159" i="2"/>
  <c r="Q159" i="2"/>
  <c r="O159" i="2"/>
  <c r="N159" i="2"/>
  <c r="L159" i="2"/>
  <c r="J159" i="2"/>
  <c r="T158" i="2"/>
  <c r="S158" i="2"/>
  <c r="Q158" i="2"/>
  <c r="O158" i="2"/>
  <c r="N158" i="2"/>
  <c r="L158" i="2"/>
  <c r="J158" i="2"/>
  <c r="T157" i="2"/>
  <c r="S157" i="2"/>
  <c r="Q157" i="2"/>
  <c r="O157" i="2"/>
  <c r="N157" i="2"/>
  <c r="L157" i="2"/>
  <c r="J157" i="2"/>
  <c r="T156" i="2"/>
  <c r="S156" i="2"/>
  <c r="Q156" i="2"/>
  <c r="O156" i="2"/>
  <c r="N156" i="2"/>
  <c r="L156" i="2"/>
  <c r="J156" i="2"/>
  <c r="T155" i="2"/>
  <c r="S155" i="2"/>
  <c r="Q155" i="2"/>
  <c r="O155" i="2"/>
  <c r="N155" i="2"/>
  <c r="L155" i="2"/>
  <c r="J155" i="2"/>
  <c r="T154" i="2"/>
  <c r="S154" i="2"/>
  <c r="Q154" i="2"/>
  <c r="O154" i="2"/>
  <c r="N154" i="2"/>
  <c r="L154" i="2"/>
  <c r="J154" i="2"/>
  <c r="T153" i="2"/>
  <c r="S153" i="2"/>
  <c r="Q153" i="2"/>
  <c r="O153" i="2"/>
  <c r="N153" i="2"/>
  <c r="L153" i="2"/>
  <c r="J153" i="2"/>
  <c r="T152" i="2"/>
  <c r="S152" i="2"/>
  <c r="Q152" i="2"/>
  <c r="O152" i="2"/>
  <c r="N152" i="2"/>
  <c r="L152" i="2"/>
  <c r="J152" i="2"/>
  <c r="T151" i="2"/>
  <c r="S151" i="2"/>
  <c r="Q151" i="2"/>
  <c r="O151" i="2"/>
  <c r="N151" i="2"/>
  <c r="L151" i="2"/>
  <c r="J151" i="2"/>
  <c r="T150" i="2"/>
  <c r="S150" i="2"/>
  <c r="Q150" i="2"/>
  <c r="O150" i="2"/>
  <c r="N150" i="2"/>
  <c r="L150" i="2"/>
  <c r="J150" i="2"/>
  <c r="T149" i="2"/>
  <c r="S149" i="2"/>
  <c r="Q149" i="2"/>
  <c r="O149" i="2"/>
  <c r="N149" i="2"/>
  <c r="L149" i="2"/>
  <c r="J149" i="2"/>
  <c r="T148" i="2"/>
  <c r="S148" i="2"/>
  <c r="Q148" i="2"/>
  <c r="O148" i="2"/>
  <c r="N148" i="2"/>
  <c r="L148" i="2"/>
  <c r="J148" i="2"/>
  <c r="T147" i="2"/>
  <c r="S147" i="2"/>
  <c r="Q147" i="2"/>
  <c r="O147" i="2"/>
  <c r="N147" i="2"/>
  <c r="L147" i="2"/>
  <c r="J147" i="2"/>
  <c r="T146" i="2"/>
  <c r="S146" i="2"/>
  <c r="Q146" i="2"/>
  <c r="O146" i="2"/>
  <c r="N146" i="2"/>
  <c r="L146" i="2"/>
  <c r="J146" i="2"/>
  <c r="T145" i="2"/>
  <c r="S145" i="2"/>
  <c r="Q145" i="2"/>
  <c r="O145" i="2"/>
  <c r="N145" i="2"/>
  <c r="L145" i="2"/>
  <c r="J145" i="2"/>
  <c r="T144" i="2"/>
  <c r="S144" i="2"/>
  <c r="Q144" i="2"/>
  <c r="O144" i="2"/>
  <c r="N144" i="2"/>
  <c r="L144" i="2"/>
  <c r="J144" i="2"/>
  <c r="T143" i="2"/>
  <c r="S143" i="2"/>
  <c r="Q143" i="2"/>
  <c r="O143" i="2"/>
  <c r="N143" i="2"/>
  <c r="L143" i="2"/>
  <c r="J143" i="2"/>
  <c r="T142" i="2"/>
  <c r="S142" i="2"/>
  <c r="Q142" i="2"/>
  <c r="O142" i="2"/>
  <c r="N142" i="2"/>
  <c r="L142" i="2"/>
  <c r="J142" i="2"/>
  <c r="T141" i="2"/>
  <c r="S141" i="2"/>
  <c r="Q141" i="2"/>
  <c r="O141" i="2"/>
  <c r="N141" i="2"/>
  <c r="L141" i="2"/>
  <c r="J141" i="2"/>
  <c r="T140" i="2"/>
  <c r="S140" i="2"/>
  <c r="Q140" i="2"/>
  <c r="O140" i="2"/>
  <c r="N140" i="2"/>
  <c r="L140" i="2"/>
  <c r="J140" i="2"/>
  <c r="T139" i="2"/>
  <c r="S139" i="2"/>
  <c r="Q139" i="2"/>
  <c r="O139" i="2"/>
  <c r="N139" i="2"/>
  <c r="L139" i="2"/>
  <c r="J139" i="2"/>
  <c r="T138" i="2"/>
  <c r="S138" i="2"/>
  <c r="Q138" i="2"/>
  <c r="O138" i="2"/>
  <c r="N138" i="2"/>
  <c r="L138" i="2"/>
  <c r="J138" i="2"/>
  <c r="T137" i="2"/>
  <c r="S137" i="2"/>
  <c r="Q137" i="2"/>
  <c r="O137" i="2"/>
  <c r="N137" i="2"/>
  <c r="L137" i="2"/>
  <c r="J137" i="2"/>
  <c r="T136" i="2"/>
  <c r="S136" i="2"/>
  <c r="Q136" i="2"/>
  <c r="O136" i="2"/>
  <c r="N136" i="2"/>
  <c r="L136" i="2"/>
  <c r="J136" i="2"/>
  <c r="T135" i="2"/>
  <c r="S135" i="2"/>
  <c r="Q135" i="2"/>
  <c r="O135" i="2"/>
  <c r="N135" i="2"/>
  <c r="L135" i="2"/>
  <c r="J135" i="2"/>
  <c r="T134" i="2"/>
  <c r="S134" i="2"/>
  <c r="Q134" i="2"/>
  <c r="O134" i="2"/>
  <c r="N134" i="2"/>
  <c r="L134" i="2"/>
  <c r="J134" i="2"/>
  <c r="T133" i="2"/>
  <c r="S133" i="2"/>
  <c r="Q133" i="2"/>
  <c r="O133" i="2"/>
  <c r="N133" i="2"/>
  <c r="L133" i="2"/>
  <c r="J133" i="2"/>
  <c r="T132" i="2"/>
  <c r="S132" i="2"/>
  <c r="Q132" i="2"/>
  <c r="N132" i="2"/>
  <c r="L132" i="2"/>
  <c r="J132" i="2"/>
  <c r="T131" i="2"/>
  <c r="S131" i="2"/>
  <c r="Q131" i="2"/>
  <c r="O131" i="2"/>
  <c r="N131" i="2"/>
  <c r="L131" i="2"/>
  <c r="J131" i="2"/>
  <c r="T130" i="2"/>
  <c r="S130" i="2"/>
  <c r="Q130" i="2"/>
  <c r="O130" i="2"/>
  <c r="N130" i="2"/>
  <c r="L130" i="2"/>
  <c r="J130" i="2"/>
  <c r="T129" i="2"/>
  <c r="S129" i="2"/>
  <c r="Q129" i="2"/>
  <c r="O129" i="2"/>
  <c r="N129" i="2"/>
  <c r="L129" i="2"/>
  <c r="J129" i="2"/>
  <c r="T128" i="2"/>
  <c r="S128" i="2"/>
  <c r="Q128" i="2"/>
  <c r="O128" i="2"/>
  <c r="N128" i="2"/>
  <c r="L128" i="2"/>
  <c r="J128" i="2"/>
  <c r="T127" i="2"/>
  <c r="S127" i="2"/>
  <c r="Q127" i="2"/>
  <c r="O127" i="2"/>
  <c r="N127" i="2"/>
  <c r="L127" i="2"/>
  <c r="J127" i="2"/>
  <c r="T126" i="2"/>
  <c r="S126" i="2"/>
  <c r="Q126" i="2"/>
  <c r="O126" i="2"/>
  <c r="N126" i="2"/>
  <c r="L126" i="2"/>
  <c r="J126" i="2"/>
  <c r="T125" i="2"/>
  <c r="S125" i="2"/>
  <c r="Q125" i="2"/>
  <c r="O125" i="2"/>
  <c r="N125" i="2"/>
  <c r="L125" i="2"/>
  <c r="J125" i="2"/>
  <c r="T124" i="2"/>
  <c r="S124" i="2"/>
  <c r="Q124" i="2"/>
  <c r="O124" i="2"/>
  <c r="N124" i="2"/>
  <c r="L124" i="2"/>
  <c r="J124" i="2"/>
  <c r="T123" i="2"/>
  <c r="S123" i="2"/>
  <c r="Q123" i="2"/>
  <c r="O123" i="2"/>
  <c r="N123" i="2"/>
  <c r="L123" i="2"/>
  <c r="J123" i="2"/>
  <c r="T122" i="2"/>
  <c r="S122" i="2"/>
  <c r="Q122" i="2"/>
  <c r="O122" i="2"/>
  <c r="N122" i="2"/>
  <c r="L122" i="2"/>
  <c r="J122" i="2"/>
  <c r="T121" i="2"/>
  <c r="S121" i="2"/>
  <c r="Q121" i="2"/>
  <c r="O121" i="2"/>
  <c r="N121" i="2"/>
  <c r="L121" i="2"/>
  <c r="J121" i="2"/>
  <c r="T120" i="2"/>
  <c r="S120" i="2"/>
  <c r="Q120" i="2"/>
  <c r="O120" i="2"/>
  <c r="N120" i="2"/>
  <c r="L120" i="2"/>
  <c r="J120" i="2"/>
  <c r="T119" i="2"/>
  <c r="S119" i="2"/>
  <c r="Q119" i="2"/>
  <c r="O119" i="2"/>
  <c r="N119" i="2"/>
  <c r="L119" i="2"/>
  <c r="J119" i="2"/>
  <c r="T118" i="2"/>
  <c r="S118" i="2"/>
  <c r="Q118" i="2"/>
  <c r="O118" i="2"/>
  <c r="N118" i="2"/>
  <c r="L118" i="2"/>
  <c r="J118" i="2"/>
  <c r="T117" i="2"/>
  <c r="S117" i="2"/>
  <c r="Q117" i="2"/>
  <c r="O117" i="2"/>
  <c r="N117" i="2"/>
  <c r="L117" i="2"/>
  <c r="J117" i="2"/>
  <c r="T116" i="2"/>
  <c r="S116" i="2"/>
  <c r="Q116" i="2"/>
  <c r="O116" i="2"/>
  <c r="N116" i="2"/>
  <c r="L116" i="2"/>
  <c r="J116" i="2"/>
  <c r="T115" i="2"/>
  <c r="S115" i="2"/>
  <c r="Q115" i="2"/>
  <c r="O115" i="2"/>
  <c r="N115" i="2"/>
  <c r="L115" i="2"/>
  <c r="J115" i="2"/>
  <c r="T114" i="2"/>
  <c r="S114" i="2"/>
  <c r="Q114" i="2"/>
  <c r="O114" i="2"/>
  <c r="N114" i="2"/>
  <c r="L114" i="2"/>
  <c r="J114" i="2"/>
  <c r="T113" i="2"/>
  <c r="S113" i="2"/>
  <c r="Q113" i="2"/>
  <c r="O113" i="2"/>
  <c r="N113" i="2"/>
  <c r="L113" i="2"/>
  <c r="J113" i="2"/>
  <c r="T112" i="2"/>
  <c r="S112" i="2"/>
  <c r="Q112" i="2"/>
  <c r="O112" i="2"/>
  <c r="N112" i="2"/>
  <c r="L112" i="2"/>
  <c r="J112" i="2"/>
  <c r="T111" i="2"/>
  <c r="S111" i="2"/>
  <c r="Q111" i="2"/>
  <c r="O111" i="2"/>
  <c r="N111" i="2"/>
  <c r="L111" i="2"/>
  <c r="J111" i="2"/>
  <c r="T110" i="2"/>
  <c r="S110" i="2"/>
  <c r="Q110" i="2"/>
  <c r="O110" i="2"/>
  <c r="N110" i="2"/>
  <c r="L110" i="2"/>
  <c r="J110" i="2"/>
  <c r="T109" i="2"/>
  <c r="S109" i="2"/>
  <c r="Q109" i="2"/>
  <c r="O109" i="2"/>
  <c r="N109" i="2"/>
  <c r="L109" i="2"/>
  <c r="J109" i="2"/>
  <c r="T108" i="2"/>
  <c r="S108" i="2"/>
  <c r="Q108" i="2"/>
  <c r="O108" i="2"/>
  <c r="N108" i="2"/>
  <c r="L108" i="2"/>
  <c r="J108" i="2"/>
  <c r="T107" i="2"/>
  <c r="S107" i="2"/>
  <c r="Q107" i="2"/>
  <c r="O107" i="2"/>
  <c r="N107" i="2"/>
  <c r="L107" i="2"/>
  <c r="J107" i="2"/>
  <c r="T106" i="2"/>
  <c r="S106" i="2"/>
  <c r="Q106" i="2"/>
  <c r="O106" i="2"/>
  <c r="N106" i="2"/>
  <c r="L106" i="2"/>
  <c r="J106" i="2"/>
  <c r="T105" i="2"/>
  <c r="S105" i="2"/>
  <c r="Q105" i="2"/>
  <c r="O105" i="2"/>
  <c r="N105" i="2"/>
  <c r="L105" i="2"/>
  <c r="J105" i="2"/>
  <c r="T104" i="2"/>
  <c r="S104" i="2"/>
  <c r="Q104" i="2"/>
  <c r="O104" i="2"/>
  <c r="N104" i="2"/>
  <c r="L104" i="2"/>
  <c r="J104" i="2"/>
  <c r="T103" i="2"/>
  <c r="S103" i="2"/>
  <c r="Q103" i="2"/>
  <c r="O103" i="2"/>
  <c r="N103" i="2"/>
  <c r="L103" i="2"/>
  <c r="J103" i="2"/>
  <c r="T102" i="2"/>
  <c r="S102" i="2"/>
  <c r="Q102" i="2"/>
  <c r="O102" i="2"/>
  <c r="N102" i="2"/>
  <c r="L102" i="2"/>
  <c r="J102" i="2"/>
  <c r="T101" i="2"/>
  <c r="S101" i="2"/>
  <c r="Q101" i="2"/>
  <c r="O101" i="2"/>
  <c r="N101" i="2"/>
  <c r="L101" i="2"/>
  <c r="J101" i="2"/>
  <c r="T100" i="2"/>
  <c r="S100" i="2"/>
  <c r="Q100" i="2"/>
  <c r="O100" i="2"/>
  <c r="N100" i="2"/>
  <c r="L100" i="2"/>
  <c r="J100" i="2"/>
  <c r="T99" i="2"/>
  <c r="S99" i="2"/>
  <c r="Q99" i="2"/>
  <c r="O99" i="2"/>
  <c r="N99" i="2"/>
  <c r="L99" i="2"/>
  <c r="J99" i="2"/>
  <c r="T98" i="2"/>
  <c r="S98" i="2"/>
  <c r="Q98" i="2"/>
  <c r="O98" i="2"/>
  <c r="N98" i="2"/>
  <c r="L98" i="2"/>
  <c r="J98" i="2"/>
  <c r="T97" i="2"/>
  <c r="S97" i="2"/>
  <c r="Q97" i="2"/>
  <c r="O97" i="2"/>
  <c r="N97" i="2"/>
  <c r="L97" i="2"/>
  <c r="J97" i="2"/>
  <c r="T96" i="2"/>
  <c r="S96" i="2"/>
  <c r="Q96" i="2"/>
  <c r="O96" i="2"/>
  <c r="N96" i="2"/>
  <c r="L96" i="2"/>
  <c r="J96" i="2"/>
  <c r="T95" i="2"/>
  <c r="S95" i="2"/>
  <c r="Q95" i="2"/>
  <c r="O95" i="2"/>
  <c r="N95" i="2"/>
  <c r="L95" i="2"/>
  <c r="J95" i="2"/>
  <c r="T94" i="2"/>
  <c r="S94" i="2"/>
  <c r="Q94" i="2"/>
  <c r="O94" i="2"/>
  <c r="N94" i="2"/>
  <c r="L94" i="2"/>
  <c r="J94" i="2"/>
  <c r="T93" i="2"/>
  <c r="S93" i="2"/>
  <c r="Q93" i="2"/>
  <c r="O93" i="2"/>
  <c r="N93" i="2"/>
  <c r="L93" i="2"/>
  <c r="J93" i="2"/>
  <c r="T92" i="2"/>
  <c r="S92" i="2"/>
  <c r="Q92" i="2"/>
  <c r="O92" i="2"/>
  <c r="N92" i="2"/>
  <c r="L92" i="2"/>
  <c r="J92" i="2"/>
  <c r="T91" i="2"/>
  <c r="S91" i="2"/>
  <c r="Q91" i="2"/>
  <c r="O91" i="2"/>
  <c r="N91" i="2"/>
  <c r="L91" i="2"/>
  <c r="J91" i="2"/>
  <c r="T90" i="2"/>
  <c r="S90" i="2"/>
  <c r="Q90" i="2"/>
  <c r="O90" i="2"/>
  <c r="N90" i="2"/>
  <c r="L90" i="2"/>
  <c r="J90" i="2"/>
  <c r="T89" i="2"/>
  <c r="S89" i="2"/>
  <c r="Q89" i="2"/>
  <c r="O89" i="2"/>
  <c r="N89" i="2"/>
  <c r="L89" i="2"/>
  <c r="J89" i="2"/>
  <c r="T88" i="2"/>
  <c r="S88" i="2"/>
  <c r="Q88" i="2"/>
  <c r="O88" i="2"/>
  <c r="N88" i="2"/>
  <c r="L88" i="2"/>
  <c r="J88" i="2"/>
  <c r="T87" i="2"/>
  <c r="S87" i="2"/>
  <c r="Q87" i="2"/>
  <c r="O87" i="2"/>
  <c r="N87" i="2"/>
  <c r="L87" i="2"/>
  <c r="J87" i="2"/>
  <c r="T86" i="2"/>
  <c r="S86" i="2"/>
  <c r="Q86" i="2"/>
  <c r="O86" i="2"/>
  <c r="N86" i="2"/>
  <c r="L86" i="2"/>
  <c r="J86" i="2"/>
  <c r="T85" i="2"/>
  <c r="S85" i="2"/>
  <c r="Q85" i="2"/>
  <c r="O85" i="2"/>
  <c r="N85" i="2"/>
  <c r="L85" i="2"/>
  <c r="J85" i="2"/>
  <c r="T84" i="2"/>
  <c r="S84" i="2"/>
  <c r="Q84" i="2"/>
  <c r="O84" i="2"/>
  <c r="N84" i="2"/>
  <c r="L84" i="2"/>
  <c r="J84" i="2"/>
  <c r="T83" i="2"/>
  <c r="S83" i="2"/>
  <c r="Q83" i="2"/>
  <c r="O83" i="2"/>
  <c r="N83" i="2"/>
  <c r="L83" i="2"/>
  <c r="J83" i="2"/>
  <c r="T82" i="2"/>
  <c r="S82" i="2"/>
  <c r="Q82" i="2"/>
  <c r="O82" i="2"/>
  <c r="N82" i="2"/>
  <c r="L82" i="2"/>
  <c r="J82" i="2"/>
  <c r="T81" i="2"/>
  <c r="S81" i="2"/>
  <c r="Q81" i="2"/>
  <c r="O81" i="2"/>
  <c r="N81" i="2"/>
  <c r="L81" i="2"/>
  <c r="J81" i="2"/>
  <c r="T80" i="2"/>
  <c r="S80" i="2"/>
  <c r="Q80" i="2"/>
  <c r="O80" i="2"/>
  <c r="N80" i="2"/>
  <c r="L80" i="2"/>
  <c r="J80" i="2"/>
  <c r="T79" i="2"/>
  <c r="S79" i="2"/>
  <c r="Q79" i="2"/>
  <c r="O79" i="2"/>
  <c r="N79" i="2"/>
  <c r="L79" i="2"/>
  <c r="J79" i="2"/>
  <c r="T78" i="2"/>
  <c r="S78" i="2"/>
  <c r="Q78" i="2"/>
  <c r="O78" i="2"/>
  <c r="N78" i="2"/>
  <c r="L78" i="2"/>
  <c r="J78" i="2"/>
  <c r="T77" i="2"/>
  <c r="S77" i="2"/>
  <c r="Q77" i="2"/>
  <c r="O77" i="2"/>
  <c r="N77" i="2"/>
  <c r="L77" i="2"/>
  <c r="J77" i="2"/>
  <c r="T76" i="2"/>
  <c r="S76" i="2"/>
  <c r="Q76" i="2"/>
  <c r="O76" i="2"/>
  <c r="N76" i="2"/>
  <c r="L76" i="2"/>
  <c r="J76" i="2"/>
  <c r="T75" i="2"/>
  <c r="S75" i="2"/>
  <c r="Q75" i="2"/>
  <c r="O75" i="2"/>
  <c r="N75" i="2"/>
  <c r="L75" i="2"/>
  <c r="J75" i="2"/>
  <c r="T74" i="2"/>
  <c r="S74" i="2"/>
  <c r="Q74" i="2"/>
  <c r="O74" i="2"/>
  <c r="N74" i="2"/>
  <c r="L74" i="2"/>
  <c r="J74" i="2"/>
  <c r="T73" i="2"/>
  <c r="S73" i="2"/>
  <c r="Q73" i="2"/>
  <c r="O73" i="2"/>
  <c r="N73" i="2"/>
  <c r="L73" i="2"/>
  <c r="J73" i="2"/>
  <c r="T72" i="2"/>
  <c r="S72" i="2"/>
  <c r="Q72" i="2"/>
  <c r="O72" i="2"/>
  <c r="N72" i="2"/>
  <c r="L72" i="2"/>
  <c r="J72" i="2"/>
  <c r="T71" i="2"/>
  <c r="S71" i="2"/>
  <c r="Q71" i="2"/>
  <c r="O71" i="2"/>
  <c r="N71" i="2"/>
  <c r="L71" i="2"/>
  <c r="J71" i="2"/>
  <c r="T70" i="2"/>
  <c r="S70" i="2"/>
  <c r="Q70" i="2"/>
  <c r="O70" i="2"/>
  <c r="N70" i="2"/>
  <c r="L70" i="2"/>
  <c r="J70" i="2"/>
  <c r="T69" i="2"/>
  <c r="S69" i="2"/>
  <c r="Q69" i="2"/>
  <c r="O69" i="2"/>
  <c r="N69" i="2"/>
  <c r="L69" i="2"/>
  <c r="J69" i="2"/>
  <c r="T68" i="2"/>
  <c r="S68" i="2"/>
  <c r="Q68" i="2"/>
  <c r="O68" i="2"/>
  <c r="N68" i="2"/>
  <c r="L68" i="2"/>
  <c r="J68" i="2"/>
  <c r="T67" i="2"/>
  <c r="S67" i="2"/>
  <c r="Q67" i="2"/>
  <c r="O67" i="2"/>
  <c r="N67" i="2"/>
  <c r="L67" i="2"/>
  <c r="J67" i="2"/>
  <c r="T66" i="2"/>
  <c r="S66" i="2"/>
  <c r="Q66" i="2"/>
  <c r="O66" i="2"/>
  <c r="N66" i="2"/>
  <c r="L66" i="2"/>
  <c r="J66" i="2"/>
  <c r="T65" i="2"/>
  <c r="S65" i="2"/>
  <c r="Q65" i="2"/>
  <c r="O65" i="2"/>
  <c r="N65" i="2"/>
  <c r="L65" i="2"/>
  <c r="J65" i="2"/>
  <c r="T64" i="2"/>
  <c r="S64" i="2"/>
  <c r="Q64" i="2"/>
  <c r="O64" i="2"/>
  <c r="N64" i="2"/>
  <c r="L64" i="2"/>
  <c r="J64" i="2"/>
  <c r="T63" i="2"/>
  <c r="S63" i="2"/>
  <c r="Q63" i="2"/>
  <c r="O63" i="2"/>
  <c r="N63" i="2"/>
  <c r="L63" i="2"/>
  <c r="J63" i="2"/>
  <c r="T62" i="2"/>
  <c r="S62" i="2"/>
  <c r="Q62" i="2"/>
  <c r="O62" i="2"/>
  <c r="N62" i="2"/>
  <c r="L62" i="2"/>
  <c r="J62" i="2"/>
  <c r="T61" i="2"/>
  <c r="S61" i="2"/>
  <c r="Q61" i="2"/>
  <c r="O61" i="2"/>
  <c r="N61" i="2"/>
  <c r="L61" i="2"/>
  <c r="J61" i="2"/>
  <c r="T60" i="2"/>
  <c r="S60" i="2"/>
  <c r="Q60" i="2"/>
  <c r="O60" i="2"/>
  <c r="N60" i="2"/>
  <c r="L60" i="2"/>
  <c r="J60" i="2"/>
  <c r="T59" i="2"/>
  <c r="S59" i="2"/>
  <c r="Q59" i="2"/>
  <c r="O59" i="2"/>
  <c r="N59" i="2"/>
  <c r="L59" i="2"/>
  <c r="J59" i="2"/>
  <c r="T58" i="2"/>
  <c r="S58" i="2"/>
  <c r="Q58" i="2"/>
  <c r="O58" i="2"/>
  <c r="N58" i="2"/>
  <c r="L58" i="2"/>
  <c r="J58" i="2"/>
  <c r="T57" i="2"/>
  <c r="S57" i="2"/>
  <c r="Q57" i="2"/>
  <c r="O57" i="2"/>
  <c r="N57" i="2"/>
  <c r="L57" i="2"/>
  <c r="J57" i="2"/>
  <c r="T56" i="2"/>
  <c r="S56" i="2"/>
  <c r="Q56" i="2"/>
  <c r="O56" i="2"/>
  <c r="N56" i="2"/>
  <c r="L56" i="2"/>
  <c r="J56" i="2"/>
  <c r="T55" i="2"/>
  <c r="S55" i="2"/>
  <c r="Q55" i="2"/>
  <c r="N55" i="2"/>
  <c r="L55" i="2"/>
  <c r="J55" i="2"/>
  <c r="T54" i="2"/>
  <c r="S54" i="2"/>
  <c r="Q54" i="2"/>
  <c r="O54" i="2"/>
  <c r="N54" i="2"/>
  <c r="L54" i="2"/>
  <c r="J54" i="2"/>
  <c r="T53" i="2"/>
  <c r="S53" i="2"/>
  <c r="Q53" i="2"/>
  <c r="O53" i="2"/>
  <c r="N53" i="2"/>
  <c r="L53" i="2"/>
  <c r="J53" i="2"/>
  <c r="T52" i="2"/>
  <c r="S52" i="2"/>
  <c r="Q52" i="2"/>
  <c r="O52" i="2"/>
  <c r="N52" i="2"/>
  <c r="L52" i="2"/>
  <c r="J52" i="2"/>
  <c r="T51" i="2"/>
  <c r="S51" i="2"/>
  <c r="Q51" i="2"/>
  <c r="O51" i="2"/>
  <c r="N51" i="2"/>
  <c r="L51" i="2"/>
  <c r="J51" i="2"/>
  <c r="T50" i="2"/>
  <c r="S50" i="2"/>
  <c r="Q50" i="2"/>
  <c r="O50" i="2"/>
  <c r="N50" i="2"/>
  <c r="L50" i="2"/>
  <c r="J50" i="2"/>
  <c r="T49" i="2"/>
  <c r="S49" i="2"/>
  <c r="Q49" i="2"/>
  <c r="O49" i="2"/>
  <c r="N49" i="2"/>
  <c r="L49" i="2"/>
  <c r="J49" i="2"/>
  <c r="T48" i="2"/>
  <c r="S48" i="2"/>
  <c r="Q48" i="2"/>
  <c r="O48" i="2"/>
  <c r="N48" i="2"/>
  <c r="L48" i="2"/>
  <c r="J48" i="2"/>
  <c r="T47" i="2"/>
  <c r="S47" i="2"/>
  <c r="Q47" i="2"/>
  <c r="O47" i="2"/>
  <c r="N47" i="2"/>
  <c r="L47" i="2"/>
  <c r="J47" i="2"/>
  <c r="T46" i="2"/>
  <c r="S46" i="2"/>
  <c r="Q46" i="2"/>
  <c r="O46" i="2"/>
  <c r="N46" i="2"/>
  <c r="L46" i="2"/>
  <c r="J46" i="2"/>
  <c r="T45" i="2"/>
  <c r="S45" i="2"/>
  <c r="Q45" i="2"/>
  <c r="O45" i="2"/>
  <c r="N45" i="2"/>
  <c r="L45" i="2"/>
  <c r="J45" i="2"/>
  <c r="T44" i="2"/>
  <c r="S44" i="2"/>
  <c r="Q44" i="2"/>
  <c r="O44" i="2"/>
  <c r="N44" i="2"/>
  <c r="L44" i="2"/>
  <c r="J44" i="2"/>
  <c r="T43" i="2"/>
  <c r="S43" i="2"/>
  <c r="Q43" i="2"/>
  <c r="O43" i="2"/>
  <c r="N43" i="2"/>
  <c r="L43" i="2"/>
  <c r="J43" i="2"/>
  <c r="T42" i="2"/>
  <c r="S42" i="2"/>
  <c r="Q42" i="2"/>
  <c r="O42" i="2"/>
  <c r="N42" i="2"/>
  <c r="L42" i="2"/>
  <c r="J42" i="2"/>
  <c r="T41" i="2"/>
  <c r="S41" i="2"/>
  <c r="Q41" i="2"/>
  <c r="O41" i="2"/>
  <c r="N41" i="2"/>
  <c r="L41" i="2"/>
  <c r="J41" i="2"/>
  <c r="T40" i="2"/>
  <c r="S40" i="2"/>
  <c r="Q40" i="2"/>
  <c r="O40" i="2"/>
  <c r="N40" i="2"/>
  <c r="L40" i="2"/>
  <c r="J40" i="2"/>
  <c r="T39" i="2"/>
  <c r="S39" i="2"/>
  <c r="Q39" i="2"/>
  <c r="O39" i="2"/>
  <c r="N39" i="2"/>
  <c r="L39" i="2"/>
  <c r="J39" i="2"/>
  <c r="T38" i="2"/>
  <c r="S38" i="2"/>
  <c r="Q38" i="2"/>
  <c r="O38" i="2"/>
  <c r="N38" i="2"/>
  <c r="L38" i="2"/>
  <c r="J38" i="2"/>
  <c r="T37" i="2"/>
  <c r="S37" i="2"/>
  <c r="Q37" i="2"/>
  <c r="O37" i="2"/>
  <c r="N37" i="2"/>
  <c r="L37" i="2"/>
  <c r="J37" i="2"/>
  <c r="T36" i="2"/>
  <c r="S36" i="2"/>
  <c r="Q36" i="2"/>
  <c r="O36" i="2"/>
  <c r="N36" i="2"/>
  <c r="L36" i="2"/>
  <c r="J36" i="2"/>
  <c r="T35" i="2"/>
  <c r="S35" i="2"/>
  <c r="Q35" i="2"/>
  <c r="O35" i="2"/>
  <c r="N35" i="2"/>
  <c r="L35" i="2"/>
  <c r="J35" i="2"/>
  <c r="T34" i="2"/>
  <c r="S34" i="2"/>
  <c r="Q34" i="2"/>
  <c r="O34" i="2"/>
  <c r="N34" i="2"/>
  <c r="L34" i="2"/>
  <c r="J34" i="2"/>
  <c r="T33" i="2"/>
  <c r="S33" i="2"/>
  <c r="Q33" i="2"/>
  <c r="O33" i="2"/>
  <c r="N33" i="2"/>
  <c r="L33" i="2"/>
  <c r="J33" i="2"/>
  <c r="T32" i="2"/>
  <c r="S32" i="2"/>
  <c r="Q32" i="2"/>
  <c r="O32" i="2"/>
  <c r="N32" i="2"/>
  <c r="L32" i="2"/>
  <c r="J32" i="2"/>
  <c r="T31" i="2"/>
  <c r="S31" i="2"/>
  <c r="Q31" i="2"/>
  <c r="O31" i="2"/>
  <c r="N31" i="2"/>
  <c r="L31" i="2"/>
  <c r="J31" i="2"/>
  <c r="T30" i="2"/>
  <c r="S30" i="2"/>
  <c r="Q30" i="2"/>
  <c r="O30" i="2"/>
  <c r="N30" i="2"/>
  <c r="L30" i="2"/>
  <c r="J30" i="2"/>
  <c r="T29" i="2"/>
  <c r="S29" i="2"/>
  <c r="Q29" i="2"/>
  <c r="O29" i="2"/>
  <c r="N29" i="2"/>
  <c r="L29" i="2"/>
  <c r="J29" i="2"/>
  <c r="T28" i="2"/>
  <c r="S28" i="2"/>
  <c r="Q28" i="2"/>
  <c r="O28" i="2"/>
  <c r="N28" i="2"/>
  <c r="L28" i="2"/>
  <c r="J28" i="2"/>
  <c r="T27" i="2"/>
  <c r="S27" i="2"/>
  <c r="Q27" i="2"/>
  <c r="O27" i="2"/>
  <c r="N27" i="2"/>
  <c r="L27" i="2"/>
  <c r="J27" i="2"/>
  <c r="T26" i="2"/>
  <c r="S26" i="2"/>
  <c r="Q26" i="2"/>
  <c r="O26" i="2"/>
  <c r="N26" i="2"/>
  <c r="L26" i="2"/>
  <c r="J26" i="2"/>
  <c r="T25" i="2"/>
  <c r="S25" i="2"/>
  <c r="Q25" i="2"/>
  <c r="O25" i="2"/>
  <c r="N25" i="2"/>
  <c r="L25" i="2"/>
  <c r="J25" i="2"/>
  <c r="T24" i="2"/>
  <c r="S24" i="2"/>
  <c r="Q24" i="2"/>
  <c r="O24" i="2"/>
  <c r="N24" i="2"/>
  <c r="L24" i="2"/>
  <c r="J24" i="2"/>
  <c r="T23" i="2"/>
  <c r="S23" i="2"/>
  <c r="Q23" i="2"/>
  <c r="O23" i="2"/>
  <c r="N23" i="2"/>
  <c r="L23" i="2"/>
  <c r="J23" i="2"/>
  <c r="T22" i="2"/>
  <c r="S22" i="2"/>
  <c r="Q22" i="2"/>
  <c r="O22" i="2"/>
  <c r="N22" i="2"/>
  <c r="L22" i="2"/>
  <c r="J22" i="2"/>
  <c r="T21" i="2"/>
  <c r="S21" i="2"/>
  <c r="Q21" i="2"/>
  <c r="O21" i="2"/>
  <c r="N21" i="2"/>
  <c r="L21" i="2"/>
  <c r="J21" i="2"/>
  <c r="T20" i="2"/>
  <c r="S20" i="2"/>
  <c r="Q20" i="2"/>
  <c r="O20" i="2"/>
  <c r="N20" i="2"/>
  <c r="L20" i="2"/>
  <c r="J20" i="2"/>
  <c r="T19" i="2"/>
  <c r="S19" i="2"/>
  <c r="Q19" i="2"/>
  <c r="O19" i="2"/>
  <c r="N19" i="2"/>
  <c r="L19" i="2"/>
  <c r="J19" i="2"/>
  <c r="T18" i="2"/>
  <c r="S18" i="2"/>
  <c r="Q18" i="2"/>
  <c r="O18" i="2"/>
  <c r="N18" i="2"/>
  <c r="L18" i="2"/>
  <c r="J18" i="2"/>
  <c r="T17" i="2"/>
  <c r="S17" i="2"/>
  <c r="Q17" i="2"/>
  <c r="O17" i="2"/>
  <c r="N17" i="2"/>
  <c r="L17" i="2"/>
  <c r="J17" i="2"/>
  <c r="T16" i="2"/>
  <c r="S16" i="2"/>
  <c r="Q16" i="2"/>
  <c r="O16" i="2"/>
  <c r="N16" i="2"/>
  <c r="L16" i="2"/>
  <c r="J16" i="2"/>
  <c r="T15" i="2"/>
  <c r="S15" i="2"/>
  <c r="Q15" i="2"/>
  <c r="O15" i="2"/>
  <c r="N15" i="2"/>
  <c r="L15" i="2"/>
  <c r="J15" i="2"/>
  <c r="T14" i="2"/>
  <c r="S14" i="2"/>
  <c r="Q14" i="2"/>
  <c r="O14" i="2"/>
  <c r="N14" i="2"/>
  <c r="L14" i="2"/>
  <c r="J14" i="2"/>
  <c r="T13" i="2"/>
  <c r="S13" i="2"/>
  <c r="Q13" i="2"/>
  <c r="O13" i="2"/>
  <c r="N13" i="2"/>
  <c r="L13" i="2"/>
  <c r="J13" i="2"/>
  <c r="T12" i="2"/>
  <c r="S12" i="2"/>
  <c r="Q12" i="2"/>
  <c r="O12" i="2"/>
  <c r="N12" i="2"/>
  <c r="L12" i="2"/>
  <c r="J12" i="2"/>
  <c r="T11" i="2"/>
  <c r="S11" i="2"/>
  <c r="Q11" i="2"/>
  <c r="O11" i="2"/>
  <c r="N11" i="2"/>
  <c r="L11" i="2"/>
  <c r="J11" i="2"/>
  <c r="T10" i="2"/>
  <c r="S10" i="2"/>
  <c r="Q10" i="2"/>
  <c r="O10" i="2"/>
  <c r="N10" i="2"/>
  <c r="L10" i="2"/>
  <c r="J10" i="2"/>
  <c r="T9" i="2"/>
  <c r="S9" i="2"/>
  <c r="Q9" i="2"/>
  <c r="O9" i="2"/>
  <c r="N9" i="2"/>
  <c r="L9" i="2"/>
  <c r="J9" i="2"/>
  <c r="T8" i="2"/>
  <c r="S8" i="2"/>
  <c r="Q8" i="2"/>
  <c r="O8" i="2"/>
  <c r="N8" i="2"/>
  <c r="L8" i="2"/>
  <c r="J8" i="2"/>
  <c r="T7" i="2"/>
  <c r="S7" i="2"/>
  <c r="Q7" i="2"/>
  <c r="O7" i="2"/>
  <c r="N7" i="2"/>
  <c r="L7" i="2"/>
  <c r="J7" i="2"/>
  <c r="T6" i="2"/>
  <c r="S6" i="2"/>
  <c r="Q6" i="2"/>
  <c r="O6" i="2"/>
  <c r="N6" i="2"/>
  <c r="L6" i="2"/>
  <c r="J6" i="2"/>
  <c r="T5" i="2"/>
  <c r="S5" i="2"/>
  <c r="Q5" i="2"/>
  <c r="O5" i="2"/>
  <c r="N5" i="2"/>
  <c r="L5" i="2"/>
  <c r="J5" i="2"/>
  <c r="T4" i="2"/>
  <c r="S4" i="2"/>
  <c r="Q4" i="2"/>
  <c r="O4" i="2"/>
  <c r="N4" i="2"/>
  <c r="L4" i="2"/>
  <c r="J4" i="2"/>
  <c r="T3" i="2"/>
  <c r="S3" i="2"/>
  <c r="Q3" i="2"/>
  <c r="O3" i="2"/>
  <c r="N3" i="2"/>
  <c r="L3" i="2"/>
  <c r="J3" i="2"/>
  <c r="T2" i="2"/>
  <c r="S2" i="2"/>
  <c r="Q2" i="2"/>
  <c r="O2" i="2"/>
  <c r="N2" i="2"/>
  <c r="L2" i="2"/>
  <c r="J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David Espana Velasquez</author>
  </authors>
  <commentList>
    <comment ref="M39" authorId="0" shapeId="0" xr:uid="{2609752E-F238-4AF4-BA79-82541152D9D5}">
      <text>
        <r>
          <rPr>
            <b/>
            <sz val="9"/>
            <color indexed="81"/>
            <rFont val="Tahoma"/>
            <family val="2"/>
          </rPr>
          <t>Sergio David Espana Velasquez:</t>
        </r>
        <r>
          <rPr>
            <sz val="9"/>
            <color indexed="81"/>
            <rFont val="Tahoma"/>
            <family val="2"/>
          </rPr>
          <t xml:space="preserve">
SISTEMA JALO EL CÓDIGO DE COLABORADORA EMILY GUZMAN 90085258 Y APARECE EN LA POLIZA, POR LO TANTO, EL LUNES SE REALIZARA CAMBIO DE CÓDIGO DE COLABORADOR SE DEJO ESCRITO A QUIEN LE CORRESPONDE. </t>
        </r>
      </text>
    </comment>
    <comment ref="M40" authorId="0" shapeId="0" xr:uid="{4E7786DB-690B-4281-BF94-8241013E39A7}">
      <text>
        <r>
          <rPr>
            <b/>
            <sz val="9"/>
            <color indexed="81"/>
            <rFont val="Tahoma"/>
            <family val="2"/>
          </rPr>
          <t>Sergio David Espana Velasquez:</t>
        </r>
        <r>
          <rPr>
            <sz val="9"/>
            <color indexed="81"/>
            <rFont val="Tahoma"/>
            <family val="2"/>
          </rPr>
          <t xml:space="preserve">
SISTEMA JALO EL CÓDIGO DE COLABORADORA EMILY GUZMAN 90085258 Y APARECE EN LA POLIZA, POR LO TANTO, EL LUNES SE REALIZARA CAMBIO DE CÓDIGO DE COLABORADOR SE DEJO ESCRITO A QUIEN LE CORRESPONDE. </t>
        </r>
      </text>
    </comment>
  </commentList>
</comments>
</file>

<file path=xl/sharedStrings.xml><?xml version="1.0" encoding="utf-8"?>
<sst xmlns="http://schemas.openxmlformats.org/spreadsheetml/2006/main" count="5517" uniqueCount="3126">
  <si>
    <t>TARJETA BAM</t>
  </si>
  <si>
    <t>Pago</t>
  </si>
  <si>
    <t>Vigencia</t>
  </si>
  <si>
    <t>Tipo</t>
  </si>
  <si>
    <t>Poliza</t>
  </si>
  <si>
    <t>Certificado</t>
  </si>
  <si>
    <t>Nombre</t>
  </si>
  <si>
    <t>Fecha</t>
  </si>
  <si>
    <t>Fecha Cobro</t>
  </si>
  <si>
    <t>Zona</t>
  </si>
  <si>
    <t>Fuente</t>
  </si>
  <si>
    <t>Agencia</t>
  </si>
  <si>
    <t>Cod. Colaborador</t>
  </si>
  <si>
    <t>Nombre colaborador</t>
  </si>
  <si>
    <t>Prima</t>
  </si>
  <si>
    <t>Cod. Jefe</t>
  </si>
  <si>
    <t>Nombre Jefe</t>
  </si>
  <si>
    <t>Producto</t>
  </si>
  <si>
    <t>Control</t>
  </si>
  <si>
    <t>Equipo</t>
  </si>
  <si>
    <t>Enviada</t>
  </si>
  <si>
    <t>puesto</t>
  </si>
  <si>
    <t>mismo RP</t>
  </si>
  <si>
    <t>VENTA CRUZADA</t>
  </si>
  <si>
    <t>PRODUCTO</t>
  </si>
  <si>
    <t>SI</t>
  </si>
  <si>
    <t>CONTADO</t>
  </si>
  <si>
    <t>NUEVO</t>
  </si>
  <si>
    <t>VCB 20210003</t>
  </si>
  <si>
    <t>VICTOR AUGUSTO HERRERA LAMBOUR</t>
  </si>
  <si>
    <t>VIDA+SEGURO</t>
  </si>
  <si>
    <t>si aplica</t>
  </si>
  <si>
    <t>TC</t>
  </si>
  <si>
    <t>CUOTAS</t>
  </si>
  <si>
    <t>APSS-20220009</t>
  </si>
  <si>
    <t>LUIS ADOLFO CITALAN MONTERROSO</t>
  </si>
  <si>
    <t>CONSULTA BASICO</t>
  </si>
  <si>
    <t>VCB-20210003</t>
  </si>
  <si>
    <t>GLADYS MARIKARMEN SARAHY MORAN</t>
  </si>
  <si>
    <t>VCB-20220034</t>
  </si>
  <si>
    <t xml:space="preserve">OLGA MARIA BARAHONA CASTELLANOS </t>
  </si>
  <si>
    <t>VIDA+SEGURO PLAN 1</t>
  </si>
  <si>
    <t>RP</t>
  </si>
  <si>
    <t>VIRGILIO LOPEZ ALONZO</t>
  </si>
  <si>
    <t>TANIA EUNICE ORELLANA ALDANA</t>
  </si>
  <si>
    <t>VCB-20240008</t>
  </si>
  <si>
    <t>MARTIN FERNANDO AJCIP VICENTE</t>
  </si>
  <si>
    <t>AI</t>
  </si>
  <si>
    <t>VCB 20240008</t>
  </si>
  <si>
    <t>BLANCA ELIZABETH CRUZ PICON</t>
  </si>
  <si>
    <t>APSS-20200009</t>
  </si>
  <si>
    <t>HAMILTON ALEJANDRO ESTACUY CRUP</t>
  </si>
  <si>
    <t>VCB-20220010</t>
  </si>
  <si>
    <t>INGRID MARIBEL CIFUENTES ORDONEZ</t>
  </si>
  <si>
    <t>LILIAN VIRGINIA LIMA BAUTISTA</t>
  </si>
  <si>
    <t>CONSULTA COMPLETO</t>
  </si>
  <si>
    <t>VCB-20210002</t>
  </si>
  <si>
    <t>JOSE EMANUEL SERECH GONZALEZ</t>
  </si>
  <si>
    <t>VCB20240008</t>
  </si>
  <si>
    <t>ANA ELIZABETH MENDEZ PALENCIA</t>
  </si>
  <si>
    <t>VIDA+SEGURO PLAN 2</t>
  </si>
  <si>
    <t>JE MI YANG KIM</t>
  </si>
  <si>
    <t>VIDA+SEGURO PLAN 4</t>
  </si>
  <si>
    <t>ZURY YANIRA REYES GUTIERREZ</t>
  </si>
  <si>
    <t>MAYRA PATRICIA PEREZ ALVAREZ</t>
  </si>
  <si>
    <t>ACPE-20240016</t>
  </si>
  <si>
    <t>DULCE MARIA SAMAYOA</t>
  </si>
  <si>
    <t>AP BIENESTAR</t>
  </si>
  <si>
    <t>ELDER OTONIEL HIDALGO GUTIERREZ</t>
  </si>
  <si>
    <t>VCB 20220010</t>
  </si>
  <si>
    <t>JOSE LUIS PABLO GODINEZ</t>
  </si>
  <si>
    <t>KARLA PAOLA RIVAS PORTILLO</t>
  </si>
  <si>
    <t>MARVIN ANTONIO AGBIZ</t>
  </si>
  <si>
    <t>PENDIENTE</t>
  </si>
  <si>
    <t>ALVARO DAVID GODOY LOPEZ</t>
  </si>
  <si>
    <t>ANDREA LISBETH GUERRA ALBICH</t>
  </si>
  <si>
    <t xml:space="preserve">OLIVIA GALVAN CANAAN </t>
  </si>
  <si>
    <t>VCB20210003</t>
  </si>
  <si>
    <t>HENRY ALEXANDER LEIVA ESCOBAR</t>
  </si>
  <si>
    <t>APSS-20220021</t>
  </si>
  <si>
    <t>ROBERTO CARLOS SINEY YAGUAS</t>
  </si>
  <si>
    <t>CLARA TUJ PENSAMIENTO</t>
  </si>
  <si>
    <t>ANA LUCIA GUAMUCH PATZAN</t>
  </si>
  <si>
    <t>CLAUDIA MARIBEL MARROQUIN BARRERA</t>
  </si>
  <si>
    <t>FERNANDO ERIK ARAGON PALACION</t>
  </si>
  <si>
    <t>ELDER ROLANDO ZEPEDA FRANCO</t>
  </si>
  <si>
    <t>RAFAEL SOLARES GARCIA</t>
  </si>
  <si>
    <t>DONNY GERARDO DE LEON  SAC</t>
  </si>
  <si>
    <t>MASON ESTEVER MACARIO PEREZ</t>
  </si>
  <si>
    <t>ACPE-20220038</t>
  </si>
  <si>
    <t>GERMAN VIVIAR LOPEZ</t>
  </si>
  <si>
    <t>ana michelle lainez chang</t>
  </si>
  <si>
    <t>ANDRES ADOLFO LAINFIESTA BARILLAS</t>
  </si>
  <si>
    <t>DOMINGO ALVARADO MORENTE</t>
  </si>
  <si>
    <t>LUIS JOSE LARA AJUALIP</t>
  </si>
  <si>
    <t>VCB-20220046</t>
  </si>
  <si>
    <t xml:space="preserve">ERNESTO EDEN HERNANDEZ DOMINGO </t>
  </si>
  <si>
    <t>PREVENCION+SEGURA</t>
  </si>
  <si>
    <t>ABNER BEZALEEL VELASQUEZ</t>
  </si>
  <si>
    <t>ACPE-20210007</t>
  </si>
  <si>
    <t>LESBIA ROSVELI HERNANDEZ GONZALEZ</t>
  </si>
  <si>
    <t>GILBERTO ONELIO MONTENEGRO CARDONA</t>
  </si>
  <si>
    <t>ANGEL MARCO SAGUI LOPEZ</t>
  </si>
  <si>
    <t>ANDERSON OMERO CRUZ PEREZ</t>
  </si>
  <si>
    <t>JOSE VICTOR RAMIREZ MATEO</t>
  </si>
  <si>
    <t xml:space="preserve">FERNANDO AGUSTIN LIC </t>
  </si>
  <si>
    <t>THELMA ELIZABETH RODEN PETZEY</t>
  </si>
  <si>
    <t>Nery Daniel Chipin Lindo</t>
  </si>
  <si>
    <t>VERONICA VANESSA LIMA MONTERROSO</t>
  </si>
  <si>
    <t>RENE AUGUSTO GUERRA SANTIZO</t>
  </si>
  <si>
    <t>SHIRLEY PAOLA MOLINA PRADO</t>
  </si>
  <si>
    <t>NO</t>
  </si>
  <si>
    <t>MOBS-36000025</t>
  </si>
  <si>
    <t>MARCOS ISAI CARDENAS GATICA</t>
  </si>
  <si>
    <t>MOTO+SEGURA</t>
  </si>
  <si>
    <t>VCB 20220034</t>
  </si>
  <si>
    <t xml:space="preserve">ANA CRISTINA GOMEZ DE MEDA </t>
  </si>
  <si>
    <t xml:space="preserve">JOSE LUIS BLANCO GONZALEZ </t>
  </si>
  <si>
    <t>ABELINO MEJIA CUELLAR</t>
  </si>
  <si>
    <t>ACPE-20240040</t>
  </si>
  <si>
    <t>VIRGINIA ESMERALDA GRAMAJO LEPE</t>
  </si>
  <si>
    <t>MULTIASISTENCIAS</t>
  </si>
  <si>
    <t>VICTOR DE JESUS DEL CID VASQUEZ</t>
  </si>
  <si>
    <t>VCB-20210015</t>
  </si>
  <si>
    <t>INGRID AZUCENA GONZALEZ BELTETON</t>
  </si>
  <si>
    <t>NESTOR FRANCISCO TZIAC  GALLEGOS</t>
  </si>
  <si>
    <t>ONELIA ROSA MARIA XICAY FRANCO</t>
  </si>
  <si>
    <t>JORGE ALBERTO FIGUEROA JUAREZ</t>
  </si>
  <si>
    <t>VCB20220022</t>
  </si>
  <si>
    <t>CRISTIAN LEONEL GARCIA GARCIA</t>
  </si>
  <si>
    <t>LUIS HUMBERTO SANTOS RIAN</t>
  </si>
  <si>
    <t>SELVIN ALEX BARRIENTOS POP</t>
  </si>
  <si>
    <t>GABRIEL HERNANDEZ HERNANDEZ</t>
  </si>
  <si>
    <t>BYRON ABRAHAM AJPACAJA GARCIA</t>
  </si>
  <si>
    <t>ACPE-20220074</t>
  </si>
  <si>
    <t>ANDREA JULISSA AJPUAC HERRERA</t>
  </si>
  <si>
    <t>AUTO-22004404</t>
  </si>
  <si>
    <t>GUILLERMO ARNOLDO NAJERA VILLATE</t>
  </si>
  <si>
    <t>AUTO+SEGURO (AUTO)</t>
  </si>
  <si>
    <t>MADELINE CAROLINA CORDON</t>
  </si>
  <si>
    <t>SANDRY MAYRENI PEREZ MEDRANO</t>
  </si>
  <si>
    <t>ODETTE PAULA MERIDA CARDONA</t>
  </si>
  <si>
    <t>JOSELINE RAQUEL CASTAÑEDA GARCIA</t>
  </si>
  <si>
    <t>MYNOR FLORENCIO GUZMAN GONZALEZ</t>
  </si>
  <si>
    <t>LESVIA ELIZABETH RAMIREZ MONTEGIOCA</t>
  </si>
  <si>
    <t>LIDIA MARIELA MEDA RODAS</t>
  </si>
  <si>
    <t>APSS-20240009</t>
  </si>
  <si>
    <t>HENRY ERNESTO MUNOZ VALDEZ</t>
  </si>
  <si>
    <t>JUAN CARLOS BOTZOC CAP</t>
  </si>
  <si>
    <t>MICAELA GUADALUPE CORDERO PEREDA</t>
  </si>
  <si>
    <t>HEYDI YESENIA GARCIA CHACON</t>
  </si>
  <si>
    <t>JUAN LUIS HIDALGO MENCHU</t>
  </si>
  <si>
    <t>JOSE ARNOLDO GOMEZ LOPEZ</t>
  </si>
  <si>
    <t xml:space="preserve">victor manuel lopez </t>
  </si>
  <si>
    <t>VCB20220034</t>
  </si>
  <si>
    <t>MELVIN ANTONIO GARCIA RODRIGUEZ</t>
  </si>
  <si>
    <t>MARCO ANTONIO BARRERA ACABAL</t>
  </si>
  <si>
    <t xml:space="preserve">BRUNO ANGELICO GRIJALVA AQUINO </t>
  </si>
  <si>
    <t>ELMER ALFREDO GARCIA LOPEZ</t>
  </si>
  <si>
    <t>AMARILIS ESTRADA CASTRO</t>
  </si>
  <si>
    <t>MILAGRO LORENA MORALES RODRIGUEZ</t>
  </si>
  <si>
    <t>BILLY FELIPE GUERRA PALMA</t>
  </si>
  <si>
    <t>LUIS ALBERTO PEREZ MARTINEZ</t>
  </si>
  <si>
    <t>VCB20220010</t>
  </si>
  <si>
    <t>BRENDA AIDE ORTIZ COTO</t>
  </si>
  <si>
    <t xml:space="preserve">JOSE ANTONIO REYES GUINAC </t>
  </si>
  <si>
    <t xml:space="preserve">MARIA ELVIRA MORALES TZOY </t>
  </si>
  <si>
    <t>MAGDA RUBY MANCIO ARCHILA</t>
  </si>
  <si>
    <t xml:space="preserve"> KEVIN ALFREDO YUMAN NOJ</t>
  </si>
  <si>
    <t>JOSE LEONEL GIRON SANTOS</t>
  </si>
  <si>
    <t>JUAN TOCAY PUNAY</t>
  </si>
  <si>
    <t>HERNAN OVANDO LOAIZA DUQUE</t>
  </si>
  <si>
    <t>DIXON DONALDO HERNANDEZ DE LA CRUZ</t>
  </si>
  <si>
    <t>MARIA DE LOS ANGELES CASTELLANOS AJCUC</t>
  </si>
  <si>
    <t>LUIS ALFREDO MARROQUIN GUTIERREZ</t>
  </si>
  <si>
    <t xml:space="preserve">CARLOS ANTONIO SAMAYOA </t>
  </si>
  <si>
    <t>LILIAN ROXANA QUEVEDO RIVERA</t>
  </si>
  <si>
    <t>ANGELA PAREDES DE ALVISURES</t>
  </si>
  <si>
    <t>MAYRA ALEJANDRA BARRERA AVILA</t>
  </si>
  <si>
    <t xml:space="preserve">MARIA RAQUEL CARCAMO </t>
  </si>
  <si>
    <t xml:space="preserve">IVAN EDUARDO LARIOS HERNANDEZ </t>
  </si>
  <si>
    <t>HENRY WALDEMAR GARCIA BOROR</t>
  </si>
  <si>
    <t>ORLENDA EVIDES PEÑA CHIC</t>
  </si>
  <si>
    <t>WAGNER ALEMBERTH CARCAMO SANCHEZ</t>
  </si>
  <si>
    <t>MARCO ALEJANDROGODINEZ GONZALEZ</t>
  </si>
  <si>
    <t>AUTO-24000687</t>
  </si>
  <si>
    <t>EMANUEL ALFREDO JIMENEZ FIGUEROA</t>
  </si>
  <si>
    <t>RUTH NOHEMI CHUN RAMIREZ</t>
  </si>
  <si>
    <t>CARLOS AUGUSTO HERNANDEZ</t>
  </si>
  <si>
    <t>SERGIO GIOVANNI GUZMAN CRUZ</t>
  </si>
  <si>
    <t xml:space="preserve">MARTA ABIGAIL AVILA MOLINA </t>
  </si>
  <si>
    <t>LETICIA ILIANA FUENTES OROZCO</t>
  </si>
  <si>
    <t>SERGIO EDUARDO PACHECO</t>
  </si>
  <si>
    <t>MARIA JUANA OLIVA MATEO</t>
  </si>
  <si>
    <t>MARY ELIZABETH GARCIA</t>
  </si>
  <si>
    <t>ERICK GIOVANNI GUTIERREZ</t>
  </si>
  <si>
    <t>JOSE ANTONIO SUBUYUJ GOMEZ</t>
  </si>
  <si>
    <t>VCB20220046</t>
  </si>
  <si>
    <t xml:space="preserve">CELIA MARIBEL OROZCO CINTO </t>
  </si>
  <si>
    <t>VCB  20220034</t>
  </si>
  <si>
    <t>JOSE ANGEL SINAY GARCIA</t>
  </si>
  <si>
    <t>JOSE GABRIEL GARCIA AVALOS</t>
  </si>
  <si>
    <t>gabriel eduardo zamora granados</t>
  </si>
  <si>
    <t>JONATAN ESTUARDO ORELLANA FLORES</t>
  </si>
  <si>
    <t xml:space="preserve">yizhan pan </t>
  </si>
  <si>
    <t>VIDA+SEGURO PLAN 5</t>
  </si>
  <si>
    <t xml:space="preserve">ALEX BERNABE MUCU TEYUL </t>
  </si>
  <si>
    <t>RUBEN ELIAS CHITAY VILLATORO</t>
  </si>
  <si>
    <t>JORGE ERNESTO MENDEZ PINEDA</t>
  </si>
  <si>
    <t>ACPE 20240016</t>
  </si>
  <si>
    <t>RUDY ESTUARDO ARANA SAZO</t>
  </si>
  <si>
    <t>APSS 20220021</t>
  </si>
  <si>
    <t>JUAN FRANCISCO PEINADO OXCAL</t>
  </si>
  <si>
    <t>CONSULTA BASICO + BIENESTAR</t>
  </si>
  <si>
    <t xml:space="preserve">EDY OTONIEL DE LEON RAMIREZ </t>
  </si>
  <si>
    <t>ACPE-20210015</t>
  </si>
  <si>
    <t>KEVIN YUMAN NOJ</t>
  </si>
  <si>
    <t>JOSE CELESTINO LOPEZ TULUXAN</t>
  </si>
  <si>
    <t>LEWIS PAUL COLOP HERNANDEZ</t>
  </si>
  <si>
    <t>VIDA+SEGURO PLAN 3</t>
  </si>
  <si>
    <t>AUTO-22004406</t>
  </si>
  <si>
    <t>JOSE ARIEL RAMIREZ MILLA</t>
  </si>
  <si>
    <t>AUTO-22004381</t>
  </si>
  <si>
    <t>VCB 20220046</t>
  </si>
  <si>
    <t>LIGIA BEATRIZ JUAREZ BENAVENTE</t>
  </si>
  <si>
    <t>GERMAN ANIBAL RAMIREZ PINEDA</t>
  </si>
  <si>
    <t>VCB20210015</t>
  </si>
  <si>
    <t xml:space="preserve">EDGAR LEONEL SEQUEN PINEDA </t>
  </si>
  <si>
    <t>FRANCISCO ANTONIO GALINDO CANEL</t>
  </si>
  <si>
    <t>JOSE GUMERCINDO GARCIA HERNANDEZ</t>
  </si>
  <si>
    <t>VCB-20210008</t>
  </si>
  <si>
    <t>IVANIA YOLIVETH RETANA</t>
  </si>
  <si>
    <t>VIGAIIL AYALA CONTRERAS</t>
  </si>
  <si>
    <t>WILLIAM ROCAEL YANES GUDIEL</t>
  </si>
  <si>
    <t xml:space="preserve">MAGALY CRISTINA BARILLAS </t>
  </si>
  <si>
    <t>CINDY NOEMI DE PAZ CHACON</t>
  </si>
  <si>
    <t xml:space="preserve">JUAN CARLOS CASTAÑEDA VALDEZ </t>
  </si>
  <si>
    <t xml:space="preserve">OSCAR EDUARDO PEREZ GARCIA </t>
  </si>
  <si>
    <t xml:space="preserve">ELVIA YANIRA RUIZ JOLON </t>
  </si>
  <si>
    <t>JOSE MANUEL CEBALLOS MORALES</t>
  </si>
  <si>
    <t>AUTO+SEGURO (PICK UP)</t>
  </si>
  <si>
    <t>si aplica a 2 seguros</t>
  </si>
  <si>
    <t>AP DENTAL FAMILIAR</t>
  </si>
  <si>
    <t>FTE.</t>
  </si>
  <si>
    <t xml:space="preserve">AGENCIA  </t>
  </si>
  <si>
    <t>ZONA</t>
  </si>
  <si>
    <t>Codigo Empleado</t>
  </si>
  <si>
    <t>Nombre Empleado</t>
  </si>
  <si>
    <t>BAM</t>
  </si>
  <si>
    <t>1 año</t>
  </si>
  <si>
    <t>2 años</t>
  </si>
  <si>
    <t>3 años</t>
  </si>
  <si>
    <t>4 años</t>
  </si>
  <si>
    <t>OTRO BANCO</t>
  </si>
  <si>
    <t>TIPO DE PAGO</t>
  </si>
  <si>
    <t>PRADERA</t>
  </si>
  <si>
    <t>AMERICAS</t>
  </si>
  <si>
    <t xml:space="preserve"> Abner Eli Gonzalez Gonzalez</t>
  </si>
  <si>
    <t>PUERTA PARADA</t>
  </si>
  <si>
    <t xml:space="preserve"> Amalia Cifuentes Gramajo</t>
  </si>
  <si>
    <t>CONSULTA COMPLETO + BIENESTAR</t>
  </si>
  <si>
    <t>LAS CONCHAS ZONA 14</t>
  </si>
  <si>
    <t xml:space="preserve"> Amparo Janet Cardona Linares</t>
  </si>
  <si>
    <t>EUROPLAZA</t>
  </si>
  <si>
    <t xml:space="preserve"> Ana Ester Cuyan Aguilar De Dominguez</t>
  </si>
  <si>
    <t>VISTA HERMOSA</t>
  </si>
  <si>
    <t xml:space="preserve"> Ana Vilma Bamaca Cardona</t>
  </si>
  <si>
    <t>CENTRO MEDICO</t>
  </si>
  <si>
    <t>REFORMA</t>
  </si>
  <si>
    <t xml:space="preserve"> Angel Emilio De Jesus Morales Ramirez</t>
  </si>
  <si>
    <t>CONDADO CONCEPCION</t>
  </si>
  <si>
    <t xml:space="preserve"> Arnoldo Coque Hernandez</t>
  </si>
  <si>
    <t>MINUTO CARRETERA A EL SALVADOR</t>
  </si>
  <si>
    <t xml:space="preserve"> Astrid Marlene Diaz</t>
  </si>
  <si>
    <t>SAN JOSE PINULA</t>
  </si>
  <si>
    <t xml:space="preserve"> Brenda Maribel Orozco Mendoza</t>
  </si>
  <si>
    <t>SANTA AMELIA ZONA 16</t>
  </si>
  <si>
    <t xml:space="preserve"> Carla Noemi Irias Alvarez</t>
  </si>
  <si>
    <t>AP DENTAL INDIVIDUAL</t>
  </si>
  <si>
    <t>HINCAPIE</t>
  </si>
  <si>
    <t xml:space="preserve"> Carlos Alberto Roque Galicia</t>
  </si>
  <si>
    <t>PLAZA ZONA 14</t>
  </si>
  <si>
    <t xml:space="preserve"> Carlos Alfredo Cuc Cuxe</t>
  </si>
  <si>
    <t>PLAZA VARIETA</t>
  </si>
  <si>
    <t xml:space="preserve"> Celedonia Isabel Chan Batz De Iscaya</t>
  </si>
  <si>
    <t>SPAZIO</t>
  </si>
  <si>
    <t xml:space="preserve"> Christyan Stuardo Ronquillo Saravia</t>
  </si>
  <si>
    <t>PLAZA FINANCIERA</t>
  </si>
  <si>
    <t xml:space="preserve"> David Estuardo Rosales Corado</t>
  </si>
  <si>
    <t>FUNDACION</t>
  </si>
  <si>
    <t>CENTRO ATLANTICO</t>
  </si>
  <si>
    <t xml:space="preserve"> David Gilberto Perez Mayorga</t>
  </si>
  <si>
    <t>ZONA 1</t>
  </si>
  <si>
    <t xml:space="preserve"> De Leon Cach Roberto Carlos</t>
  </si>
  <si>
    <t>PLAZA FLORIDA</t>
  </si>
  <si>
    <t xml:space="preserve"> Dora Lissette Higueros Trejo</t>
  </si>
  <si>
    <t>MIGRANTE BAM</t>
  </si>
  <si>
    <t>METANORTE</t>
  </si>
  <si>
    <t xml:space="preserve"> Edgar Enrique Garcia Cortave</t>
  </si>
  <si>
    <t>MORAZAN ZONA 2</t>
  </si>
  <si>
    <t xml:space="preserve"> Edgar Marco Tulio Sanchez Ochoa</t>
  </si>
  <si>
    <t>VIDA+SEGURO PLAN 7</t>
  </si>
  <si>
    <t>Q.10,056.00</t>
  </si>
  <si>
    <t>SAN JUAN SACATEPEQUEZ</t>
  </si>
  <si>
    <t xml:space="preserve"> Elcira Livduvina Perez Lopez De Merlos</t>
  </si>
  <si>
    <t>DEL CENTRO</t>
  </si>
  <si>
    <t xml:space="preserve"> Elda Luzbina Valdez Guerra De Fuentes</t>
  </si>
  <si>
    <t xml:space="preserve"> PEDRERA</t>
  </si>
  <si>
    <t xml:space="preserve"> Elias Perez Sequen</t>
  </si>
  <si>
    <t>DISAGRO</t>
  </si>
  <si>
    <t xml:space="preserve"> Enmanuel Antonio Ochoa Hernandez</t>
  </si>
  <si>
    <t>EL NARANJO</t>
  </si>
  <si>
    <t xml:space="preserve"> Erick Estuardo Gonzalez Culajay</t>
  </si>
  <si>
    <t>CALLE MARTI</t>
  </si>
  <si>
    <t xml:space="preserve"> Estephanie Michelle Mendez Cano De Rivera</t>
  </si>
  <si>
    <t>LOS ALAMOS</t>
  </si>
  <si>
    <t xml:space="preserve"> Evelin Johana Perez Fajardo De Estayul</t>
  </si>
  <si>
    <t>PARQUE COLON</t>
  </si>
  <si>
    <t xml:space="preserve"> Francisca Yesenia Aceytuno Quevedo</t>
  </si>
  <si>
    <t>23 CALLE</t>
  </si>
  <si>
    <t xml:space="preserve"> Gabriela Poitan Ordoñez De Garcia</t>
  </si>
  <si>
    <t>PORTALES</t>
  </si>
  <si>
    <t xml:space="preserve"> Gandy Baygesus Sanchez Estrada</t>
  </si>
  <si>
    <t>CENTRANORTE</t>
  </si>
  <si>
    <t xml:space="preserve"> Gerber Estuardo Albizures Archila</t>
  </si>
  <si>
    <t>SANTA LU</t>
  </si>
  <si>
    <t>COSTA SUR</t>
  </si>
  <si>
    <t xml:space="preserve"> Giovanni Noel Valdez Rodriguez</t>
  </si>
  <si>
    <t>ESCUINTLA</t>
  </si>
  <si>
    <t xml:space="preserve"> Gloria Estefanilla Espinoza Garcia</t>
  </si>
  <si>
    <t>BARBERENA</t>
  </si>
  <si>
    <t xml:space="preserve"> Heber Antonio Olivares Alvarado</t>
  </si>
  <si>
    <t>CHIQUIMULILLA</t>
  </si>
  <si>
    <t xml:space="preserve"> Heidi Natali Chacon De La Rosa De Diaz</t>
  </si>
  <si>
    <t>TAXISCO</t>
  </si>
  <si>
    <t xml:space="preserve"> Henry Samuel De Leon Menchu</t>
  </si>
  <si>
    <t>PATULUL</t>
  </si>
  <si>
    <t xml:space="preserve"> Isaias Ramirez Jimenez</t>
  </si>
  <si>
    <t>PRADERA ESCUINTLA</t>
  </si>
  <si>
    <t xml:space="preserve"> Jania Nataly De Leon Ramirez De Suret</t>
  </si>
  <si>
    <t>SANTA LUCIA CENTRO</t>
  </si>
  <si>
    <t xml:space="preserve"> Jenny Betzabel Solis De Hernandez</t>
  </si>
  <si>
    <t>NUEVA CONCEPCION</t>
  </si>
  <si>
    <t xml:space="preserve"> Jocelyn Sucel Yantuche Chin</t>
  </si>
  <si>
    <t>SAN LUCAS TOLIMAN</t>
  </si>
  <si>
    <t xml:space="preserve"> Jose Esteban Diaz Montufar</t>
  </si>
  <si>
    <t>PUERTO DE SAN JOSE</t>
  </si>
  <si>
    <t xml:space="preserve"> Jose Rigoberto Osorio Abarca</t>
  </si>
  <si>
    <t>LA DEMOCRACIA ESCUINTLA</t>
  </si>
  <si>
    <t xml:space="preserve"> Juan Francisco Lara Villavicencio</t>
  </si>
  <si>
    <t>LA GOMERA</t>
  </si>
  <si>
    <t xml:space="preserve"> Juan Toma Torrez</t>
  </si>
  <si>
    <t>PRADERA EXPRESS PALIN</t>
  </si>
  <si>
    <t xml:space="preserve"> Julia Mariela Lourdette Gonzalez Rosales</t>
  </si>
  <si>
    <t xml:space="preserve"> COINCO</t>
  </si>
  <si>
    <t xml:space="preserve"> Julio Roberto Castellanos Ordoñez</t>
  </si>
  <si>
    <t>COBAN PLAZA DEL PARQUE</t>
  </si>
  <si>
    <t>NORTE</t>
  </si>
  <si>
    <t xml:space="preserve"> Karina Del Rosario Castro Lopez De Guzman</t>
  </si>
  <si>
    <t>CARCHA</t>
  </si>
  <si>
    <t xml:space="preserve"> Kevin Alejandro Corado Estrada</t>
  </si>
  <si>
    <t>TACTIC</t>
  </si>
  <si>
    <t xml:space="preserve"> Laura Ninoshka Mogollon Galvez De Ortiz</t>
  </si>
  <si>
    <t>SAN LUIS PETEN</t>
  </si>
  <si>
    <t xml:space="preserve"> Linda Aracely Garcia Beteta De Cuxulic</t>
  </si>
  <si>
    <t>CHISEC</t>
  </si>
  <si>
    <t xml:space="preserve"> Lorena Alexandra Lopez Yax</t>
  </si>
  <si>
    <t>LA TINTA</t>
  </si>
  <si>
    <t xml:space="preserve"> Lotar Robson Araujo Perez</t>
  </si>
  <si>
    <t>SANTA ELENA CENTRO</t>
  </si>
  <si>
    <t xml:space="preserve"> Luis Eduardo Garcia Gomez</t>
  </si>
  <si>
    <t>PLAYA GRANDE</t>
  </si>
  <si>
    <t xml:space="preserve"> Luis Fernando Lopez Vasquez</t>
  </si>
  <si>
    <t>TELEMAN</t>
  </si>
  <si>
    <t xml:space="preserve"> Mailyn Anely Chavez Gonzalez</t>
  </si>
  <si>
    <t>PLAZA MAGDALENA</t>
  </si>
  <si>
    <t xml:space="preserve"> Marilin Janeth Sanchez De Rodriguez</t>
  </si>
  <si>
    <t>SAN CRISTOBAL VERAPAZ</t>
  </si>
  <si>
    <t xml:space="preserve"> Mario Adolfo Telon Pedroza</t>
  </si>
  <si>
    <t>FRAY BARTOLOME DE LAS CASAS</t>
  </si>
  <si>
    <t xml:space="preserve"> Marlon Aroldo De Leon Juarez</t>
  </si>
  <si>
    <t>SALAMA</t>
  </si>
  <si>
    <t xml:space="preserve"> Marlon Estuardo Hernandez</t>
  </si>
  <si>
    <t>COBAN LA PISTA</t>
  </si>
  <si>
    <t xml:space="preserve"> Marvin Saul Sical Ventura</t>
  </si>
  <si>
    <t>SUCURSAL QUETZALTENANGO</t>
  </si>
  <si>
    <t>OCCIDENTE</t>
  </si>
  <si>
    <t xml:space="preserve"> Mayra Judith Marroquin Guevara De Melendez</t>
  </si>
  <si>
    <t>SAN PEDRO SACATEPEQUEZ S.M.</t>
  </si>
  <si>
    <t xml:space="preserve"> Milton Orlando Lopez</t>
  </si>
  <si>
    <t>HUEHUETENANGO</t>
  </si>
  <si>
    <t xml:space="preserve"> Nancy Mariela Estrada Calel De Samayoa</t>
  </si>
  <si>
    <t>ZENTROPLAZA</t>
  </si>
  <si>
    <t xml:space="preserve"> Nori Liseth Bautista</t>
  </si>
  <si>
    <t>LOS ALTOS</t>
  </si>
  <si>
    <t xml:space="preserve"> Oscar Amilcar Najera Segura</t>
  </si>
  <si>
    <t>PANAJACHEL</t>
  </si>
  <si>
    <t xml:space="preserve"> Oscar Javier Galvez</t>
  </si>
  <si>
    <t>CHICHICASTENANGO</t>
  </si>
  <si>
    <t xml:space="preserve"> Pedro Chas Morales</t>
  </si>
  <si>
    <t>CHIMALTENANGO 2</t>
  </si>
  <si>
    <t xml:space="preserve"> Rony Armando Choche Perez</t>
  </si>
  <si>
    <t>HUEHUETENANGO TERMINAL</t>
  </si>
  <si>
    <t xml:space="preserve"> Rudy Fernando Orozco Tejeda</t>
  </si>
  <si>
    <t>SANTA CRUZ DEL QUICHE</t>
  </si>
  <si>
    <t xml:space="preserve"> Sandra Beatriz Ardiano De Leon</t>
  </si>
  <si>
    <t>TECPAN</t>
  </si>
  <si>
    <t xml:space="preserve"> Sandra Patricia Baran Avila</t>
  </si>
  <si>
    <t>TOTONICAPAN</t>
  </si>
  <si>
    <t xml:space="preserve"> Sarah Noemy Sandoval Poggio</t>
  </si>
  <si>
    <t>SAN MARCOS CENTRO</t>
  </si>
  <si>
    <t xml:space="preserve"> Selvyn David Payola Ayala</t>
  </si>
  <si>
    <t>SALCAJA</t>
  </si>
  <si>
    <t xml:space="preserve"> Sindy Yesenia Fuentes Alvarez De Flores</t>
  </si>
  <si>
    <t>PRADERA XELA</t>
  </si>
  <si>
    <t xml:space="preserve"> Susan Jackelinne Cristal Sanchez</t>
  </si>
  <si>
    <t>SANTA CRUZ BARILLAS</t>
  </si>
  <si>
    <t xml:space="preserve"> Susana Rodriguez Cordova</t>
  </si>
  <si>
    <t>ANDARIA</t>
  </si>
  <si>
    <t xml:space="preserve"> Victoria Aracely Gomez Ochoa</t>
  </si>
  <si>
    <t>JUTIAPA</t>
  </si>
  <si>
    <t>ORIENTE</t>
  </si>
  <si>
    <t xml:space="preserve"> Virginia Del Rosario Matilde Garcia Ico</t>
  </si>
  <si>
    <t>JALAPA</t>
  </si>
  <si>
    <t xml:space="preserve"> Vivian Pamela Rodas Lopez</t>
  </si>
  <si>
    <t>PUERTO BARRIOS</t>
  </si>
  <si>
    <t xml:space="preserve"> Wendy Carolina Flores Garcia</t>
  </si>
  <si>
    <t>AGUA BLANCA</t>
  </si>
  <si>
    <t xml:space="preserve"> Wilfredo Noe Tobar Valenzuela</t>
  </si>
  <si>
    <t>CHIQUIMULA 2</t>
  </si>
  <si>
    <t xml:space="preserve"> Yenifer Alejandra Ordoñez</t>
  </si>
  <si>
    <t>ESQUIPULAS</t>
  </si>
  <si>
    <t>  Katerin Mishel Acosta Lobos</t>
  </si>
  <si>
    <t>GUASTATOYA</t>
  </si>
  <si>
    <t>Abel Eduardo Lopez Lopez</t>
  </si>
  <si>
    <t>RIO DULCE 2</t>
  </si>
  <si>
    <t>Abi Susana Santos Alvarado</t>
  </si>
  <si>
    <t>SANARATE</t>
  </si>
  <si>
    <t>Abigail Nohemi Letona Lopez</t>
  </si>
  <si>
    <t>TECULUTAN</t>
  </si>
  <si>
    <t>Abner Amilcar Miguel Pedro</t>
  </si>
  <si>
    <t>PRADERA PUERTO BARRIOS</t>
  </si>
  <si>
    <t>Abner Elias Pec Ical</t>
  </si>
  <si>
    <t>ZACAPA CATEDRAL</t>
  </si>
  <si>
    <t>Abner Enmanuel Perez Rodriguez</t>
  </si>
  <si>
    <t>MONJAS</t>
  </si>
  <si>
    <t>Abner Gabriel Jimenez Say</t>
  </si>
  <si>
    <t>SAN LUIS JILOTEPEQUE CENTRO</t>
  </si>
  <si>
    <t>Abner Juan Menchu Tiu</t>
  </si>
  <si>
    <t>ASUNCION MITA</t>
  </si>
  <si>
    <t xml:space="preserve">Abner Rigoberto Cab </t>
  </si>
  <si>
    <t>PRADERA CHIQUIMULA</t>
  </si>
  <si>
    <t>Abner Rocael Sosa Escobar</t>
  </si>
  <si>
    <t>UMG JUTIAPA</t>
  </si>
  <si>
    <t>Abner Yovani Xicay Sitan</t>
  </si>
  <si>
    <t>ZONA 8</t>
  </si>
  <si>
    <t>Absalon  Santos Elias</t>
  </si>
  <si>
    <t>PETAPA</t>
  </si>
  <si>
    <t>Addy Aida Cifuentes Coronado</t>
  </si>
  <si>
    <t>SAN CRISTOBAL</t>
  </si>
  <si>
    <t>Adelaida Garcia Hernandez</t>
  </si>
  <si>
    <t>VILLA NUEVA</t>
  </si>
  <si>
    <t>Adieny Moren Ramirez Gamboa</t>
  </si>
  <si>
    <t>QUETZAL</t>
  </si>
  <si>
    <t>Adolfo Rafael Segovia Quezada </t>
  </si>
  <si>
    <t>EL FRUTAL</t>
  </si>
  <si>
    <t xml:space="preserve">Adolfo Ronaldo Alfaro Rivera </t>
  </si>
  <si>
    <t>ATANASIO TZUL</t>
  </si>
  <si>
    <t>Adrian Emanuel Turcios Azurdia</t>
  </si>
  <si>
    <t>BOULEVARD SAN CRISTOBAL</t>
  </si>
  <si>
    <t>Adriana Beatriz Estrada Vidal Guerra</t>
  </si>
  <si>
    <t>AGUILAR BATRES 2</t>
  </si>
  <si>
    <t>Adriana Maria Ramos Tomin</t>
  </si>
  <si>
    <t>PACIFIC CENTER</t>
  </si>
  <si>
    <t>Adriana Maria Segura Peralta Mazariegos</t>
  </si>
  <si>
    <t>VILLA HERMOSA</t>
  </si>
  <si>
    <t>Adriana Pamela Morales Morataya</t>
  </si>
  <si>
    <t>VILLA NUEVA 2</t>
  </si>
  <si>
    <t xml:space="preserve">Ady Michelle Lopez Quel </t>
  </si>
  <si>
    <t>AMATITLAN</t>
  </si>
  <si>
    <t>Aida Gabriela De Leon Carrascoza</t>
  </si>
  <si>
    <t>PLAZA MADERO</t>
  </si>
  <si>
    <t>Alan David Perez Muyus</t>
  </si>
  <si>
    <t>BOCA DEL MONTE</t>
  </si>
  <si>
    <t>Alan Javier Castillo Ordoñez</t>
  </si>
  <si>
    <t xml:space="preserve"> COMAYMA</t>
  </si>
  <si>
    <t>Alan Ricardo Flores Diaz</t>
  </si>
  <si>
    <t>CENTRASUR</t>
  </si>
  <si>
    <t>Alba Andrea Perez Hernandez</t>
  </si>
  <si>
    <t>LUMINOVA</t>
  </si>
  <si>
    <t>Alba Azucena Santeliz Marin</t>
  </si>
  <si>
    <t>ZONA 4</t>
  </si>
  <si>
    <t>Alba Beatriz Azucena Sapon Sapon</t>
  </si>
  <si>
    <t>TIVOLI  ZONA 9</t>
  </si>
  <si>
    <t>Alba Mariana Higueros Micheo</t>
  </si>
  <si>
    <t>ZONA 5</t>
  </si>
  <si>
    <t>Alejandra Gramajo Marroquin</t>
  </si>
  <si>
    <t>Alejandra Julissa Solis Aguilar</t>
  </si>
  <si>
    <t>MARGARITAS</t>
  </si>
  <si>
    <t>Alejandra Naime Muñoz Letona</t>
  </si>
  <si>
    <t>TERMINAL ZONA 9</t>
  </si>
  <si>
    <t>Alejandro Enrique Mejicanos Ramos</t>
  </si>
  <si>
    <t>AGENCIA CENTRAL</t>
  </si>
  <si>
    <t>Alejandro Jose Gaytan Cordero</t>
  </si>
  <si>
    <t>CAMINO REAL</t>
  </si>
  <si>
    <t>Alejandro Jose Mont Diaz</t>
  </si>
  <si>
    <t>LA TORRE</t>
  </si>
  <si>
    <t>Alex Eduardo Gil Paniagua</t>
  </si>
  <si>
    <t>FUNDACION 2</t>
  </si>
  <si>
    <t>Alex Fernando Garcia De Leon</t>
  </si>
  <si>
    <t>MONTUFAR</t>
  </si>
  <si>
    <t>Alex Humberto Montezuma</t>
  </si>
  <si>
    <t>OAKLAND MALL</t>
  </si>
  <si>
    <t>Alex Jose Bamaca Baltazar</t>
  </si>
  <si>
    <t>AVIA</t>
  </si>
  <si>
    <t xml:space="preserve">Alexander Josue Hurtado Palencia </t>
  </si>
  <si>
    <t>FONTABELLA</t>
  </si>
  <si>
    <t>Alexander Macario Gonzalez Monterroso</t>
  </si>
  <si>
    <t>PLAZA 6-17</t>
  </si>
  <si>
    <t>Alexandra Carolina Valdez Vasquez</t>
  </si>
  <si>
    <t>ROOSEVELT</t>
  </si>
  <si>
    <t>Alexandra Jennyffer Korina Matias Galindo</t>
  </si>
  <si>
    <t>ANTIGUA EL PORTAL</t>
  </si>
  <si>
    <t>Alexandra Stefania Estrada Flores</t>
  </si>
  <si>
    <t>ANTIGUA LANDIVAR</t>
  </si>
  <si>
    <t>Alexangel Quan Urrutia</t>
  </si>
  <si>
    <t>MIRAFLORES</t>
  </si>
  <si>
    <t>Alexia Paola Marroquin Lopez</t>
  </si>
  <si>
    <t>UTATLAN</t>
  </si>
  <si>
    <t>Alexsandra Daniela Cano Garcia</t>
  </si>
  <si>
    <t>PERI-ROOSEVELT</t>
  </si>
  <si>
    <t>Alfredo Chiyal Bocel</t>
  </si>
  <si>
    <t>CALZADA SAN JUAN</t>
  </si>
  <si>
    <t>Alfredo Gomez Lancerio</t>
  </si>
  <si>
    <t>GALERIAS MIRAFLORES</t>
  </si>
  <si>
    <t>Alfredo Monsanto Santos</t>
  </si>
  <si>
    <t>JOCOTENANGO</t>
  </si>
  <si>
    <t>Alicia Magaly Juarez Quiacain</t>
  </si>
  <si>
    <t>ESKALA ROOSEVELT</t>
  </si>
  <si>
    <t>Alicia Michelle Estrada Revolorio</t>
  </si>
  <si>
    <t>ANTIGUA LOS ENCINOS</t>
  </si>
  <si>
    <t>Alida Elizabeth Caj Amalem</t>
  </si>
  <si>
    <t>CIUDAD VIEJA</t>
  </si>
  <si>
    <t>Alisson Andrea Jacobo Castro</t>
  </si>
  <si>
    <t>LAS PUERTAS SAN LUCAS</t>
  </si>
  <si>
    <t>Allan David Galdamez De Leon</t>
  </si>
  <si>
    <t xml:space="preserve"> AGENCIA CUADRES</t>
  </si>
  <si>
    <t>SIN ZONA</t>
  </si>
  <si>
    <t>Allan Esmaylin Cabrera Perez</t>
  </si>
  <si>
    <t xml:space="preserve"> AGENCIA BANCA PRIVADA  5to Niv</t>
  </si>
  <si>
    <t>Allan Kalleb Garcia Cahuex</t>
  </si>
  <si>
    <t xml:space="preserve"> AGENCIA BANCA PRIVADA</t>
  </si>
  <si>
    <t>Allan Kenneth Chiguichon Solis</t>
  </si>
  <si>
    <t xml:space="preserve"> BANCA PRIVADA PLAZA ZONA 14</t>
  </si>
  <si>
    <t>Allison Mirella Salguero Lopez</t>
  </si>
  <si>
    <t xml:space="preserve"> Banca Privada Plaza Varieta</t>
  </si>
  <si>
    <t>Allyson Jazmin Arriaza Castellanos</t>
  </si>
  <si>
    <t xml:space="preserve"> Operaciones de Agencias</t>
  </si>
  <si>
    <t>Alma Carolina Herrera Pirir</t>
  </si>
  <si>
    <t xml:space="preserve"> AGENCIA BANCA DE EMPRESAS</t>
  </si>
  <si>
    <t>Alma Rosa Valle Blandon</t>
  </si>
  <si>
    <t>MALACATAN</t>
  </si>
  <si>
    <t>SUROCCIDENTE</t>
  </si>
  <si>
    <t>Alma Yecenia Ramon Oroxon</t>
  </si>
  <si>
    <t>TIQUISATE</t>
  </si>
  <si>
    <t>Alma Zucely Sarceño Peralta</t>
  </si>
  <si>
    <t>COATEPEQUE</t>
  </si>
  <si>
    <t>Alvaro Fernando Acte Mérida</t>
  </si>
  <si>
    <t>MAZATENANGO TERMINAL</t>
  </si>
  <si>
    <t>Alvaro Lopez Lopez</t>
  </si>
  <si>
    <t>TECUN UMAN SAN MARCOS</t>
  </si>
  <si>
    <t>Alvaro Luis Carias Gonzalez</t>
  </si>
  <si>
    <t>MAZATENANGO CENTRO</t>
  </si>
  <si>
    <t>Alvaro Oswaldo De La Rosa Hernandez</t>
  </si>
  <si>
    <t>LA TRINIDAD RETALHULEU</t>
  </si>
  <si>
    <t>Alvin David Cush Roman</t>
  </si>
  <si>
    <t>COBIGUA TIQUISATE</t>
  </si>
  <si>
    <t>Amairani Lilibeth Escobar Maquin</t>
  </si>
  <si>
    <t>RETALHULEU LA SIRENA</t>
  </si>
  <si>
    <t>Amalia Rebeca Son Juarez</t>
  </si>
  <si>
    <t>LA MAQUINA</t>
  </si>
  <si>
    <t>Amarilis Sarita Ajtun Lopez</t>
  </si>
  <si>
    <t>LA TRINIDAD MALACATAN</t>
  </si>
  <si>
    <t>Amauri Santillano Catalan</t>
  </si>
  <si>
    <t>PAJAPITA</t>
  </si>
  <si>
    <t>Amed Carlos Eduardo Matheu Cabrera</t>
  </si>
  <si>
    <t>CHICACAO PAMAXAN</t>
  </si>
  <si>
    <t>Amed Isram Rodas Garcia</t>
  </si>
  <si>
    <t>LA MAQUINA CENTRO II</t>
  </si>
  <si>
    <t>America Romilia Martinez Ramirez</t>
  </si>
  <si>
    <t>LA TRINIDAD COATEPEQUE</t>
  </si>
  <si>
    <t>Amparo Rocio Macario</t>
  </si>
  <si>
    <t>PLAZA BARISTA</t>
  </si>
  <si>
    <t>Amram Dodanim Lopez Cahuec</t>
  </si>
  <si>
    <t>BANCA PERSONAL</t>
  </si>
  <si>
    <t>Ana Asencio</t>
  </si>
  <si>
    <t>PLAZA AMERICAS</t>
  </si>
  <si>
    <t>Ana Bertha Guzman Yaggi</t>
  </si>
  <si>
    <t>Ana Cecilia De Los Angeles Monterroso Garcia</t>
  </si>
  <si>
    <t>Ana Cecilia Navichoc Chiquival</t>
  </si>
  <si>
    <t>Ana Celeste Garcia Garcia</t>
  </si>
  <si>
    <t>Ana Daniela Lopez Cabrera</t>
  </si>
  <si>
    <t>Ana Del Rosario Yol Gonzalez</t>
  </si>
  <si>
    <t>Ana Francisca Citalan Velasquez</t>
  </si>
  <si>
    <t>Ana Gabriela Caal Cruz</t>
  </si>
  <si>
    <t>Ana Gabriela Damian Ixbalan</t>
  </si>
  <si>
    <t>Ana Gabriela De La Cruz Aguilar</t>
  </si>
  <si>
    <t>Ana Gabriela Equite Diaz</t>
  </si>
  <si>
    <t>Ana Gabriela Garcia Ajanel</t>
  </si>
  <si>
    <t>Ana Gabriela Gonzalez Herrera</t>
  </si>
  <si>
    <t>Ana Gabriela Pereira Mendizabal</t>
  </si>
  <si>
    <t>Ana Gabriela Perez Ixcoy</t>
  </si>
  <si>
    <t>Ana Gabriela Samayoa Lopez</t>
  </si>
  <si>
    <t>Ana Garcia Coromac</t>
  </si>
  <si>
    <t>Ana Gisela Lainfiesta Lopez</t>
  </si>
  <si>
    <t>Ana Leticia Lux Say</t>
  </si>
  <si>
    <t xml:space="preserve">Ana Leticia Paau Oxom </t>
  </si>
  <si>
    <t>Ana Lourdes Muñoz Pensamiento</t>
  </si>
  <si>
    <t>Ana Lucia Donis Franco</t>
  </si>
  <si>
    <t>Ana Lucia Gudiel Vasquez</t>
  </si>
  <si>
    <t>Ana Lucia Quib Yanes</t>
  </si>
  <si>
    <t>Ana Lucia Ramirez Aquino</t>
  </si>
  <si>
    <t>Ana Lucia Veliz Solares</t>
  </si>
  <si>
    <t>Ana Luisa Jimenez Garcia</t>
  </si>
  <si>
    <t>Ana Marcela Castillo Rodriguez</t>
  </si>
  <si>
    <t>Ana Margarita Barrera Estrada</t>
  </si>
  <si>
    <t>Ana Maria Barrios Alejos</t>
  </si>
  <si>
    <t>Ana Melisa Giron Gonzalez</t>
  </si>
  <si>
    <t>Ana Merced Arriola Gomez</t>
  </si>
  <si>
    <t>Ana Mercedes Tiul Caal</t>
  </si>
  <si>
    <t>Ana Patricia Escobar Cardona</t>
  </si>
  <si>
    <t>Ana Paulina Macario Del Cid</t>
  </si>
  <si>
    <t>Ana Rita Morales Mata</t>
  </si>
  <si>
    <t>Ana Ruth Garcia Garcia</t>
  </si>
  <si>
    <t>Ana Ruth Wong Mejia</t>
  </si>
  <si>
    <t>Ana Sofia Castillo Armas</t>
  </si>
  <si>
    <t>Ana Victoria Gonzalez Garcia</t>
  </si>
  <si>
    <t>Ana Victoria Noj Galindo</t>
  </si>
  <si>
    <t>Anali Guadalupe Salazar Rodriguez</t>
  </si>
  <si>
    <t>Anayanci Yorleni Reyes Contreras</t>
  </si>
  <si>
    <t>Anayeli Maribel Jimenez Gomez</t>
  </si>
  <si>
    <t xml:space="preserve">Anderson Noe Chunix Morales </t>
  </si>
  <si>
    <t>Anderson Noe Morales Marroquin</t>
  </si>
  <si>
    <t>Andrea Alejandra Veliz Veliz</t>
  </si>
  <si>
    <t>Andrea Ayalett Ochoa Lopez</t>
  </si>
  <si>
    <t>Andrea Camila Mayorga Martinez</t>
  </si>
  <si>
    <t>Andrea Carolina Gomez Mazariegos</t>
  </si>
  <si>
    <t>Andrea Dayana Ordoñez Mendez</t>
  </si>
  <si>
    <t>Andrea Eunice Velasquez Mazariegos</t>
  </si>
  <si>
    <t>Andrea Fernanda Martin Flores</t>
  </si>
  <si>
    <t>Andrea Fernanda Villela Hernandez</t>
  </si>
  <si>
    <t>Andrea Lisbeth Ruiz Rodas</t>
  </si>
  <si>
    <t>Andrea Lucia Lopez Ajin</t>
  </si>
  <si>
    <t>Andrea Marbely Letran Juarez</t>
  </si>
  <si>
    <t>Andrea Margarita Gomez Morales</t>
  </si>
  <si>
    <t>Andrea Maria Alvarez Calderon</t>
  </si>
  <si>
    <t>Andrea Michelle Urbina Solorzano</t>
  </si>
  <si>
    <t>Andrea Paola Santisteban Per</t>
  </si>
  <si>
    <t>Andrea Stephany Villeda Bran</t>
  </si>
  <si>
    <t>Andrea Sucely Ortiz Villavicencio</t>
  </si>
  <si>
    <t>Andrea Yesenia Carpio Ramirez</t>
  </si>
  <si>
    <t>Andreina Antonieta Velasquez Fuentes</t>
  </si>
  <si>
    <t>Andres Simon Sunun</t>
  </si>
  <si>
    <t>Andy Oswaldo Pineda Arriola</t>
  </si>
  <si>
    <t>Angel Alfonso Perez Velasquez</t>
  </si>
  <si>
    <t>Angel Arturo Mauricio Ayapan</t>
  </si>
  <si>
    <t>Angel Daniel Moreno De La Cruz</t>
  </si>
  <si>
    <t>Angel Eliu Humberto Caal Lopez</t>
  </si>
  <si>
    <t>Angel Enmanuel Quim Macz</t>
  </si>
  <si>
    <t>Angel Estuardo Perez Veliz</t>
  </si>
  <si>
    <t xml:space="preserve">Angel Israel Perez Perez </t>
  </si>
  <si>
    <t>Angel Joel Castro Cosajay</t>
  </si>
  <si>
    <t>Angel Jose Figueroa Garcia</t>
  </si>
  <si>
    <t>Angel Josue Ortiz De Leon</t>
  </si>
  <si>
    <t>Angel Josue Perez Rivera</t>
  </si>
  <si>
    <t>Angel Josue Yupe Cardona</t>
  </si>
  <si>
    <t>Angel Leonel Martinez Mayorga</t>
  </si>
  <si>
    <t>Angel Raderyk Vasquez Ovando</t>
  </si>
  <si>
    <t>Angela Daniela Mazariegos Herrera</t>
  </si>
  <si>
    <t>Angela Esmeralda Reyes Arriaza</t>
  </si>
  <si>
    <t>Angela Ester Gramajo Galicia</t>
  </si>
  <si>
    <t>Angela Janeth Veliz Vasquez</t>
  </si>
  <si>
    <t>Angela Josefina Ramirez Chang</t>
  </si>
  <si>
    <t>Angela Marizol Ramon Escobar</t>
  </si>
  <si>
    <t>Angela Ramirez</t>
  </si>
  <si>
    <t>Angela Xiomara Ponciano Gonzalez</t>
  </si>
  <si>
    <t>Angelica Isabel Velasquez Quintanilla</t>
  </si>
  <si>
    <t>Angelica Lorena Garcia Gonzalez</t>
  </si>
  <si>
    <t>Angelica Sol Ortiz</t>
  </si>
  <si>
    <t xml:space="preserve">Angie Dayana Vasquez Chamo </t>
  </si>
  <si>
    <t>Anika Beira Domingo Escobar</t>
  </si>
  <si>
    <t>Anthony Enrique Castellanos Perez</t>
  </si>
  <si>
    <t>Antoni Alexis Del Cid Sian</t>
  </si>
  <si>
    <t>Antonio Carlos Alvarenga Diaz</t>
  </si>
  <si>
    <t>Antony Alberto Salazar Alfaro</t>
  </si>
  <si>
    <t>Antony Guadalupe De Paz Gomez</t>
  </si>
  <si>
    <t>Antony Steven Cabrera Muñoz</t>
  </si>
  <si>
    <t>Aracely Nohemy Fuentes Alonzo</t>
  </si>
  <si>
    <t>Arelis Noemi Gonzalez Vivar</t>
  </si>
  <si>
    <t>Arely Maoly Aguilar Y Aguilar</t>
  </si>
  <si>
    <t>Argentina Frisdy Juarez Lopez</t>
  </si>
  <si>
    <t>Arias Maquin, Miguel Angel</t>
  </si>
  <si>
    <t>Arleth Julissa Paredez Ramirez</t>
  </si>
  <si>
    <t>Armando Andree Quiñonez Flores</t>
  </si>
  <si>
    <t>Aron Enrique Zacarias Asijtuj</t>
  </si>
  <si>
    <t>Ashley Dayana Franco Sandoval</t>
  </si>
  <si>
    <t>Ashley Melissa Medina Rodriguez</t>
  </si>
  <si>
    <t>Ashly Anabella Raymundo Gonzalez</t>
  </si>
  <si>
    <t>Astrid Alejandra Zetta Estrada</t>
  </si>
  <si>
    <t>Astrid Anybeth Ochoa Sac</t>
  </si>
  <si>
    <t>Astrid Carolina Lopez Lopez</t>
  </si>
  <si>
    <t>Astrid Elena Alvarado Lopez</t>
  </si>
  <si>
    <t>Astrid Gabriela Carin Castillo</t>
  </si>
  <si>
    <t>Astrid Guadalupe Fernandez Perez</t>
  </si>
  <si>
    <t>Astrid Ivone Hernandez</t>
  </si>
  <si>
    <t>Astrid Leonela Barrios Velasquez</t>
  </si>
  <si>
    <t>Astrid Lisbeth Morales Morales</t>
  </si>
  <si>
    <t>Astrid Marielena Mendez Garcia</t>
  </si>
  <si>
    <t>Astrid Sucely Veliz Caal</t>
  </si>
  <si>
    <t>Astrid Swanda Alvarez Morales</t>
  </si>
  <si>
    <t xml:space="preserve">Astrid Yazmin Castañeda Natareno </t>
  </si>
  <si>
    <t>Astrid Yohana Escobar Oliva</t>
  </si>
  <si>
    <t>Aura Cecilia Gregorio Asencio</t>
  </si>
  <si>
    <t>Aura Josefina Coy Tiul</t>
  </si>
  <si>
    <t>Aura Leticia Aparicio Marin</t>
  </si>
  <si>
    <t>Aura Lourdes Garcia Gomez</t>
  </si>
  <si>
    <t>Aura Marina Amperez</t>
  </si>
  <si>
    <t>Aura Marina Mejia Reyes</t>
  </si>
  <si>
    <t>Aura Marleny Perez Ventura</t>
  </si>
  <si>
    <t>Aura Mirthala Castillo Castillo</t>
  </si>
  <si>
    <t>Avner Josue Merida Molina</t>
  </si>
  <si>
    <t>Axel Alexander Lemus Ovando</t>
  </si>
  <si>
    <t>Axel Anderson Montufar Roca</t>
  </si>
  <si>
    <t>Axel Denilson Hernandez Tocay</t>
  </si>
  <si>
    <t>Axel Jonathan Cash Mendez</t>
  </si>
  <si>
    <t>Axel Roberto Guzman Coro</t>
  </si>
  <si>
    <t>Axel Wilfredo Caal Coy</t>
  </si>
  <si>
    <t>Axel Yoneldis Gaspar Juarez</t>
  </si>
  <si>
    <t>Aykom Boriyer Cabrera De Leon</t>
  </si>
  <si>
    <t>Aylin Jiceli Romero Cruz</t>
  </si>
  <si>
    <t>Azucena Raquel Luis Perez Garzona</t>
  </si>
  <si>
    <t>Barbara Alejandra Toj Romero</t>
  </si>
  <si>
    <t>Barbara Asibinac</t>
  </si>
  <si>
    <t>Barillas Sobalvarro, Pablo Jose</t>
  </si>
  <si>
    <t xml:space="preserve">Beatriz Angela Hernandez Cifuentes </t>
  </si>
  <si>
    <t>Beberli Yuceli Gomez Davila</t>
  </si>
  <si>
    <t>Beberlin Dayana Veron Garcia</t>
  </si>
  <si>
    <t>Beberly Angeaneth Gonzalez Ruiz</t>
  </si>
  <si>
    <t>Beberly Karina Ramirez Ismatul</t>
  </si>
  <si>
    <t>Beberly Salvador Zuñiga</t>
  </si>
  <si>
    <t>Belgica Jasmin Celeste Merida Escobar</t>
  </si>
  <si>
    <t>Belgica Lizeth Can Guitz</t>
  </si>
  <si>
    <t>Benito Abad Jimenez Carrillo</t>
  </si>
  <si>
    <t>Berta Elizabeth Rodas Rosales</t>
  </si>
  <si>
    <t>Berta Leticia Yapan Pelen</t>
  </si>
  <si>
    <t>Bertha Lidia Morataya Diaz</t>
  </si>
  <si>
    <t>Bertha Rosalba Gabriel Vasquez</t>
  </si>
  <si>
    <t>Betzy Dayana Gutierrez Chon</t>
  </si>
  <si>
    <t>Beverly Jeanette Panjoj Tiriquiz</t>
  </si>
  <si>
    <t>Beverly Walesca Morales Ibarra</t>
  </si>
  <si>
    <t>Billy Giovanny Avalos Castillo</t>
  </si>
  <si>
    <t>Blanca Cristina Saquic Ac</t>
  </si>
  <si>
    <t>Blanca Olinda Quintanilla Godoy</t>
  </si>
  <si>
    <t xml:space="preserve">Bobadilla Romero Alan Gonzalo </t>
  </si>
  <si>
    <t>Bradley Waldemar Martinez Salvador</t>
  </si>
  <si>
    <t>Brandon Alberto Jerez Cajas</t>
  </si>
  <si>
    <t>Brandon Alexander Velasquez Acabal</t>
  </si>
  <si>
    <t>Brandon Alexis Alvarado Morales</t>
  </si>
  <si>
    <t>Brandon Antonio Alvarez Lopez</t>
  </si>
  <si>
    <t>Brandon Ivan De Mata Monzon</t>
  </si>
  <si>
    <t xml:space="preserve">Brandon Josue Velasquez Galiano   </t>
  </si>
  <si>
    <t>Brandon Steve Juarez Arrazola</t>
  </si>
  <si>
    <t>Brandon Steven Quiñonez Garcia</t>
  </si>
  <si>
    <t>Braulio Antonio Chimil Escobedo</t>
  </si>
  <si>
    <t>Brayan Agusto Vasquez Rustrian</t>
  </si>
  <si>
    <t>Brayan Alexander Lopez Garcia</t>
  </si>
  <si>
    <t>Brayan Alexander Recancoy Ramos</t>
  </si>
  <si>
    <t>Brayan Alexis Vicente Chach</t>
  </si>
  <si>
    <t>Brayan Dennis Lopez Puac</t>
  </si>
  <si>
    <t>Brayan Franklin Lopez Alvarez</t>
  </si>
  <si>
    <t>Brayan Ignacio Zamora Charuc</t>
  </si>
  <si>
    <t>Brayan Josue Jimenez Barrios</t>
  </si>
  <si>
    <t>Brayan Neftali Camey Por</t>
  </si>
  <si>
    <t>Brayan Oseas Chip Charuc</t>
  </si>
  <si>
    <t>Brenda Elizabeth Pineda Avendano</t>
  </si>
  <si>
    <t xml:space="preserve">Brenda Elizabeth Pineda Avendaño </t>
  </si>
  <si>
    <t>Brenda Elizabeth Sanchez Barrientos</t>
  </si>
  <si>
    <t>Brenda Esmeralda Alvarado Pascual</t>
  </si>
  <si>
    <t>Brenda Karina Coxaj Peinado</t>
  </si>
  <si>
    <t>Brenda Liseth Ixcoy Tulujan</t>
  </si>
  <si>
    <t>Brenda Lucrecia Lopez Gonzalez</t>
  </si>
  <si>
    <t>Brenda Lucrecia Ruiz Sanchez</t>
  </si>
  <si>
    <t>Brenda Lucrecia Velasquez Cifuentes</t>
  </si>
  <si>
    <t>Brenda Maribel Montenegro Reyes</t>
  </si>
  <si>
    <t>Brenda Marisol Aguilar Patzan</t>
  </si>
  <si>
    <t>Brenda Marisol Sanchez Chivalan</t>
  </si>
  <si>
    <t>Brenda Perez Morales</t>
  </si>
  <si>
    <t>Brenda Raquel Ramirez Sanchez</t>
  </si>
  <si>
    <t>Brenda Sucely Raczan Pichiyá</t>
  </si>
  <si>
    <t xml:space="preserve">Brenda Yaneth Gonzalez </t>
  </si>
  <si>
    <t>Brenda Yaneth Perez Lucas</t>
  </si>
  <si>
    <t>Brenda Yessenia Monroy Amado</t>
  </si>
  <si>
    <t>Bretany Celeste Ramirez</t>
  </si>
  <si>
    <t>Brian Baudilio Orozco Perez</t>
  </si>
  <si>
    <t>Brisley Cristina Ortiz Zelada</t>
  </si>
  <si>
    <t>Bryan Alexander Emanuel Orozco Lancerio</t>
  </si>
  <si>
    <t>Bryan Alexander Hernandez Garcia</t>
  </si>
  <si>
    <t>Bryan Alexander Laines Marroquin</t>
  </si>
  <si>
    <t>Bryan Arnoldo Lemus Loez</t>
  </si>
  <si>
    <t>Bryan Daniel Donado Ortiz</t>
  </si>
  <si>
    <t>Bryan Daniel Milián De León</t>
  </si>
  <si>
    <t>Bryan Escobar</t>
  </si>
  <si>
    <t>Bryan Leonardo Lopez</t>
  </si>
  <si>
    <t>Bryan Noe Rodriguez Soto</t>
  </si>
  <si>
    <t>Bryan Roberto Sanchez Echeverria</t>
  </si>
  <si>
    <t>Bryan Sleyter Gabriel Coy Tercero</t>
  </si>
  <si>
    <t>Bryllan Armando Sierra Sierra</t>
  </si>
  <si>
    <t>Byron Andre Concua Avila</t>
  </si>
  <si>
    <t>Byron Elias Yac Flores</t>
  </si>
  <si>
    <t>Byron Estuardo Paredes Villela</t>
  </si>
  <si>
    <t>Byron Josue Moscoso Vega</t>
  </si>
  <si>
    <t>Byron Mauricio Amezquita Rivas</t>
  </si>
  <si>
    <t>Byron Veliz Vasquez</t>
  </si>
  <si>
    <t>Camelia Bocel Tun</t>
  </si>
  <si>
    <t>Caren Lucia De León Custodio</t>
  </si>
  <si>
    <t>Caren Mishel Ceballos Marroquin</t>
  </si>
  <si>
    <t>Carla Eloiza Castillo Gonzalez</t>
  </si>
  <si>
    <t>Carla Esmeralda Candido Gonzalez</t>
  </si>
  <si>
    <t>Carla Fernanda Fernandez Lopez</t>
  </si>
  <si>
    <t>Carlos Adalberto Diaz Escobar</t>
  </si>
  <si>
    <t>Carlos Alberto Galvez Hernandez</t>
  </si>
  <si>
    <t>Carlos Alberto Guzman Hernandez</t>
  </si>
  <si>
    <t>Carlos Alberto Hernandez Cermeño</t>
  </si>
  <si>
    <t xml:space="preserve">Carlos Alberto Roque </t>
  </si>
  <si>
    <t>Carlos Alfredo Catun Rax</t>
  </si>
  <si>
    <t/>
  </si>
  <si>
    <t>Carlos Anibal Caal Tux</t>
  </si>
  <si>
    <t>Carlos Antonio Jul Coc</t>
  </si>
  <si>
    <t>Carlos Arturo Straube Lopez</t>
  </si>
  <si>
    <t>Carlos Daniel Quiñonez Cortez</t>
  </si>
  <si>
    <t xml:space="preserve">Carlos David Ajmac </t>
  </si>
  <si>
    <t>Carlos David Castillo Gamboa</t>
  </si>
  <si>
    <t>Carlos Edmundo Hernandez Miranda</t>
  </si>
  <si>
    <t>Carlos Eduardo Hernandez Garcia</t>
  </si>
  <si>
    <t>Carlos Emilio Cumez Chenol</t>
  </si>
  <si>
    <t xml:space="preserve">Carlos Enrique Bocel Saloj </t>
  </si>
  <si>
    <t>Carlos Enrique Coz Toc</t>
  </si>
  <si>
    <t>Carlos Enrique Dighero Lopez</t>
  </si>
  <si>
    <t>Carlos Enrique Ramirez Lopez</t>
  </si>
  <si>
    <t>Carlos Enrique Saenz Cardona</t>
  </si>
  <si>
    <t>Carlos Enrique Sosa Hernandez</t>
  </si>
  <si>
    <t>Carlos Enrique Vasquez Esteban</t>
  </si>
  <si>
    <t>Carlos Estuardo Campos Asig</t>
  </si>
  <si>
    <t>Carlos Fernando Ochoa Contreras</t>
  </si>
  <si>
    <t>Carlos Humberto De Paz Paiz</t>
  </si>
  <si>
    <t>Carlos Josue Perez Garcia</t>
  </si>
  <si>
    <t>Carlos Josue Salazar Quej</t>
  </si>
  <si>
    <t>Carlos Leonel Corado Sosa</t>
  </si>
  <si>
    <t>Carlos Manuel Amarra Mateo</t>
  </si>
  <si>
    <t>Carlos Miguel Carrillo Perez</t>
  </si>
  <si>
    <t>Carlos Oliverio Ortiz Villalobos</t>
  </si>
  <si>
    <t>Carlos Onofre Sierra Vasquez</t>
  </si>
  <si>
    <t>Carlos Raul Pedroza Lopez</t>
  </si>
  <si>
    <t>Carlos Roberto Arana Garcia</t>
  </si>
  <si>
    <t>Carlos Roberto Hernandez Gonzalez</t>
  </si>
  <si>
    <t>Carlos Saul Santizo Lopez</t>
  </si>
  <si>
    <t>Carmen Amalia Macario Rixtun</t>
  </si>
  <si>
    <t>Carmen Arely Perez Escobar</t>
  </si>
  <si>
    <t>Carmen Elizabeth Vargas Tun</t>
  </si>
  <si>
    <t>Carmen Fernanda Ramos Jimenez</t>
  </si>
  <si>
    <t>Carmen Liliana Subuyuj Ordoñez</t>
  </si>
  <si>
    <t>Castanon Lopez, Brandon Eliberto</t>
  </si>
  <si>
    <t>Catarina Del Rosario Lopez Taquiej</t>
  </si>
  <si>
    <t>Caterin Berenise Cayax Atz</t>
  </si>
  <si>
    <t>Caterin Marieli Acevedo Gomez</t>
  </si>
  <si>
    <t>Catherine Mishel Gonzalez Rodas</t>
  </si>
  <si>
    <t>Catherine Noemi Rodriguez De Leon</t>
  </si>
  <si>
    <t>Catirin Marbella Juarez Garcia</t>
  </si>
  <si>
    <t>Cecia Amabil Lopez Valencia De Cifuentes</t>
  </si>
  <si>
    <t>Cecilia Margoth Lopez Raymundo</t>
  </si>
  <si>
    <t>Celeste Azucena Estrada Salvador De Estrada</t>
  </si>
  <si>
    <t>Celia Esperanza Arroyo Chiche</t>
  </si>
  <si>
    <t>Celia Mariela Castillo Beteta</t>
  </si>
  <si>
    <t>Cendy Regina Axulen Gonzalez</t>
  </si>
  <si>
    <t>Cesar Alejandro Del Valle Duran</t>
  </si>
  <si>
    <t xml:space="preserve">Cesar Armando Hernandez Hernandez </t>
  </si>
  <si>
    <t>Cesar David Perez Garrido</t>
  </si>
  <si>
    <t>Cesar Eduardo Lopez Lopez</t>
  </si>
  <si>
    <t>Cesar Estuardo Perez Monterroso</t>
  </si>
  <si>
    <t>Cesar Fernando Reyna Almengor</t>
  </si>
  <si>
    <t>Cesar Geovanni Tuc Sum</t>
  </si>
  <si>
    <t>Cesar Geovanny De Leon Palacios</t>
  </si>
  <si>
    <t>Cesar Haroldo Ixcayau Castro</t>
  </si>
  <si>
    <t>Cesar Humberto Cazun Hernandez</t>
  </si>
  <si>
    <t>Cesar Oliverio Orozco Flores</t>
  </si>
  <si>
    <t>Cesia Ixtetela Yataz</t>
  </si>
  <si>
    <t>Cesia Paola Marroquin Sanchez</t>
  </si>
  <si>
    <t>Christa Maria Belen Barrera Mazariegos</t>
  </si>
  <si>
    <t>Christiam Daniel Arroyo Cisneros</t>
  </si>
  <si>
    <t>Christian Alejandro Tistoj Lopez</t>
  </si>
  <si>
    <t>Christian Bladimir Panjoj Mejia</t>
  </si>
  <si>
    <t>Christian Eduardo Celada Orellana</t>
  </si>
  <si>
    <t>Christian Enrique Claverie Zimeri</t>
  </si>
  <si>
    <t>Christin Andrea Castillo Calderon</t>
  </si>
  <si>
    <t>Christofer Antonio Chali Bacajol</t>
  </si>
  <si>
    <t>Cindi Paola Zepeda Irineo</t>
  </si>
  <si>
    <t>Cindy Abigail Patzan Perez</t>
  </si>
  <si>
    <t>Cindy Aracely Ruano Can</t>
  </si>
  <si>
    <t>Cindy Beatriz Reyes De Leon</t>
  </si>
  <si>
    <t>Cindy Carolina Sandoval Ruiz</t>
  </si>
  <si>
    <t xml:space="preserve">Cindy Damaris Villagran Castellano </t>
  </si>
  <si>
    <t>Cindy Gabriela Chanchavac Mejia</t>
  </si>
  <si>
    <t>Cindy Judith Urizar Davila</t>
  </si>
  <si>
    <t>Cindy Julissa Herrera</t>
  </si>
  <si>
    <t>Cindy Mayroby Oscal Quiñonez</t>
  </si>
  <si>
    <t>Cindy Melissa Cordon Alfaro</t>
  </si>
  <si>
    <t>Cindy Paola Aguilar Jolon</t>
  </si>
  <si>
    <t>Cindy Paola Garcia Monroy</t>
  </si>
  <si>
    <t>Cindy Perez</t>
  </si>
  <si>
    <t>Cindy Veronica Bran Polanco Alvarez</t>
  </si>
  <si>
    <t>Cindy Yenibeth Cano Claudio</t>
  </si>
  <si>
    <t>Cindy Yesenia Morales Quevedo</t>
  </si>
  <si>
    <t>Cindy Yojana Mendoza Cajas</t>
  </si>
  <si>
    <t xml:space="preserve">Cinthia Andreina Valenzula </t>
  </si>
  <si>
    <t xml:space="preserve">Cinthia Irene Paz Caal   </t>
  </si>
  <si>
    <t>Clara Elizabeth Joge Torres</t>
  </si>
  <si>
    <t>Clara Lorena Perez Hernandez</t>
  </si>
  <si>
    <t>Claudia Analy Argueta Matias</t>
  </si>
  <si>
    <t>Claudia Dolores Barcenas Guillen</t>
  </si>
  <si>
    <t>Claudia Elizabeth Carrera Marroquin</t>
  </si>
  <si>
    <t>Claudia Eugenia Chavarria Ramos</t>
  </si>
  <si>
    <t>Claudia Liliana Muñoz Jimenez De Lopez</t>
  </si>
  <si>
    <t>Claudia Lorena Quino Isaguirre</t>
  </si>
  <si>
    <t>Claudia Maria Orozco Garcia</t>
  </si>
  <si>
    <t>Claudia Marisol Esquivel Ramirez</t>
  </si>
  <si>
    <t>Claudia Marissa Chuquiej Granados</t>
  </si>
  <si>
    <t>Claudia Noemi Marroquin Perez</t>
  </si>
  <si>
    <t>Claudia Roxana Beb Ac</t>
  </si>
  <si>
    <t xml:space="preserve">Claudia Stephanie Fuentes Ardon </t>
  </si>
  <si>
    <t>Claudia Susana Garcia</t>
  </si>
  <si>
    <t>Claudia Yaneth Hidalgo Gonzalez</t>
  </si>
  <si>
    <t>Claudia Yesenia Pinto Picen</t>
  </si>
  <si>
    <t>Claudia Yesenia Ramos Perez</t>
  </si>
  <si>
    <t>Claudio Leonardo Vasquez   </t>
  </si>
  <si>
    <t>Coc Coronado, Osman Ivan Boanerges</t>
  </si>
  <si>
    <t>Coralia Brenda Judith Ruano Hernandez</t>
  </si>
  <si>
    <t>Cordova Newbery, Allison Alejandra</t>
  </si>
  <si>
    <t>Cristal Estephania Juarroz Muñoz</t>
  </si>
  <si>
    <t>Cristel Dolores Vasquez Rodriguez</t>
  </si>
  <si>
    <t>Cristhian Andres Contreras Rivas</t>
  </si>
  <si>
    <t>Cristi Paola Rodriguez Contreras</t>
  </si>
  <si>
    <t>Cristian Alessandro Avalos Martinez</t>
  </si>
  <si>
    <t>Cristian Alfredo Jimenez Quino</t>
  </si>
  <si>
    <t>Cristian David Urizar Canteo</t>
  </si>
  <si>
    <t>Cristian Enrique Escalante Albanez</t>
  </si>
  <si>
    <t>Cristian Esleiter Zuleta Batres</t>
  </si>
  <si>
    <t>Cristian Omar Cruz Mata</t>
  </si>
  <si>
    <t>Cristian Orlando Leonardo Cortez</t>
  </si>
  <si>
    <t>Cristian Orlando Monzon De Leon</t>
  </si>
  <si>
    <t>Cristian Ottoniel Lopez Alvarado</t>
  </si>
  <si>
    <t>Cristian Rene Contreras Sales</t>
  </si>
  <si>
    <t>Cristian Rodrigo Chilel Samayoa</t>
  </si>
  <si>
    <t>Cristian Romulo Rolando Cojulun Barrera</t>
  </si>
  <si>
    <t>Cristian Salvador Perez Quiroa</t>
  </si>
  <si>
    <t>Cristian Tomas Chuc Perez</t>
  </si>
  <si>
    <t>Cristian Ubaldo De Leon Ramirez</t>
  </si>
  <si>
    <t>Cristina De Jesus Hernandez Macajola</t>
  </si>
  <si>
    <t>Cristina Mariela Sapon Morales</t>
  </si>
  <si>
    <t>Cristobal Vinicio Chacon Rosana</t>
  </si>
  <si>
    <t>Cristofer Melgar Ortega</t>
  </si>
  <si>
    <t>Cristopher Josue Chanquin Flores</t>
  </si>
  <si>
    <t>Cristy Charito Bran Guerra</t>
  </si>
  <si>
    <t>Cynthia Guisela Samayoa Aldana</t>
  </si>
  <si>
    <t>Cynthia Marisol Gonzalez Vargas</t>
  </si>
  <si>
    <t>Cynthia Rosaura Cruz Cosajay</t>
  </si>
  <si>
    <t>Daily Tatiana Godoy Aguilar</t>
  </si>
  <si>
    <t>Daily Yamileth Del Cid Vasquez</t>
  </si>
  <si>
    <t>Dalila Marisol Ramos Galan</t>
  </si>
  <si>
    <t>Dallynn Eunice Perez Herrera</t>
  </si>
  <si>
    <t>Damaris Abigail Garcia Perez</t>
  </si>
  <si>
    <t>Damaris Abigail Urizar Martinez</t>
  </si>
  <si>
    <t>Damaris Azucena Canahui Barillas</t>
  </si>
  <si>
    <t>Damaris Judith Rivas Benitez</t>
  </si>
  <si>
    <t>Damaris Liseth Sagastume Pinto</t>
  </si>
  <si>
    <t>Damaris Paola Gonzalez Gallardo</t>
  </si>
  <si>
    <t>Damaris Sucely Mendez Roche</t>
  </si>
  <si>
    <t>Damaris Violeta Gonzalez Miguel</t>
  </si>
  <si>
    <t>Danae Melissa Xitumul Ruiz</t>
  </si>
  <si>
    <t>Danaly Iveth Garcia Monterroso</t>
  </si>
  <si>
    <t>Danely Arleth Rubin Escobar</t>
  </si>
  <si>
    <t>Daneylie Abigalie Dardon Gomez</t>
  </si>
  <si>
    <t>Daniel Abrahan Castillo Hernandez</t>
  </si>
  <si>
    <t xml:space="preserve">Daniel Alberto Alaya Guzman </t>
  </si>
  <si>
    <t>Daniel Alejandro Ramos Loarca</t>
  </si>
  <si>
    <t xml:space="preserve">Daniel Alexander Molina Torres </t>
  </si>
  <si>
    <t>Daniel Alfredo Aguirre Marroquin</t>
  </si>
  <si>
    <t>Daniel Antonio Aceituno Paredes</t>
  </si>
  <si>
    <t>Daniel Antonio Gonzalez Del Cid</t>
  </si>
  <si>
    <t>Daniel Ernesto Perez</t>
  </si>
  <si>
    <t>Daniel Humberto Morales Cervantes</t>
  </si>
  <si>
    <t>Daniel Isai Moran Lima</t>
  </si>
  <si>
    <t>Daniel Uvaldo Barreno Meneses</t>
  </si>
  <si>
    <t>Daniela Amarilis Davila Juarez De Carrillo</t>
  </si>
  <si>
    <t>Daniela Karime Jimenez Lopez</t>
  </si>
  <si>
    <t>Daniela Maricruz Castillo Reyes</t>
  </si>
  <si>
    <t>Daninyer Alfonso Orellana Madrid</t>
  </si>
  <si>
    <t>Danny Eduardo Caal De Leon</t>
  </si>
  <si>
    <t>Danny Johana Perez Reyes</t>
  </si>
  <si>
    <t>Dany Adalberto Choc Bac</t>
  </si>
  <si>
    <t>Daomi Mishel Larios Morales</t>
  </si>
  <si>
    <t>Daphne Pamela Lopez Rodriguez</t>
  </si>
  <si>
    <t>Darbin Alejandro Soto Rodriguez</t>
  </si>
  <si>
    <t>Darissa Anahi Galindo Monzon</t>
  </si>
  <si>
    <t>Darli Asuceli Florian Garcia</t>
  </si>
  <si>
    <t>Darlin Estefany Coyoy Rivas</t>
  </si>
  <si>
    <t>Darlin Pamela Aguilar De La Cruz Marroquin</t>
  </si>
  <si>
    <t>Darling Daniela Quinteros Arevalo</t>
  </si>
  <si>
    <t>Darling Esther Alfaro Gonzalez</t>
  </si>
  <si>
    <t>Darlyn Dayanara Cortez Ramirez</t>
  </si>
  <si>
    <t>Darlyn Guadalupe Barrios Yax</t>
  </si>
  <si>
    <t>Darwin Alexis Ponciano Cruz</t>
  </si>
  <si>
    <t>Darwin Emanuel Olivares Carrera</t>
  </si>
  <si>
    <t>Darwin Javier Sian Rodriguez</t>
  </si>
  <si>
    <t>Darwin Omar Cabrera Cheguen</t>
  </si>
  <si>
    <t>Darwin Ruben Martinez Ramirez</t>
  </si>
  <si>
    <t>Dauris Yomira Tellechea Lopez</t>
  </si>
  <si>
    <t>David De Jesus Quel Orozco</t>
  </si>
  <si>
    <t>David Emanuel Cachin Morales</t>
  </si>
  <si>
    <t>David Julian Molina Santos</t>
  </si>
  <si>
    <t>David Mejia Vicente</t>
  </si>
  <si>
    <t>Dayana Mishell Mazariegos Gomez</t>
  </si>
  <si>
    <t>Dayana Paola Lopez Bolanos</t>
  </si>
  <si>
    <t>Dayanna Beatriz Cachupe Chavac Cifuentes</t>
  </si>
  <si>
    <t>Dayli Anai García Morales</t>
  </si>
  <si>
    <t>Daylin Ambrocia Cruz Lopez</t>
  </si>
  <si>
    <t>Dayne Dalu Sanchez Hernandez</t>
  </si>
  <si>
    <t>Dayra Rene Colindres Donis</t>
  </si>
  <si>
    <t>Debora Eunice Tzay Chuluc</t>
  </si>
  <si>
    <t>Debora Madahi Escobar Gomez</t>
  </si>
  <si>
    <t>Debora Paola Sepez Cuc</t>
  </si>
  <si>
    <t>Deily Noeli Ramirez Villela</t>
  </si>
  <si>
    <t>Deisy Gabriela Pineda Paiz</t>
  </si>
  <si>
    <t>Deisy Lizet Perez Oliva</t>
  </si>
  <si>
    <t>Delia Virginia Piedrasanta Parra</t>
  </si>
  <si>
    <t>Delio Maynor Lopez Barrios</t>
  </si>
  <si>
    <t>Delmy Fabiola Orellana Barrientos</t>
  </si>
  <si>
    <t>Delmy Francisca Lopez Perez</t>
  </si>
  <si>
    <t xml:space="preserve">Delmy Nayeli Muyus Aguilar </t>
  </si>
  <si>
    <t>Delmy Vanesa Morales Ramirez</t>
  </si>
  <si>
    <t>Delwin Leonel Vasquez Barrera</t>
  </si>
  <si>
    <t>Denilson Laureano De Paz Galdamez</t>
  </si>
  <si>
    <t>Denis Rodrigo Diaz Alvarado</t>
  </si>
  <si>
    <t>Dennis Alexander Esquivel Galeano</t>
  </si>
  <si>
    <t>Derick Juan David Coti Camas</t>
  </si>
  <si>
    <t>Deysi Liliana Caal Oxom</t>
  </si>
  <si>
    <t>Deysi Margoth Lopez Monroy</t>
  </si>
  <si>
    <t>Deysi Noemi Aranoli Carias Pimentel</t>
  </si>
  <si>
    <t>Deysi Paola Lopez Yanes De Conde</t>
  </si>
  <si>
    <t>Deysi Roxana Pablo Ramirez</t>
  </si>
  <si>
    <t>Deyvid Saul Osorio Colin</t>
  </si>
  <si>
    <t>Diana Andrea Castillo Mejia</t>
  </si>
  <si>
    <t>Diana Elizabeth Ayfan Del Cid</t>
  </si>
  <si>
    <t>Diana Guisela Satey De Leon</t>
  </si>
  <si>
    <t>Diana Ivon Aguilar Gonzalez</t>
  </si>
  <si>
    <t>Diana Lizeth Acabal Pansay</t>
  </si>
  <si>
    <t>Diana Mishel Perez Flores</t>
  </si>
  <si>
    <t>Diana Priscila Reyes Bran</t>
  </si>
  <si>
    <t>Diana Violeta Yaguas Carin</t>
  </si>
  <si>
    <t>Diaz Calderon, Josue Noe</t>
  </si>
  <si>
    <t>Diego Alejandro Castillo Cortez</t>
  </si>
  <si>
    <t>Diego Alejandro Donis Juarez</t>
  </si>
  <si>
    <t>Diego Alejandro España Rivera</t>
  </si>
  <si>
    <t>Diego Alejandro Monroy Barillas</t>
  </si>
  <si>
    <t>Diego Antonio Dubon Suyen</t>
  </si>
  <si>
    <t>Diego Armando Contreras Flores</t>
  </si>
  <si>
    <t>Diego Ezequiel Samayoa Toledo</t>
  </si>
  <si>
    <t>Diego Fernando Sacher Escobar</t>
  </si>
  <si>
    <t>Diego Josue Dieguez Vivar</t>
  </si>
  <si>
    <t>Diego Rodrigo Morales Camacho</t>
  </si>
  <si>
    <t>Dilma Carolina Zetino Zepeda</t>
  </si>
  <si>
    <t xml:space="preserve">Dina Azucely Alvarez Melchor </t>
  </si>
  <si>
    <t>Dina Azucena Ortiz Crispin</t>
  </si>
  <si>
    <t>Dina Elizabeth Garrido Alvarez</t>
  </si>
  <si>
    <t>Dina Nohemi Solano Juarez</t>
  </si>
  <si>
    <t>Donald Alejandro Mendez Mayen</t>
  </si>
  <si>
    <t>Donald Jacshon Abac Velasquez</t>
  </si>
  <si>
    <t xml:space="preserve">Donel Omar Landaverry Solis </t>
  </si>
  <si>
    <t>Donetta Diaz Oroman</t>
  </si>
  <si>
    <t>Dora Estefany Garcia Zetino</t>
  </si>
  <si>
    <t>Dorcas Raquel Palacios Reyes</t>
  </si>
  <si>
    <t>Doris Elizabeth Sandoval Gonzalez De Balcarcel</t>
  </si>
  <si>
    <t>Dorman Fernando Gomez Perez</t>
  </si>
  <si>
    <t>Douglas Alberto Luna</t>
  </si>
  <si>
    <t>Douglas Armando Flores Mendoza</t>
  </si>
  <si>
    <t>Douglas Armando Garcia Machic</t>
  </si>
  <si>
    <t>Douglas Nehemias Paz Agustin</t>
  </si>
  <si>
    <t>Duglas Alexander Ramirez</t>
  </si>
  <si>
    <t>Dulce Collin Garcia</t>
  </si>
  <si>
    <t>Dulce Estrella Miranda Morales</t>
  </si>
  <si>
    <t>Dulce Estrellita Boche Pineda</t>
  </si>
  <si>
    <t>Dulce Fabiola Cabrera Alvarado</t>
  </si>
  <si>
    <t>Dulce Flor De Maria Jor Rax</t>
  </si>
  <si>
    <t>Dulce Maria Arredondo Ubedo</t>
  </si>
  <si>
    <t>Dulce Maria Barillas Pineda</t>
  </si>
  <si>
    <t>Dulce Maria De Los Angeles Carranza Poitan</t>
  </si>
  <si>
    <t>Dulce Maria Fajardo Ramos</t>
  </si>
  <si>
    <t>Dulce Maria Secaida Quiñonez</t>
  </si>
  <si>
    <t>Dulce Maria Sican Galicia</t>
  </si>
  <si>
    <t>Dulce Marina Lopez Solis</t>
  </si>
  <si>
    <t>Dulce Mishell Alvarado Tovar</t>
  </si>
  <si>
    <t>Dulsse Gabriela Muñoz Giordano Sen</t>
  </si>
  <si>
    <t>Duncan Vladimir Fuentes Marroquin</t>
  </si>
  <si>
    <t>Durvin Dayanara Mejicanos Ramos</t>
  </si>
  <si>
    <t>Dylan Anderson Rodriguez Paredes</t>
  </si>
  <si>
    <t>Eber Manuel Valdes Samayoa</t>
  </si>
  <si>
    <t>Eddy Estuardo Lool Calderon</t>
  </si>
  <si>
    <t>Eddy Jose Cabrera Rivas</t>
  </si>
  <si>
    <t>Edgar Alejandro Alvarado Juarez</t>
  </si>
  <si>
    <t>Edgar Alexander Toc Del Aguila</t>
  </si>
  <si>
    <t>Edgar Alfonso Escoto Asig</t>
  </si>
  <si>
    <t>Edgar Augusto Lara Joachin</t>
  </si>
  <si>
    <t>Edgar Emilio Gomez Bobadilla</t>
  </si>
  <si>
    <t>Edgar Estuardo Guerra Romero</t>
  </si>
  <si>
    <t>Edgar Estuardo Moran Lopez</t>
  </si>
  <si>
    <t>Edgar Francisco Garcia De Leon</t>
  </si>
  <si>
    <t>Edgar Francisco Yanes Carrera</t>
  </si>
  <si>
    <t>Edgar Jhonatan Contreras Garcia</t>
  </si>
  <si>
    <t>Edgar Joel Castro Ramirez</t>
  </si>
  <si>
    <t>Edgar Josue Lopez Cahuec</t>
  </si>
  <si>
    <t>Edgar Manrique Flores Sanchez</t>
  </si>
  <si>
    <t>Edgar Omar De Jesus Andrade Monterroso</t>
  </si>
  <si>
    <t>Edgar Ricardo Lopez Valenzuela</t>
  </si>
  <si>
    <t>Edgar Samuel Chavez Garcia</t>
  </si>
  <si>
    <t>Edi Ibander Osoy Lopez</t>
  </si>
  <si>
    <t>Edith Carolina Rojas Moreno</t>
  </si>
  <si>
    <t>Edith Guadalupe Del Cid Orellana</t>
  </si>
  <si>
    <t>Edith Veranice Palacios</t>
  </si>
  <si>
    <t>Edna Fabiola Miranda Nufio</t>
  </si>
  <si>
    <t xml:space="preserve">Edna Gabriela Ramirez </t>
  </si>
  <si>
    <t>Edna Helenin Benitez Guzman De Altan</t>
  </si>
  <si>
    <t>Edna Rubi Hernandez Retana</t>
  </si>
  <si>
    <t xml:space="preserve">Edson Fernando Segura Chocop </t>
  </si>
  <si>
    <t>Edson Romeo Maldonado Reyes</t>
  </si>
  <si>
    <t>Eduardo Antonio Sotoj Zepeda</t>
  </si>
  <si>
    <t>Eduardo Eliu Camey Coyoy</t>
  </si>
  <si>
    <t>Eduardo Isaias Hernandez Ambrocio      </t>
  </si>
  <si>
    <t>Eduardo Jose Perez Pichilla</t>
  </si>
  <si>
    <t>Eduvina Lisbeth Chilel Garcia De Leon</t>
  </si>
  <si>
    <t>Edvin Daniel Compa Oroxom</t>
  </si>
  <si>
    <t>Edvin Estuardo Ordoñez Gonzalez</t>
  </si>
  <si>
    <t>Edvin Estuardo Revolorio Marroquin</t>
  </si>
  <si>
    <t>Edvin Orlando Tuis Guerra</t>
  </si>
  <si>
    <t>Edvin Raul Chavez Monroy</t>
  </si>
  <si>
    <t>Edward Andoni Alvarez Agueda</t>
  </si>
  <si>
    <t>Edward Josue Cortez Belloso</t>
  </si>
  <si>
    <t>Edward Oswaldo Mo Macz</t>
  </si>
  <si>
    <t>Edward Pedro Figueroa Alvarado</t>
  </si>
  <si>
    <t>Edwin Adolfo Soberanis Mazariegos</t>
  </si>
  <si>
    <t>Edwin Alexander Davila Xitumul</t>
  </si>
  <si>
    <t>Edwin Andre Mendez Nuñez</t>
  </si>
  <si>
    <t>Edwin Ernesto Sut Chinol</t>
  </si>
  <si>
    <t>Edwin Romeo Eleazar Ochoa Lopez</t>
  </si>
  <si>
    <t>Edwin Wilfredo Pineda Giron</t>
  </si>
  <si>
    <t xml:space="preserve">Edy Alexander Gonzalez Ramos </t>
  </si>
  <si>
    <t>Edy Dionisio Fuentes Martinez</t>
  </si>
  <si>
    <t>Edy Giancarlo Moreno Pineda</t>
  </si>
  <si>
    <t xml:space="preserve">Edyn Ivan Martinez Lopez </t>
  </si>
  <si>
    <t>Eidy Natalia Hernandez Lopez</t>
  </si>
  <si>
    <t>Elba Eulalia Esquite Lemus</t>
  </si>
  <si>
    <t>Elda Luzbina Valdez Guerra</t>
  </si>
  <si>
    <t>Elder Antonio Mendez Tobar</t>
  </si>
  <si>
    <t>Elder Frankiln Cax Dionicio</t>
  </si>
  <si>
    <t>Elder Uzias Jordan Perez</t>
  </si>
  <si>
    <t>Elena Yazmin Valdez Gallegos</t>
  </si>
  <si>
    <t>Elias Isaac Guevara Hernandez</t>
  </si>
  <si>
    <t>Elias Jose Daniel Estrada Nufio</t>
  </si>
  <si>
    <t>Elida Bertilia Donis Aguilar</t>
  </si>
  <si>
    <t>Elida Noemi Monroy Ortega</t>
  </si>
  <si>
    <t>Elin Magali Gallardo Velasquez</t>
  </si>
  <si>
    <t>Elisa Alejandra Carabeo Alba</t>
  </si>
  <si>
    <t>Elisa Bravo</t>
  </si>
  <si>
    <t>Elisa Clementina Mazariegos Andrade</t>
  </si>
  <si>
    <t>Eliseo Gonzalez De Leon</t>
  </si>
  <si>
    <t>Eliseo Macario Carrillo</t>
  </si>
  <si>
    <t>Elizabeth Nohemi Campa Mazat</t>
  </si>
  <si>
    <t>Elizangela Jazmin Barillas Ramirez</t>
  </si>
  <si>
    <t>Elmer Antonio Muñoz Alvarez</t>
  </si>
  <si>
    <t>Elmer Eduardo Castillo</t>
  </si>
  <si>
    <t>Elmer Josue Chinchilla Mendoza</t>
  </si>
  <si>
    <t>Elsa Edith Alixjandra Morales Cordon</t>
  </si>
  <si>
    <t>Elsa Karina Siquibache Perez</t>
  </si>
  <si>
    <t>Eluizer Amadeus De Leon De Leon</t>
  </si>
  <si>
    <t>Eluvia Josefina Sazo Garcia</t>
  </si>
  <si>
    <t>Elvis Ariel Juarez Solis</t>
  </si>
  <si>
    <t xml:space="preserve">Elvis Armando Perez Urizar </t>
  </si>
  <si>
    <t>Elvis Humberto Morataya Chavarria</t>
  </si>
  <si>
    <t>Elvis Manuel Rafael Solares</t>
  </si>
  <si>
    <t>Elvis Orlando Lopez Marroquin</t>
  </si>
  <si>
    <t>Emanuel Perez Garnillo</t>
  </si>
  <si>
    <t>Emely Johanna Urbina Beltran</t>
  </si>
  <si>
    <t>Emely Pamela Noj Aguilar</t>
  </si>
  <si>
    <t xml:space="preserve">Emely Raquel Reyes Bremer </t>
  </si>
  <si>
    <t>Emerson Ezequiel Giron Lopez</t>
  </si>
  <si>
    <t>Emerson Josue Lopez Hernandez</t>
  </si>
  <si>
    <t>Emily Jisselle Rosales Paz</t>
  </si>
  <si>
    <t>Emmanuel Alejandro Luna Portillo</t>
  </si>
  <si>
    <t>Emmanuel Gonzalez</t>
  </si>
  <si>
    <t>Emy Noemi Vicente Herrera</t>
  </si>
  <si>
    <t>Eneas Valdez Colop</t>
  </si>
  <si>
    <t xml:space="preserve">Enrique Alfonso Lopez Ramirez </t>
  </si>
  <si>
    <t>Erick Adolfo Orellana Lopez</t>
  </si>
  <si>
    <t>Erick Alejandro Aguilar De Leon</t>
  </si>
  <si>
    <t>Erick Antonio Perez Perez</t>
  </si>
  <si>
    <t>Erick Cecilio Salvatierra García</t>
  </si>
  <si>
    <t>Erick Dionicio Alvarez Flores</t>
  </si>
  <si>
    <t>Erick Estuardo Morales Samayoa</t>
  </si>
  <si>
    <t>Erick Gamaliel Pineda Mendez</t>
  </si>
  <si>
    <t>Erick Geovani Pineda Curiales</t>
  </si>
  <si>
    <t>Erick Geovanny Castellanos Perez</t>
  </si>
  <si>
    <t>Erick Guillermo Sierra Escobar</t>
  </si>
  <si>
    <t>Erick Jacob Estrada Barrios</t>
  </si>
  <si>
    <t>Erick Joel Diaz Barrera</t>
  </si>
  <si>
    <t>Erick Josue Martinez Pineda</t>
  </si>
  <si>
    <t>Erick Josue Paredes Mejia</t>
  </si>
  <si>
    <t>Erick Josue Pineda Caceros</t>
  </si>
  <si>
    <t>Erick Manuel Umul Quiej</t>
  </si>
  <si>
    <t>Erick Oswaldo Aguilar Santiago</t>
  </si>
  <si>
    <t>Erick Oswaldo Sierra Vasquez</t>
  </si>
  <si>
    <t>Erick Uriel Sandoval Herrera</t>
  </si>
  <si>
    <t>Ericka Arceli Gonzalez Astorga</t>
  </si>
  <si>
    <t>Ericka Beatriz Tiu Arriola</t>
  </si>
  <si>
    <t>Ericka Carolina Diaz Hernandez</t>
  </si>
  <si>
    <t>Ericka Esperanza Sandoval Hernandez</t>
  </si>
  <si>
    <t>Ericka Florentina Hernandez Bermudes Gonzalez</t>
  </si>
  <si>
    <t>Ericka Gricelda Calderon Lopez</t>
  </si>
  <si>
    <t>Ericka Irene</t>
  </si>
  <si>
    <t>Ericka Mabel Choc Vasquez De Boch</t>
  </si>
  <si>
    <t>Ericka Nathali Huitz Ortega</t>
  </si>
  <si>
    <t>Erickson Amilcar Vasquez Garrido</t>
  </si>
  <si>
    <t>Erickson Eliezer Matzar Cululen   </t>
  </si>
  <si>
    <t>Erik Alexander Quezada De Leon</t>
  </si>
  <si>
    <t>Erik Baudilio Beteta</t>
  </si>
  <si>
    <t>Erik Geovani Quina Chocoj</t>
  </si>
  <si>
    <t>Erik Leonel Alva</t>
  </si>
  <si>
    <t>Erika Alejandra Hernandez Vega</t>
  </si>
  <si>
    <t>Erika Carolina Lopez Chiroy</t>
  </si>
  <si>
    <t>Erika Ixtan Canil</t>
  </si>
  <si>
    <t xml:space="preserve">Erika Yessenia Ramirez Chutan                  </t>
  </si>
  <si>
    <t>Erlin Roberto Xec Angulo</t>
  </si>
  <si>
    <t>Erlinda Elizabeth Cabrera</t>
  </si>
  <si>
    <t>Erlyn Araely De Leon Macario</t>
  </si>
  <si>
    <t>Ernesto David Dominguez Clemente</t>
  </si>
  <si>
    <t xml:space="preserve">Ervin Geovany Macz Cu </t>
  </si>
  <si>
    <t>Erwin Antonio Lorenzo Zamora</t>
  </si>
  <si>
    <t>Erwin Daniel Augusto Quezada Catalan</t>
  </si>
  <si>
    <t>Escarlet Liliana Molina Herrera De Bolaños</t>
  </si>
  <si>
    <t>Esdras Daniel Pablo Solis</t>
  </si>
  <si>
    <t>Esdras Hernandez</t>
  </si>
  <si>
    <t>Esdras Manases Vasquez Vasquez</t>
  </si>
  <si>
    <t>Eskarleth Julieta Coloma Camey</t>
  </si>
  <si>
    <t>Esmaylin Alexis Melchor Lopez</t>
  </si>
  <si>
    <t>Esmeralda Claribel Velasquez Hernandez</t>
  </si>
  <si>
    <t xml:space="preserve">Esteban Alfonzzo Gonzalez Ossuna </t>
  </si>
  <si>
    <t>Esteban Francisco Esteban Virbes</t>
  </si>
  <si>
    <t>Estefani Elizabeth Ambrocio Hernandez</t>
  </si>
  <si>
    <t>Estefani Elizabeth Tzul Macario</t>
  </si>
  <si>
    <t>Estefani Mishel Carpio Alvarado</t>
  </si>
  <si>
    <t>Estefany Catalina Suazo Garcia</t>
  </si>
  <si>
    <t>Estefany Clara Azucena Lopez Ruiz</t>
  </si>
  <si>
    <t xml:space="preserve">Estefany Melissa Gutierrez Franco </t>
  </si>
  <si>
    <t>Estefany Virginia Perez Leiva</t>
  </si>
  <si>
    <t>Ester Yulissa Salazar Sanches</t>
  </si>
  <si>
    <t>Esther Eugenia De Leon Aquino</t>
  </si>
  <si>
    <t>Estrella Guadalupe Aguilar Godoy</t>
  </si>
  <si>
    <t>Estuardo Alejandro Us Chanchavac</t>
  </si>
  <si>
    <t>Estuardo Alexander Castillo Portillo</t>
  </si>
  <si>
    <t>Estuardo Eliseo Guzman Gomez</t>
  </si>
  <si>
    <t>Estuardo Rocael Chivalan Caal</t>
  </si>
  <si>
    <t>Esvin David De Jesus Calanche</t>
  </si>
  <si>
    <t>Eswin Antonio Carrillo Barrera</t>
  </si>
  <si>
    <t>Eswin Aroldo Ordoñez Robles</t>
  </si>
  <si>
    <t>Eswin Leonel Fernandez Diaz</t>
  </si>
  <si>
    <t>Etson Eduardo Hernandez Campos</t>
  </si>
  <si>
    <t xml:space="preserve">Etson Samuel Villatoro Saballos </t>
  </si>
  <si>
    <t>Eugenia Azucely Lopez De De Aguirre</t>
  </si>
  <si>
    <t>Eunice Alejandrina Simon Gonzalez</t>
  </si>
  <si>
    <t>Eva Argentina Ramirez Perez</t>
  </si>
  <si>
    <t>Eva Isabel Lopez Gutierrez</t>
  </si>
  <si>
    <t>Eva Yustinia Lopez Zuñiga</t>
  </si>
  <si>
    <t>Evelin Carolina Poroj Vicente</t>
  </si>
  <si>
    <t>Evelin Gicela Burgos Franco</t>
  </si>
  <si>
    <t>Evelin Lorena Noguera García</t>
  </si>
  <si>
    <t>Evelin Maria Padilla Garcia</t>
  </si>
  <si>
    <t>Evelin Michel Salazar Chun</t>
  </si>
  <si>
    <t xml:space="preserve">Evelin Yadira Batz Choc </t>
  </si>
  <si>
    <t>Evelin Yadira Batz Choc    </t>
  </si>
  <si>
    <t>Evelin Yulissa Lopez Villar</t>
  </si>
  <si>
    <t>Evelyn Julieta Lopez Peralta</t>
  </si>
  <si>
    <t>Evelyn Karina Lorenzana Gomez</t>
  </si>
  <si>
    <t>Evelyn Lux</t>
  </si>
  <si>
    <t>Evelyn Maritza Chumil Monroy</t>
  </si>
  <si>
    <t>Evelyn Marleny Rosales Cutz</t>
  </si>
  <si>
    <t>Evelyn Mishell Catalan Pixtun</t>
  </si>
  <si>
    <t>Evelyn Nohemi Morales Lopez</t>
  </si>
  <si>
    <t>Evelyn Rebeca Lopez Socoy</t>
  </si>
  <si>
    <t>Evelyn Rocio Chiquival Piquic</t>
  </si>
  <si>
    <t>Evelyn Sarai Martinez Jeronimo</t>
  </si>
  <si>
    <t>Evelyn Susana Hernandez Ambrosio</t>
  </si>
  <si>
    <t>Evelyn Yaneth Aceituno Lara</t>
  </si>
  <si>
    <t xml:space="preserve">Evelyn Yojana Galindo Ramos          </t>
  </si>
  <si>
    <t xml:space="preserve">Evelyn Yojana Martinez Reyes </t>
  </si>
  <si>
    <t>Ever Josue Del Valle Rivera</t>
  </si>
  <si>
    <t>Everilda Choc Caal</t>
  </si>
  <si>
    <t>Fabian De Jesus Ramirez Icute</t>
  </si>
  <si>
    <t>Fabiola Hernandez Bartolon</t>
  </si>
  <si>
    <t>Fabiola Ninett Beteta Barillas</t>
  </si>
  <si>
    <t>Fabricio Daniel Cajas Cifuentes</t>
  </si>
  <si>
    <t>Fatima Mercedes Montes Quezada</t>
  </si>
  <si>
    <t>Favio Juan Manuel Citalan Gomez</t>
  </si>
  <si>
    <t>Federico Antonio Coc Choc</t>
  </si>
  <si>
    <t>Feliciana Isabel Ramirez Raymundo</t>
  </si>
  <si>
    <t>Felix Rodolfo Alvarado Jimenez</t>
  </si>
  <si>
    <t>Fernanda Lucia Lopez Estrada</t>
  </si>
  <si>
    <t>Fernanda Rene Villatoro Guarcas</t>
  </si>
  <si>
    <t>Fernando Jose Castillo Ordoñez</t>
  </si>
  <si>
    <t>Fernando Jose Monzon Castañeda</t>
  </si>
  <si>
    <t>Fernando Jose Sintuj Monroy</t>
  </si>
  <si>
    <t xml:space="preserve">Fernando René Gil De León                      </t>
  </si>
  <si>
    <t>Flavio Ernesto Monzón Rummler</t>
  </si>
  <si>
    <t>Flor De Maria Lopez</t>
  </si>
  <si>
    <t>Flor De Maria Mux Ramos</t>
  </si>
  <si>
    <t>Flor Estefany Cun Lopez</t>
  </si>
  <si>
    <t>Flor Sylvestre Orellana Gonzalez</t>
  </si>
  <si>
    <t>Flora Anabella Yaxcal Fernandez</t>
  </si>
  <si>
    <t>Florencia Vanessa Enriquez Galvez</t>
  </si>
  <si>
    <t>Florencio Monterroso Estrada</t>
  </si>
  <si>
    <t>Floridalma Leticia Lopez Ramirez</t>
  </si>
  <si>
    <t>Floridalma Nicolas Yos</t>
  </si>
  <si>
    <t>Florita Reyes Roblero Morales</t>
  </si>
  <si>
    <t>Flory Azucena De Leon Ventura</t>
  </si>
  <si>
    <t>Frances Christina Salles Peña</t>
  </si>
  <si>
    <t>Francis Josue Tomas Escalante</t>
  </si>
  <si>
    <t>Francisco Antonio Davila Morales</t>
  </si>
  <si>
    <t>Francisco Daniel Argueta Ramirez</t>
  </si>
  <si>
    <t>Francisco Javier Diaz Avila</t>
  </si>
  <si>
    <t>Francisco Joel Gomez Rodriguez</t>
  </si>
  <si>
    <t>Francisco Miguel Jordan Lopez</t>
  </si>
  <si>
    <t>Francisco Roberto Contreras Bernardino</t>
  </si>
  <si>
    <t>Francisco Roman Aceytuno Ramos</t>
  </si>
  <si>
    <t>Frandi Emerson Mazariegos Hernandez</t>
  </si>
  <si>
    <t>Franklin Alexander Gomez Urizar</t>
  </si>
  <si>
    <t>Franklin Alexander Perez Paiz</t>
  </si>
  <si>
    <t>Franklin Daniel Herrera Perez</t>
  </si>
  <si>
    <t>Franz Helmut Hernandez Cos</t>
  </si>
  <si>
    <t>Frayan Roberto Merida Escobedo</t>
  </si>
  <si>
    <t>Freddy Reynaldo Velarde Valenzuela</t>
  </si>
  <si>
    <t>Fredy Joel Lopez Santiago</t>
  </si>
  <si>
    <t xml:space="preserve">Gabby Mariett Bautista Bautista           </t>
  </si>
  <si>
    <t>Gabriel Antonio Mucur Arriaga</t>
  </si>
  <si>
    <t>Gabriel Antonio Rodas Domingo</t>
  </si>
  <si>
    <t xml:space="preserve">Gabriel Izquierdo Rodriguez </t>
  </si>
  <si>
    <t>Gabriela Abigail Rodriguez Taracena</t>
  </si>
  <si>
    <t>Gabriela Alejandra Estrada Aroche</t>
  </si>
  <si>
    <t>Gabriela Elizabeth Alvarez Mix</t>
  </si>
  <si>
    <t>Gabriela Elizabeth Flores Santos</t>
  </si>
  <si>
    <t xml:space="preserve">Gabriela Fernanda Ruiz Cervantes </t>
  </si>
  <si>
    <t xml:space="preserve">Gabriela Janet Crisostomo Xuya </t>
  </si>
  <si>
    <t>Gabriela Janneth Alvarez Garcia</t>
  </si>
  <si>
    <t>Gabriela Liseth Perez Monzon</t>
  </si>
  <si>
    <t>Gabriela Melissa Arias Ovando</t>
  </si>
  <si>
    <t>Gabriela Paola Macario Lopez</t>
  </si>
  <si>
    <t>Gabriela Pelaez Gonzalez</t>
  </si>
  <si>
    <t>Gabriela Raquel Pixtun Trujillo</t>
  </si>
  <si>
    <t>Gabriela Valeska Lemus Cotuc</t>
  </si>
  <si>
    <t>Gaby Beatriz Lopez Lopez</t>
  </si>
  <si>
    <t>Gelver Valentin Gonzalez Bravo</t>
  </si>
  <si>
    <t>Genesis Galilea Canizales Guzman</t>
  </si>
  <si>
    <t>Georgina Pamela Galiano Hernandez</t>
  </si>
  <si>
    <t>Geovany Eleazar Garcia Mateo</t>
  </si>
  <si>
    <t>Geraldy Daleska Cuyan Giron</t>
  </si>
  <si>
    <t>Gerber Alexander Saguache Benito</t>
  </si>
  <si>
    <t>Gerber Ariel De Leon Elias</t>
  </si>
  <si>
    <t>Gerber Hermenegildo Mo Bac  </t>
  </si>
  <si>
    <t>Gerberth Aridmendi Arevalo Zepeda</t>
  </si>
  <si>
    <t>German Oliverio Ical Rax</t>
  </si>
  <si>
    <t>Gerson Arcadio Hernandez Barrios</t>
  </si>
  <si>
    <t>Gerson David Ortega Soto</t>
  </si>
  <si>
    <t>Gerson Eduardo Bor Jordan</t>
  </si>
  <si>
    <t>Gerson Emmanuel Lopez Azanon</t>
  </si>
  <si>
    <t>Gerson Rene Galicia Alvarez</t>
  </si>
  <si>
    <t>Gerson Rolando Alcantara Gonzalez</t>
  </si>
  <si>
    <t>Gerver Rivas Hernandez</t>
  </si>
  <si>
    <t>Gewerson Josias Caal Coc</t>
  </si>
  <si>
    <t>Geydi Yanira Roque Esquivel</t>
  </si>
  <si>
    <t>Ginni Andrea Gramajo Lucas</t>
  </si>
  <si>
    <t>Gladis Mishel Aguilar Garcia</t>
  </si>
  <si>
    <t xml:space="preserve">Gladis Morales Cutzal </t>
  </si>
  <si>
    <t>Gladis Nohemi Noj Hernandez De De Leon</t>
  </si>
  <si>
    <t>Gladis Yesenia Cute  </t>
  </si>
  <si>
    <t>Gladiz Maricela Guamuch Caracun Lopez</t>
  </si>
  <si>
    <t>Gladys Eugenia Vicente Tizol</t>
  </si>
  <si>
    <t>Gladys Guadalupe Tuyuc Ramirez</t>
  </si>
  <si>
    <t>Gladys Maribel Chamale Cotzajay</t>
  </si>
  <si>
    <t>Gladys Marleny Rodriguez Tzoc</t>
  </si>
  <si>
    <t>Gladys Susana Marin De Leon</t>
  </si>
  <si>
    <t>Gladyz Ninett Sanchez Perez</t>
  </si>
  <si>
    <t>Glenda De Jesus Mejia Ramirez</t>
  </si>
  <si>
    <t>Glenda Flor Caal</t>
  </si>
  <si>
    <t>Glenda Isabel Perez Velasquez</t>
  </si>
  <si>
    <t>Glenda Maria Alvarado Perez</t>
  </si>
  <si>
    <t>Glenda Mariela Ruiz Aguilar</t>
  </si>
  <si>
    <t>Glendy Aracely Arevalo Estrada</t>
  </si>
  <si>
    <t>Glendy Elizabeth Aspuac Xunux</t>
  </si>
  <si>
    <t>Glendy Modesta Orellana Sanabria</t>
  </si>
  <si>
    <t>Gloria Angelica Torres Franco</t>
  </si>
  <si>
    <t>Gloria Hernandez Reyes</t>
  </si>
  <si>
    <t>Gonzalez Orellana De De Maria Jose Iquite</t>
  </si>
  <si>
    <t>Gonzalo Danilo Castillo Miche</t>
  </si>
  <si>
    <t>Gonzalo Perez Miguel</t>
  </si>
  <si>
    <t>Greyci Yulissa Aliñado Rodriguez</t>
  </si>
  <si>
    <t>Griselda Lorena Cardona Estrada</t>
  </si>
  <si>
    <t>Guadalupe Marroquin Mayen</t>
  </si>
  <si>
    <t>Gualfer Orlando Dieguez Ibanez</t>
  </si>
  <si>
    <t>Gudiel Gonzalo Cac Xo</t>
  </si>
  <si>
    <t>Guerra Jacinto, Julio Alberto</t>
  </si>
  <si>
    <t>Guillermo Alejandro Pirir</t>
  </si>
  <si>
    <t>Gustavo Adolfo Mixtun Sunun</t>
  </si>
  <si>
    <t>Gustavo Ernesto Altan Gonzalez</t>
  </si>
  <si>
    <t>Gustavo Manuel Cifuentes De Mata</t>
  </si>
  <si>
    <t>Habraham Cesar Torres Alfaro</t>
  </si>
  <si>
    <t>Hairo Andre Contreras Paz</t>
  </si>
  <si>
    <t>Hallari Michel Orozco Chapen</t>
  </si>
  <si>
    <t>Hans Estuard Milian Alarcon</t>
  </si>
  <si>
    <t>Haysa Karina Fuentes Salazar</t>
  </si>
  <si>
    <t>Heber Adiel Dardon Batres</t>
  </si>
  <si>
    <t>Heber Benjamin Gomez Ramirez</t>
  </si>
  <si>
    <t>Heber Nehemias Velasquez Lorenzo</t>
  </si>
  <si>
    <t>Heber Uziel Ruiz Escobar</t>
  </si>
  <si>
    <t>Hector Arnoldo Gamaliel Garcia Beteta</t>
  </si>
  <si>
    <t>Hector Estuardo Velasquez Carvajal</t>
  </si>
  <si>
    <t>Hector Leonel Mejicanos Cruz</t>
  </si>
  <si>
    <t>Hector Manuel Pojoy Berduo</t>
  </si>
  <si>
    <t>Hector Marco Tulio Torres Garcia</t>
  </si>
  <si>
    <t>Hector Milciades Medina Chen</t>
  </si>
  <si>
    <t>Hegner Aquino Mateo Recinos</t>
  </si>
  <si>
    <t>Heidi Marleny Fajardo Ortiz De Cojon</t>
  </si>
  <si>
    <t>Heidy Azucena Martinez Garcia</t>
  </si>
  <si>
    <t>Heidy Azucena Zelon Calel</t>
  </si>
  <si>
    <t>Heidy Carolina Monterroso Monterroso</t>
  </si>
  <si>
    <t>Heidy Celeste San Jose Diaz</t>
  </si>
  <si>
    <t>Heidy Karina Gil Quinti</t>
  </si>
  <si>
    <t>Heidy Maria Pamela Barrientos Melgar</t>
  </si>
  <si>
    <t>Heidy Maribel Chavez Soch</t>
  </si>
  <si>
    <t>Heidy Noely Yupe Hernandez</t>
  </si>
  <si>
    <t>Heidy Patricia Santizo López</t>
  </si>
  <si>
    <t>Heidy Sucely Boc Monroy</t>
  </si>
  <si>
    <t>Heidy Yanet Reyes Presencin</t>
  </si>
  <si>
    <t>Heily Marie Taracena Diaz</t>
  </si>
  <si>
    <t>Heilyn Eunice Ramirez Florian</t>
  </si>
  <si>
    <t>Helen Editt Solorzano Estrada</t>
  </si>
  <si>
    <t>Helen Eunice Hernandez Recinos</t>
  </si>
  <si>
    <t xml:space="preserve">Helen Jassmin Reyes Palacios      </t>
  </si>
  <si>
    <t>Helen Xiomara Roldan Sagastume</t>
  </si>
  <si>
    <t xml:space="preserve">Helen Yadira De Leon Quiñonez </t>
  </si>
  <si>
    <t xml:space="preserve">Hellen Andrea Orozco Martin </t>
  </si>
  <si>
    <t>Hellen Marisol Velasquez Ciprian</t>
  </si>
  <si>
    <t>Henry David Lopez Perez</t>
  </si>
  <si>
    <t>Henry De Jesus Mujo Garcia</t>
  </si>
  <si>
    <t>Henry Donaldo Rodriguez Perez</t>
  </si>
  <si>
    <t>Henry Gabriel Morales Chinchilla</t>
  </si>
  <si>
    <t>Henry Gustavo Vasquez Robledo</t>
  </si>
  <si>
    <t>Henry Jose Figueroa Figueroa</t>
  </si>
  <si>
    <t>Henry Misael Serech Ramon</t>
  </si>
  <si>
    <t>Henry Wilfredo Ixcaquic Xum</t>
  </si>
  <si>
    <t>Herber Ardany Lucho Samayoa</t>
  </si>
  <si>
    <t>Herber Humberto Cax Gonzales</t>
  </si>
  <si>
    <t>Herbert Josue Mucia Garcia</t>
  </si>
  <si>
    <t>Herbert Wellington Rodriguez Ramirez</t>
  </si>
  <si>
    <t>Herberth Alberto Barrios Perez</t>
  </si>
  <si>
    <t>Herberth Ivan Garcia Davila</t>
  </si>
  <si>
    <t>Hercy Dayana Hidalgo Romero</t>
  </si>
  <si>
    <t>Herly Sarai Gonzalez Velasquez</t>
  </si>
  <si>
    <t>Herman Gabriel Mendez Castellanos</t>
  </si>
  <si>
    <t>Hernan Antonio Castro Guzman</t>
  </si>
  <si>
    <t xml:space="preserve">Hernandez Andrea Yoselin Cristina </t>
  </si>
  <si>
    <t>Hersson Eduardo Leal Garcia</t>
  </si>
  <si>
    <t>Hesler Jonathan Quevedo De La Cruz</t>
  </si>
  <si>
    <t>Heydee Johana Marisol Cho Del Valle</t>
  </si>
  <si>
    <t>Heydi Yaneth Sales Mazariegos</t>
  </si>
  <si>
    <t>Heydi Zuleyma Gue Cac</t>
  </si>
  <si>
    <t>Heydy Mariela Santiago Armas</t>
  </si>
  <si>
    <t>Hilary Gabriela Solis Gaitan</t>
  </si>
  <si>
    <t>Hilda Janina Diaz</t>
  </si>
  <si>
    <t>Hilda Maria Gonzalez Aguilar</t>
  </si>
  <si>
    <t>Hilda Paola Lopez Cano</t>
  </si>
  <si>
    <t>Horacio Rafael Molina Avila</t>
  </si>
  <si>
    <t>Huber Randolfo Alay Y Alay</t>
  </si>
  <si>
    <t>Hugo David Monroy Pichola</t>
  </si>
  <si>
    <t>Hugo Ezequiel Guevara Gomez</t>
  </si>
  <si>
    <t>Hugo Leonel Tahual Ramos</t>
  </si>
  <si>
    <t>Hugo Rolando Ruiz Alquijay</t>
  </si>
  <si>
    <t>Hugo Vinicio Chavez Barrios</t>
  </si>
  <si>
    <t>Idalia Ester Espino Lopez</t>
  </si>
  <si>
    <t>Ilda Gricelda Garcia Zacarias</t>
  </si>
  <si>
    <t>Ilda Magnolia Lopez Ramirez</t>
  </si>
  <si>
    <t>Ilda Merary Calachij Mendez</t>
  </si>
  <si>
    <t>Ilder Denilson Galicia Tobar</t>
  </si>
  <si>
    <t>Ilsy Meliza Matzir Lebon</t>
  </si>
  <si>
    <t>Imelda Elizabeth Castro Rodas De Quiroa</t>
  </si>
  <si>
    <t>Imelda Eugenia Recinos Martinez</t>
  </si>
  <si>
    <t>Ingrid Alejandra Juarez Yanes</t>
  </si>
  <si>
    <t>Ingrid Esteffany Salazar Sosa</t>
  </si>
  <si>
    <t>Ingrid Haydee Minchez Monzon</t>
  </si>
  <si>
    <t>Ingrid Jenifer Recinos Ramirez</t>
  </si>
  <si>
    <t>Ingrid Johana Muñoz Choc</t>
  </si>
  <si>
    <t xml:space="preserve">Ingrid Leticia Paredes Pulido    </t>
  </si>
  <si>
    <t>Ingrid Lorena Anleu Morales</t>
  </si>
  <si>
    <t>Ingrid Mariela Maldonado Tubac</t>
  </si>
  <si>
    <t>Ingrid Marleny Salazar Santay</t>
  </si>
  <si>
    <t>Ingrid Yojana Ramos Sacalxot</t>
  </si>
  <si>
    <t>Irene Beatriz Pena Orellana</t>
  </si>
  <si>
    <t>Irene Lizbeth Rodas Cuc</t>
  </si>
  <si>
    <t>Iris Elizabeth Cardona Gonzalez</t>
  </si>
  <si>
    <t>Iris Joandris Morales Calderon</t>
  </si>
  <si>
    <t>Iris Mariela Alacan Lemus</t>
  </si>
  <si>
    <t>Iris Marleny Alvarado Barrios</t>
  </si>
  <si>
    <t>Iris Yulisa Camposeco Funes</t>
  </si>
  <si>
    <t>Irma Leticia Raquec Yos</t>
  </si>
  <si>
    <t>Irma Michel Tobar Najarro</t>
  </si>
  <si>
    <t>Irvin Lizardo Miranda Guzman</t>
  </si>
  <si>
    <t>Isaac David Ismael Calderon Socop</t>
  </si>
  <si>
    <t>Isabel Lewin Obiols</t>
  </si>
  <si>
    <t>Isabelita Retana Zepeda</t>
  </si>
  <si>
    <t>Isai Bernabe Quiroa Alvarez</t>
  </si>
  <si>
    <t>Isai De Jesus Cabrera Tirado</t>
  </si>
  <si>
    <t>Ismael Josafat Barrios</t>
  </si>
  <si>
    <t>Ismar Manfredo Gomez Batres</t>
  </si>
  <si>
    <t>Jackeline Andrea Yancor Wilhelm</t>
  </si>
  <si>
    <t>Jackeline Ester Vasquez Pernillo</t>
  </si>
  <si>
    <t>Jackeline Fernanda Perez Juarez</t>
  </si>
  <si>
    <t>Jackeline Larisa De Leon Roldan</t>
  </si>
  <si>
    <t>Jackeline Susana Herrarte Boche</t>
  </si>
  <si>
    <t>Jackelinne Judith Paz Morales</t>
  </si>
  <si>
    <t>Jacqueline Ester Patzan Tzunun</t>
  </si>
  <si>
    <t>Jacqueline Mercedes Portuguez Simaj</t>
  </si>
  <si>
    <t>Jacqueline Michell Arroyo Mendoza</t>
  </si>
  <si>
    <t>Jacqueline Michelle Lopez Barrera</t>
  </si>
  <si>
    <t>Jadurani Devi Dasi Archila Lool</t>
  </si>
  <si>
    <t>Jaime Estuardo Gonzalez Lopez</t>
  </si>
  <si>
    <t>Jaime Ottoniel Del Aguila Pineda</t>
  </si>
  <si>
    <t>Jaime Rene Guzman Muy</t>
  </si>
  <si>
    <t>Jaime Rene Juarez Sanchez</t>
  </si>
  <si>
    <t>Jaime Wilfredo Chub Coc</t>
  </si>
  <si>
    <t>Jairo Alessandro Urbina Santiago</t>
  </si>
  <si>
    <t>Jairo Anibal Veliz Carrera</t>
  </si>
  <si>
    <t xml:space="preserve">Jairo Noel Linarez Gomez </t>
  </si>
  <si>
    <t>Jairo Noel Ordoñez Ciprian</t>
  </si>
  <si>
    <t>Jairo Omar Flores Chitay</t>
  </si>
  <si>
    <t>Jairo Onesimo Aguilar Cabrera</t>
  </si>
  <si>
    <t>Jairo Saul Lopez Quinteros</t>
  </si>
  <si>
    <t>Jakelyn Estrella Erazo Asencio</t>
  </si>
  <si>
    <t>James Alexander Marquez Salazar</t>
  </si>
  <si>
    <t>Jamileth Andreina Arreaga Quin</t>
  </si>
  <si>
    <t>Jannely Darlene Telon Giron</t>
  </si>
  <si>
    <t>Janyer Violeta Aguirre Alvarez</t>
  </si>
  <si>
    <t>Janz Vincent Tunche</t>
  </si>
  <si>
    <t>Jaquelin Gabriela Huertas Juc</t>
  </si>
  <si>
    <t>Jaquelin Paola Lopez Bocel</t>
  </si>
  <si>
    <t>Jaquelin Rocxana Cantey De Leon</t>
  </si>
  <si>
    <t>Jaqueline Adriana Diaz Monterroso</t>
  </si>
  <si>
    <t>Jaqueline Andrea Del Cid Salazar</t>
  </si>
  <si>
    <t>Jaqueline Fernanda Valdez Maldonado De Alonzo</t>
  </si>
  <si>
    <t>Jaqueline Gabriela Vasquez Icute De Padilla</t>
  </si>
  <si>
    <t>Jaqueline Johana Hernandez Masaya</t>
  </si>
  <si>
    <t>Jaqueline Mishel Zetino Culan</t>
  </si>
  <si>
    <t>Jaqueline Mishell Perez Sanic</t>
  </si>
  <si>
    <t>Jaqueline Nayeli Miguel Diaz</t>
  </si>
  <si>
    <t>Jaqueline Noemi Cojon Franco</t>
  </si>
  <si>
    <t xml:space="preserve">Jaqueline Paola Santizo Roman </t>
  </si>
  <si>
    <t>Jaqueline Sarai Reynoso Perez</t>
  </si>
  <si>
    <t>Jaqueline Stephanie Espinoza Espinoza</t>
  </si>
  <si>
    <t>Jaqueline Vanessa Cardona Del Cid</t>
  </si>
  <si>
    <t>Jaquelyn Marleny Fernandez</t>
  </si>
  <si>
    <t>Jarod Emanuel Prado Sanchez</t>
  </si>
  <si>
    <t>Jasly Elisama Escobar Mayen</t>
  </si>
  <si>
    <t>Jasmin Cristabel Rosales</t>
  </si>
  <si>
    <t>Jasminia Sarai Cotzajay Peñate</t>
  </si>
  <si>
    <t>Jason Alberto Bolaños Gutiérrez</t>
  </si>
  <si>
    <t>Javier Estuardo Calderon Caceres</t>
  </si>
  <si>
    <t>Javier Ignacio Monzon Leon</t>
  </si>
  <si>
    <t>Jayro Vinicio Alvarado Rodriguez</t>
  </si>
  <si>
    <t>Jazmin Beatriz Bixcul Bocel</t>
  </si>
  <si>
    <t>Jazmin Estefanie Rios Flores</t>
  </si>
  <si>
    <t>Jefferson Alexander Oliva Cotzojay</t>
  </si>
  <si>
    <t>Jefferson Jose Interiano Solis</t>
  </si>
  <si>
    <t>Jefferson Marvin Baudilio Aldana Lozano</t>
  </si>
  <si>
    <t>Jeffrey Donely Alvarez Garcia</t>
  </si>
  <si>
    <t xml:space="preserve">Jefresson Jimenez </t>
  </si>
  <si>
    <t>Jeicob Manrique Argueta Ovalle</t>
  </si>
  <si>
    <t xml:space="preserve">Jeissy Dariela Castellanos Hernandez     </t>
  </si>
  <si>
    <t>Jency Julissa Chavarria Garcia</t>
  </si>
  <si>
    <t>Jency Noeli Estrada Paredes</t>
  </si>
  <si>
    <t>Jenifer Elizabeth Pelaez Marroquin</t>
  </si>
  <si>
    <t>Jenifer Estrella Alvarez Cruz</t>
  </si>
  <si>
    <t>Jenifer Lisset Chicol Solis</t>
  </si>
  <si>
    <t>Jenifer Lucerito Sique Mayorga</t>
  </si>
  <si>
    <t>Jenifer Lucrecia Herrera Gonzalez</t>
  </si>
  <si>
    <t>Jenifer Maria Lopez Jimenez</t>
  </si>
  <si>
    <t>Jenifer Patricia Ruano Camo</t>
  </si>
  <si>
    <t>Jeniffer Yadaris Villegas Montepeque</t>
  </si>
  <si>
    <t>Jennie Beatriz Aguilar Gonzalez</t>
  </si>
  <si>
    <t>Jennie Juliecita Gonzalez Sanchez</t>
  </si>
  <si>
    <t>Jennifer Alejandra Escobar De Leon</t>
  </si>
  <si>
    <t>Jennifer Carolina Xitimul Aguilar</t>
  </si>
  <si>
    <t>Jennifer Celeste Delgado Garcia</t>
  </si>
  <si>
    <t>Jennifer Dallana Lezana Raxon</t>
  </si>
  <si>
    <t>Jennifer Estefany Argueta De Leon</t>
  </si>
  <si>
    <t>Jennifer Jeaneth Patzan Urizar</t>
  </si>
  <si>
    <t>Jennifer Karla Maria De Leon Yoc</t>
  </si>
  <si>
    <t>Jennifer Leticia Gonzalez Pineda Corado</t>
  </si>
  <si>
    <t>Jennifer Mishel Reyes Solis</t>
  </si>
  <si>
    <t>Jennifer Noemi Soch Castro</t>
  </si>
  <si>
    <t>Jennifer Pahola Calderon Lopez</t>
  </si>
  <si>
    <t>Jennifer Paola Chiroy Julajuj</t>
  </si>
  <si>
    <t>Jennifer Scarlett Garcia Perez</t>
  </si>
  <si>
    <t>Jennifer Vanessa Rodriguez Hernandez</t>
  </si>
  <si>
    <t>Jennifer Veronica Flores Pineda</t>
  </si>
  <si>
    <t>Jennifer Waleska Arévalo Barrios</t>
  </si>
  <si>
    <t xml:space="preserve">Jennifer Yessenia Perez Morales </t>
  </si>
  <si>
    <t>Jenniffer Jazmin Ramos Madriles</t>
  </si>
  <si>
    <t>Jennyfer Cristina Zamora Rosales</t>
  </si>
  <si>
    <t xml:space="preserve">Jeremy Moshe Gonzalez Marroquin       </t>
  </si>
  <si>
    <t>Jerson Herminio Melchor Vasquez</t>
  </si>
  <si>
    <t>Jessica Alejandra Castillo Alvarado</t>
  </si>
  <si>
    <t>Jessica Andrea Leal Reyes</t>
  </si>
  <si>
    <t>Jessica Dayan Ponce Barrios</t>
  </si>
  <si>
    <t>Jessica Elizabeth Perez Noriega</t>
  </si>
  <si>
    <t>Jessica Haydee Garcia Cuyuche</t>
  </si>
  <si>
    <t>Jessica Jasmin Baltazar Fuentes</t>
  </si>
  <si>
    <t>Jessica Maria Jose Santizo Guzman</t>
  </si>
  <si>
    <t>Jessica Meliza Jacobo Carias</t>
  </si>
  <si>
    <t>Jessica Paola Espinoza Solares</t>
  </si>
  <si>
    <t>Jesus Alberto Lima Diaz</t>
  </si>
  <si>
    <t>Jesus Alberto Vasquez</t>
  </si>
  <si>
    <t>Jesus Emanuel Ramos Perez</t>
  </si>
  <si>
    <t>Jhonatan Alexis Ramos Tecun</t>
  </si>
  <si>
    <t>Jhonatan Fernando Rodriguez Giron</t>
  </si>
  <si>
    <t>Jhony Ivan Perez Castillo</t>
  </si>
  <si>
    <t>Jhoseline Esmeralda Medina Rivas</t>
  </si>
  <si>
    <t>Jhoselyn Abichel Lool Guox</t>
  </si>
  <si>
    <t>Jhoselyn Guadalupe Aquino Maldonado</t>
  </si>
  <si>
    <t>Jhosseline Stefanie Zermeño Ayala</t>
  </si>
  <si>
    <t>Jhostin Antonio Lopez Aguilar</t>
  </si>
  <si>
    <t>Jimmy Alfredo Coronado Cabrera</t>
  </si>
  <si>
    <t>Joaquin Alonso Murillo Perez</t>
  </si>
  <si>
    <t>Jocelyn Fabiola Negro Vasquez</t>
  </si>
  <si>
    <t>Joel Bernardino Pu Vicente</t>
  </si>
  <si>
    <t>Johan Rodolfo Valencia Bran</t>
  </si>
  <si>
    <t>Johana Vidalia Chach Ixcoy</t>
  </si>
  <si>
    <t>Johanna Amarilis Hernandez Perez</t>
  </si>
  <si>
    <t>Johanna Cecilia Hernandez Ixtecoc</t>
  </si>
  <si>
    <t>Jonatan Estuardo Lopez Gonzalez</t>
  </si>
  <si>
    <t>Jonatan Guillermo Soto Urbina</t>
  </si>
  <si>
    <t>Jonatan Marel Guerra Guerra</t>
  </si>
  <si>
    <t>Jonatan Mauricio Padilla Marroquin</t>
  </si>
  <si>
    <t>Jonathan Anelka Sac Sandoval</t>
  </si>
  <si>
    <t>Jonathan Daniel Perez Marroquin</t>
  </si>
  <si>
    <t>Jonathan Donely Sandoval Soch</t>
  </si>
  <si>
    <t>Jonathan Estuardo Boteo Hernandez</t>
  </si>
  <si>
    <t xml:space="preserve">Jonathan Fernando Gomez Villatoro          </t>
  </si>
  <si>
    <t>Jonathan Mairon Bolaños Zepeda</t>
  </si>
  <si>
    <t>Jonathan Renato Chete Urias</t>
  </si>
  <si>
    <t>Jonathan Rene Villavicencio Soto</t>
  </si>
  <si>
    <t>Jonnathan Josue Rodas Florian</t>
  </si>
  <si>
    <t>Jony Estuardo Gamarro Chinchilla</t>
  </si>
  <si>
    <t>Jordi Alexander Yuman Ramos</t>
  </si>
  <si>
    <t>Jorge Alberto Buch Patzan</t>
  </si>
  <si>
    <t>Jorge Alexander Herrera Chinchilla</t>
  </si>
  <si>
    <t>Jorge Alfonso Hernandez Chinchilla</t>
  </si>
  <si>
    <t>Jorge Alfredo Gutierrez Rodriguez</t>
  </si>
  <si>
    <t>Jorge Andres Sunum Sacul</t>
  </si>
  <si>
    <t>Jorge Antonio Ramirez Sicay</t>
  </si>
  <si>
    <t>Jorge Ckristian Murga</t>
  </si>
  <si>
    <t>Jorge Daniel Nerio Reyes</t>
  </si>
  <si>
    <t>Jorge Eduardo Fonseca Palacios</t>
  </si>
  <si>
    <t>Jorge Enrique Tzic Cruz</t>
  </si>
  <si>
    <t xml:space="preserve">Jorge Francisco Saban Lopez </t>
  </si>
  <si>
    <t>Jorge Luis Hernandez Corado</t>
  </si>
  <si>
    <t>Jorge Luis Hernandez Juarez</t>
  </si>
  <si>
    <t>Jorge Luis Medrano Ramírez</t>
  </si>
  <si>
    <t>Jorge Luis Morales Lopez</t>
  </si>
  <si>
    <t>Jorge Luis Rizo Melgar</t>
  </si>
  <si>
    <t>Jorge Mario Castañeda Ramos</t>
  </si>
  <si>
    <t xml:space="preserve">Jorge Mario Sic </t>
  </si>
  <si>
    <t>Jorge Ramiro Ixpec Tinti</t>
  </si>
  <si>
    <t>Josabet Anai Paz Lobos</t>
  </si>
  <si>
    <t>Jose Adelso Lem Sun</t>
  </si>
  <si>
    <t>Jose Alberto Alveno Chacon</t>
  </si>
  <si>
    <t>Jose Alberto Sosa</t>
  </si>
  <si>
    <t xml:space="preserve">Jose Albino Albeño Galicia </t>
  </si>
  <si>
    <t>Jose Alejandro Carrera Tecun</t>
  </si>
  <si>
    <t xml:space="preserve">Jose Alejandro Coronado Galindo </t>
  </si>
  <si>
    <t>Jose Alejandro Hernandez Escobar</t>
  </si>
  <si>
    <t>Jose Andres Merida Jimenez</t>
  </si>
  <si>
    <t>Jose Angel Choguix Peren</t>
  </si>
  <si>
    <t>Jose Anibal Reyes Sandoval</t>
  </si>
  <si>
    <t>Jose Antonio Simaj Castro</t>
  </si>
  <si>
    <t>Jose Armando Bamaca De Leon</t>
  </si>
  <si>
    <t>Jose Armando Valdez Juarez</t>
  </si>
  <si>
    <t>Jose Arturo Gonzalez Garcia</t>
  </si>
  <si>
    <t>Jose Baldemar Galicia Muñoz</t>
  </si>
  <si>
    <t>Jose Bernardo Yax Pop</t>
  </si>
  <si>
    <t>Jose Carlos Lopez Santisteban</t>
  </si>
  <si>
    <t>Jose Carlos Morales</t>
  </si>
  <si>
    <t>Jose Carlos Orozco Lopez</t>
  </si>
  <si>
    <t>Jose Carlos Puluc</t>
  </si>
  <si>
    <t>Jose Daniel Sosa Torres</t>
  </si>
  <si>
    <t>Jose Danilo Chacar Saguach</t>
  </si>
  <si>
    <t>Jose David Bamaca Salazar</t>
  </si>
  <si>
    <t>Jose David Flores Enriquez</t>
  </si>
  <si>
    <t>Jose David Jimenez Valle</t>
  </si>
  <si>
    <t xml:space="preserve">Jose Domingo Chub Cao </t>
  </si>
  <si>
    <t>Jose Emilio Yuman Roche</t>
  </si>
  <si>
    <t>Jose Emmanuel Ixcajo Higueros</t>
  </si>
  <si>
    <t>Jose Fernando Chivalan</t>
  </si>
  <si>
    <t>Jose Fernando Hernandez Elias</t>
  </si>
  <si>
    <t>Jose Francisco Aquino Monterroso</t>
  </si>
  <si>
    <t>Jose Gabriel Armas Sandoval</t>
  </si>
  <si>
    <t>Jose Geovanni Castañeda Galindo</t>
  </si>
  <si>
    <t>Jose Guillermo Ixen Queche</t>
  </si>
  <si>
    <t>Jose Guillermo Marroquin Alvarado</t>
  </si>
  <si>
    <t>Jose Leon Choguaj Tojin</t>
  </si>
  <si>
    <t>Jose Leonel Abac Orellana</t>
  </si>
  <si>
    <t>Jose Luis Chay Machic</t>
  </si>
  <si>
    <t>Jose Luis Chinchilla</t>
  </si>
  <si>
    <t>Jose Luis Landaverry Arana</t>
  </si>
  <si>
    <t>Jose Luis Quisquinay Inay</t>
  </si>
  <si>
    <t>Jose Luis Velasquez Miche</t>
  </si>
  <si>
    <t>Jose Manuel Carreto Lopez</t>
  </si>
  <si>
    <t>Jose Manuel Mellado Esquibel</t>
  </si>
  <si>
    <t xml:space="preserve">Jose Manuel Molina Gaitan </t>
  </si>
  <si>
    <t>Jose Manuel Vasquez Osoy</t>
  </si>
  <si>
    <t>Jose Mario Alberto Ordoñez Quiñonez</t>
  </si>
  <si>
    <t>Jose Miguel Angel Noj Aguilar</t>
  </si>
  <si>
    <t>Jose Miguel Santos Roca</t>
  </si>
  <si>
    <t>Jose Miguel Silva Contreras</t>
  </si>
  <si>
    <t>Jose Orlando Lopez Matzar</t>
  </si>
  <si>
    <t>Jose Oscar Antonio Morales</t>
  </si>
  <si>
    <t xml:space="preserve">Jose Rene Salas Macal </t>
  </si>
  <si>
    <t>Jose Roberto Samayoa Bernal</t>
  </si>
  <si>
    <t>Jose Rodrigo Choc Turcios</t>
  </si>
  <si>
    <t xml:space="preserve">Joselin Carolina Matzir Perez </t>
  </si>
  <si>
    <t>Joselin Gabriela Vasquez Vivas</t>
  </si>
  <si>
    <t>Joselin Rocio Galicia Mendez</t>
  </si>
  <si>
    <t>Joseline Beatriz Martinez Vasquez</t>
  </si>
  <si>
    <t>Joseline Otilia Lorenzana Obando</t>
  </si>
  <si>
    <t xml:space="preserve">Joseline Paola Morales Tan </t>
  </si>
  <si>
    <t>Joseline Yolanda Lopez Visioni</t>
  </si>
  <si>
    <t>Joselinne Indira Montufar Garcia</t>
  </si>
  <si>
    <t>Joselyn Amparo Jolon Arenas</t>
  </si>
  <si>
    <t>Joselyn Fabiola Lucero Vanegas</t>
  </si>
  <si>
    <t>Joselyn Manuela Sandoval De Leon</t>
  </si>
  <si>
    <t>Joselyn Rossmery Bailon García</t>
  </si>
  <si>
    <t>Joselyne Elizabeth Sanchez Rodriguez</t>
  </si>
  <si>
    <t>Joselyne Gabriela Ruiz Serra</t>
  </si>
  <si>
    <t>Josh Esdras Manuel Baiza Herrera</t>
  </si>
  <si>
    <t>Joshelyn Andrea Ozuna Rosales</t>
  </si>
  <si>
    <t>Joshua Leonel Pardo Carrera</t>
  </si>
  <si>
    <t>Josselin Azucena Cortez Hernandez</t>
  </si>
  <si>
    <t>Josseline Lorena Hernandez Hurtado</t>
  </si>
  <si>
    <t>Josseline Maribel Sarceno Guerra</t>
  </si>
  <si>
    <t>Josseline Mishel Flores Baren</t>
  </si>
  <si>
    <t>Josselyn Fabiola Xunic Taquiej</t>
  </si>
  <si>
    <t>Josselyn Jasmin Asencio Revolorio De Lopez</t>
  </si>
  <si>
    <t>Josselyn Raab Morales Arana</t>
  </si>
  <si>
    <t>Josthyn Raul Pardo Obregon</t>
  </si>
  <si>
    <t>Josue Adrian Gutierrez Garcia</t>
  </si>
  <si>
    <t>Josue Antonio Avila Cuxe</t>
  </si>
  <si>
    <t>Josue Felipe Lopez Tojin</t>
  </si>
  <si>
    <t>Josue Gamaliel Rivera</t>
  </si>
  <si>
    <t>Josue Helaman Delgado Rivera</t>
  </si>
  <si>
    <t>Josue Isaias Gomez Braco</t>
  </si>
  <si>
    <t>Josue Ivan Escobar De Leon</t>
  </si>
  <si>
    <t>Josue Leonel Hernandez Diaz</t>
  </si>
  <si>
    <t>Josue Miguel Perez Donis</t>
  </si>
  <si>
    <t xml:space="preserve">Josue Omar Rosas Vasquez </t>
  </si>
  <si>
    <t>Josue Orlando Lopez Gonzalez</t>
  </si>
  <si>
    <t>Jovita Vasquez Cuestas</t>
  </si>
  <si>
    <t>Juan Antonio Alvarez Paniagua</t>
  </si>
  <si>
    <t>Juan Antonio Juarez Recinos</t>
  </si>
  <si>
    <t>Juan Aquino Rac</t>
  </si>
  <si>
    <t>Juan Carlos Alvarez Chinchilla</t>
  </si>
  <si>
    <t>Juan Carlos Diaz Esteban</t>
  </si>
  <si>
    <t xml:space="preserve">Juan Carlos Emmanuel Cruz Co </t>
  </si>
  <si>
    <t>Juan Carlos Ivan Garcia Garcia</t>
  </si>
  <si>
    <t>Juan Carlos Lucas Lucas</t>
  </si>
  <si>
    <t>Juan Carlos Molina Ramirez</t>
  </si>
  <si>
    <t>Juan Carlos Perez Cahueque</t>
  </si>
  <si>
    <t>Juan Carlos Salazar Medina</t>
  </si>
  <si>
    <t>Juan Daniel Davila Juarez</t>
  </si>
  <si>
    <t>Juan Daniel Molina Alvarado</t>
  </si>
  <si>
    <t>Juan Enrique Garcia</t>
  </si>
  <si>
    <t>Juan Enrique Jul Coc</t>
  </si>
  <si>
    <t>Juan Fernando Alvarez Argueta</t>
  </si>
  <si>
    <t>Juan Francisco Gudiel Castillo</t>
  </si>
  <si>
    <t>Juan Francisco Lopez Salic</t>
  </si>
  <si>
    <t xml:space="preserve">Juan Francisco Quej Cuc </t>
  </si>
  <si>
    <t>Juan Gabriel Mendoza Alvarez</t>
  </si>
  <si>
    <t>Juan Humberto Barrios Escobar</t>
  </si>
  <si>
    <t>Juan Humberto Castillo Garcia</t>
  </si>
  <si>
    <t>Juan Ignacio Vela Estrada</t>
  </si>
  <si>
    <t>Juan Isael Amador</t>
  </si>
  <si>
    <t>Juan Jose Cifuentes Chavez</t>
  </si>
  <si>
    <t>Juan Jose Mancilla Zimmermann</t>
  </si>
  <si>
    <t>Juan Jose Rodriguez Catu</t>
  </si>
  <si>
    <t>Juan Jose Sarceño Siquiej</t>
  </si>
  <si>
    <t>Juan Jose Zelada Vega</t>
  </si>
  <si>
    <t>Juan Luis Ajcet Xicay</t>
  </si>
  <si>
    <t>Juan Luis Citalan Rodriguez</t>
  </si>
  <si>
    <t>Juan Luis Soyos Tzoy</t>
  </si>
  <si>
    <t>Juan Manuel Gomez Sampuel</t>
  </si>
  <si>
    <t>Juan Manuel Lopez Hernandez</t>
  </si>
  <si>
    <t xml:space="preserve">Juan Manuel Macario Reyna </t>
  </si>
  <si>
    <t>Juan Pablo Marroquin Franco</t>
  </si>
  <si>
    <t>Juan Pedro Tiney Cax</t>
  </si>
  <si>
    <t>Juan Ramon Guerra Martinez</t>
  </si>
  <si>
    <t>Juana Candelaria Lorenzo Matero De Bartolo</t>
  </si>
  <si>
    <t>Juana Del Carmen Arias Lopez</t>
  </si>
  <si>
    <t>Juana Ester Alvarez Tuluxan</t>
  </si>
  <si>
    <t>Judith Sarai Medrano Orellana</t>
  </si>
  <si>
    <t>Julia Damaris Raquel Ramirez Torres</t>
  </si>
  <si>
    <t>Julia Lizeth Valdez De Leon</t>
  </si>
  <si>
    <t xml:space="preserve">Julieta Oneida Moreales Toledo </t>
  </si>
  <si>
    <t>Julio Amilcar Oswaldo Ico Rey</t>
  </si>
  <si>
    <t>Julio Antonio Gonzalez Izaguirre</t>
  </si>
  <si>
    <t>Julio Belarmino Mendez Camey</t>
  </si>
  <si>
    <t xml:space="preserve">Julio Cesar Caceros </t>
  </si>
  <si>
    <t>Julio Cesar Cuellar Revolorio</t>
  </si>
  <si>
    <t>Julio Cesar De Leon Huinac</t>
  </si>
  <si>
    <t xml:space="preserve">Julio Cesar Lopez Lopez </t>
  </si>
  <si>
    <t>Julio David Ambrosio Hernandez</t>
  </si>
  <si>
    <t>Julio Enrique Mejia Cabrera</t>
  </si>
  <si>
    <t>Julio Francisco Ajcu Paz</t>
  </si>
  <si>
    <t>Julio Rene Medina Mendez</t>
  </si>
  <si>
    <t>Julio Sebastian Chicaj Chich</t>
  </si>
  <si>
    <t>Julissa Cristiany Escobar Aceituno</t>
  </si>
  <si>
    <t>Junior Stiven Gonzalez Fuentes</t>
  </si>
  <si>
    <t>Justin Imanol Ramos Barillas</t>
  </si>
  <si>
    <t>Karen Alejandra Cotoc Valdes</t>
  </si>
  <si>
    <t>Karen Dayana Xiquin Sanchez Garcia</t>
  </si>
  <si>
    <t>Karen Deniss Lucas Chavez</t>
  </si>
  <si>
    <t>Karen Elizabeth Racancoj Tin</t>
  </si>
  <si>
    <t>Karen Elizabeth Roman Castellanos</t>
  </si>
  <si>
    <t>Karen Faviola Lutin Sanchez</t>
  </si>
  <si>
    <t>Karen Gabriela Uz Shalix</t>
  </si>
  <si>
    <t>Karen Guadalupe Valle Paredes</t>
  </si>
  <si>
    <t>Karen Jamara Luna Menendez</t>
  </si>
  <si>
    <t>Karen Jasmin Perez Coronado</t>
  </si>
  <si>
    <t>Karen Jeanet Pacheco Gomez</t>
  </si>
  <si>
    <t>Karen Julisa Fernandez Vides</t>
  </si>
  <si>
    <t>Karen Leticia Vasquez Castañeda</t>
  </si>
  <si>
    <t>Karen Marilu Chavez Suchite</t>
  </si>
  <si>
    <t>Karen Marleny Perez Fuentes</t>
  </si>
  <si>
    <t>Karen Melissa Munoz Guevara</t>
  </si>
  <si>
    <t>Karen Meliza Saavedra Morataya</t>
  </si>
  <si>
    <t xml:space="preserve">Karen Mishel Gomez Meda </t>
  </si>
  <si>
    <t xml:space="preserve">Karen Mishell Aceituno Benito </t>
  </si>
  <si>
    <t>Karen Mishelle Chavez Segura</t>
  </si>
  <si>
    <t>Karen Nohemi Perez Santos</t>
  </si>
  <si>
    <t>Karen Rubi Perez Calderon</t>
  </si>
  <si>
    <t>Karen Susana Marcos Yupe</t>
  </si>
  <si>
    <t>Karen Verali Sagastume Oliveros</t>
  </si>
  <si>
    <t>Karen Yamileth Rosales Alarcon</t>
  </si>
  <si>
    <t>Karim Yaneth Mendez Hidalgo</t>
  </si>
  <si>
    <t>Karin Liseth Son Chonay</t>
  </si>
  <si>
    <t>Karin Yesenia Nova Posadas</t>
  </si>
  <si>
    <t>Karin Zulema Molina Fonseca</t>
  </si>
  <si>
    <t>Karina Lizeth Pineda Ortiz</t>
  </si>
  <si>
    <t>Karina Yesenia Fuentes Marroquin</t>
  </si>
  <si>
    <t>Karla Alejandra Chavez Peña</t>
  </si>
  <si>
    <t>Karla Daniela Vielman Giron</t>
  </si>
  <si>
    <t>Karla Elizabeth Lopez Tupul</t>
  </si>
  <si>
    <t>Karla Eunice Godinez Mendoza</t>
  </si>
  <si>
    <t>Karla Gabriela Brenes Gudiel</t>
  </si>
  <si>
    <t>Karla Hidania Cardenas Flores</t>
  </si>
  <si>
    <t>Karla Jasmin Pelen Rafael</t>
  </si>
  <si>
    <t>Karla Lisbett Reyes Perez</t>
  </si>
  <si>
    <t>Karla Maria Montejo Martinez</t>
  </si>
  <si>
    <t>Karla Mariela Lopez Salguero</t>
  </si>
  <si>
    <t>Karla Melisa Trejo Lopez</t>
  </si>
  <si>
    <t>Karla Nineth Guzman Carrera De Velasquez</t>
  </si>
  <si>
    <t>Karla Paola Martinez Salazar</t>
  </si>
  <si>
    <t>Karla Paola Solorzano Monroy</t>
  </si>
  <si>
    <t>Karla Patricia Minera Alvarado</t>
  </si>
  <si>
    <t>Karla Rosario Martinez Soto</t>
  </si>
  <si>
    <t>Karla Sofia Estacuy Osorio</t>
  </si>
  <si>
    <t>Karla Veronica Zepeda Moran</t>
  </si>
  <si>
    <t>Karla Yaneth Vasquez Gomez</t>
  </si>
  <si>
    <t>Karla Yanira Francisco Morales</t>
  </si>
  <si>
    <t>Karla Yanira Franco Perez</t>
  </si>
  <si>
    <t>Karla Yessenia Garcia Lopez</t>
  </si>
  <si>
    <t>Karla Yoleth Tomas Chacaj</t>
  </si>
  <si>
    <t>Karol Liset Reyes Alvarez</t>
  </si>
  <si>
    <t>Karol Stephany Maritza Lopez Tista</t>
  </si>
  <si>
    <t>Karolyn Gisselle Palma Ramirez</t>
  </si>
  <si>
    <t>Kasey Alexandre Moreno Sajche</t>
  </si>
  <si>
    <t>Katerin Mariela Miranda Perez</t>
  </si>
  <si>
    <t>Katerine Andrea Mansilla Vasquez</t>
  </si>
  <si>
    <t>Katerine Fabiola Jimenez Cruz</t>
  </si>
  <si>
    <t>Katherin Jazmin Lemus Marcos</t>
  </si>
  <si>
    <t>Katherin Maria Curiales Catalan</t>
  </si>
  <si>
    <t>Katherin Melissa Molina Santa Cruz De Alvarado</t>
  </si>
  <si>
    <t>Katherin Valeria Chete Zelada</t>
  </si>
  <si>
    <t>Katherine Andreina Rodriguez Flores</t>
  </si>
  <si>
    <t>Katherine Dayana Sinay Colindres</t>
  </si>
  <si>
    <t>Katherine Guissele Camey Gonzalez</t>
  </si>
  <si>
    <t>Katherine Lucia Carranza Ortega</t>
  </si>
  <si>
    <t>Katherine Maria Pereira Estacuy</t>
  </si>
  <si>
    <t>Katherine Stephani Cazanga Giron</t>
  </si>
  <si>
    <t>Katherine Yessenia Echeverria Juarez</t>
  </si>
  <si>
    <t>Katherine Yorleny Montepeque Echeverria</t>
  </si>
  <si>
    <t>Katherinne Marleny Ruano Vasquez</t>
  </si>
  <si>
    <t>Katheryn Beatriz Alvarez Monroy</t>
  </si>
  <si>
    <t>Katheryn Elizabeth Blanco Echeverria </t>
  </si>
  <si>
    <t>Katheryn Nohemi Pineda Sun</t>
  </si>
  <si>
    <t>Kathleen Yadira Martinez Salazar</t>
  </si>
  <si>
    <t>Katteryne Mishell Samayoa</t>
  </si>
  <si>
    <t>Keila Abigail Lopez Argueta</t>
  </si>
  <si>
    <t>Keila Ephsiba Morales Montenegro</t>
  </si>
  <si>
    <t>Keila Judit Franco Torres</t>
  </si>
  <si>
    <t>Keila Paola Calderon Lopez</t>
  </si>
  <si>
    <t xml:space="preserve">Keili Pablo </t>
  </si>
  <si>
    <t>Keili Yanira Arceno Solano</t>
  </si>
  <si>
    <t>Keilla Estefanie Lopez Ramirez</t>
  </si>
  <si>
    <t xml:space="preserve">Keitlin Anahi Martinez Castillo </t>
  </si>
  <si>
    <t>Kelly Dayanna Patzan Giron</t>
  </si>
  <si>
    <t>Kelvin Americo Sosa Ochoa</t>
  </si>
  <si>
    <t>Kendy Daniela Ramirez Lopez</t>
  </si>
  <si>
    <t>Kenia Estefania Mateo Castro</t>
  </si>
  <si>
    <t xml:space="preserve">Kenny Elizabeth Cifuentes Aguilar </t>
  </si>
  <si>
    <t>Kevin Alberto Castillo Matias</t>
  </si>
  <si>
    <t>Kevin Alberto Lopez Ortiz</t>
  </si>
  <si>
    <t>Kevin Alexander Escobar Cante</t>
  </si>
  <si>
    <t>Kevin Amilcar Cor Guzman</t>
  </si>
  <si>
    <t>Kevin Antonio Orozco Ramirez</t>
  </si>
  <si>
    <t>Kevin Antonio Perez Gonzalez</t>
  </si>
  <si>
    <t>Kevin Daniel Chonay Perez</t>
  </si>
  <si>
    <t>Kevin Danilo Merida Acajabon</t>
  </si>
  <si>
    <t>Kevin Doley Alexander Gomez Lopez</t>
  </si>
  <si>
    <t>Kevin Eduardo Paxtor De León</t>
  </si>
  <si>
    <t xml:space="preserve">Kevin Emanuel Orellana Barrientos </t>
  </si>
  <si>
    <t>Kevin Estuardo Ramirez España</t>
  </si>
  <si>
    <t>Kevin Estuardo Yac Garcia</t>
  </si>
  <si>
    <t>Kevin Geovani Coyoy Lopez</t>
  </si>
  <si>
    <t>Kevin Geovani Martinez Merida</t>
  </si>
  <si>
    <t>Kevin Javier Ortiz Gonzalez</t>
  </si>
  <si>
    <t>Kevin Jordano Barrios Chin</t>
  </si>
  <si>
    <t>Kevin Jose Mijangos Vasquez</t>
  </si>
  <si>
    <t>Kevin Josue Moscoso Espino</t>
  </si>
  <si>
    <t>Kevin Josue Sevilla Nieto</t>
  </si>
  <si>
    <t>Kevin Manuel Perez Orozco</t>
  </si>
  <si>
    <t>Kevin Omar Ortiz Contreras</t>
  </si>
  <si>
    <t>Kevin Orlando Ventura Lopez</t>
  </si>
  <si>
    <t>Kevin Rene Medrano Sarceño</t>
  </si>
  <si>
    <t>Kevin Ruben Perez Lopez</t>
  </si>
  <si>
    <t>Kevin Samuel Guamuch Guardado</t>
  </si>
  <si>
    <t>Kevin Saul Rodriguez Vasquez</t>
  </si>
  <si>
    <t>Kevin Steve Barrera Galicia</t>
  </si>
  <si>
    <t>Kevin Winston Chavez Alvarez</t>
  </si>
  <si>
    <t>Keyla Cristy Dubon Pernillo</t>
  </si>
  <si>
    <t>Keyly Maeli Roblero Chile</t>
  </si>
  <si>
    <t>Kezmi Romani Garcia Mendez</t>
  </si>
  <si>
    <t>Kimberly Anayanci Tello Morales</t>
  </si>
  <si>
    <t>Kimberly Dayanna Herrera Marroquin</t>
  </si>
  <si>
    <t>Kimberly Guadalupe Mulul Pelico</t>
  </si>
  <si>
    <t>Kimberly Guadalupe Soto</t>
  </si>
  <si>
    <t>Kimberly Judith Lopez Amaya</t>
  </si>
  <si>
    <t>Kimberly Melissa Juarez Ramirez</t>
  </si>
  <si>
    <t>Kimberly Mishel Merida Cortez</t>
  </si>
  <si>
    <t>Kimberly Nohemi Alvarado Toj</t>
  </si>
  <si>
    <t>Kimberly Suseli Ibarra Barahona</t>
  </si>
  <si>
    <t>Kimberly Yasmin Alvarado Veliz</t>
  </si>
  <si>
    <t>Kimberly Yasmin Leiva Herrera</t>
  </si>
  <si>
    <t>Kimberly Zussette Hernandez Puac</t>
  </si>
  <si>
    <t>Kirsten Jordana Santandrea Montenegro</t>
  </si>
  <si>
    <t>Kleidy Smaily Lopez Lopez De Vicente</t>
  </si>
  <si>
    <t>Klisman Julio Rolando Lopez Garcia</t>
  </si>
  <si>
    <t>Krisla Mayte Madrigales Palencia</t>
  </si>
  <si>
    <t>Krisley Mary Dayana Mazariegos Vega</t>
  </si>
  <si>
    <t>Kristel Michelle Erazo Payes</t>
  </si>
  <si>
    <t>Laiza Marleny Gomez Garcia De Gomez</t>
  </si>
  <si>
    <t>Larry Noel Gomez Cuellar</t>
  </si>
  <si>
    <t>Laura Angelica Lux Tzunun</t>
  </si>
  <si>
    <t>Laura Cecilia De Leon Zapeta</t>
  </si>
  <si>
    <t>Laura Dairis Analy Zeceña Minera</t>
  </si>
  <si>
    <t>Laura Estefania Cardona Mateo</t>
  </si>
  <si>
    <t>Laura Gabriela Hernandez Merida</t>
  </si>
  <si>
    <t>Laura Jajairy Ramirez Veron</t>
  </si>
  <si>
    <t>Laura Lisbeth Gonzalez Ajin</t>
  </si>
  <si>
    <t xml:space="preserve">Laura Yessenia Trabanino Interiano </t>
  </si>
  <si>
    <t>Lazaro Castro Cajanti</t>
  </si>
  <si>
    <t>Lea Maria Lopez Agustin</t>
  </si>
  <si>
    <t>Legbi Evangelina Martinez Vicente</t>
  </si>
  <si>
    <t>Legna Magali Juarez Aroche Cardoza</t>
  </si>
  <si>
    <t>Leidy Ana Macz Valey</t>
  </si>
  <si>
    <t>Leidy Marisol Perez Arias</t>
  </si>
  <si>
    <t>Lely Herrera Molina</t>
  </si>
  <si>
    <t>Leon Vicente Estuardo Ical Chub</t>
  </si>
  <si>
    <t>Leonardo Bocel Lopez</t>
  </si>
  <si>
    <t>Lesbia Roxana Rojas Castro</t>
  </si>
  <si>
    <t>Lesli Carolina Iquique Chamale</t>
  </si>
  <si>
    <t>Lesli Paola Mendez Palencia</t>
  </si>
  <si>
    <t>Lesli Paola Vasquez Villalta</t>
  </si>
  <si>
    <t>Leslie Karina Peliz Garcia</t>
  </si>
  <si>
    <t>Leslie Saray Munoz Iturrios</t>
  </si>
  <si>
    <t>Leslie Veronica Varela Echeverria</t>
  </si>
  <si>
    <t>Lesly Alejandra Estrada Chacon</t>
  </si>
  <si>
    <t>Lesly Alejandra Urbina Chojolan</t>
  </si>
  <si>
    <t>Lesly Alejandra Zeto Perez</t>
  </si>
  <si>
    <t>Lesly Anali Monterroso Ramirez</t>
  </si>
  <si>
    <t>Lesly Araceli Mendez Gonzalez</t>
  </si>
  <si>
    <t>Lesly Aurora Hernandez Godoy</t>
  </si>
  <si>
    <t>Lesly Fabiola Solorzano Garcia</t>
  </si>
  <si>
    <t xml:space="preserve">Lesly Gabriela Caal Pineda </t>
  </si>
  <si>
    <t xml:space="preserve">Lesly Julis Cordon Mujo </t>
  </si>
  <si>
    <t>Lesly Julisa Cordon Mujo</t>
  </si>
  <si>
    <t>Lesly Lisseth Ligorria Torres</t>
  </si>
  <si>
    <t>Lesly Maribel Hidalgo Barrios</t>
  </si>
  <si>
    <t>Lesly Marileny De Leon De Leon</t>
  </si>
  <si>
    <t xml:space="preserve">Lesly Mishel Herrera Maldonado </t>
  </si>
  <si>
    <t>Lesly Nereyda Ixquiac Vidaurre</t>
  </si>
  <si>
    <t>Lesly Noemi Morales Molina</t>
  </si>
  <si>
    <t>Lesly Rocio Castillo Sandoval</t>
  </si>
  <si>
    <t>Lesly Rosibel Asencio Estrada</t>
  </si>
  <si>
    <t>Lesly Sucely Ramirez Maxin</t>
  </si>
  <si>
    <t>Lesly Vanessa Jerez Herrera</t>
  </si>
  <si>
    <t>Lesly Yohanna Ramirez Sarceño</t>
  </si>
  <si>
    <t>Lester Aaron Lopez Orantes</t>
  </si>
  <si>
    <t>Lester Alexander Rodriguez Arevalo</t>
  </si>
  <si>
    <t>Lester Daniel Gil Mayen</t>
  </si>
  <si>
    <t>Lester Giovanni Barrios Gonzalez</t>
  </si>
  <si>
    <t>Lester Juan Jose Arevalo Reynoso</t>
  </si>
  <si>
    <t>Lester Manfredo Gonzalez De Paz</t>
  </si>
  <si>
    <t>Lester Mauricio Perez Martinez</t>
  </si>
  <si>
    <t>Lester Onelio Lopez Rosales</t>
  </si>
  <si>
    <t>Lester Ottoniel Martinez Gonzalez</t>
  </si>
  <si>
    <t>Levy Jhafreth Molina Castellanos</t>
  </si>
  <si>
    <t>Leycer Ulices Cana Andrade</t>
  </si>
  <si>
    <t>Leysi Lissett Ramirez Figueroa</t>
  </si>
  <si>
    <t>Leysly Rubi Panchoy Rivera</t>
  </si>
  <si>
    <t>Leyvi Diana Morales Garrido</t>
  </si>
  <si>
    <t>Leyvis Anihela Melendez Garcia</t>
  </si>
  <si>
    <t xml:space="preserve">Libni Madai Lopez </t>
  </si>
  <si>
    <t>Lidia Sarahi Rodriguez Zamora</t>
  </si>
  <si>
    <t>Ligia Carolina Marroquin Flores</t>
  </si>
  <si>
    <t>Ligia Delfina Caal Coy</t>
  </si>
  <si>
    <t>Ligia Iveth Marroquin Lechuga</t>
  </si>
  <si>
    <t>Lili Azucena Perez Yantuch</t>
  </si>
  <si>
    <t>Liliam Lisseth Santizo Mejia De Cordova</t>
  </si>
  <si>
    <t>Lilian Carolina Quiñonez Garcia</t>
  </si>
  <si>
    <t>Lilian Del Carmen Franco Curin</t>
  </si>
  <si>
    <t>Lilian Elizabeth Diaz Rivera</t>
  </si>
  <si>
    <t>Lilian Evelyn Sajbochol Garcia</t>
  </si>
  <si>
    <t>Lilian Jose Lopez Quevedo</t>
  </si>
  <si>
    <t>Lilian Maria Navas Gonzalez</t>
  </si>
  <si>
    <t>Lilian Nohemi Santos Bailon</t>
  </si>
  <si>
    <t>Lilian Vanessa Tezó Monterroso</t>
  </si>
  <si>
    <t>Lilian Yomara Perez Ajxup</t>
  </si>
  <si>
    <t>Liliana Marisela Chamorro Tax</t>
  </si>
  <si>
    <t>Lilibette Alejandra Tezcucano De La Cruz</t>
  </si>
  <si>
    <t>Lima Contreras, Carolina Azucena</t>
  </si>
  <si>
    <t>Lima Hernandez, Joselyn Marilu</t>
  </si>
  <si>
    <t>Linda Aracely Garcia Beteta</t>
  </si>
  <si>
    <t xml:space="preserve">Linda Esperanza Male Carrera </t>
  </si>
  <si>
    <t>Linda Esperanza Monges Torres</t>
  </si>
  <si>
    <t>Linda Garcia          </t>
  </si>
  <si>
    <t>Linda Gineli Segura Perez</t>
  </si>
  <si>
    <t>Linda Llusely Sarat Cordova</t>
  </si>
  <si>
    <t>Linsi Mishell Batz Marroquin</t>
  </si>
  <si>
    <t>Lisber Melisa Zacarias Lopez</t>
  </si>
  <si>
    <t>Lisbeth Carolina Hernandez Urrutia</t>
  </si>
  <si>
    <t>Lisbeth Jeaneth Sucup</t>
  </si>
  <si>
    <t>Lisbeth Noemi Hernandez Giron</t>
  </si>
  <si>
    <t>Lisbeth Sarai Gutierrez Oscal</t>
  </si>
  <si>
    <t>Lisbeth Victoria Garcia</t>
  </si>
  <si>
    <t>Liseth Aldai De La Cruz Lopez</t>
  </si>
  <si>
    <t>Liza Aracely Ramirez Rodas</t>
  </si>
  <si>
    <t>Lizbeth Liliana Peren Velasquez</t>
  </si>
  <si>
    <t>Llori Eriselda Zuñiga Gomez</t>
  </si>
  <si>
    <t>Loida Eunice Celada Panjoj De Polanco</t>
  </si>
  <si>
    <t>Loida Raquel Juarez Ixpata</t>
  </si>
  <si>
    <t>Londy Yazmin Gonzalez Ramirez</t>
  </si>
  <si>
    <t>Lopez Morales, Andrea Lucia</t>
  </si>
  <si>
    <t>Loren Alejandra Gutierrez Perez</t>
  </si>
  <si>
    <t>Lorena Elisbeth Gomez Ajanel</t>
  </si>
  <si>
    <t>Lorenzo Antonio Herrera Tobar</t>
  </si>
  <si>
    <t>Lourdes Cristina Flores Tahuite</t>
  </si>
  <si>
    <t>Lourdes Guadalupe Solorzano Herrera</t>
  </si>
  <si>
    <t>Lourdes Mayari Ramirez Ramirez</t>
  </si>
  <si>
    <t>Lourdes Yamileth Escobar Recinos</t>
  </si>
  <si>
    <t>Lucia Adali Alvarado Juarez</t>
  </si>
  <si>
    <t>Luciana Emilia Gonzalez Samayoa</t>
  </si>
  <si>
    <t>Lucinda Nova Garcia</t>
  </si>
  <si>
    <t>Lucio Omar Chavez Chavez</t>
  </si>
  <si>
    <t>Ludbind Alexander Noriega Chavez</t>
  </si>
  <si>
    <t>Ludwin Enrique Pineda Soto</t>
  </si>
  <si>
    <t xml:space="preserve">Ludwin Oscar David Chavez </t>
  </si>
  <si>
    <t>Ludwyn Alejandro Estrada Giron</t>
  </si>
  <si>
    <t>Luis Alan Caceros Chub</t>
  </si>
  <si>
    <t>Luis Alberto Figueroa Vasquez</t>
  </si>
  <si>
    <t>Luis Alberto Najera Solis</t>
  </si>
  <si>
    <t>Luis Alberto Perez Barrios</t>
  </si>
  <si>
    <t>Luis Alexsander Barco Ramirez</t>
  </si>
  <si>
    <t>Luis Alfredo Ruben Castillo Mejia</t>
  </si>
  <si>
    <t>Luis Angel Galvez Morales</t>
  </si>
  <si>
    <t>Luis Angel Peñalonzo Muños</t>
  </si>
  <si>
    <t>Luis Antonio Cotzajay Quelex</t>
  </si>
  <si>
    <t>Luis Armando Ramirez De Leon</t>
  </si>
  <si>
    <t>Luis Arturo Fuentes Jerez</t>
  </si>
  <si>
    <t>Luis Carlos Morales Lopez</t>
  </si>
  <si>
    <t>Luis De Jesus Julian Lopez</t>
  </si>
  <si>
    <t>Luis Diego Figueroa Coronado</t>
  </si>
  <si>
    <t>Luis Eduardo Carranza Guzman</t>
  </si>
  <si>
    <t>Luis Eduardo Corado Lara</t>
  </si>
  <si>
    <t>Luis Eduardo Fuentes Flores</t>
  </si>
  <si>
    <t>Luis Eduardo Gonzalez Arriaza</t>
  </si>
  <si>
    <t>Luis Eduardo Ramirez Arriaza</t>
  </si>
  <si>
    <t xml:space="preserve">Luis Emanuel Duque Rustrian </t>
  </si>
  <si>
    <t>Luis Ernesto Medrano Chajon</t>
  </si>
  <si>
    <t>Luis Felipe Cuzal Gomez</t>
  </si>
  <si>
    <t>Luis Fernando Alvarado Tocay</t>
  </si>
  <si>
    <t>Luis Fernando Cuque Marquez</t>
  </si>
  <si>
    <t>Luis Fernando Ixen Fuentes</t>
  </si>
  <si>
    <t>Luis Fernando Jerez Perez</t>
  </si>
  <si>
    <t>Luis Fernando Lopez Lopez</t>
  </si>
  <si>
    <t xml:space="preserve">Luis Fernando Lopez Vasquez </t>
  </si>
  <si>
    <t>Luis Fernando Martin Mateo</t>
  </si>
  <si>
    <t>Luis Fernando Morales Chocoy</t>
  </si>
  <si>
    <t>Luis Fernando Perez Torres</t>
  </si>
  <si>
    <t>Luis Fernando Ramos Reynoso</t>
  </si>
  <si>
    <t>Luis Fernando Roche Valenzuela</t>
  </si>
  <si>
    <t>Luis Fernando Rodas Pineda</t>
  </si>
  <si>
    <t>Luis Fernando Santos Aguilar</t>
  </si>
  <si>
    <t>Luis Fernando Valle Cuyun</t>
  </si>
  <si>
    <t>Luis Giovanni Coronado Vasquez</t>
  </si>
  <si>
    <t>Luis Miguel Camaja Recinos</t>
  </si>
  <si>
    <t>Luis Miguel Lopez Vasquez</t>
  </si>
  <si>
    <t>Luis Pedro Herrera España</t>
  </si>
  <si>
    <t>Luis Rene Morales Lopez</t>
  </si>
  <si>
    <t>Luis Rodrigo Polanco Marroquin</t>
  </si>
  <si>
    <t>Luis Tito Rene Esquivel Yancor</t>
  </si>
  <si>
    <t>Luisa Fernanda Castro Garcia</t>
  </si>
  <si>
    <t>Luisa Fernanda Marroquin Tiguila</t>
  </si>
  <si>
    <t>Lupita Genesis Granados Valenzuela</t>
  </si>
  <si>
    <t>Lusi Angelica Coyoy Hernandez</t>
  </si>
  <si>
    <t>Lusvin Ariel Villacinda Flores</t>
  </si>
  <si>
    <t>Luz Mariela Donis Gonzalez</t>
  </si>
  <si>
    <t>Luzwing Adelso Gonzalez Ramirez     </t>
  </si>
  <si>
    <t>Madelin Ibett Chacon Yat</t>
  </si>
  <si>
    <t>Madelin Raquel Garcia Punay</t>
  </si>
  <si>
    <t>Madelin Yamiled Martinez Vasquez</t>
  </si>
  <si>
    <t>Madelyn Estefany Vega Velasquez</t>
  </si>
  <si>
    <t>Madelyn Siomara Mazul De Leon</t>
  </si>
  <si>
    <t>Madelyn Virginia Lopez Ortega</t>
  </si>
  <si>
    <t>Magda Beatriz Galvez Fernandez</t>
  </si>
  <si>
    <t>Magda Corina Gutierrez Yool</t>
  </si>
  <si>
    <t>Magda Danira Catalan Paz</t>
  </si>
  <si>
    <t>Magda Karina Mendoza Hernandez</t>
  </si>
  <si>
    <t>Magda Nohemi Mo Yalibat</t>
  </si>
  <si>
    <t>Magdalena Noemi Leonardo Ventura</t>
  </si>
  <si>
    <t>Mahely Elva Maria Franco Gualim</t>
  </si>
  <si>
    <t>Malcky Jasmin Herrera Hernandez</t>
  </si>
  <si>
    <t xml:space="preserve">Mandi Jannette Huinac López </t>
  </si>
  <si>
    <t>Manfredo Alexander Castillo Quex</t>
  </si>
  <si>
    <t>Manfredo Isaias Orozco Perez</t>
  </si>
  <si>
    <t>Manlio Alcides Godinez Yanez</t>
  </si>
  <si>
    <t>Manuel Adan Suruy Jimenez</t>
  </si>
  <si>
    <t>Manuel Eduardo Garcia Diaz</t>
  </si>
  <si>
    <t>Manuel Enrique Espinoza Cermeño</t>
  </si>
  <si>
    <t>Manuel Estuardo Arriaga Garcia</t>
  </si>
  <si>
    <t xml:space="preserve">Manuel Estuardo Mejia Ayerdi </t>
  </si>
  <si>
    <t>Manuela Lucrecia Salvador Sical</t>
  </si>
  <si>
    <t>Marbin Yobani Calderon Vicente</t>
  </si>
  <si>
    <t>Marcela Isabel Medrano Ajquiy</t>
  </si>
  <si>
    <t xml:space="preserve">Marcia Nicte Delgado Sánchez </t>
  </si>
  <si>
    <t>Marco Antonio Gonzalez Palma</t>
  </si>
  <si>
    <t>Marco Antonio Salazar Alinzo</t>
  </si>
  <si>
    <t>Marco Antonio Tejada Herrera</t>
  </si>
  <si>
    <t>Marco Tulio Godoy Garcia</t>
  </si>
  <si>
    <t>Marco Vinicio Gil De La Cruz</t>
  </si>
  <si>
    <t>Marcos Avilio Santizo Roman</t>
  </si>
  <si>
    <t>Marcos Daniel Miranda Ordoñez</t>
  </si>
  <si>
    <t>Marcos Emmanuel Ramirez Alvizures</t>
  </si>
  <si>
    <t>Marenda Mishel Galeano Lopez</t>
  </si>
  <si>
    <t>Maria Alejandra Estrada Morales</t>
  </si>
  <si>
    <t xml:space="preserve">Maria Alejandra Garcia Lara </t>
  </si>
  <si>
    <t>Maria Alejandra Lanuza Pérez</t>
  </si>
  <si>
    <t>Maria Alejandra Mazariegos</t>
  </si>
  <si>
    <t>Maria Alejandra Perez Martinez</t>
  </si>
  <si>
    <t>Maria Andrea Estupe Monterroso Guillermo</t>
  </si>
  <si>
    <t>Maria Andree Gonzalez</t>
  </si>
  <si>
    <t xml:space="preserve">María Angelica Trujillo Coronado            </t>
  </si>
  <si>
    <t>Maria Celeste Marroquin De Leon</t>
  </si>
  <si>
    <t>María Clareth Diaz Rangel</t>
  </si>
  <si>
    <t>Maria Damaris Noemi Asig Cu</t>
  </si>
  <si>
    <t>Maria De La Luz Masaya Moreno</t>
  </si>
  <si>
    <t>Maria De Los Angeles Flores Huertas</t>
  </si>
  <si>
    <t>Maria De Los Angeles Hernandez Oliva</t>
  </si>
  <si>
    <t>Maria De Los Angeles Muralles Muralles</t>
  </si>
  <si>
    <t>Maria De Lourdes Leb Nij</t>
  </si>
  <si>
    <t>Maria Del Carmen Arias Perez</t>
  </si>
  <si>
    <t>Maria Del Carmen Ical Putul</t>
  </si>
  <si>
    <t xml:space="preserve">Maria Del Carmen Milian Quishtan </t>
  </si>
  <si>
    <t>Maria Del Rosario De Leon Puac</t>
  </si>
  <si>
    <t>Maria Del Rosario Espinoza Cruz</t>
  </si>
  <si>
    <t>Maria Del Rosario Sion Calel Ramos</t>
  </si>
  <si>
    <t>Maria Dolores Ibargüen Bretschneider</t>
  </si>
  <si>
    <t>Maria Elizabeth Recinos Villagran</t>
  </si>
  <si>
    <t>Maria Eugenia Alvarez Lopez</t>
  </si>
  <si>
    <t>Maria Eulissa Xutuc Villatoro</t>
  </si>
  <si>
    <t>Maria Fernanda Aldana Fernandez</t>
  </si>
  <si>
    <t>Maria Fernanda Ambrocio Reyes</t>
  </si>
  <si>
    <t xml:space="preserve">Maria Fernanda Cruz Martinez </t>
  </si>
  <si>
    <t>Maria Fernanda De Leon Valenzuela</t>
  </si>
  <si>
    <t>Maria Fernanda Del Rosario Orellana Lima De Orellana</t>
  </si>
  <si>
    <t>Maria Fernanda Duran Barrera Leon</t>
  </si>
  <si>
    <t>Maria Fernanda Galvez Mansilla</t>
  </si>
  <si>
    <t>Maria Fernanda García Patzán</t>
  </si>
  <si>
    <t xml:space="preserve">Maria Fernanda Obregon Secaida </t>
  </si>
  <si>
    <t>Maria Fernanda Palencia Campo</t>
  </si>
  <si>
    <t>Maria Fernanda Reyes Trinidad</t>
  </si>
  <si>
    <t>Maria Fernanda Sanches Yoc</t>
  </si>
  <si>
    <t>Maria Fernanda Tomas</t>
  </si>
  <si>
    <t>Maria Fernandez Perez Rangel</t>
  </si>
  <si>
    <t>Maria Gabriela Coloma Morales</t>
  </si>
  <si>
    <t>Maria Gabriela Giron De Leon</t>
  </si>
  <si>
    <t xml:space="preserve">Maria Isabel Martinez </t>
  </si>
  <si>
    <t>Maria Isabel Reyes Aguirre</t>
  </si>
  <si>
    <t>Maria Isabel Ruiz Hernandez</t>
  </si>
  <si>
    <t>Maria Jimena Gutierrez Ogarrio</t>
  </si>
  <si>
    <t>Maria Jimena Mazariegos Morales</t>
  </si>
  <si>
    <t>Maria Jose Alvarado Lopez Barrientos</t>
  </si>
  <si>
    <t>Maria Jose Arriola Ortiz Moreno</t>
  </si>
  <si>
    <t>Maria Jose Barrios Razuleu</t>
  </si>
  <si>
    <t>Maria Jose Fernandez Melendez</t>
  </si>
  <si>
    <t>Maria Jose Flores Alvarez</t>
  </si>
  <si>
    <t>Maria Jose Gramajo Garcia De Monzon</t>
  </si>
  <si>
    <t>Maria Jose Meza De Leon</t>
  </si>
  <si>
    <t>Maria Jose Salazar Rueda</t>
  </si>
  <si>
    <t>Maria Josee Morales Vaides</t>
  </si>
  <si>
    <t>Maria Josse Ortiz Rendon</t>
  </si>
  <si>
    <t>Maria Lourdes Ajpuz Julajuj</t>
  </si>
  <si>
    <t>Maria Luisa Ramos Lopez</t>
  </si>
  <si>
    <t>Maria Magdalena Solis Carrera</t>
  </si>
  <si>
    <t>Maria Marroquin Camargo</t>
  </si>
  <si>
    <t>Maria Ruby Tzamol Pacay</t>
  </si>
  <si>
    <t>Maria Teresa Barrientos Perdomo</t>
  </si>
  <si>
    <t>Maria Teresa Hom Guit</t>
  </si>
  <si>
    <t>Maria Teresa Recinos Estrada</t>
  </si>
  <si>
    <t>Maria Vicenta Lopez Mancilla De De Del Valle</t>
  </si>
  <si>
    <t>Maria Victoria Montenegro Sarpec</t>
  </si>
  <si>
    <t>Mariamna Reene Jimenez Montenegro</t>
  </si>
  <si>
    <t>Marian Rebeca Gallardo Alvarez</t>
  </si>
  <si>
    <t>Mariana Del Rosario Escobar Sanchez</t>
  </si>
  <si>
    <t>Mariano Jose Lopez Cojon</t>
  </si>
  <si>
    <t>Mariano Jose Trujillo Baldizon</t>
  </si>
  <si>
    <t>Maricruz Abigail Socop Melgar</t>
  </si>
  <si>
    <t>Mariela Alejandra Batz De Leon</t>
  </si>
  <si>
    <t>Marielena Muñoz López</t>
  </si>
  <si>
    <t>Marili Cecilia Ramirez Cardona</t>
  </si>
  <si>
    <t>Marilin Ameli Cu Quib</t>
  </si>
  <si>
    <t>Marilin Melisa Lopez Yoc</t>
  </si>
  <si>
    <t>Marilin Yasmin Godoy Morataya</t>
  </si>
  <si>
    <t>Marilyn Alexandra Davila Chavez</t>
  </si>
  <si>
    <t>Marilyn Anayanci Gonzalez James</t>
  </si>
  <si>
    <t>Marilyn Yulissa Alvarez Toscano</t>
  </si>
  <si>
    <t>Marina Elena Giron Roldan</t>
  </si>
  <si>
    <t>Mario David Quilo Hernandez</t>
  </si>
  <si>
    <t>Mario Eduardo Reyes Argueta</t>
  </si>
  <si>
    <t>Mario Emanuel Mendoza Virula</t>
  </si>
  <si>
    <t xml:space="preserve">Mario Enrique Morales Escobar </t>
  </si>
  <si>
    <t>Mario Ernesto Alvarado Molina</t>
  </si>
  <si>
    <t>Mario Estuardo Chavez Zelada</t>
  </si>
  <si>
    <t>Mario Guberlindo Gonzalez Velasquez</t>
  </si>
  <si>
    <t>Mario Joel Pineda Perez</t>
  </si>
  <si>
    <t>Mario Jose Herrera De Leon</t>
  </si>
  <si>
    <t>Mario José Mejía Escobar</t>
  </si>
  <si>
    <t>Mario Raul Monroy Monroy</t>
  </si>
  <si>
    <t>Mario Rene Garcia Paredes</t>
  </si>
  <si>
    <t>Mario Rene Lopez Gudiel</t>
  </si>
  <si>
    <t>Mario Ricardo Gabriel Monterroso</t>
  </si>
  <si>
    <t>Mario Roberto Yoc De Leon</t>
  </si>
  <si>
    <t>Maritza Isabel Hernandez Cruz</t>
  </si>
  <si>
    <t>Maritza Morales Tzoc</t>
  </si>
  <si>
    <t>Marlen Aida Pelaez Ramirez</t>
  </si>
  <si>
    <t>Marlen Brigitt Rosales De Leon</t>
  </si>
  <si>
    <t>Marlen Erendida Rivas Gonzalez</t>
  </si>
  <si>
    <t>Marlen Viviana Rixtun Perez</t>
  </si>
  <si>
    <t>Marlene Ruby Sierra Gonzalez  </t>
  </si>
  <si>
    <t>Marlin Argelia Herrera Claveria</t>
  </si>
  <si>
    <t>Marlin Yesenia Chacon Garcia</t>
  </si>
  <si>
    <t>Marliz Irene Bonifaz Lopez</t>
  </si>
  <si>
    <t>Marlon Eduardo Arreaga Escobar</t>
  </si>
  <si>
    <t>Marlon Eduardo Medrano Sandoval</t>
  </si>
  <si>
    <t>Marlon Enrique Del Cid Roque</t>
  </si>
  <si>
    <t>Marlon Estuardo Hernandez Moreira</t>
  </si>
  <si>
    <t>Marlon Ivan Dardon Hernandez</t>
  </si>
  <si>
    <t>Marlon Miguelangel Morales Jerez</t>
  </si>
  <si>
    <t>Marlon Saul Caal Giron</t>
  </si>
  <si>
    <t xml:space="preserve">Marlyn Carolina Hernandez Escobar De Dubon </t>
  </si>
  <si>
    <t>Marlyn Yoana Santos Olivares</t>
  </si>
  <si>
    <t>Marolet Patricia Palacios Argueta</t>
  </si>
  <si>
    <t>Marta Emilia Moran Lopez</t>
  </si>
  <si>
    <t xml:space="preserve">Marta Esperanza Lopez Cortez </t>
  </si>
  <si>
    <t>Marta Iris Martinez Sete</t>
  </si>
  <si>
    <t>Martha Jasmin Rivera Perdomo</t>
  </si>
  <si>
    <t>Martha Julia Shar Velasquez</t>
  </si>
  <si>
    <t>Martin Aroldo Lorenzana Flores</t>
  </si>
  <si>
    <t>Marveli Beberlin Lopez Perez De Vasquez</t>
  </si>
  <si>
    <t>Marvin Alejandro Lopez Solis</t>
  </si>
  <si>
    <t>Marvin Alejandro Puac Mulul</t>
  </si>
  <si>
    <t>Marvin Alexander Choguix Chex</t>
  </si>
  <si>
    <t>Marvin Alfredo Asturias Mendez</t>
  </si>
  <si>
    <t>Marvin Andolfo Garcia De Leon</t>
  </si>
  <si>
    <t>Marvin Danilo Castillo Castillo</t>
  </si>
  <si>
    <t>Marvin Eduardo Coxaj Sanic</t>
  </si>
  <si>
    <t>Marvin Eleazar Sunun Acuta</t>
  </si>
  <si>
    <t>Marvin Estuardo Diaz Roman</t>
  </si>
  <si>
    <t>Marvin Estuardo Xiloj De Leon</t>
  </si>
  <si>
    <t>Marvin Leonel Hernandez Alvarez</t>
  </si>
  <si>
    <t>Marvin Rodolfo Santizo Rosales</t>
  </si>
  <si>
    <t>Marvin Rolando Fuentes Aguilar</t>
  </si>
  <si>
    <t>Mary Isabel Xiloj Tajiboy</t>
  </si>
  <si>
    <t>Mary Maricel Caal Chun</t>
  </si>
  <si>
    <t>Maryory Marilu Ramos Reyes</t>
  </si>
  <si>
    <t>Maryury De Los Angeles Garcia Romero</t>
  </si>
  <si>
    <t>Maryury Yasmin Suret Mejia</t>
  </si>
  <si>
    <t xml:space="preserve">Mauricio León Ruano                                </t>
  </si>
  <si>
    <t>Mauro Gilberto Rax Suc</t>
  </si>
  <si>
    <t>Maviela Bibianeth Castillo Avila Villatoro</t>
  </si>
  <si>
    <t>Mavilin Griselda Jacome Molina</t>
  </si>
  <si>
    <t>Maximiliano Batres Ramirez</t>
  </si>
  <si>
    <t>Maybeli Marili Ordonez</t>
  </si>
  <si>
    <t>Mayki Waleska Alvarez Guzman</t>
  </si>
  <si>
    <t>Maylin Fernanda Cifuentes Guevara</t>
  </si>
  <si>
    <t xml:space="preserve">Maylin Julissa Guerra Cerin </t>
  </si>
  <si>
    <t>Maynor Alexander Chen Franco</t>
  </si>
  <si>
    <t>Maynor Alexander Perez Surque</t>
  </si>
  <si>
    <t>Maynor David Montufar De La Cruz</t>
  </si>
  <si>
    <t>Maynor Natanael Solis Delgado</t>
  </si>
  <si>
    <t>Mayra Alejandra Carreto Bonilla</t>
  </si>
  <si>
    <t>Mayra Alejandra Perez Cordero</t>
  </si>
  <si>
    <t>Mayra Azucena Perez Guzman</t>
  </si>
  <si>
    <t>Mayra Ester Lopez Gonzalez</t>
  </si>
  <si>
    <t>Mayra Julieta Sincal Coy</t>
  </si>
  <si>
    <t>Mayra Karina Soc Ovalle</t>
  </si>
  <si>
    <t>Mayra Leticia Diaz Armas</t>
  </si>
  <si>
    <t>Mayra Noemi Godoy Carrera</t>
  </si>
  <si>
    <t>Mayra Pahola Xiquin Terraza</t>
  </si>
  <si>
    <t>Mayra Susana Perez Galdamez</t>
  </si>
  <si>
    <t>Megly Karina Lopez De Leon</t>
  </si>
  <si>
    <t>Melane Alejandra Contreras Sicajan</t>
  </si>
  <si>
    <t>Melani Andrea Salcedo Acevedo</t>
  </si>
  <si>
    <t>Melani Mishell Vasquez Castillo</t>
  </si>
  <si>
    <t>Melanie Azucena Choc Garcia</t>
  </si>
  <si>
    <t>Melanie Vanessa Chacon Godoy</t>
  </si>
  <si>
    <t xml:space="preserve">Melany Celeste Monzon Brenes                    </t>
  </si>
  <si>
    <t>Melany Lorena Pac Monterroso</t>
  </si>
  <si>
    <t>Melany Nohemi Velasquez Solorzano</t>
  </si>
  <si>
    <t>Melany Valeska Juarez Carpio</t>
  </si>
  <si>
    <t>Melina Monterroso Martin</t>
  </si>
  <si>
    <t>Melissa Lissette Recinos Massella</t>
  </si>
  <si>
    <t>Melissandra Ruiz Ramirez</t>
  </si>
  <si>
    <t>Melody Arelis Elvira Monterroso</t>
  </si>
  <si>
    <t>Melvin Adelson Pet Santos</t>
  </si>
  <si>
    <t>Melvin Antonio Hernandez Gutierrez</t>
  </si>
  <si>
    <t>Mendoza Pineda, Keila Betsaida</t>
  </si>
  <si>
    <t>Merari Abigail Orantes Gonzalez</t>
  </si>
  <si>
    <t>Merari Abigail Veliz Samayoa</t>
  </si>
  <si>
    <t>Merari Madai Arana Erazo De Morales</t>
  </si>
  <si>
    <t>Mercy Roxana Galvez Canales</t>
  </si>
  <si>
    <t>Merlin Areli Gomez Sagastume</t>
  </si>
  <si>
    <t>Merly Carolina Lopez Laynez</t>
  </si>
  <si>
    <t>Merlyn Esther Pérez Girón</t>
  </si>
  <si>
    <t>Michelle Jamileth Martinez Garcia</t>
  </si>
  <si>
    <t xml:space="preserve">Michelle Jeffreidy  Ordoñez Rios </t>
  </si>
  <si>
    <t xml:space="preserve">Migdalia Amarilis Flores Garcia </t>
  </si>
  <si>
    <t>Miguel Angel Guamuch Franco</t>
  </si>
  <si>
    <t>Miguel Angel Mendez Juarez</t>
  </si>
  <si>
    <t>Miguel Angel Moya Cabnal</t>
  </si>
  <si>
    <t>Miguel Angel Vicente Morales</t>
  </si>
  <si>
    <t>Miguel David Boch Cifuentes</t>
  </si>
  <si>
    <t>Miguel Estuardo Marín</t>
  </si>
  <si>
    <t>Miguel Eudilio Saban Lopez</t>
  </si>
  <si>
    <t>Miguel Omar Zuleta Solano</t>
  </si>
  <si>
    <t>Miguel Orlando Sebastian Juchan</t>
  </si>
  <si>
    <t>Miguel Rodrigo Gonzalez Ramirez</t>
  </si>
  <si>
    <t>Mijail Erick Joaquin Morales Ortiz</t>
  </si>
  <si>
    <t xml:space="preserve">Mijail Erick Joaquín Morales Ortiz </t>
  </si>
  <si>
    <t>Mildre Fabiola Gomez Barillas De Leonardo</t>
  </si>
  <si>
    <t xml:space="preserve">Mildred Alejandra Sapon Ruano   </t>
  </si>
  <si>
    <t xml:space="preserve">Mildred Elizabeth Monzon Ramirez         </t>
  </si>
  <si>
    <t>Mildred Elizabeth Rivera Tenas</t>
  </si>
  <si>
    <t>Mildred Elizabeth Solis Quevedo</t>
  </si>
  <si>
    <t>Mildred Magaly Ortega Pac</t>
  </si>
  <si>
    <t>Mildred Magaly Sul Lopez</t>
  </si>
  <si>
    <t>Mildred Mazciel Almazan Lemus Codigo</t>
  </si>
  <si>
    <t>Mildred Yaneth Figueroa Garcia</t>
  </si>
  <si>
    <t>Mildred Yanett Cruz Alvarez De Tunchez</t>
  </si>
  <si>
    <t>Milena Maria Mendez Cheguen</t>
  </si>
  <si>
    <t>Milka Patricia Merida Muñoz</t>
  </si>
  <si>
    <t xml:space="preserve">Milthon Yobany Castillo Martinez </t>
  </si>
  <si>
    <t>Milton Enrique Chiguichon Elias</t>
  </si>
  <si>
    <t>Milton Enrique Yax Sosa</t>
  </si>
  <si>
    <t xml:space="preserve">Milton Hardany Dominguez Martinez </t>
  </si>
  <si>
    <t>Milton Rene Estrada Coc</t>
  </si>
  <si>
    <t>Milton Roberto Juarez Lemus</t>
  </si>
  <si>
    <t>Milton Rocael Manchame Arroyo</t>
  </si>
  <si>
    <t>Milver Moises Maldonado Pelico</t>
  </si>
  <si>
    <t>Milvia Alejandra Lopez Marroquin</t>
  </si>
  <si>
    <t xml:space="preserve">Milvia Fabiola Velasquez </t>
  </si>
  <si>
    <t>Milvia Fernanda Talento Urbina</t>
  </si>
  <si>
    <t>Mirelli Estefania Ramirez Garcia</t>
  </si>
  <si>
    <t>Miriam Betsabe Rodas Perez</t>
  </si>
  <si>
    <t>Miriam Elizabeth Pérez Guerra</t>
  </si>
  <si>
    <t>Miriam Eugenia Santizo Montenegro</t>
  </si>
  <si>
    <t>Miriam Judith Cermeño Cetino</t>
  </si>
  <si>
    <t>Miriam Leticia Romero Torres</t>
  </si>
  <si>
    <t>Miriam Marilisa Herrera Perez</t>
  </si>
  <si>
    <t>Miriam Mineidy Moscoso Mayen</t>
  </si>
  <si>
    <t>Miriam Rosmery Guerra Valle</t>
  </si>
  <si>
    <t>Miriam Stefanie Hernandez Subuyuj</t>
  </si>
  <si>
    <t>Mirian Del Carmen Guzman Maldonado</t>
  </si>
  <si>
    <t>Mirna Consuelo Muñoz Ordoñez</t>
  </si>
  <si>
    <t>Mirna Elizabeth Zolote Patzan</t>
  </si>
  <si>
    <t xml:space="preserve">Mirna Janeth Ordoñez </t>
  </si>
  <si>
    <t xml:space="preserve">Mirna Lorena Argueta Ayala </t>
  </si>
  <si>
    <t xml:space="preserve">Mirna Noemi Gil Funes </t>
  </si>
  <si>
    <t>Mirna Violeta Carrillo Gonzalez</t>
  </si>
  <si>
    <t>Mirna Yesenia Umaña Ramos</t>
  </si>
  <si>
    <t>Mirza Johana Cosigua Rabinal</t>
  </si>
  <si>
    <t>Mirza Karina Palma Marroquin</t>
  </si>
  <si>
    <t>Moises Dario Flores Amaya</t>
  </si>
  <si>
    <t>Mónica Alejandra Alvarez Poncio</t>
  </si>
  <si>
    <t>Monica Andrea Ronquillo Ambrocio</t>
  </si>
  <si>
    <t>Monica Carolina Lima Cifuentes De Enriquez</t>
  </si>
  <si>
    <t>Monica Carolina Pappa Dominguez</t>
  </si>
  <si>
    <t>Monica Cecilia Perez Lopez</t>
  </si>
  <si>
    <t>Monica Gabriela Canizales Santos</t>
  </si>
  <si>
    <t>Monica Gabriela Osorio Garrido</t>
  </si>
  <si>
    <t>Monica Guadalupe Garcia Rivera</t>
  </si>
  <si>
    <t>Monica Ilduara Lima</t>
  </si>
  <si>
    <t>Monica Isabel Castillo Avila</t>
  </si>
  <si>
    <t>Monica Lisseth Marroquin Salazar</t>
  </si>
  <si>
    <t>Monica Lizbeth Franco Chacon</t>
  </si>
  <si>
    <t>Monica Michelle Diaz De Leon De Baltazar</t>
  </si>
  <si>
    <t>Monica Mishell Perez Ballesteros</t>
  </si>
  <si>
    <t>Monica Mishell Rendon Gamboa</t>
  </si>
  <si>
    <t>Monica Patricia Coroy Laparra</t>
  </si>
  <si>
    <t>Monica Raquel Palacios Piedrasanta</t>
  </si>
  <si>
    <t>Monica Vannesa Miranda Alvarado</t>
  </si>
  <si>
    <t>Monica Yulissa Sun Pacay</t>
  </si>
  <si>
    <t>Monica Yulissa Vicente Velasquez</t>
  </si>
  <si>
    <t>Monzon Lopez, Wendy Alejandra</t>
  </si>
  <si>
    <t>Morales Garcia, Jasson Daniel</t>
  </si>
  <si>
    <t>Morales Navas, Melvin Everardo</t>
  </si>
  <si>
    <t>Morelia Esperanza Paau Melendez</t>
  </si>
  <si>
    <t>Mynor Ariel Romero Mas</t>
  </si>
  <si>
    <t>Mynor Arturo Barrios Reyes</t>
  </si>
  <si>
    <t>Mynor Daniel Chajon Soyos</t>
  </si>
  <si>
    <t>Mynor Genaro Salazar Merida</t>
  </si>
  <si>
    <t>Myriam Aracely Rivera Gonzalez</t>
  </si>
  <si>
    <t>Myrka Jessel Rivera Camo</t>
  </si>
  <si>
    <t>Myrna Leticia Torres Quiroa</t>
  </si>
  <si>
    <t>Mytza Mahogany Galvez Aragon</t>
  </si>
  <si>
    <t>Nadia Estefania Gramajo Archila</t>
  </si>
  <si>
    <t>Nanci Magali Noj Santos</t>
  </si>
  <si>
    <t>Nanci Paola Con Morales</t>
  </si>
  <si>
    <t>Nanci Yanira Navas Garcia</t>
  </si>
  <si>
    <t xml:space="preserve">Nancy Aracely Col Cu </t>
  </si>
  <si>
    <t>Nancy Corina Quiñonez Rodriguez</t>
  </si>
  <si>
    <t>Nancy Elizabeth Lopez Perez</t>
  </si>
  <si>
    <t>Nancy Johana Flores Barrera</t>
  </si>
  <si>
    <t>Nancy Lizeth Barrera Cancinos</t>
  </si>
  <si>
    <t xml:space="preserve">Nancy Lucero Portillo Vasquez </t>
  </si>
  <si>
    <t>Nancy Magaly Izaguirre Galicia</t>
  </si>
  <si>
    <t>Nancy Pahola Arevalo Yuman</t>
  </si>
  <si>
    <t>Nancy Pahola De Leon Patzan</t>
  </si>
  <si>
    <t xml:space="preserve">Nancy Pahola Rodriguez Ramirez </t>
  </si>
  <si>
    <t>Nancy Paola Jimenez Pamal</t>
  </si>
  <si>
    <t>Nancy Paola Morales Rodriguez De Morales</t>
  </si>
  <si>
    <t>Nancy Paola Ramirez Garcia</t>
  </si>
  <si>
    <t>Nancy Rocio Maldonado Lopez</t>
  </si>
  <si>
    <t>Nancy Roxana Chuy Ponce</t>
  </si>
  <si>
    <t>Nancy Yaneth Vasquez Chiguichon</t>
  </si>
  <si>
    <t>Nancy Yessenia Set Iquite</t>
  </si>
  <si>
    <t>Nasly Abigail Cazian Lopez</t>
  </si>
  <si>
    <t>Nataly Andreina Canahui Ochoa</t>
  </si>
  <si>
    <t>Nataly Pamela Aguilar Escobar</t>
  </si>
  <si>
    <t>Naydelyn Rosmery Torres Marroquin</t>
  </si>
  <si>
    <t>Neftaly Eliseo Aguilar Hernandez</t>
  </si>
  <si>
    <t>Nelson Aurelio Portillo Martinez</t>
  </si>
  <si>
    <t>Nelson Humberto Caal Güe</t>
  </si>
  <si>
    <t>Nelsy Adali Nova Vivar</t>
  </si>
  <si>
    <t xml:space="preserve">Nery Daniel Chipin Lindo </t>
  </si>
  <si>
    <t>Nestor Donaldo Xiloj Quiej</t>
  </si>
  <si>
    <t>Nestor Edgardo Gutierrez Lazaro</t>
  </si>
  <si>
    <t>Nestor Enmanuel Retana Castellanos</t>
  </si>
  <si>
    <t>Nestor Orlando Aguilar Santos</t>
  </si>
  <si>
    <t>Nestor Rene Sagastume Rodas</t>
  </si>
  <si>
    <t>Nicea Castañon     </t>
  </si>
  <si>
    <t>Nicolas Ajiquichi Ibate</t>
  </si>
  <si>
    <t>Nicolas Chuc Garcia</t>
  </si>
  <si>
    <t>Nicolas Walter Toma Zacarias</t>
  </si>
  <si>
    <t>Nicomedes Israel Echeverria Pacheco</t>
  </si>
  <si>
    <t>Nidia Dalila Bantes Segura De Manchame</t>
  </si>
  <si>
    <t>Nidia Lucy Herrera Lopez</t>
  </si>
  <si>
    <t>Nidia Maribel Carpio Roca</t>
  </si>
  <si>
    <t>Nilda Betsaida De Leon Diaz</t>
  </si>
  <si>
    <t>Nilda Julieta Boror Xuya</t>
  </si>
  <si>
    <t>Ninci Yessenia Perez Quiñonez</t>
  </si>
  <si>
    <t>Noe Amos Marroquin Sicajol</t>
  </si>
  <si>
    <t xml:space="preserve">Noe Rubell Garcia Cerna </t>
  </si>
  <si>
    <t>Noelia Azucena Garcia Mazariegos</t>
  </si>
  <si>
    <t>Noelia Margarita Ramos Hernandez</t>
  </si>
  <si>
    <t>Noemi Ruth Hernandez Urrutia</t>
  </si>
  <si>
    <t>Nora Lisseth Lam Sanchez</t>
  </si>
  <si>
    <t>Norman Alessandro Madrid Garcia</t>
  </si>
  <si>
    <t>Norman Genaro Melgar Garcia</t>
  </si>
  <si>
    <t>Norman Scott Castillo Rivera</t>
  </si>
  <si>
    <t>Obed Daniel Ramirez Fuentes</t>
  </si>
  <si>
    <t>Odalis Ruby Garcia Siquina</t>
  </si>
  <si>
    <t>Odalys Elizabeth Requena Meoño</t>
  </si>
  <si>
    <t>Odalys Faviola Reyes Rivera</t>
  </si>
  <si>
    <t xml:space="preserve">Odeira Odet Juarez Morales                    </t>
  </si>
  <si>
    <t>Odiel Armando Guerra Aguirre</t>
  </si>
  <si>
    <t>Odra Arcadia Barduel Sarat</t>
  </si>
  <si>
    <t>Ofny Joselito Fuentes Ramirez</t>
  </si>
  <si>
    <t>Olga Gabriela Lopez Tzic</t>
  </si>
  <si>
    <t>Olga Maricela Guarcas Tol</t>
  </si>
  <si>
    <t>Olga Roxana Gomez</t>
  </si>
  <si>
    <t>Olinda Juarez Figueno</t>
  </si>
  <si>
    <t>Oliver Samuel Donis Taracena</t>
  </si>
  <si>
    <t>Omar Anibal Barreda Valenzuela</t>
  </si>
  <si>
    <t>Oneida Del Carmen Corzo Morales</t>
  </si>
  <si>
    <t>Oneida Marisela Reyes Cuc</t>
  </si>
  <si>
    <t>Orellana Alvarez, Nestor Giovanni</t>
  </si>
  <si>
    <t>Orozco Mulul, Esvin Rolando</t>
  </si>
  <si>
    <t>Oscar Anibal Leb Morales</t>
  </si>
  <si>
    <t>Oscar Eduardo Xoyon Gomez</t>
  </si>
  <si>
    <t>Oscar Emilio Gomez Orozco</t>
  </si>
  <si>
    <t>Oscar Enrique Garcia Gualip</t>
  </si>
  <si>
    <t>Oscar Estuardo Mancilla Najarro</t>
  </si>
  <si>
    <t>Oscar Geovany Patzan Patzan</t>
  </si>
  <si>
    <t xml:space="preserve">Oscar Horacio Giron Gramajo </t>
  </si>
  <si>
    <t>Oscar Israel Thiel Hidalgo</t>
  </si>
  <si>
    <t>Oscar Javier Veliz Galvez</t>
  </si>
  <si>
    <t>Oscar Oswaldo Ramirez Tahuite</t>
  </si>
  <si>
    <t>Oscar Rene Zacarias Jordan</t>
  </si>
  <si>
    <t>Osman Amilcar Zarate Ixcoy</t>
  </si>
  <si>
    <t>Osman De Jesus Herincx Soto</t>
  </si>
  <si>
    <t>Osmi Estuardo Cumes Seche</t>
  </si>
  <si>
    <t>Osvin Ariel Ramirez Coy</t>
  </si>
  <si>
    <t>Osvin Daniel Gomez Gonzalez</t>
  </si>
  <si>
    <t>Oswaldo Marcelino Huix Gomez</t>
  </si>
  <si>
    <t>Otto Alejandro Barahona Lopez</t>
  </si>
  <si>
    <t xml:space="preserve">Otto Alejandro Barahona López </t>
  </si>
  <si>
    <t>Otto Leonel Zavala Rodas</t>
  </si>
  <si>
    <t>Ottoniel Amilcar Gomez Rodriguez</t>
  </si>
  <si>
    <t>Ottoniel De Jesus Castellanos Ordoñez</t>
  </si>
  <si>
    <t>Pablo Andres Contreras Cantoral</t>
  </si>
  <si>
    <t>Pablo Antonio Serrano Sanchez</t>
  </si>
  <si>
    <t>Pablo Cesar Oliva Lopez</t>
  </si>
  <si>
    <t>Pablo David Castillo</t>
  </si>
  <si>
    <t>Pablo Javier Reinosa Fuentes</t>
  </si>
  <si>
    <t>Pablo Jose Castillo Garcia</t>
  </si>
  <si>
    <t>Pablo Raul Calimayor</t>
  </si>
  <si>
    <t>Paola Alejandra Monzon Paniagua</t>
  </si>
  <si>
    <t xml:space="preserve">Paola Noeli Ax Cu </t>
  </si>
  <si>
    <t>Paola Veronica Cardenas Toscano</t>
  </si>
  <si>
    <t>Paola Yanet Chet Martinez</t>
  </si>
  <si>
    <t>Patricia Alejandra Ramos Velasquez</t>
  </si>
  <si>
    <t>Patricia Esmeralda Garcia Chajon Quinto</t>
  </si>
  <si>
    <t>Patricia Florinda Garcia Gutierrez</t>
  </si>
  <si>
    <t>Paula Eliza Santos Corado</t>
  </si>
  <si>
    <t>Paula Gabriela De Leon Cipriano</t>
  </si>
  <si>
    <t>Paulina Beatriz Tizol Cux</t>
  </si>
  <si>
    <t>Paulo Alejandro Salguero Pacheco</t>
  </si>
  <si>
    <t>Pauly Martina Toj  De Canel</t>
  </si>
  <si>
    <t>Pedro Alexander Sazo Machac</t>
  </si>
  <si>
    <t>Pedro David Ixcoy Chiquin</t>
  </si>
  <si>
    <t>Pedro Jose Castañeda Velasquez</t>
  </si>
  <si>
    <t>Pedro Karol Gomez Lopez</t>
  </si>
  <si>
    <t>Pedro Natanahel Caxaj Rodriguez</t>
  </si>
  <si>
    <t>Pedro Rene Ramirez Guzman</t>
  </si>
  <si>
    <t>Perez Tecun, Ernesto</t>
  </si>
  <si>
    <t xml:space="preserve">Perla Azucena Estrada Velasquez </t>
  </si>
  <si>
    <t xml:space="preserve">Perla Esperanza Ordoñez Zuleta </t>
  </si>
  <si>
    <t>Perla Michelle Giron Galdamez</t>
  </si>
  <si>
    <t>Priscila Merari Sosa Sanabria</t>
  </si>
  <si>
    <t>Rafael Anibal Sut Tucubal</t>
  </si>
  <si>
    <t>Rafael Chavez Mayorga</t>
  </si>
  <si>
    <t>Rainer Daniel Melgar Chajon</t>
  </si>
  <si>
    <t>Ramirez Mendez, Merly Sorayda</t>
  </si>
  <si>
    <t>Randall Arevalo Ruiz</t>
  </si>
  <si>
    <t>Randy Alexis Tut Cunil</t>
  </si>
  <si>
    <t>Raul Adrian Priego Castellanos</t>
  </si>
  <si>
    <t>Raul Estuardo Roquel Suyuc</t>
  </si>
  <si>
    <t>Raul Geovanny Garcia Fuentes</t>
  </si>
  <si>
    <t>Raul Matias Matias</t>
  </si>
  <si>
    <t xml:space="preserve">Regina Santay Coxaj </t>
  </si>
  <si>
    <t>Reina Elizabeth Chacon Vasquez</t>
  </si>
  <si>
    <t>Reina Isabel Lopez Ortega</t>
  </si>
  <si>
    <t>Reina Lorena Canán</t>
  </si>
  <si>
    <t>Reina Nohemi Pascual Cruz</t>
  </si>
  <si>
    <t>Remigio Alexander Gonzalez Suchite</t>
  </si>
  <si>
    <t>Renny Camilo Ixcopal Ramirez</t>
  </si>
  <si>
    <t>Reymon Steve Ortiz Chavez</t>
  </si>
  <si>
    <t>Reyna Angelica Ba Vega</t>
  </si>
  <si>
    <t>Reyna Elizabeth Panadero</t>
  </si>
  <si>
    <t>Reyna Floridalma Donis Marroquin</t>
  </si>
  <si>
    <t>Reyna Sebastiana Reyes Zurdo</t>
  </si>
  <si>
    <t>Ricardo Alexander Morales Moran</t>
  </si>
  <si>
    <t>Ricardo Alfonso Chan Lopez</t>
  </si>
  <si>
    <t>Ricardo Antonio Ruiz Orozco</t>
  </si>
  <si>
    <t>Ricardo Antonio Vasquez Meza</t>
  </si>
  <si>
    <t>Ricardo Esau Hernandez Baten</t>
  </si>
  <si>
    <t>Ricky Edson Lux Cassia</t>
  </si>
  <si>
    <t>Roberto Alejandro Alvarez Abularach</t>
  </si>
  <si>
    <t>Roberto Ardon Ramos</t>
  </si>
  <si>
    <t>Roberto Augusto Silva Hernandez</t>
  </si>
  <si>
    <t>Roberto Caal Sente</t>
  </si>
  <si>
    <t>Roberto Giammattei Trigueros</t>
  </si>
  <si>
    <t>Robin Daniel Nimacachi Teret</t>
  </si>
  <si>
    <t>Roderico Simeon Lopez Lopez</t>
  </si>
  <si>
    <t>Rodolfo Antonio Chiquin Reyes</t>
  </si>
  <si>
    <t>Rodrigo Alejandro Manzo Juarez</t>
  </si>
  <si>
    <t>Rodrigo Antonio Pena Gordillo</t>
  </si>
  <si>
    <t>Rogelia Emperatriz Ortiz Alcantara</t>
  </si>
  <si>
    <t>Rogelio Armando Aceituno Herrera</t>
  </si>
  <si>
    <t>Rogelio Turcio</t>
  </si>
  <si>
    <t>Rolando Esau Solis Santos</t>
  </si>
  <si>
    <t>Rolando Evaristo Cu Moran</t>
  </si>
  <si>
    <t>Rolman Eliseo Bautista Mazariegos</t>
  </si>
  <si>
    <t>Romario Humberto Perez Us</t>
  </si>
  <si>
    <t xml:space="preserve">Ronald Andres Sirin Sic </t>
  </si>
  <si>
    <t>Ronald Arturo Sanchez Mijangos</t>
  </si>
  <si>
    <t>Ronald Erickson Hernandez Bamac</t>
  </si>
  <si>
    <t>Ronald Guillermo Garcia</t>
  </si>
  <si>
    <t>Ronald Heraldo Perez Niz</t>
  </si>
  <si>
    <t>Ronald Ottoniel Ramos Argueta</t>
  </si>
  <si>
    <t>Ronie Ernesto Gonzalez Alvarado</t>
  </si>
  <si>
    <t>Rony David Ruano Vasquez</t>
  </si>
  <si>
    <t>Rony Josue Giron Roca</t>
  </si>
  <si>
    <t>Rony Oswaldo Gonzalez Lemus</t>
  </si>
  <si>
    <t>Rosa Angelica Zurdo Gonzalez</t>
  </si>
  <si>
    <t>Rosa Emilsi Teo Salazar</t>
  </si>
  <si>
    <t>Rosa Isabel Garcia Menchu De Itzep</t>
  </si>
  <si>
    <t>Rosa Maria Raxtun Estrada Perez</t>
  </si>
  <si>
    <t>Rosa Maribel Par Gutierrez De Parada</t>
  </si>
  <si>
    <t>Rosa Mariela Muñoz Samayoa</t>
  </si>
  <si>
    <t>Rosa Melia Isales Reyes</t>
  </si>
  <si>
    <t>Rosa Yadira Salguero Ceballos</t>
  </si>
  <si>
    <t>Rosalbina Magdali Alvarado Ramirez</t>
  </si>
  <si>
    <t>Rosalinda Gonzalez Lopez</t>
  </si>
  <si>
    <t>Rosaura Grisleny Perez Rios</t>
  </si>
  <si>
    <t>Rosmeri Elizabeth Alvarez Lopez De Corado</t>
  </si>
  <si>
    <t>Rosmery Ana Lee Cojom Rodriguez</t>
  </si>
  <si>
    <t>Rosmery Figueroa Ramirez</t>
  </si>
  <si>
    <t>Rossana Alejandra Rodas Salguero</t>
  </si>
  <si>
    <t>Rossel Jose Hernandez Oliva</t>
  </si>
  <si>
    <t>Roxana Elida Virginia Medinilla Velasquez</t>
  </si>
  <si>
    <t>Roxana Elizabeth Lopez Gonzalez</t>
  </si>
  <si>
    <t>Roxana Leticia Avila Villatoro</t>
  </si>
  <si>
    <t>Roxana Yanet Moreira Zacaris</t>
  </si>
  <si>
    <t>Rubeldi Ajaniel Roblero Gonzales</t>
  </si>
  <si>
    <t>Ruben Dario Peñate Aquino</t>
  </si>
  <si>
    <t xml:space="preserve">Ruben Donis </t>
  </si>
  <si>
    <t>Ruby Alejandra Merida Rivas</t>
  </si>
  <si>
    <t>Rucuch Choguaj, Miguel</t>
  </si>
  <si>
    <t>Rudy Alexander Gramajo Reyes</t>
  </si>
  <si>
    <t>Rudy Fernando Lopez Ajcabal</t>
  </si>
  <si>
    <t>Rudy Hosea Catalan Perez</t>
  </si>
  <si>
    <t>Ruiz Castillo, Maria Antonia</t>
  </si>
  <si>
    <t>Rusbelindo  Miguel Lopez</t>
  </si>
  <si>
    <t>Ruth Anai Gomez Ramirez</t>
  </si>
  <si>
    <t>Ruth Betsabe Campos Vargas</t>
  </si>
  <si>
    <t>Ruth Esperanza Revolorio Valenzuela</t>
  </si>
  <si>
    <t>Ruth Hermelinda Cardona Blanco</t>
  </si>
  <si>
    <t>Ruth Liliana Reyes Rivas</t>
  </si>
  <si>
    <t>Ruth Noemi Solis Contreras</t>
  </si>
  <si>
    <t>Ruth Nohemi Contreras Hernandez</t>
  </si>
  <si>
    <t>Ruth Nohemi Perez Esteban</t>
  </si>
  <si>
    <t>Saida Yasmin Garcia Xot</t>
  </si>
  <si>
    <t>Salma Dayanna Cabrera Ruiz</t>
  </si>
  <si>
    <t>Samuel Antonio Cabrera Coroy</t>
  </si>
  <si>
    <t>Samuel Everardo Garcia Lemus</t>
  </si>
  <si>
    <t>Samuel Nehemias Nuñez Michicoj</t>
  </si>
  <si>
    <t>Sandi Anavela Mejia Alvarado</t>
  </si>
  <si>
    <t xml:space="preserve">Sandra Elizabeth Citalan Hernandez </t>
  </si>
  <si>
    <t>Sandra Esmeralda Martinez Baeza</t>
  </si>
  <si>
    <t>Sandra Jeaneth Ajcuc Garcia</t>
  </si>
  <si>
    <t>Sandra Judith Vasquez Fernandez</t>
  </si>
  <si>
    <t>Sandra Lucrecia Hernandez Aceituno</t>
  </si>
  <si>
    <t>Sandra Maricela Judith Hernandez Aval</t>
  </si>
  <si>
    <t xml:space="preserve">Sandra Mariela Godoy Lucas                      </t>
  </si>
  <si>
    <t>Sandra Mariela Lopez Marroquin De Salazar</t>
  </si>
  <si>
    <t xml:space="preserve">Sandra Marisol Castro Ortiz </t>
  </si>
  <si>
    <t>Sandra Marisol Ramirez Solis</t>
  </si>
  <si>
    <t>Sandra Maritza Mus Chaman</t>
  </si>
  <si>
    <t>Sandra Mishell Amarilis Gutierrez Palma</t>
  </si>
  <si>
    <t>Sandra Patricia De Leon Alvarado</t>
  </si>
  <si>
    <t xml:space="preserve">Sandra Patricia Ixtabalan Sanchez </t>
  </si>
  <si>
    <t>Sandra Patricia Luna Rodriguez Miramontes</t>
  </si>
  <si>
    <t>Sandra Patricia Mejia Raguex</t>
  </si>
  <si>
    <t>Sandra Patricia Ochoa Sanchez</t>
  </si>
  <si>
    <t>Sandy Claribel Barrientos Caal</t>
  </si>
  <si>
    <t>Sandy Jasmyn Gonzalez Catun</t>
  </si>
  <si>
    <t>Sandy Lourdes Esmeralda Montenegro Lopez</t>
  </si>
  <si>
    <t>Sandy Maria Flores</t>
  </si>
  <si>
    <t>Sandy Maribel Herrera Mazariegos</t>
  </si>
  <si>
    <t>Sandy Mariela Batres Orozco</t>
  </si>
  <si>
    <t>Sandy Nohemy Sontay Agueda</t>
  </si>
  <si>
    <t>Sandy Paola Monroy Aifan</t>
  </si>
  <si>
    <t xml:space="preserve">Sandy Rubi Rodriguez Guil </t>
  </si>
  <si>
    <t>Sandy Suset Morales Barrientos</t>
  </si>
  <si>
    <t>Santiago Isaias Barreno Rosales</t>
  </si>
  <si>
    <t>Santos Ismael Najera Culajay</t>
  </si>
  <si>
    <t xml:space="preserve">Santos Joel Perez Oxlaj </t>
  </si>
  <si>
    <t>Santos Valentin Coroy Ruyan</t>
  </si>
  <si>
    <t xml:space="preserve">Sara Aracely Velasquez Chavez </t>
  </si>
  <si>
    <t>Sara Elizabeth Guzman Linares</t>
  </si>
  <si>
    <t>Sarvia Bitia Orellana Ortiz</t>
  </si>
  <si>
    <t>Saul Alexander Sicay Ramirez</t>
  </si>
  <si>
    <t>Saul Rodrigo Monterroso Belteton</t>
  </si>
  <si>
    <t>Sayda Rocio Juarez Sanjay</t>
  </si>
  <si>
    <t>Sayra Elizabeth Reyes Zuñiga</t>
  </si>
  <si>
    <t>Scarlet Iveth Rosales Rivera</t>
  </si>
  <si>
    <t>Sebastian Geovanny Calel Ixtuc</t>
  </si>
  <si>
    <t>Sebastian Quino Morales</t>
  </si>
  <si>
    <t>Selvin Adan Garcia Portillo</t>
  </si>
  <si>
    <t>Selvin Geronimo Aguilar</t>
  </si>
  <si>
    <t>Selvin Manolo Montepeque Merida</t>
  </si>
  <si>
    <t>Selvin Rodolfo De La Cruz Contreras</t>
  </si>
  <si>
    <t>Selvyn Ivan Sierra Ramirez</t>
  </si>
  <si>
    <t>Sender Margarito Rivera Hernandez</t>
  </si>
  <si>
    <t>Sender Vinicio Yanez Garcia</t>
  </si>
  <si>
    <t>Sendy Vanessa Villagran Garcia</t>
  </si>
  <si>
    <t>Sergio Alejandro Aguilar Perez</t>
  </si>
  <si>
    <t>Sergio Alejandro Estrada Velasco</t>
  </si>
  <si>
    <t>Sergio Alexander Urizar Godínez</t>
  </si>
  <si>
    <t>Sergio Daniel Núñez Palacios</t>
  </si>
  <si>
    <t>Sergio David Espana Velasquez</t>
  </si>
  <si>
    <t>Sergio David Gonzalez Perez</t>
  </si>
  <si>
    <t>Sergio Eduardo Lorenzana Cute</t>
  </si>
  <si>
    <t>Sergio Estuardo Mejia Lopez</t>
  </si>
  <si>
    <t>Sergio Javier Cortez Tunchez</t>
  </si>
  <si>
    <t>Sergio Obdulio Chali Chocojay</t>
  </si>
  <si>
    <t>Sergio Vinicio Natareno Paredes</t>
  </si>
  <si>
    <t>Sergio Waldemar Pana Chub</t>
  </si>
  <si>
    <t>Sharol Osleydy Patzan Yos</t>
  </si>
  <si>
    <t>Sharon Dayana Ninoshka López Márquez</t>
  </si>
  <si>
    <t>Sharon Klarivel Santis Najarro</t>
  </si>
  <si>
    <t xml:space="preserve">Sharon Patricia Contreras Dominguez       </t>
  </si>
  <si>
    <t>Shaury Jazmeny Garcia Arias</t>
  </si>
  <si>
    <t>Sheila Faviola Perea Lopez</t>
  </si>
  <si>
    <t xml:space="preserve">Sheila Janneth Cordón </t>
  </si>
  <si>
    <t>Sheila Nineth Mendez Lopez</t>
  </si>
  <si>
    <t>Sheily Nahomy Oliva Morales</t>
  </si>
  <si>
    <t>Sheily Raquel Angel Arreaga</t>
  </si>
  <si>
    <t>Sherlyn Paola Santos Perez</t>
  </si>
  <si>
    <t>Shirley Andrea Lopez Lopez</t>
  </si>
  <si>
    <t>Shirley Dayana Ramirez Gallardo</t>
  </si>
  <si>
    <t>Shirley Guadalupe Munguia Gil</t>
  </si>
  <si>
    <t>Shirley Leticia Lissette Lopez Guzman</t>
  </si>
  <si>
    <t>Shirley Mariana Lopez Natarengo</t>
  </si>
  <si>
    <t xml:space="preserve">Sigrid Rosmery Reyes Garcia </t>
  </si>
  <si>
    <t>Silvia Carolina Aguilar Rojas</t>
  </si>
  <si>
    <t>Silvia Edelmira Garcia Donis</t>
  </si>
  <si>
    <t>Silvia Gabriela Gonzalez Siliezar</t>
  </si>
  <si>
    <t>Silvia Leticia Morales Perez</t>
  </si>
  <si>
    <t>Silvia Lorena Garcia Bautista</t>
  </si>
  <si>
    <t>Silvia Lucrecia Gonzalez Char De Mejia</t>
  </si>
  <si>
    <t>Silvia Marleni Rac Yoc</t>
  </si>
  <si>
    <t>Silvia Noemi Calderon</t>
  </si>
  <si>
    <t>Silvia Patricia Gonzalez Hernandez</t>
  </si>
  <si>
    <t>Silvia Patricia Mendoza Gomez</t>
  </si>
  <si>
    <t>Silvia Patricia Peralta Alfaro</t>
  </si>
  <si>
    <t>Simeon Valentin Gomez Flores</t>
  </si>
  <si>
    <t>Sindy Amarilis Sanchez Monterroso</t>
  </si>
  <si>
    <t>Sindy Beatriz Morales Veliz</t>
  </si>
  <si>
    <t>Sindy Beatriz Perez Sanchez</t>
  </si>
  <si>
    <t>Sindy Carolina Ramirez Pur</t>
  </si>
  <si>
    <t>Sindy Elizabeth Chavez Guzman</t>
  </si>
  <si>
    <t>Sindy Gabriela Rivas Ochoa</t>
  </si>
  <si>
    <t>Sindy Karina Ramirez Lopez</t>
  </si>
  <si>
    <t>Sindy Melissa Duarte Colindres</t>
  </si>
  <si>
    <t>Sindy Paola Vargas Calderon</t>
  </si>
  <si>
    <t>Sindy Yessenia Chavaque Barrios</t>
  </si>
  <si>
    <t>Sinthia Sarai Aceituno Guerrero</t>
  </si>
  <si>
    <t>Siomara Victoria Valle Sac</t>
  </si>
  <si>
    <t>Slayker Andony Santiago Natareno</t>
  </si>
  <si>
    <t>Smaylin Sarita Villatoro Angel</t>
  </si>
  <si>
    <t>Sofia Etelvina Lopez Perez De Gramajo</t>
  </si>
  <si>
    <t>Sofia Ines Bermudez Avila</t>
  </si>
  <si>
    <t>Sorayda Betzai Chavez</t>
  </si>
  <si>
    <t xml:space="preserve">Stacy Guadalupe Ramirez Mendoza </t>
  </si>
  <si>
    <t>Stefanie Rocio Najera Marquez</t>
  </si>
  <si>
    <t>Stefanny Manuela Azaneth Garcia Garcia</t>
  </si>
  <si>
    <t>Stefany Paola Solis Ruano</t>
  </si>
  <si>
    <t>Stefany Susana Jacobo Cruz</t>
  </si>
  <si>
    <t xml:space="preserve">Stephanie Abigail Villalta </t>
  </si>
  <si>
    <t>Suceli Isamar Orozco Fuentes</t>
  </si>
  <si>
    <t>Sucely Abigail Nerios Rodriguez</t>
  </si>
  <si>
    <t>Sucely Analy Arias Paredes</t>
  </si>
  <si>
    <t>Sucely Maria Chavez Quej</t>
  </si>
  <si>
    <t>Sucely Paola Godinez Gomez De Perez</t>
  </si>
  <si>
    <t>Sugey Alejandrina Ramirez Zepeda</t>
  </si>
  <si>
    <t>Sulibeth Estela Ortega Mendez</t>
  </si>
  <si>
    <t>Suri Mireidy Perez Estrada</t>
  </si>
  <si>
    <t>Susan Andrea Estrada Pineda López</t>
  </si>
  <si>
    <t>Susan Andrea Perez Lima</t>
  </si>
  <si>
    <t>Susan Maria Jose Rodas Carranza</t>
  </si>
  <si>
    <t>Susana Alvarado Gonzalez</t>
  </si>
  <si>
    <t>Susana Jeanneth Lemus Pineda</t>
  </si>
  <si>
    <t>Susana Marileth Juarez Galo</t>
  </si>
  <si>
    <t>Susana Virginia Garnica Perez</t>
  </si>
  <si>
    <t>Tamara Mishalka Sutherland Santos</t>
  </si>
  <si>
    <t>Tayme Gabriela Uzu Ramirez</t>
  </si>
  <si>
    <t>Telma Esperanza Santos Orantes</t>
  </si>
  <si>
    <t>Telma Sucely Solis Merida</t>
  </si>
  <si>
    <t>Teresa Carolina Primero Jalal</t>
  </si>
  <si>
    <t>Teylor Cuyuch</t>
  </si>
  <si>
    <t>Thania Lizeth Lechuga Manso</t>
  </si>
  <si>
    <t>Thania Lucia Romero Garcia</t>
  </si>
  <si>
    <t>Thelma Patricia Mena Melchor</t>
  </si>
  <si>
    <t>Thelma Yolanda De Candelaria Garcia Sanchez</t>
  </si>
  <si>
    <t>Tojin Chuc, Ingrid Benita</t>
  </si>
  <si>
    <t>Tomas Amador Manuel Martin</t>
  </si>
  <si>
    <t>Tomas Xiloj Mejia</t>
  </si>
  <si>
    <t>Treisy Lisbeth Orozco Orozco</t>
  </si>
  <si>
    <t>Urias Samuel Velasquez Ardeano</t>
  </si>
  <si>
    <t>Urias Venancio Lopez Coton</t>
  </si>
  <si>
    <t>Ursula Deyanira Molina Mendoza</t>
  </si>
  <si>
    <t>Valeria Lucia Escobar Mazariegos</t>
  </si>
  <si>
    <t>Valerie Andrea Rivas Del Valle</t>
  </si>
  <si>
    <t>Valeska Paola Rivas Gomez</t>
  </si>
  <si>
    <t>Vanessa Maria Lili Miguel Interiano</t>
  </si>
  <si>
    <t>Vanessa Nineth De Leon Ramirez</t>
  </si>
  <si>
    <t>Velvet Sofia Estrada Ruiz</t>
  </si>
  <si>
    <t>Ventura Rivera, Rhode Esperanza</t>
  </si>
  <si>
    <t>Veronica Alejandra Barahona Santa Cruz</t>
  </si>
  <si>
    <t>Veronica Dalila Barrios Hernandez</t>
  </si>
  <si>
    <t>Veronica Sierra Xo</t>
  </si>
  <si>
    <t>Vicky Roxana Lopez Hernandez</t>
  </si>
  <si>
    <t>Victor Abraham Alvarado De La Cruz</t>
  </si>
  <si>
    <t>Victor Adolfo Barrios Monzon</t>
  </si>
  <si>
    <t>Victor Alfonso Ortega Torres</t>
  </si>
  <si>
    <t>Victor David Ixtabalan Batz</t>
  </si>
  <si>
    <t>Victor Demecio Leon Villeda</t>
  </si>
  <si>
    <t>Victor Hugo Fuentes Ortiz</t>
  </si>
  <si>
    <t>Victor Hugo Turriz Flores</t>
  </si>
  <si>
    <t xml:space="preserve">Victor Manuel Perez Salazar </t>
  </si>
  <si>
    <t>Victor Otoniel Sebastian Cardona</t>
  </si>
  <si>
    <t>Victoria Maria Llamas Perez</t>
  </si>
  <si>
    <t>Vila Lucrecia Vanegas Morales</t>
  </si>
  <si>
    <t>Vilma Lizeth Caal Yantuche</t>
  </si>
  <si>
    <t>Vilma Rossibel Mendez Vasquez</t>
  </si>
  <si>
    <t>Virginia Nohemi Perez Ajtum</t>
  </si>
  <si>
    <t>Virginia Yesenia Merida Lopez</t>
  </si>
  <si>
    <t>Vivi Lourdes Lopez Zuleta</t>
  </si>
  <si>
    <t>Vivian Alejandra Ramirez Samayoa</t>
  </si>
  <si>
    <t>Vivian Beatriz Rodriguez Orozco</t>
  </si>
  <si>
    <t>Vivian Celeste De Leon Rian</t>
  </si>
  <si>
    <t>Vivian Dinora Fuentes Carrillo</t>
  </si>
  <si>
    <t>Vivian Fabiola Cerezo Franco</t>
  </si>
  <si>
    <t xml:space="preserve">Vivian Noemy Lima Morataya </t>
  </si>
  <si>
    <t>Vivian Roxana Piedrasanta Rodriguez</t>
  </si>
  <si>
    <t>Vivian Samara Sanchez Lopez Mejia</t>
  </si>
  <si>
    <t>Viviana Isabet Machic Tiño</t>
  </si>
  <si>
    <t>Viviana Maribel Ortiz Barrios</t>
  </si>
  <si>
    <t>Walkiria Anais Herrera Castillo</t>
  </si>
  <si>
    <t>Walter Alberto Cermeño Orozco</t>
  </si>
  <si>
    <t>Walter Alberto Gomez Ojot</t>
  </si>
  <si>
    <t>Walter Daniel Perea Flores</t>
  </si>
  <si>
    <t>Walter David De Leon Gomez</t>
  </si>
  <si>
    <t>Walter Eduardo Rodas Rios</t>
  </si>
  <si>
    <t>Walter Estuardo Guerra López</t>
  </si>
  <si>
    <t>Walter Geovany Hernandez Hernandez</t>
  </si>
  <si>
    <t>Walter Josue Ampudia Martinez</t>
  </si>
  <si>
    <t>Walter Josue Corona Barrera</t>
  </si>
  <si>
    <t>Walter Yovany Sequec Lopic</t>
  </si>
  <si>
    <t>Wanda Marisol Cabrera Lemus</t>
  </si>
  <si>
    <t>Wander Andres Grijlava Porras</t>
  </si>
  <si>
    <t>Wendoly Beatriz Morales Cornel</t>
  </si>
  <si>
    <t>Wendy Abigail Guarcas Najarro</t>
  </si>
  <si>
    <t>Wendy Alejandra Cuyan Alvarez</t>
  </si>
  <si>
    <t>Wendy Aracely Marroquin Arias</t>
  </si>
  <si>
    <t>Wendy Carolina Lopez Alvizuriz</t>
  </si>
  <si>
    <t>Wendy Corina Najera Vasquez De De Jocol</t>
  </si>
  <si>
    <t>Wendy Daniela Camey Mateo</t>
  </si>
  <si>
    <t>Wendy Jazmin Huinac Vasquez</t>
  </si>
  <si>
    <t>Wendy Jessenia Arredondo Lopez</t>
  </si>
  <si>
    <t>Wendy Mariela Diaz Hernandez</t>
  </si>
  <si>
    <t>Wendy Nineth Perez Roque</t>
  </si>
  <si>
    <t>Wendy Paola Baquiax Cu</t>
  </si>
  <si>
    <t>Wendy Paola De Paz Prado</t>
  </si>
  <si>
    <t>Wendy Paola Rodriguez Gonzalez</t>
  </si>
  <si>
    <t>Wendy Paola Salvatierra Garcia</t>
  </si>
  <si>
    <t>Wendy Patricia Lopez Gonzalez</t>
  </si>
  <si>
    <t>Wendy Susana Chinchilla Cotill</t>
  </si>
  <si>
    <t>Wendy Victoria Rodriguez Chacon</t>
  </si>
  <si>
    <t>Wensler David Obando Polanco</t>
  </si>
  <si>
    <t>Wilda Yohandra Atz Cruz</t>
  </si>
  <si>
    <t>Wilfido Abraham Cardona Garcia</t>
  </si>
  <si>
    <t>Wilian Aroldo Lucero Cardona</t>
  </si>
  <si>
    <t>William Alexander Gonzalez Mendoza</t>
  </si>
  <si>
    <t>William Alexander Tobias Gomez</t>
  </si>
  <si>
    <t>William Eduardo Velasquez Castillo</t>
  </si>
  <si>
    <t>William Rodolfo Yool Tucux</t>
  </si>
  <si>
    <t>Williams Jose Galvez Jordan</t>
  </si>
  <si>
    <t>Willian Baldemar Castillo Ramirez</t>
  </si>
  <si>
    <t>Wilmar Joe Alexander Catun Artola</t>
  </si>
  <si>
    <t xml:space="preserve">Wilmer Alexander Hernandez Santos </t>
  </si>
  <si>
    <t>Wilmer Arnoldo Diaz Martinez</t>
  </si>
  <si>
    <t>Wilmer Benjamin Vasquez Puac</t>
  </si>
  <si>
    <t>Wilmer Esteban Lopez Hernandez</t>
  </si>
  <si>
    <t>Wilmer Estuardo Salama Golon</t>
  </si>
  <si>
    <t xml:space="preserve">Wilmer Guillermo Perez Chay </t>
  </si>
  <si>
    <t>Wilmer Josue Corado Ruiz</t>
  </si>
  <si>
    <t xml:space="preserve">Wilmer Noe Ochaita Cadenas </t>
  </si>
  <si>
    <t xml:space="preserve">Wilmer Omar Sinay Ramos </t>
  </si>
  <si>
    <t>Wilmer Ovando Mejia Godinez</t>
  </si>
  <si>
    <t>Wilny Yadira Morente Sanchez</t>
  </si>
  <si>
    <t>Wilson Arnoldo Lopez Revolorio</t>
  </si>
  <si>
    <t>Wilson Eli Pineda Argueta</t>
  </si>
  <si>
    <t>Wilson Estuardo Vicente Tzun</t>
  </si>
  <si>
    <t>Wilson Manuel Zuñiga Perez</t>
  </si>
  <si>
    <t>Wilson Moises Carias Santos</t>
  </si>
  <si>
    <t>Wuangler Geovane Cal Sucup</t>
  </si>
  <si>
    <t>Wuilson Ottoniel Hernandez Alonzo</t>
  </si>
  <si>
    <t>Xavier Alejandro Ramirez Diaz</t>
  </si>
  <si>
    <t>Xiomara Karina Rendon Peinado</t>
  </si>
  <si>
    <t>Xitimul Ramirez, Luis Carlos</t>
  </si>
  <si>
    <t>Yackelin Maribel Zamora Medina Requena</t>
  </si>
  <si>
    <t>Yagut Monterroso, Melvin Hermenegildo</t>
  </si>
  <si>
    <t>Yajaira Emiliana Reyes Zapet</t>
  </si>
  <si>
    <t>Yakelin Consuelo Zapeta Perez</t>
  </si>
  <si>
    <t>Yakelline Noemí Estrada Jimenez </t>
  </si>
  <si>
    <t>Yaquelin Alejandra Hernández Barrera</t>
  </si>
  <si>
    <t>Yaquelin Dinora Xicara Mejia</t>
  </si>
  <si>
    <t>Yaquelin Karina Virula Patzan Campos</t>
  </si>
  <si>
    <t xml:space="preserve">Yaquelin Noemi Aguilar Cacatzun </t>
  </si>
  <si>
    <t>Yaquelin Yessenia Sapon Gonzalez</t>
  </si>
  <si>
    <t>Yasmin Paola Sicay Marroquin</t>
  </si>
  <si>
    <t>Yefersson Zabala Aviles</t>
  </si>
  <si>
    <t>Yefri Carmelo Ortega Lopez</t>
  </si>
  <si>
    <t>Yefri Estuardo Lopez Velasquez</t>
  </si>
  <si>
    <t>Yefry Jesus Soto</t>
  </si>
  <si>
    <t>Yeimi Yareli Moscoso Guzman</t>
  </si>
  <si>
    <t>Yeison Lemuel Lopez Vasquez</t>
  </si>
  <si>
    <t>Yener Catarino Chilel Velasquez</t>
  </si>
  <si>
    <t xml:space="preserve">Yeni Amarilis Ruano </t>
  </si>
  <si>
    <t>Yeni Elizabeth Carrillo Barrios</t>
  </si>
  <si>
    <t>Yeni Jannet Morales Sintud</t>
  </si>
  <si>
    <t>Yeni Sabrina Ordonez Gonzalez De Chicas</t>
  </si>
  <si>
    <t>Yenica Limni Lopez Sebastian Quijivix</t>
  </si>
  <si>
    <t>Yenifer Alicia Yessenia Tzib Lemus</t>
  </si>
  <si>
    <t>Yenifer Antonieta Borja Aragon</t>
  </si>
  <si>
    <t xml:space="preserve">Yenifer Del Carmen Perez Aldana </t>
  </si>
  <si>
    <t>Yenifer Magali Arana Tezen</t>
  </si>
  <si>
    <t>Yeniffer Guadalupe Chiquin Carbonell</t>
  </si>
  <si>
    <t>Yenner Antonio Perez Castro</t>
  </si>
  <si>
    <t xml:space="preserve">Yeral Estiv Noj Flores </t>
  </si>
  <si>
    <t>Yesenia Guadalupe Ajcu Castillo</t>
  </si>
  <si>
    <t>Yesenia Nataly Alvarado Sarpec</t>
  </si>
  <si>
    <t>Yesenia Noemi Gutierrez Argueta</t>
  </si>
  <si>
    <t>Yesi Lisbet Fuentes Velarde</t>
  </si>
  <si>
    <t>Yesica Elizabet Marroquin Vielman</t>
  </si>
  <si>
    <t>Yessica Naomi Aguilar Quevedo</t>
  </si>
  <si>
    <t>Yessica Paola Perez Poma                          </t>
  </si>
  <si>
    <t>Yessica Yesenia Torres Valdes</t>
  </si>
  <si>
    <t xml:space="preserve">Yeymi Carolina Cux Tocay </t>
  </si>
  <si>
    <t>Yolanda Genoveva Lopez Bamaca</t>
  </si>
  <si>
    <t>Yolisma Yaneth Vasquez Najera</t>
  </si>
  <si>
    <t>Yonatan Alexander Perez Scott</t>
  </si>
  <si>
    <t>Yonatan Nazareth Zapeta Gomez</t>
  </si>
  <si>
    <t>Yonathan Neftali Moran Velasquez</t>
  </si>
  <si>
    <t>Yoni Adan Gutierrez Veliz</t>
  </si>
  <si>
    <t>Yoni Yosuen Rodriguez Sosa</t>
  </si>
  <si>
    <t>Yoselin Alejandra Barrios Reyes</t>
  </si>
  <si>
    <t>Yoselin Alejandra Moran Burgos</t>
  </si>
  <si>
    <t>Yoselin Andrea Cipriano Garcia</t>
  </si>
  <si>
    <t>Yoselin Ninet Lopez Quibaja</t>
  </si>
  <si>
    <t>Yoselin Paola Castillo Gue</t>
  </si>
  <si>
    <t>Yoselin Yesenia Perez Jimenez</t>
  </si>
  <si>
    <t>Yoselyn Michel Lopez Solis</t>
  </si>
  <si>
    <t>Yosselin Baleska Garcia Valdez</t>
  </si>
  <si>
    <t>Yubithza Azucena Gamez Agustin</t>
  </si>
  <si>
    <t>Yuliana Elizabeth Hernandez Lopez</t>
  </si>
  <si>
    <t>Yuri Elizabeth Gonon Pretzanzin</t>
  </si>
  <si>
    <t>Yuri Madali Cabrera Garcia</t>
  </si>
  <si>
    <t>Yuri Vanessa Bac Caal De Gomez</t>
  </si>
  <si>
    <t>Yuri Yesenia Beza Ramirez</t>
  </si>
  <si>
    <t>Yusleni Dorali Anzueto Vasquez</t>
  </si>
  <si>
    <t>Zacarias Rigoberto Cuc Tiul</t>
  </si>
  <si>
    <t>Zaira Eloiza Orantes Ramirez</t>
  </si>
  <si>
    <t>Zalma Esmeralda Flores Tojin</t>
  </si>
  <si>
    <t>Zavala Soto, Alisson Yisel</t>
  </si>
  <si>
    <t>Zecena Ramos, Kemberly Del Rosario</t>
  </si>
  <si>
    <t>Zenia Estefania Alvarado Alvarado</t>
  </si>
  <si>
    <t>Zoila Edmunda Pirir Tezen</t>
  </si>
  <si>
    <t>Zonia Esperanza Choc Reyes</t>
  </si>
  <si>
    <t>Zoraida Marisol Martinez Perez</t>
  </si>
  <si>
    <t>Zulema Noemy Aristondo Lopez</t>
  </si>
  <si>
    <t>Zulma Damaris Menchu Mendez</t>
  </si>
  <si>
    <t>Zulmy Paola Mateo Salazar</t>
  </si>
  <si>
    <t>Zuly Beatriz Lopez Martinez</t>
  </si>
  <si>
    <t>Zuryele Alfaro Gonzalez</t>
  </si>
  <si>
    <t xml:space="preserve">MONICA LAJ DE LA CRUZ </t>
  </si>
  <si>
    <t>Sindy Julissa Diaz Carias</t>
  </si>
  <si>
    <t>Ana Mishell Lopez Lemus</t>
  </si>
  <si>
    <t>Jose David Juarez Morales</t>
  </si>
  <si>
    <t>Ana Veliz Perez Martinez</t>
  </si>
  <si>
    <t>Hector Cacao Choc</t>
  </si>
  <si>
    <t>Gerson Celidon Melchor</t>
  </si>
  <si>
    <t>JAKELINE CHUN</t>
  </si>
  <si>
    <t>Gustavo Bol</t>
  </si>
  <si>
    <t xml:space="preserve">JOSE ANGEL PEREZ JIMENEZ </t>
  </si>
  <si>
    <t>KENIA ALEJANDRINA GUADALUPE DIAZ REYNA</t>
  </si>
  <si>
    <t>MARIO ALEJANDRO CUCUL RUIZ</t>
  </si>
  <si>
    <t>NERY AYU</t>
  </si>
  <si>
    <t>NORMA QUETZALY AC POP</t>
  </si>
  <si>
    <t>JOSELIN EDITH LOPEZ OLIVA</t>
  </si>
  <si>
    <t>BRITANY YUSELI MATHEU RAXIQUE</t>
  </si>
  <si>
    <t>KRISTAL ANDREA ALVARADO JUMIQUE</t>
  </si>
  <si>
    <t>MARELYN JEANNTH BARRIOS ALFARO</t>
  </si>
  <si>
    <t>ASLIN ESMERALDA MARTINEZ</t>
  </si>
  <si>
    <t>KENIA VANESA CUCUL LEONARDO</t>
  </si>
  <si>
    <t>MARIA OFELIA SOSA</t>
  </si>
  <si>
    <t>GEMA ELIZABETH MATUS CARRETO</t>
  </si>
  <si>
    <t>ELVY CANDELARIA JUC BIN</t>
  </si>
  <si>
    <t>KRISHNA MORALES</t>
  </si>
  <si>
    <t>DANIELA PONCE REYES</t>
  </si>
  <si>
    <t>SILVIA CAROLINA CAC CORTEZ</t>
  </si>
  <si>
    <t>JASMIN DAVILA</t>
  </si>
  <si>
    <t>VICTOR HUGO RAMIRES ENRIQUEZ</t>
  </si>
  <si>
    <t>Felipe De Jesus Hernandez Mejia</t>
  </si>
  <si>
    <t>JAZMIN ARACELY SOLIS SAGASTUME</t>
  </si>
  <si>
    <t>GERSON DANIEL MILIAN HERNANDEZ</t>
  </si>
  <si>
    <t xml:space="preserve">JENIFER SULEYDA RIVERA VELASQUEZ </t>
  </si>
  <si>
    <t>OSCAR MIGUEL QUEJ TILOM</t>
  </si>
  <si>
    <t>REYNA ADELAIDA CHAMAN CAAL</t>
  </si>
  <si>
    <t>CRISTHIAN ALEXANDER LOPEZ SUCHITE</t>
  </si>
  <si>
    <t>MAYNOR OTONIEL CHUB FELIPE</t>
  </si>
  <si>
    <t>MERCEDES QUEJ ISEM</t>
  </si>
  <si>
    <t>OLGA ESPERANZA SOLIS MENDEZ</t>
  </si>
  <si>
    <t>FIELFER OMAR TUN CHOC</t>
  </si>
  <si>
    <t>ANA LUISA CAHUEC JOJ</t>
  </si>
  <si>
    <t>JONATHAN OSORIO</t>
  </si>
  <si>
    <t>JAIRO OBED ALEXANDER TUL CHO</t>
  </si>
  <si>
    <t>MARYORI YAZMIN HERNANDEZ VALENZUELA</t>
  </si>
  <si>
    <t>ROSAURA YANETH POP WINTER</t>
  </si>
  <si>
    <t>Saddy Daniela Solá Aguilar</t>
  </si>
  <si>
    <t>ANDREA LUCIA GUZMAN GUERRA</t>
  </si>
  <si>
    <t>JENNIFER ANAYELI LOPEZ DEL CID</t>
  </si>
  <si>
    <t xml:space="preserve">JEFFERSON MAQUIN </t>
  </si>
  <si>
    <t>JENIFER DAYANI GODINEZ PÉREZ</t>
  </si>
  <si>
    <t>EMERSON EDUARDO ALEBÓN GARCÍA</t>
  </si>
  <si>
    <t>JOSE ARNOLDO RUANO CARDENAS</t>
  </si>
  <si>
    <t>AYRTON SALVADOR MORALES BUENAFE</t>
  </si>
  <si>
    <t xml:space="preserve">SULMY MARITZA GARCIA LEÓN </t>
  </si>
  <si>
    <t>PABLO ICO CO</t>
  </si>
  <si>
    <t>LIDIA GRICELDA DIAZ TORRES</t>
  </si>
  <si>
    <t>ANA MARIA LOPEZ</t>
  </si>
  <si>
    <t xml:space="preserve">KAFRI MAYERLI BAECHLI MARQUEZ </t>
  </si>
  <si>
    <t>SHIRLEN CIPRIAN</t>
  </si>
  <si>
    <t>Karla Aracely Esquipulas Coc</t>
  </si>
  <si>
    <t xml:space="preserve">KEVYN JOSE RODRIGUEZ GOMEZ </t>
  </si>
  <si>
    <t xml:space="preserve">LIDIA LORENA TICAS HUINIL </t>
  </si>
  <si>
    <t xml:space="preserve">ENRIQUE MARDOQUEO AGUILAR RODRIGUEZ </t>
  </si>
  <si>
    <t xml:space="preserve">SARA ELIZABETH SOL CHAVEZ </t>
  </si>
  <si>
    <t>Maria Galilea Pascual Lic</t>
  </si>
  <si>
    <t>KEVIN SURUY</t>
  </si>
  <si>
    <t>BRIAN STEVEN VALENZUELA DE PAZ</t>
  </si>
  <si>
    <t>OLGA NINETH GARCIA</t>
  </si>
  <si>
    <t>JAZMIN RUBI RAMIREZ CHAVEZ</t>
  </si>
  <si>
    <t>EVELYN YUNIRY URIZAR</t>
  </si>
  <si>
    <t xml:space="preserve">HENRY ESTUARDO ARRIOLA MEDINA </t>
  </si>
  <si>
    <t>ANDREA ROXANA SANTOS GALLARDO</t>
  </si>
  <si>
    <t>Melani Sarai Avalos Orellana</t>
  </si>
  <si>
    <t>Anabi Isabel Asencio Corado</t>
  </si>
  <si>
    <t>STEVE SOLIS</t>
  </si>
  <si>
    <t>OSCAR HUMBERTO CAAL GOMEZ</t>
  </si>
  <si>
    <t>BRAYAN ELI GARCIA DONIS</t>
  </si>
  <si>
    <t>DENIS JOSE IZAGUIRRE LEM</t>
  </si>
  <si>
    <t>LILIBETH ALEGRIA</t>
  </si>
  <si>
    <t>LIMNY ABIGAIL MORALES GONZALEZ</t>
  </si>
  <si>
    <t>NATALIA MARCELA CORTEZ</t>
  </si>
  <si>
    <t>BERTHA ANYELY AQUINO</t>
  </si>
  <si>
    <t>JOHNNY ALEXANDER TEJAXUN VELASQUEZ</t>
  </si>
  <si>
    <t>NATALIA SOFIA VASQUEZ</t>
  </si>
  <si>
    <t>ARIANA RODAS</t>
  </si>
  <si>
    <t>ANGELA BEATRIZ RAMIREZ ASTURIAS</t>
  </si>
  <si>
    <t>ANDREA MISHELLE MALDONADO LÓPEZ</t>
  </si>
  <si>
    <t>KEILY YOCASTA MEDEZ RAMOS</t>
  </si>
  <si>
    <t>Volker Edison Gonzalez Sanabria</t>
  </si>
  <si>
    <t>MARIA CELESTE DIAZ FAJARDO</t>
  </si>
  <si>
    <t>MARITZA NOEMI LOPEZ LIMA</t>
  </si>
  <si>
    <t>SERGIO ENRIQUE SONTAY MONROY</t>
  </si>
  <si>
    <t>EMILY DAYANA GUZMÁN CANTÉ</t>
  </si>
  <si>
    <t>MONICA ABIGAIL HERNANDEZ ALONZO</t>
  </si>
  <si>
    <t>Rubi Ixcoy</t>
  </si>
  <si>
    <t xml:space="preserve">ISABEL MARIA RAMOS </t>
  </si>
  <si>
    <t>RENE FERNANDO CRUZ PEDROZA</t>
  </si>
  <si>
    <t>SAYDA JIMENA SANCHEZ</t>
  </si>
  <si>
    <t>NATALY KRISTEL ROCIO LAM CETIVO</t>
  </si>
  <si>
    <t xml:space="preserve">JACKELINE KARINA CÓN VÁSQUEZ </t>
  </si>
  <si>
    <t>ALEJANDRA CASTILLO</t>
  </si>
  <si>
    <t>MARTHA DIAZ</t>
  </si>
  <si>
    <t>ENEYDA NOEMÍ PÉREZ MORALES</t>
  </si>
  <si>
    <t>EDISON RONALDO GOMEZ LOPEZ</t>
  </si>
  <si>
    <t>FRANCOS ASUSENA CUCUL RAXTUN</t>
  </si>
  <si>
    <t>KATHERYN MARIELA HERRERA</t>
  </si>
  <si>
    <t xml:space="preserve">MEYLIN ANDREA VASQUEZ </t>
  </si>
  <si>
    <t>MILDRE LETICIA VICENTE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</si>
</sst>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Q&quot;* #,##0.00_-;\-&quot;Q&quot;* #,##0.00_-;_-&quot;Q&quot;* &quot;-&quot;??_-;_-@_-"/>
    <numFmt numFmtId="165" formatCode="dd/mm/yyyy;@"/>
    <numFmt numFmtId="166" formatCode="_-&quot;Q&quot;* #,##0_-;\-&quot;Q&quot;* #,##0_-;_-&quot;Q&quot;* &quot;-&quot;??_-;_-@_-"/>
    <numFmt numFmtId="167" formatCode="&quot;Q&quot;#,##0"/>
    <numFmt numFmtId="168" formatCode="&quot;Q&quot;#,##0.00"/>
    <numFmt numFmtId="169" formatCode="_(* #,##0_);_(* \(#,##0\);_(* &quot;-&quot;_);_(@_)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rgb="FF666366"/>
      <name val="Arial"/>
      <family val="2"/>
    </font>
    <font>
      <b/>
      <sz val="12"/>
      <color theme="1"/>
      <name val="Aptos"/>
      <family val="2"/>
    </font>
    <font>
      <sz val="12"/>
      <color theme="1"/>
      <name val="Calibri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9"/>
      <color rgb="FF666366"/>
      <name val="Arial"/>
      <family val="2"/>
    </font>
    <font>
      <sz val="12"/>
      <color rgb="FF000000"/>
      <name val="Lucida Sans Unicode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8"/>
      <color rgb="FF000000"/>
      <name val="Verdana"/>
      <family val="2"/>
    </font>
    <font>
      <sz val="11"/>
      <color theme="1"/>
      <name val="CENTU"/>
    </font>
    <font>
      <sz val="9"/>
      <color theme="1"/>
      <name val="Aptos Narrow"/>
      <family val="2"/>
      <scheme val="minor"/>
    </font>
    <font>
      <i/>
      <sz val="12"/>
      <color theme="1"/>
      <name val="Arial"/>
      <family val="2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i/>
      <sz val="11"/>
      <color theme="1"/>
      <name val="Aptos Narrow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1"/>
      <color rgb="FF000000"/>
      <name val="Aptos Narrow"/>
      <family val="2"/>
    </font>
    <font>
      <sz val="12"/>
      <color rgb="FF000000"/>
      <name val="Arial"/>
      <family val="2"/>
    </font>
    <font>
      <sz val="11"/>
      <color rgb="FF000000"/>
      <name val="Segoe UI"/>
      <family val="2"/>
    </font>
    <font>
      <sz val="10"/>
      <color rgb="FF252424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5" fillId="0" borderId="0">
      <alignment vertical="top"/>
    </xf>
    <xf numFmtId="0" fontId="1" fillId="0" borderId="0"/>
    <xf numFmtId="0" fontId="29" fillId="0" borderId="0" applyNumberFormat="0" applyFill="0" applyBorder="0" applyAlignment="0" applyProtection="0">
      <alignment vertical="top"/>
    </xf>
  </cellStyleXfs>
  <cellXfs count="101">
    <xf numFmtId="0" fontId="0" fillId="0" borderId="0" xfId="0"/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4" fontId="4" fillId="4" borderId="0" xfId="0" applyNumberFormat="1" applyFont="1" applyFill="1" applyAlignment="1" applyProtection="1">
      <alignment horizontal="center" vertical="center"/>
      <protection locked="0"/>
    </xf>
    <xf numFmtId="14" fontId="4" fillId="5" borderId="0" xfId="0" applyNumberFormat="1" applyFont="1" applyFill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center" vertical="center"/>
    </xf>
    <xf numFmtId="0" fontId="5" fillId="4" borderId="0" xfId="0" applyFont="1" applyFill="1" applyAlignment="1" applyProtection="1">
      <alignment horizontal="left" vertical="center"/>
      <protection locked="0"/>
    </xf>
    <xf numFmtId="0" fontId="4" fillId="4" borderId="0" xfId="0" applyFont="1" applyFill="1" applyAlignment="1">
      <alignment horizontal="left" vertical="center"/>
    </xf>
    <xf numFmtId="164" fontId="2" fillId="6" borderId="0" xfId="1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165" fontId="0" fillId="7" borderId="0" xfId="0" applyNumberFormat="1" applyFill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" fontId="0" fillId="0" borderId="0" xfId="1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Alignment="1" applyProtection="1">
      <alignment horizontal="center" vertical="center"/>
    </xf>
    <xf numFmtId="167" fontId="0" fillId="0" borderId="0" xfId="0" applyNumberFormat="1" applyAlignment="1" applyProtection="1">
      <alignment horizontal="center" vertical="center"/>
      <protection locked="0"/>
    </xf>
    <xf numFmtId="0" fontId="0" fillId="8" borderId="0" xfId="0" applyFill="1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1" applyNumberFormat="1" applyFont="1" applyFill="1" applyAlignment="1">
      <alignment horizontal="left"/>
    </xf>
    <xf numFmtId="1" fontId="0" fillId="0" borderId="0" xfId="1" applyNumberFormat="1" applyFont="1" applyFill="1" applyBorder="1" applyAlignment="1">
      <alignment horizontal="left"/>
    </xf>
    <xf numFmtId="166" fontId="0" fillId="0" borderId="0" xfId="1" applyNumberFormat="1" applyFont="1" applyFill="1" applyBorder="1" applyAlignment="1" applyProtection="1">
      <alignment horizontal="left" vertical="center"/>
    </xf>
    <xf numFmtId="0" fontId="0" fillId="0" borderId="0" xfId="1" applyNumberFormat="1" applyFont="1" applyFill="1" applyBorder="1" applyAlignment="1">
      <alignment horizontal="left" wrapText="1"/>
    </xf>
    <xf numFmtId="165" fontId="0" fillId="0" borderId="0" xfId="0" applyNumberFormat="1" applyAlignment="1">
      <alignment horizontal="center"/>
    </xf>
    <xf numFmtId="0" fontId="0" fillId="0" borderId="0" xfId="1" applyNumberFormat="1" applyFont="1" applyFill="1" applyBorder="1" applyAlignment="1">
      <alignment horizontal="left"/>
    </xf>
    <xf numFmtId="0" fontId="0" fillId="8" borderId="0" xfId="0" applyFill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68" fontId="0" fillId="0" borderId="0" xfId="0" applyNumberFormat="1"/>
    <xf numFmtId="0" fontId="8" fillId="0" borderId="0" xfId="0" applyFont="1" applyAlignment="1">
      <alignment horizontal="left"/>
    </xf>
    <xf numFmtId="0" fontId="0" fillId="8" borderId="1" xfId="0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" fontId="1" fillId="0" borderId="0" xfId="1" applyNumberFormat="1" applyFont="1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0" borderId="0" xfId="1" applyNumberFormat="1" applyFont="1" applyFill="1" applyAlignment="1">
      <alignment horizontal="left" wrapText="1"/>
    </xf>
    <xf numFmtId="0" fontId="14" fillId="0" borderId="0" xfId="0" applyFont="1" applyAlignment="1">
      <alignment horizontal="left"/>
    </xf>
    <xf numFmtId="14" fontId="0" fillId="7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6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1" applyNumberFormat="1" applyFont="1" applyFill="1" applyAlignment="1">
      <alignment horizontal="left"/>
    </xf>
    <xf numFmtId="0" fontId="16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1" applyNumberFormat="1" applyFont="1" applyFill="1" applyBorder="1" applyAlignment="1" applyProtection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7" borderId="0" xfId="0" applyNumberFormat="1" applyFill="1" applyAlignment="1">
      <alignment horizontal="center"/>
    </xf>
    <xf numFmtId="0" fontId="15" fillId="0" borderId="0" xfId="1" applyNumberFormat="1" applyFont="1" applyFill="1" applyBorder="1" applyAlignment="1">
      <alignment horizontal="left"/>
    </xf>
    <xf numFmtId="0" fontId="0" fillId="8" borderId="0" xfId="0" applyFill="1" applyAlignment="1">
      <alignment horizontal="center"/>
    </xf>
    <xf numFmtId="0" fontId="17" fillId="0" borderId="0" xfId="0" applyFont="1" applyAlignment="1">
      <alignment horizontal="left"/>
    </xf>
    <xf numFmtId="166" fontId="1" fillId="0" borderId="0" xfId="1" applyNumberFormat="1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165" fontId="0" fillId="0" borderId="0" xfId="0" applyNumberFormat="1" applyAlignment="1">
      <alignment horizontal="center" vertical="center"/>
    </xf>
    <xf numFmtId="0" fontId="1" fillId="0" borderId="0" xfId="1" applyNumberFormat="1" applyFont="1" applyFill="1" applyAlignment="1" applyProtection="1">
      <alignment horizontal="center" vertical="center"/>
    </xf>
    <xf numFmtId="164" fontId="1" fillId="0" borderId="0" xfId="1" applyFont="1" applyFill="1" applyBorder="1" applyAlignment="1" applyProtection="1">
      <alignment horizontal="left" vertical="center"/>
      <protection locked="0"/>
    </xf>
    <xf numFmtId="169" fontId="26" fillId="9" borderId="2" xfId="2" applyNumberFormat="1" applyFont="1" applyFill="1" applyBorder="1" applyAlignment="1">
      <alignment horizontal="center" vertical="center" wrapText="1"/>
    </xf>
    <xf numFmtId="0" fontId="27" fillId="10" borderId="1" xfId="0" quotePrefix="1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8" fillId="0" borderId="2" xfId="3" applyFont="1" applyBorder="1" applyAlignment="1">
      <alignment vertical="center" readingOrder="1"/>
    </xf>
    <xf numFmtId="0" fontId="28" fillId="0" borderId="2" xfId="4" applyFont="1" applyFill="1" applyBorder="1" applyAlignment="1">
      <alignment horizontal="left" vertical="center"/>
    </xf>
    <xf numFmtId="0" fontId="14" fillId="0" borderId="3" xfId="0" applyFont="1" applyBorder="1" applyAlignment="1">
      <alignment horizontal="left"/>
    </xf>
    <xf numFmtId="0" fontId="14" fillId="0" borderId="3" xfId="0" quotePrefix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12" borderId="0" xfId="0" applyFill="1"/>
    <xf numFmtId="0" fontId="28" fillId="13" borderId="2" xfId="3" applyFont="1" applyFill="1" applyBorder="1" applyAlignment="1">
      <alignment vertical="center" readingOrder="1"/>
    </xf>
    <xf numFmtId="0" fontId="28" fillId="0" borderId="4" xfId="3" applyFont="1" applyBorder="1" applyAlignment="1">
      <alignment vertical="center" readingOrder="1"/>
    </xf>
    <xf numFmtId="0" fontId="28" fillId="0" borderId="4" xfId="4" applyFont="1" applyFill="1" applyBorder="1" applyAlignment="1">
      <alignment horizontal="left" vertical="center"/>
    </xf>
    <xf numFmtId="0" fontId="25" fillId="0" borderId="0" xfId="0" applyFont="1" applyAlignment="1" applyProtection="1">
      <alignment vertical="center"/>
      <protection locked="0"/>
    </xf>
    <xf numFmtId="0" fontId="30" fillId="0" borderId="0" xfId="0" applyFont="1"/>
    <xf numFmtId="0" fontId="31" fillId="0" borderId="0" xfId="0" applyFont="1"/>
    <xf numFmtId="0" fontId="0" fillId="0" borderId="0" xfId="0" applyAlignment="1">
      <alignment wrapText="1"/>
    </xf>
    <xf numFmtId="0" fontId="32" fillId="0" borderId="0" xfId="0" applyFont="1"/>
    <xf numFmtId="0" fontId="17" fillId="0" borderId="0" xfId="0" applyFont="1" applyAlignment="1">
      <alignment horizontal="left" vertical="top"/>
    </xf>
    <xf numFmtId="0" fontId="0" fillId="0" borderId="0" xfId="1" applyNumberFormat="1" applyFont="1" applyFill="1"/>
    <xf numFmtId="166" fontId="0" fillId="0" borderId="0" xfId="1" applyNumberFormat="1" applyFont="1" applyFill="1"/>
    <xf numFmtId="0" fontId="0" fillId="14" borderId="0" xfId="0" applyFill="1"/>
    <xf numFmtId="0" fontId="0" fillId="8" borderId="0" xfId="0" applyFill="1"/>
    <xf numFmtId="0" fontId="33" fillId="0" borderId="0" xfId="0" applyFont="1" applyAlignment="1">
      <alignment horizontal="left" vertical="center"/>
    </xf>
    <xf numFmtId="0" fontId="19" fillId="15" borderId="0" xfId="0" applyFont="1" applyFill="1" applyAlignment="1">
      <alignment horizontal="right" indent="1"/>
    </xf>
    <xf numFmtId="0" fontId="19" fillId="0" borderId="0" xfId="0" applyFont="1"/>
    <xf numFmtId="0" fontId="0" fillId="0" borderId="1" xfId="0" applyBorder="1"/>
    <xf numFmtId="1" fontId="0" fillId="0" borderId="0" xfId="1" applyNumberFormat="1" applyFont="1" applyFill="1" applyAlignment="1"/>
    <xf numFmtId="0" fontId="0" fillId="0" borderId="0" xfId="0" applyAlignment="1" applyProtection="1">
      <alignment vertical="center"/>
      <protection locked="0"/>
    </xf>
    <xf numFmtId="1" fontId="0" fillId="0" borderId="0" xfId="1" applyNumberFormat="1" applyFont="1" applyFill="1"/>
    <xf numFmtId="0" fontId="0" fillId="0" borderId="1" xfId="0" applyBorder="1" applyAlignment="1">
      <alignment horizontal="center"/>
    </xf>
  </cellXfs>
  <cellStyles count="5">
    <cellStyle name="Moneda 2" xfId="1" xr:uid="{DC50FFA2-DC07-4CF9-A008-432B6EBBA3DA}"/>
    <cellStyle name="NivelCol_1" xfId="4" builtinId="2" iLevel="0"/>
    <cellStyle name="Normal" xfId="0" builtinId="0"/>
    <cellStyle name="Normal 6 10 4" xfId="3" xr:uid="{057E4D4A-1FEC-411E-89CC-9D13812A95C1}"/>
    <cellStyle name="Normal_Hoja1" xfId="2" xr:uid="{857B9966-A00D-4454-8865-76E8D581DD72}"/>
  </cellStyles>
  <dxfs count="1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Microsoft/Olk/Attachments/ooa-92f80348-1d9b-4e48-90c3-560a24368c7a/e33766c8e07af7645ac1c8092d489a7517a34c42824a8f59a3bd240b04583809/REPORTE%20SEPTIEMBRE%202026%20(1).xlsx" TargetMode="External"/><Relationship Id="rId2" Type="http://schemas.openxmlformats.org/officeDocument/2006/relationships/externalLinkPath" Target="file:///C:\Users\jcoudere\AppData\Local\Microsoft\Olk\Attachments\ooa-92f80348-1d9b-4e48-90c3-560a24368c7a\e33766c8e07af7645ac1c8092d489a7517a34c42824a8f59a3bd240b04583809\REPORTE%20SEPTIEMBRE%202026%20(1).xlsx" TargetMode="External"/><Relationship Id="rId1" Type="http://schemas.openxmlformats.org/officeDocument/2006/relationships/externalLinkPath" Target="/Users/jcoudere/AppData/Local/Microsoft/Olk/Attachments/ooa-92f80348-1d9b-4e48-90c3-560a24368c7a/e33766c8e07af7645ac1c8092d489a7517a34c42824a8f59a3bd240b04583809/REPORTE%20SEPTIEMBRE%202026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lex.ramirez\Desktop\Fenix\Proyecto%20Metas%202016%20Asesores%20Comercia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p"/>
      <sheetName val="Datos"/>
      <sheetName val="Hoja1"/>
    </sheetNames>
    <sheetDataSet>
      <sheetData sheetId="0"/>
      <sheetData sheetId="1">
        <row r="1">
          <cell r="A1" t="str">
            <v>FTE.</v>
          </cell>
          <cell r="B1" t="str">
            <v xml:space="preserve">AGENCIA  </v>
          </cell>
          <cell r="C1" t="str">
            <v>ZONA</v>
          </cell>
          <cell r="F1" t="str">
            <v>Codigo Empleado</v>
          </cell>
          <cell r="G1" t="str">
            <v>Nombre Empleado</v>
          </cell>
          <cell r="H1" t="str">
            <v>Codigo Empleado</v>
          </cell>
          <cell r="J1" t="str">
            <v>Producto</v>
          </cell>
          <cell r="K1" t="str">
            <v>1 año</v>
          </cell>
          <cell r="P1" t="str">
            <v>Producto</v>
          </cell>
          <cell r="Q1" t="str">
            <v>1 año</v>
          </cell>
          <cell r="R1" t="str">
            <v>2 años</v>
          </cell>
          <cell r="S1" t="str">
            <v>3 años</v>
          </cell>
          <cell r="T1" t="str">
            <v>4 años</v>
          </cell>
        </row>
        <row r="2">
          <cell r="A2">
            <v>14</v>
          </cell>
          <cell r="B2" t="str">
            <v>PRADERA</v>
          </cell>
          <cell r="C2" t="str">
            <v>AMERICAS</v>
          </cell>
          <cell r="F2">
            <v>311961</v>
          </cell>
          <cell r="G2" t="str">
            <v xml:space="preserve"> Abner Eli Gonzalez Gonzalez</v>
          </cell>
          <cell r="H2">
            <v>0</v>
          </cell>
          <cell r="J2" t="str">
            <v>VIDA+SEGURO</v>
          </cell>
          <cell r="K2">
            <v>816</v>
          </cell>
          <cell r="P2" t="str">
            <v>VIDA+SEGURO</v>
          </cell>
          <cell r="Q2">
            <v>888</v>
          </cell>
          <cell r="R2">
            <v>1776</v>
          </cell>
          <cell r="S2">
            <v>2664</v>
          </cell>
          <cell r="T2">
            <v>3552</v>
          </cell>
        </row>
        <row r="3">
          <cell r="A3">
            <v>53</v>
          </cell>
          <cell r="B3" t="str">
            <v>PUERTA PARADA</v>
          </cell>
          <cell r="C3" t="str">
            <v>AMERICAS</v>
          </cell>
          <cell r="F3">
            <v>305051</v>
          </cell>
          <cell r="G3" t="str">
            <v xml:space="preserve"> Amalia Cifuentes Gramajo</v>
          </cell>
          <cell r="H3">
            <v>0</v>
          </cell>
          <cell r="J3" t="str">
            <v>CONSULTA COMPLETO + BIENESTAR</v>
          </cell>
          <cell r="K3">
            <v>2472</v>
          </cell>
          <cell r="P3" t="str">
            <v>CONSULTA COMPLETO + BIENESTAR</v>
          </cell>
          <cell r="Q3">
            <v>2067</v>
          </cell>
          <cell r="R3">
            <v>4134</v>
          </cell>
          <cell r="S3">
            <v>6201</v>
          </cell>
          <cell r="T3">
            <v>8268</v>
          </cell>
        </row>
        <row r="4">
          <cell r="A4">
            <v>54</v>
          </cell>
          <cell r="B4" t="str">
            <v>LAS CONCHAS ZONA 14</v>
          </cell>
          <cell r="C4" t="str">
            <v>AMERICAS</v>
          </cell>
          <cell r="F4">
            <v>308201</v>
          </cell>
          <cell r="G4" t="str">
            <v xml:space="preserve"> Amparo Janet Cardona Linares</v>
          </cell>
          <cell r="H4">
            <v>0</v>
          </cell>
          <cell r="J4" t="str">
            <v>CONSULTA BASICO</v>
          </cell>
          <cell r="K4">
            <v>1428</v>
          </cell>
          <cell r="P4" t="str">
            <v>CONSULTA BASICO</v>
          </cell>
          <cell r="Q4">
            <v>1548</v>
          </cell>
          <cell r="R4">
            <v>3096</v>
          </cell>
          <cell r="S4">
            <v>4644</v>
          </cell>
          <cell r="T4">
            <v>6192</v>
          </cell>
        </row>
        <row r="5">
          <cell r="A5">
            <v>58</v>
          </cell>
          <cell r="B5" t="str">
            <v>EUROPLAZA</v>
          </cell>
          <cell r="C5" t="str">
            <v>AMERICAS</v>
          </cell>
          <cell r="F5">
            <v>311188</v>
          </cell>
          <cell r="G5" t="str">
            <v xml:space="preserve"> Ana Ester Cuyan Aguilar De Dominguez</v>
          </cell>
          <cell r="H5">
            <v>0</v>
          </cell>
          <cell r="J5" t="str">
            <v>CONSULTA BASICO + BIENESTAR</v>
          </cell>
          <cell r="K5">
            <v>1908</v>
          </cell>
          <cell r="P5" t="str">
            <v>CONSULTA BASICO + BIENESTAR</v>
          </cell>
          <cell r="Q5">
            <v>2676</v>
          </cell>
          <cell r="R5">
            <v>5352</v>
          </cell>
          <cell r="S5">
            <v>8028</v>
          </cell>
          <cell r="T5">
            <v>10704</v>
          </cell>
        </row>
        <row r="6">
          <cell r="A6">
            <v>71</v>
          </cell>
          <cell r="B6" t="str">
            <v>VISTA HERMOSA</v>
          </cell>
          <cell r="C6" t="str">
            <v>AMERICAS</v>
          </cell>
          <cell r="F6">
            <v>311460</v>
          </cell>
          <cell r="G6" t="str">
            <v xml:space="preserve"> Ana Vilma Bamaca Cardona</v>
          </cell>
          <cell r="H6">
            <v>0</v>
          </cell>
          <cell r="J6" t="str">
            <v>MULTIASISTENCIAS</v>
          </cell>
          <cell r="K6">
            <v>1704</v>
          </cell>
          <cell r="P6" t="str">
            <v>MULTIASISTENCIAS</v>
          </cell>
          <cell r="Q6">
            <v>1848</v>
          </cell>
          <cell r="R6">
            <v>3696</v>
          </cell>
          <cell r="S6">
            <v>5544</v>
          </cell>
          <cell r="T6">
            <v>7392</v>
          </cell>
        </row>
        <row r="7">
          <cell r="A7">
            <v>90</v>
          </cell>
          <cell r="B7" t="str">
            <v>CENTRO MEDICO</v>
          </cell>
          <cell r="C7" t="str">
            <v>REFORMA</v>
          </cell>
          <cell r="F7">
            <v>306579</v>
          </cell>
          <cell r="G7" t="str">
            <v xml:space="preserve"> Angel Emilio De Jesus Morales Ramirez</v>
          </cell>
          <cell r="H7">
            <v>0</v>
          </cell>
          <cell r="J7" t="str">
            <v>AP DENTAL FAMILIAR</v>
          </cell>
          <cell r="K7">
            <v>1332</v>
          </cell>
          <cell r="P7" t="str">
            <v>AP DENTAL FAMILIAR</v>
          </cell>
          <cell r="Q7">
            <v>1440</v>
          </cell>
          <cell r="R7">
            <v>2880</v>
          </cell>
          <cell r="S7">
            <v>4320</v>
          </cell>
          <cell r="T7">
            <v>5760</v>
          </cell>
        </row>
        <row r="8">
          <cell r="A8">
            <v>92</v>
          </cell>
          <cell r="B8" t="str">
            <v>CONDADO CONCEPCION</v>
          </cell>
          <cell r="C8" t="str">
            <v>AMERICAS</v>
          </cell>
          <cell r="F8">
            <v>312284</v>
          </cell>
          <cell r="G8" t="str">
            <v xml:space="preserve"> Arnoldo Coque Hernandez</v>
          </cell>
          <cell r="H8">
            <v>0</v>
          </cell>
          <cell r="J8" t="str">
            <v>AP BIENESTAR</v>
          </cell>
          <cell r="K8">
            <v>1008</v>
          </cell>
          <cell r="P8" t="str">
            <v>AP BIENESTAR</v>
          </cell>
          <cell r="Q8">
            <v>1092</v>
          </cell>
          <cell r="R8">
            <v>2184</v>
          </cell>
          <cell r="S8">
            <v>3276</v>
          </cell>
          <cell r="T8">
            <v>4368</v>
          </cell>
        </row>
        <row r="9">
          <cell r="A9">
            <v>224</v>
          </cell>
          <cell r="B9" t="str">
            <v>MINUTO CARRETERA A EL SALVADOR</v>
          </cell>
          <cell r="C9" t="str">
            <v>AMERICAS</v>
          </cell>
          <cell r="F9">
            <v>311234</v>
          </cell>
          <cell r="G9" t="str">
            <v xml:space="preserve"> Astrid Marlene Diaz</v>
          </cell>
          <cell r="H9">
            <v>0</v>
          </cell>
          <cell r="J9" t="str">
            <v>AUTO+SEGURO (AUTO)</v>
          </cell>
          <cell r="K9">
            <v>2052</v>
          </cell>
          <cell r="P9" t="str">
            <v>AUTO+SEGURO (AUTO)</v>
          </cell>
          <cell r="Q9">
            <v>1417</v>
          </cell>
          <cell r="R9">
            <v>2834</v>
          </cell>
          <cell r="S9">
            <v>4251</v>
          </cell>
          <cell r="T9">
            <v>5668</v>
          </cell>
        </row>
        <row r="10">
          <cell r="A10">
            <v>226</v>
          </cell>
          <cell r="B10" t="str">
            <v>SAN JOSE PINULA</v>
          </cell>
          <cell r="C10" t="str">
            <v>AMERICAS</v>
          </cell>
          <cell r="F10">
            <v>308361</v>
          </cell>
          <cell r="G10" t="str">
            <v xml:space="preserve"> Brenda Maribel Orozco Mendoza</v>
          </cell>
          <cell r="H10">
            <v>0</v>
          </cell>
          <cell r="J10" t="str">
            <v>PREVENCION+SEGURA</v>
          </cell>
          <cell r="K10">
            <v>1092</v>
          </cell>
          <cell r="P10" t="str">
            <v>PREVENCION+SEGURA</v>
          </cell>
          <cell r="Q10">
            <v>1200</v>
          </cell>
          <cell r="R10">
            <v>2400</v>
          </cell>
          <cell r="S10">
            <v>3600</v>
          </cell>
          <cell r="T10">
            <v>4800</v>
          </cell>
        </row>
        <row r="11">
          <cell r="A11">
            <v>231</v>
          </cell>
          <cell r="B11" t="str">
            <v>SANTA AMELIA ZONA 16</v>
          </cell>
          <cell r="C11" t="str">
            <v>AMERICAS</v>
          </cell>
          <cell r="F11">
            <v>309678</v>
          </cell>
          <cell r="G11" t="str">
            <v xml:space="preserve"> Carla Noemi Irias Alvarez</v>
          </cell>
          <cell r="H11">
            <v>0</v>
          </cell>
          <cell r="J11" t="str">
            <v>AP DENTAL INDIVIDUAL</v>
          </cell>
          <cell r="K11">
            <v>1308</v>
          </cell>
          <cell r="P11" t="str">
            <v>AP DENTAL INDIVIDUAL</v>
          </cell>
          <cell r="Q11">
            <v>1416</v>
          </cell>
          <cell r="R11">
            <v>2832</v>
          </cell>
          <cell r="S11">
            <v>4248</v>
          </cell>
          <cell r="T11">
            <v>5664</v>
          </cell>
        </row>
        <row r="12">
          <cell r="A12">
            <v>278</v>
          </cell>
          <cell r="B12" t="str">
            <v>HINCAPIE</v>
          </cell>
          <cell r="C12" t="str">
            <v>AMERICAS</v>
          </cell>
          <cell r="F12">
            <v>311232</v>
          </cell>
          <cell r="G12" t="str">
            <v xml:space="preserve"> Carlos Alberto Roque Galicia</v>
          </cell>
          <cell r="H12">
            <v>0</v>
          </cell>
          <cell r="J12" t="str">
            <v>CONSULTA COMPLETO</v>
          </cell>
          <cell r="K12">
            <v>2004</v>
          </cell>
          <cell r="P12" t="str">
            <v>CONSULTA COMPLETO</v>
          </cell>
          <cell r="Q12">
            <v>2172</v>
          </cell>
          <cell r="R12">
            <v>4344</v>
          </cell>
          <cell r="S12">
            <v>6516</v>
          </cell>
          <cell r="T12">
            <v>8688</v>
          </cell>
        </row>
        <row r="13">
          <cell r="A13">
            <v>294</v>
          </cell>
          <cell r="B13" t="str">
            <v>PLAZA ZONA 14</v>
          </cell>
          <cell r="C13" t="str">
            <v>AMERICAS</v>
          </cell>
          <cell r="F13">
            <v>312015</v>
          </cell>
          <cell r="G13" t="str">
            <v xml:space="preserve"> Carlos Alfredo Cuc Cuxe</v>
          </cell>
          <cell r="H13">
            <v>0</v>
          </cell>
          <cell r="J13" t="str">
            <v>AUTO+SEGURO (PICK UP)</v>
          </cell>
          <cell r="K13">
            <v>2460</v>
          </cell>
          <cell r="P13" t="str">
            <v>AUTO+SEGURO (PICK UP)</v>
          </cell>
          <cell r="Q13">
            <v>1937</v>
          </cell>
          <cell r="R13">
            <v>3874</v>
          </cell>
          <cell r="S13">
            <v>5811</v>
          </cell>
          <cell r="T13">
            <v>7748</v>
          </cell>
        </row>
        <row r="14">
          <cell r="A14">
            <v>306</v>
          </cell>
          <cell r="B14" t="str">
            <v>PLAZA VARIETA</v>
          </cell>
          <cell r="C14" t="str">
            <v>AMERICAS</v>
          </cell>
          <cell r="F14">
            <v>311704</v>
          </cell>
          <cell r="G14" t="str">
            <v xml:space="preserve"> Celedonia Isabel Chan Batz De Iscaya</v>
          </cell>
          <cell r="H14">
            <v>0</v>
          </cell>
          <cell r="J14" t="str">
            <v>VIDA+SEGURO PLAN 1</v>
          </cell>
          <cell r="K14">
            <v>1368</v>
          </cell>
          <cell r="P14" t="str">
            <v>VIDA+SEGURO PLAN 1</v>
          </cell>
          <cell r="Q14">
            <v>1488</v>
          </cell>
          <cell r="R14">
            <v>2976</v>
          </cell>
          <cell r="S14">
            <v>4464</v>
          </cell>
          <cell r="T14">
            <v>5952</v>
          </cell>
        </row>
        <row r="15">
          <cell r="A15">
            <v>338</v>
          </cell>
          <cell r="B15" t="str">
            <v>SPAZIO</v>
          </cell>
          <cell r="C15" t="str">
            <v>AMERICAS</v>
          </cell>
          <cell r="F15">
            <v>311894</v>
          </cell>
          <cell r="G15" t="str">
            <v xml:space="preserve"> Christyan Stuardo Ronquillo Saravia</v>
          </cell>
          <cell r="H15">
            <v>0</v>
          </cell>
          <cell r="J15" t="str">
            <v>VIDA+SEGURO PLAN 2</v>
          </cell>
          <cell r="K15">
            <v>2736</v>
          </cell>
          <cell r="P15" t="str">
            <v>VIDA+SEGURO PLAN 2</v>
          </cell>
          <cell r="Q15">
            <v>2964</v>
          </cell>
          <cell r="R15">
            <v>5928</v>
          </cell>
          <cell r="S15">
            <v>8892</v>
          </cell>
          <cell r="T15">
            <v>11856</v>
          </cell>
        </row>
        <row r="16">
          <cell r="A16">
            <v>1000</v>
          </cell>
          <cell r="B16" t="str">
            <v>PLAZA FINANCIERA</v>
          </cell>
          <cell r="C16" t="str">
            <v>AMERICAS</v>
          </cell>
          <cell r="F16">
            <v>308901</v>
          </cell>
          <cell r="G16" t="str">
            <v xml:space="preserve"> David Estuardo Rosales Corado</v>
          </cell>
          <cell r="H16">
            <v>0</v>
          </cell>
          <cell r="J16" t="str">
            <v>VIDA+SEGURO PLAN 3</v>
          </cell>
          <cell r="K16">
            <v>4104</v>
          </cell>
          <cell r="P16" t="str">
            <v>VIDA+SEGURO PLAN 3</v>
          </cell>
          <cell r="Q16">
            <v>4452</v>
          </cell>
          <cell r="R16">
            <v>8904</v>
          </cell>
          <cell r="S16">
            <v>13356</v>
          </cell>
          <cell r="T16">
            <v>17808</v>
          </cell>
        </row>
        <row r="17">
          <cell r="A17">
            <v>1</v>
          </cell>
          <cell r="B17" t="str">
            <v>FUNDACION</v>
          </cell>
          <cell r="C17" t="str">
            <v>CENTRO ATLANTICO</v>
          </cell>
          <cell r="F17">
            <v>310382</v>
          </cell>
          <cell r="G17" t="str">
            <v xml:space="preserve"> David Gilberto Perez Mayorga</v>
          </cell>
          <cell r="H17">
            <v>0</v>
          </cell>
          <cell r="J17" t="str">
            <v>VIDA+SEGURO PLAN 4</v>
          </cell>
          <cell r="K17">
            <v>5460</v>
          </cell>
          <cell r="P17" t="str">
            <v>VIDA+SEGURO PLAN 4</v>
          </cell>
          <cell r="Q17">
            <v>5916</v>
          </cell>
          <cell r="R17">
            <v>11832</v>
          </cell>
          <cell r="S17">
            <v>17748</v>
          </cell>
          <cell r="T17">
            <v>23664</v>
          </cell>
        </row>
        <row r="18">
          <cell r="A18">
            <v>2</v>
          </cell>
          <cell r="B18" t="str">
            <v>ZONA 1</v>
          </cell>
          <cell r="C18" t="str">
            <v>CENTRO ATLANTICO</v>
          </cell>
          <cell r="F18">
            <v>312069</v>
          </cell>
          <cell r="G18" t="str">
            <v xml:space="preserve"> De Leon Cach Roberto Carlos</v>
          </cell>
          <cell r="H18">
            <v>0</v>
          </cell>
          <cell r="J18" t="str">
            <v>VIDA+SEGURO PLAN 5</v>
          </cell>
          <cell r="K18">
            <v>6828</v>
          </cell>
          <cell r="P18" t="str">
            <v>VIDA+SEGURO PLAN 5</v>
          </cell>
          <cell r="Q18">
            <v>7392</v>
          </cell>
          <cell r="R18">
            <v>14784</v>
          </cell>
          <cell r="S18">
            <v>22176</v>
          </cell>
          <cell r="T18">
            <v>29568</v>
          </cell>
        </row>
        <row r="19">
          <cell r="A19">
            <v>12</v>
          </cell>
          <cell r="B19" t="str">
            <v>PLAZA FLORIDA</v>
          </cell>
          <cell r="C19" t="str">
            <v>REFORMA</v>
          </cell>
          <cell r="F19">
            <v>311060</v>
          </cell>
          <cell r="G19" t="str">
            <v xml:space="preserve"> Dora Lissette Higueros Trejo</v>
          </cell>
          <cell r="H19">
            <v>0</v>
          </cell>
          <cell r="J19" t="str">
            <v>MIGRANTE BAM</v>
          </cell>
          <cell r="K19">
            <v>8196</v>
          </cell>
          <cell r="P19" t="str">
            <v>MIGRANTE BAM</v>
          </cell>
          <cell r="Q19">
            <v>1500</v>
          </cell>
          <cell r="R19">
            <v>3000</v>
          </cell>
          <cell r="S19">
            <v>4500</v>
          </cell>
          <cell r="T19">
            <v>6000</v>
          </cell>
        </row>
        <row r="20">
          <cell r="A20">
            <v>13</v>
          </cell>
          <cell r="B20" t="str">
            <v>METANORTE</v>
          </cell>
          <cell r="C20" t="str">
            <v>CENTRO ATLANTICO</v>
          </cell>
          <cell r="F20">
            <v>310710</v>
          </cell>
          <cell r="G20" t="str">
            <v xml:space="preserve"> Edgar Enrique Garcia Cortave</v>
          </cell>
          <cell r="H20">
            <v>0</v>
          </cell>
          <cell r="J20" t="str">
            <v>MOTO+SEGURA</v>
          </cell>
          <cell r="K20">
            <v>1380</v>
          </cell>
          <cell r="P20" t="str">
            <v>MOTO+SEGURA</v>
          </cell>
          <cell r="Q20">
            <v>1428</v>
          </cell>
          <cell r="R20">
            <v>2856</v>
          </cell>
          <cell r="S20">
            <v>4284</v>
          </cell>
          <cell r="T20">
            <v>5712</v>
          </cell>
        </row>
        <row r="21">
          <cell r="A21">
            <v>19</v>
          </cell>
          <cell r="B21" t="str">
            <v>MORAZAN ZONA 2</v>
          </cell>
          <cell r="C21" t="str">
            <v>CENTRO ATLANTICO</v>
          </cell>
          <cell r="F21">
            <v>312045</v>
          </cell>
          <cell r="G21" t="str">
            <v xml:space="preserve"> Edgar Marco Tulio Sanchez Ochoa</v>
          </cell>
          <cell r="H21">
            <v>0</v>
          </cell>
          <cell r="J21" t="str">
            <v>VIDA+SEGURO PLAN 7</v>
          </cell>
          <cell r="K21" t="str">
            <v>Q.10,056.00</v>
          </cell>
        </row>
        <row r="22">
          <cell r="A22">
            <v>37</v>
          </cell>
          <cell r="B22" t="str">
            <v>SAN JUAN SACATEPEQUEZ</v>
          </cell>
          <cell r="C22" t="str">
            <v>CENTRO ATLANTICO</v>
          </cell>
          <cell r="F22">
            <v>309496</v>
          </cell>
          <cell r="G22" t="str">
            <v xml:space="preserve"> Elcira Livduvina Perez Lopez De Merlos</v>
          </cell>
          <cell r="H22">
            <v>0</v>
          </cell>
        </row>
        <row r="23">
          <cell r="A23">
            <v>61</v>
          </cell>
          <cell r="B23" t="str">
            <v>DEL CENTRO</v>
          </cell>
          <cell r="C23" t="str">
            <v>CENTRO ATLANTICO</v>
          </cell>
          <cell r="F23">
            <v>310331</v>
          </cell>
          <cell r="G23" t="str">
            <v xml:space="preserve"> Elda Luzbina Valdez Guerra De Fuentes</v>
          </cell>
          <cell r="H23">
            <v>0</v>
          </cell>
        </row>
        <row r="24">
          <cell r="A24">
            <v>81</v>
          </cell>
          <cell r="B24" t="str">
            <v xml:space="preserve"> PEDRERA</v>
          </cell>
          <cell r="C24" t="str">
            <v>CENTRO ATLANTICO</v>
          </cell>
          <cell r="F24">
            <v>305796</v>
          </cell>
          <cell r="G24" t="str">
            <v xml:space="preserve"> Elias Perez Sequen</v>
          </cell>
          <cell r="H24">
            <v>0</v>
          </cell>
        </row>
        <row r="25">
          <cell r="A25">
            <v>83</v>
          </cell>
          <cell r="B25" t="str">
            <v>DISAGRO</v>
          </cell>
          <cell r="C25" t="str">
            <v>CENTRO ATLANTICO</v>
          </cell>
          <cell r="F25">
            <v>308464</v>
          </cell>
          <cell r="G25" t="str">
            <v xml:space="preserve"> Enmanuel Antonio Ochoa Hernandez</v>
          </cell>
          <cell r="H25">
            <v>0</v>
          </cell>
        </row>
        <row r="26">
          <cell r="A26">
            <v>87</v>
          </cell>
          <cell r="B26" t="str">
            <v>EL NARANJO</v>
          </cell>
          <cell r="C26" t="str">
            <v>CENTRO ATLANTICO</v>
          </cell>
          <cell r="F26">
            <v>312053</v>
          </cell>
          <cell r="G26" t="str">
            <v xml:space="preserve"> Erick Estuardo Gonzalez Culajay</v>
          </cell>
          <cell r="H26">
            <v>0</v>
          </cell>
        </row>
        <row r="27">
          <cell r="A27">
            <v>98</v>
          </cell>
          <cell r="B27" t="str">
            <v>CALLE MARTI</v>
          </cell>
          <cell r="C27" t="str">
            <v>CENTRO ATLANTICO</v>
          </cell>
          <cell r="F27">
            <v>311964</v>
          </cell>
          <cell r="G27" t="str">
            <v xml:space="preserve"> Estephanie Michelle Mendez Cano De Rivera</v>
          </cell>
          <cell r="H27">
            <v>0</v>
          </cell>
        </row>
        <row r="28">
          <cell r="A28">
            <v>103</v>
          </cell>
          <cell r="B28" t="str">
            <v>LOS ALAMOS</v>
          </cell>
          <cell r="C28" t="str">
            <v>CENTRO ATLANTICO</v>
          </cell>
          <cell r="F28">
            <v>309795</v>
          </cell>
          <cell r="G28" t="str">
            <v xml:space="preserve"> Evelin Johana Perez Fajardo De Estayul</v>
          </cell>
          <cell r="H28">
            <v>0</v>
          </cell>
        </row>
        <row r="29">
          <cell r="A29">
            <v>113</v>
          </cell>
          <cell r="B29" t="str">
            <v>PARQUE COLON</v>
          </cell>
          <cell r="C29" t="str">
            <v>CENTRO ATLANTICO</v>
          </cell>
          <cell r="F29">
            <v>310823</v>
          </cell>
          <cell r="G29" t="str">
            <v xml:space="preserve"> Francisca Yesenia Aceytuno Quevedo</v>
          </cell>
          <cell r="H29">
            <v>0</v>
          </cell>
        </row>
        <row r="30">
          <cell r="A30">
            <v>166</v>
          </cell>
          <cell r="B30" t="str">
            <v>23 CALLE</v>
          </cell>
          <cell r="C30" t="str">
            <v>CENTRO ATLANTICO</v>
          </cell>
          <cell r="F30">
            <v>308490</v>
          </cell>
          <cell r="G30" t="str">
            <v xml:space="preserve"> Gabriela Poitan Ordoñez De Garcia</v>
          </cell>
          <cell r="H30">
            <v>0</v>
          </cell>
        </row>
        <row r="31">
          <cell r="A31">
            <v>296</v>
          </cell>
          <cell r="B31" t="str">
            <v>PORTALES</v>
          </cell>
          <cell r="C31" t="str">
            <v>CENTRO ATLANTICO</v>
          </cell>
          <cell r="F31">
            <v>311459</v>
          </cell>
          <cell r="G31" t="str">
            <v xml:space="preserve"> Gandy Baygesus Sanchez Estrada</v>
          </cell>
          <cell r="H31">
            <v>0</v>
          </cell>
        </row>
        <row r="32">
          <cell r="A32">
            <v>302</v>
          </cell>
          <cell r="B32" t="str">
            <v>CENTRANORTE</v>
          </cell>
          <cell r="C32" t="str">
            <v>CENTRO ATLANTICO</v>
          </cell>
          <cell r="F32">
            <v>303585</v>
          </cell>
          <cell r="G32" t="str">
            <v xml:space="preserve"> Gerber Estuardo Albizures Archila</v>
          </cell>
          <cell r="H32">
            <v>0</v>
          </cell>
        </row>
        <row r="33">
          <cell r="A33">
            <v>21</v>
          </cell>
          <cell r="B33" t="str">
            <v>SANTA LU</v>
          </cell>
          <cell r="C33" t="str">
            <v>COSTA SUR</v>
          </cell>
          <cell r="F33">
            <v>311963</v>
          </cell>
          <cell r="G33" t="str">
            <v xml:space="preserve"> Giovanni Noel Valdez Rodriguez</v>
          </cell>
          <cell r="H33">
            <v>0</v>
          </cell>
        </row>
        <row r="34">
          <cell r="A34">
            <v>24</v>
          </cell>
          <cell r="B34" t="str">
            <v>ESCUINTLA</v>
          </cell>
          <cell r="C34" t="str">
            <v>COSTA SUR</v>
          </cell>
          <cell r="F34">
            <v>308771</v>
          </cell>
          <cell r="G34" t="str">
            <v xml:space="preserve"> Gloria Estefanilla Espinoza Garcia</v>
          </cell>
          <cell r="H34">
            <v>0</v>
          </cell>
        </row>
        <row r="35">
          <cell r="A35">
            <v>30</v>
          </cell>
          <cell r="B35" t="str">
            <v>BARBERENA</v>
          </cell>
          <cell r="C35" t="str">
            <v>AMERICAS</v>
          </cell>
          <cell r="F35">
            <v>305555</v>
          </cell>
          <cell r="G35" t="str">
            <v xml:space="preserve"> Heber Antonio Olivares Alvarado</v>
          </cell>
          <cell r="H35">
            <v>0</v>
          </cell>
        </row>
        <row r="36">
          <cell r="A36">
            <v>34</v>
          </cell>
          <cell r="B36" t="str">
            <v>CHIQUIMULILLA</v>
          </cell>
          <cell r="C36" t="str">
            <v>COSTA SUR</v>
          </cell>
          <cell r="F36">
            <v>311152</v>
          </cell>
          <cell r="G36" t="str">
            <v xml:space="preserve"> Heidi Natali Chacon De La Rosa De Diaz</v>
          </cell>
          <cell r="H36">
            <v>0</v>
          </cell>
        </row>
        <row r="37">
          <cell r="A37">
            <v>72</v>
          </cell>
          <cell r="B37" t="str">
            <v>TAXISCO</v>
          </cell>
          <cell r="C37" t="str">
            <v>COSTA SUR</v>
          </cell>
          <cell r="F37">
            <v>310704</v>
          </cell>
          <cell r="G37" t="str">
            <v xml:space="preserve"> Henry Samuel De Leon Menchu</v>
          </cell>
          <cell r="H37">
            <v>0</v>
          </cell>
        </row>
        <row r="38">
          <cell r="A38">
            <v>73</v>
          </cell>
          <cell r="B38" t="str">
            <v>PATULUL</v>
          </cell>
          <cell r="C38" t="str">
            <v>COSTA SUR</v>
          </cell>
          <cell r="F38">
            <v>308210</v>
          </cell>
          <cell r="G38" t="str">
            <v xml:space="preserve"> Isaias Ramirez Jimenez</v>
          </cell>
          <cell r="H38">
            <v>0</v>
          </cell>
        </row>
        <row r="39">
          <cell r="A39">
            <v>160</v>
          </cell>
          <cell r="B39" t="str">
            <v>PRADERA ESCUINTLA</v>
          </cell>
          <cell r="C39" t="str">
            <v>COSTA SUR</v>
          </cell>
          <cell r="F39">
            <v>311359</v>
          </cell>
          <cell r="G39" t="str">
            <v xml:space="preserve"> Jania Nataly De Leon Ramirez De Suret</v>
          </cell>
          <cell r="H39">
            <v>0</v>
          </cell>
        </row>
        <row r="40">
          <cell r="A40">
            <v>171</v>
          </cell>
          <cell r="B40" t="str">
            <v>SANTA LUCIA CENTRO</v>
          </cell>
          <cell r="C40" t="str">
            <v>COSTA SUR</v>
          </cell>
          <cell r="F40">
            <v>311663</v>
          </cell>
          <cell r="G40" t="str">
            <v xml:space="preserve"> Jenny Betzabel Solis De Hernandez</v>
          </cell>
          <cell r="H40">
            <v>0</v>
          </cell>
        </row>
        <row r="41">
          <cell r="A41">
            <v>172</v>
          </cell>
          <cell r="B41" t="str">
            <v>NUEVA CONCEPCION</v>
          </cell>
          <cell r="C41" t="str">
            <v>COSTA SUR</v>
          </cell>
          <cell r="F41">
            <v>308012</v>
          </cell>
          <cell r="G41" t="str">
            <v xml:space="preserve"> Jocelyn Sucel Yantuche Chin</v>
          </cell>
          <cell r="H41">
            <v>0</v>
          </cell>
        </row>
        <row r="42">
          <cell r="A42">
            <v>191</v>
          </cell>
          <cell r="B42" t="str">
            <v>SAN LUCAS TOLIMAN</v>
          </cell>
          <cell r="C42" t="str">
            <v>COSTA SUR</v>
          </cell>
          <cell r="F42">
            <v>309785</v>
          </cell>
          <cell r="G42" t="str">
            <v xml:space="preserve"> Jose Esteban Diaz Montufar</v>
          </cell>
          <cell r="H42">
            <v>0</v>
          </cell>
        </row>
        <row r="43">
          <cell r="A43">
            <v>212</v>
          </cell>
          <cell r="B43" t="str">
            <v>PUERTO DE SAN JOSE</v>
          </cell>
          <cell r="C43" t="str">
            <v>COSTA SUR</v>
          </cell>
          <cell r="F43">
            <v>312160</v>
          </cell>
          <cell r="G43" t="str">
            <v xml:space="preserve"> Jose Rigoberto Osorio Abarca</v>
          </cell>
          <cell r="H43">
            <v>0</v>
          </cell>
        </row>
        <row r="44">
          <cell r="A44">
            <v>216</v>
          </cell>
          <cell r="B44" t="str">
            <v>LA DEMOCRACIA ESCUINTLA</v>
          </cell>
          <cell r="C44" t="str">
            <v>COSTA SUR</v>
          </cell>
          <cell r="F44">
            <v>300878</v>
          </cell>
          <cell r="G44" t="str">
            <v xml:space="preserve"> Juan Francisco Lara Villavicencio</v>
          </cell>
          <cell r="H44">
            <v>0</v>
          </cell>
        </row>
        <row r="45">
          <cell r="A45">
            <v>217</v>
          </cell>
          <cell r="B45" t="str">
            <v>LA GOMERA</v>
          </cell>
          <cell r="C45" t="str">
            <v>COSTA SUR</v>
          </cell>
          <cell r="F45">
            <v>311750</v>
          </cell>
          <cell r="G45" t="str">
            <v xml:space="preserve"> Juan Toma Torrez</v>
          </cell>
          <cell r="H45">
            <v>0</v>
          </cell>
        </row>
        <row r="46">
          <cell r="A46">
            <v>253</v>
          </cell>
          <cell r="B46" t="str">
            <v>PRADERA EXPRESS PALIN</v>
          </cell>
          <cell r="C46" t="str">
            <v>COSTA SUR</v>
          </cell>
          <cell r="F46">
            <v>311195</v>
          </cell>
          <cell r="G46" t="str">
            <v xml:space="preserve"> Julia Mariela Lourdette Gonzalez Rosales</v>
          </cell>
          <cell r="H46">
            <v>0</v>
          </cell>
        </row>
        <row r="47">
          <cell r="A47">
            <v>292</v>
          </cell>
          <cell r="B47" t="str">
            <v xml:space="preserve"> COINCO</v>
          </cell>
          <cell r="C47" t="str">
            <v>COSTA SUR</v>
          </cell>
          <cell r="F47">
            <v>311073</v>
          </cell>
          <cell r="G47" t="str">
            <v xml:space="preserve"> Julio Roberto Castellanos Ordoñez</v>
          </cell>
          <cell r="H47">
            <v>0</v>
          </cell>
        </row>
        <row r="48">
          <cell r="A48">
            <v>22</v>
          </cell>
          <cell r="B48" t="str">
            <v>COBAN PLAZA DEL PARQUE</v>
          </cell>
          <cell r="C48" t="str">
            <v>NORTE</v>
          </cell>
          <cell r="F48">
            <v>310790</v>
          </cell>
          <cell r="G48" t="str">
            <v xml:space="preserve"> Karina Del Rosario Castro Lopez De Guzman</v>
          </cell>
          <cell r="H48">
            <v>0</v>
          </cell>
        </row>
        <row r="49">
          <cell r="A49">
            <v>38</v>
          </cell>
          <cell r="B49" t="str">
            <v>CARCHA</v>
          </cell>
          <cell r="C49" t="str">
            <v>NORTE</v>
          </cell>
          <cell r="F49">
            <v>311465</v>
          </cell>
          <cell r="G49" t="str">
            <v xml:space="preserve"> Kevin Alejandro Corado Estrada</v>
          </cell>
          <cell r="H49">
            <v>0</v>
          </cell>
        </row>
        <row r="50">
          <cell r="A50">
            <v>80</v>
          </cell>
          <cell r="B50" t="str">
            <v>TACTIC</v>
          </cell>
          <cell r="C50" t="str">
            <v>NORTE</v>
          </cell>
          <cell r="F50">
            <v>311530</v>
          </cell>
          <cell r="G50" t="str">
            <v xml:space="preserve"> Laura Ninoshka Mogollon Galvez De Ortiz</v>
          </cell>
          <cell r="H50">
            <v>0</v>
          </cell>
        </row>
        <row r="51">
          <cell r="A51">
            <v>146</v>
          </cell>
          <cell r="B51" t="str">
            <v>SAN LUIS PETEN</v>
          </cell>
          <cell r="C51" t="str">
            <v>NORTE</v>
          </cell>
          <cell r="F51">
            <v>309602</v>
          </cell>
          <cell r="G51" t="str">
            <v xml:space="preserve"> Linda Aracely Garcia Beteta De Cuxulic</v>
          </cell>
          <cell r="H51">
            <v>0</v>
          </cell>
        </row>
        <row r="52">
          <cell r="A52">
            <v>162</v>
          </cell>
          <cell r="B52" t="str">
            <v>CHISEC</v>
          </cell>
          <cell r="C52" t="str">
            <v>NORTE</v>
          </cell>
          <cell r="F52">
            <v>309544</v>
          </cell>
          <cell r="G52" t="str">
            <v xml:space="preserve"> Lorena Alexandra Lopez Yax</v>
          </cell>
          <cell r="H52">
            <v>0</v>
          </cell>
        </row>
        <row r="53">
          <cell r="A53">
            <v>163</v>
          </cell>
          <cell r="B53" t="str">
            <v>LA TINTA</v>
          </cell>
          <cell r="C53" t="str">
            <v>NORTE</v>
          </cell>
          <cell r="F53">
            <v>311294</v>
          </cell>
          <cell r="G53" t="str">
            <v xml:space="preserve"> Lotar Robson Araujo Perez</v>
          </cell>
          <cell r="H53">
            <v>0</v>
          </cell>
        </row>
        <row r="54">
          <cell r="A54">
            <v>188</v>
          </cell>
          <cell r="B54" t="str">
            <v>SANTA ELENA CENTRO</v>
          </cell>
          <cell r="C54" t="str">
            <v>NORTE</v>
          </cell>
          <cell r="F54">
            <v>311539</v>
          </cell>
          <cell r="G54" t="str">
            <v xml:space="preserve"> Luis Eduardo Garcia Gomez</v>
          </cell>
          <cell r="H54">
            <v>0</v>
          </cell>
        </row>
        <row r="55">
          <cell r="A55">
            <v>194</v>
          </cell>
          <cell r="B55" t="str">
            <v>PLAYA GRANDE</v>
          </cell>
          <cell r="C55" t="str">
            <v>NORTE</v>
          </cell>
          <cell r="F55">
            <v>310910</v>
          </cell>
          <cell r="G55" t="str">
            <v xml:space="preserve"> Luis Fernando Lopez Vasquez</v>
          </cell>
          <cell r="H55">
            <v>0</v>
          </cell>
        </row>
        <row r="56">
          <cell r="A56">
            <v>195</v>
          </cell>
          <cell r="B56" t="str">
            <v>TELEMAN</v>
          </cell>
          <cell r="C56" t="str">
            <v>NORTE</v>
          </cell>
          <cell r="F56">
            <v>311706</v>
          </cell>
          <cell r="G56" t="str">
            <v xml:space="preserve"> Mailyn Anely Chavez Gonzalez</v>
          </cell>
          <cell r="H56">
            <v>0</v>
          </cell>
        </row>
        <row r="57">
          <cell r="A57">
            <v>203</v>
          </cell>
          <cell r="B57" t="str">
            <v>PLAZA MAGDALENA</v>
          </cell>
          <cell r="C57" t="str">
            <v>NORTE</v>
          </cell>
          <cell r="F57">
            <v>310787</v>
          </cell>
          <cell r="G57" t="str">
            <v xml:space="preserve"> Marilin Janeth Sanchez De Rodriguez</v>
          </cell>
          <cell r="H57">
            <v>0</v>
          </cell>
        </row>
        <row r="58">
          <cell r="A58">
            <v>205</v>
          </cell>
          <cell r="B58" t="str">
            <v>SAN CRISTOBAL VERAPAZ</v>
          </cell>
          <cell r="C58" t="str">
            <v>NORTE</v>
          </cell>
          <cell r="F58">
            <v>311347</v>
          </cell>
          <cell r="G58" t="str">
            <v xml:space="preserve"> Mario Adolfo Telon Pedroza</v>
          </cell>
          <cell r="H58">
            <v>0</v>
          </cell>
        </row>
        <row r="59">
          <cell r="A59">
            <v>215</v>
          </cell>
          <cell r="B59" t="str">
            <v>FRAY BARTOLOME DE LAS CASAS</v>
          </cell>
          <cell r="C59" t="str">
            <v>NORTE</v>
          </cell>
          <cell r="F59">
            <v>311236</v>
          </cell>
          <cell r="G59" t="str">
            <v xml:space="preserve"> Marlon Aroldo De Leon Juarez</v>
          </cell>
          <cell r="H59">
            <v>0</v>
          </cell>
        </row>
        <row r="60">
          <cell r="A60">
            <v>240</v>
          </cell>
          <cell r="B60" t="str">
            <v>SALAMA</v>
          </cell>
          <cell r="C60" t="str">
            <v>NORTE</v>
          </cell>
          <cell r="F60">
            <v>304279</v>
          </cell>
          <cell r="G60" t="str">
            <v xml:space="preserve"> Marlon Estuardo Hernandez</v>
          </cell>
          <cell r="H60">
            <v>0</v>
          </cell>
        </row>
        <row r="61">
          <cell r="A61">
            <v>334</v>
          </cell>
          <cell r="B61" t="str">
            <v>COBAN LA PISTA</v>
          </cell>
          <cell r="C61" t="str">
            <v>NORTE</v>
          </cell>
          <cell r="F61">
            <v>306643</v>
          </cell>
          <cell r="G61" t="str">
            <v xml:space="preserve"> Marvin Saul Sical Ventura</v>
          </cell>
          <cell r="H61">
            <v>0</v>
          </cell>
        </row>
        <row r="62">
          <cell r="A62">
            <v>28</v>
          </cell>
          <cell r="B62" t="str">
            <v>SUCURSAL QUETZALTENANGO</v>
          </cell>
          <cell r="C62" t="str">
            <v>OCCIDENTE</v>
          </cell>
          <cell r="F62">
            <v>304620</v>
          </cell>
          <cell r="G62" t="str">
            <v xml:space="preserve"> Mayra Judith Marroquin Guevara De Melendez</v>
          </cell>
          <cell r="H62">
            <v>0</v>
          </cell>
        </row>
        <row r="63">
          <cell r="A63">
            <v>29</v>
          </cell>
          <cell r="B63" t="str">
            <v>SAN PEDRO SACATEPEQUEZ S.M.</v>
          </cell>
          <cell r="C63" t="str">
            <v>OCCIDENTE</v>
          </cell>
          <cell r="F63">
            <v>305520</v>
          </cell>
          <cell r="G63" t="str">
            <v xml:space="preserve"> Milton Orlando Lopez</v>
          </cell>
          <cell r="H63">
            <v>0</v>
          </cell>
        </row>
        <row r="64">
          <cell r="A64">
            <v>33</v>
          </cell>
          <cell r="B64" t="str">
            <v>HUEHUETENANGO</v>
          </cell>
          <cell r="C64" t="str">
            <v>OCCIDENTE</v>
          </cell>
          <cell r="F64">
            <v>311196</v>
          </cell>
          <cell r="G64" t="str">
            <v xml:space="preserve"> Nancy Mariela Estrada Calel De Samayoa</v>
          </cell>
          <cell r="H64">
            <v>0</v>
          </cell>
        </row>
        <row r="65">
          <cell r="A65">
            <v>55</v>
          </cell>
          <cell r="B65" t="str">
            <v>ZENTROPLAZA</v>
          </cell>
          <cell r="C65" t="str">
            <v>OCCIDENTE</v>
          </cell>
          <cell r="F65">
            <v>311898</v>
          </cell>
          <cell r="G65" t="str">
            <v xml:space="preserve"> Nori Liseth Bautista</v>
          </cell>
          <cell r="H65">
            <v>0</v>
          </cell>
        </row>
        <row r="66">
          <cell r="A66">
            <v>56</v>
          </cell>
          <cell r="B66" t="str">
            <v>LOS ALTOS</v>
          </cell>
          <cell r="C66" t="str">
            <v>OCCIDENTE</v>
          </cell>
          <cell r="F66">
            <v>308978</v>
          </cell>
          <cell r="G66" t="str">
            <v xml:space="preserve"> Oscar Amilcar Najera Segura</v>
          </cell>
          <cell r="H66">
            <v>0</v>
          </cell>
        </row>
        <row r="67">
          <cell r="A67">
            <v>65</v>
          </cell>
          <cell r="B67" t="str">
            <v>PANAJACHEL</v>
          </cell>
          <cell r="C67" t="str">
            <v>OCCIDENTE</v>
          </cell>
          <cell r="F67">
            <v>312283</v>
          </cell>
          <cell r="G67" t="str">
            <v xml:space="preserve"> Oscar Javier Galvez</v>
          </cell>
          <cell r="H67">
            <v>0</v>
          </cell>
        </row>
        <row r="68">
          <cell r="A68">
            <v>126</v>
          </cell>
          <cell r="B68" t="str">
            <v>CHICHICASTENANGO</v>
          </cell>
          <cell r="C68" t="str">
            <v>OCCIDENTE</v>
          </cell>
          <cell r="F68">
            <v>311190</v>
          </cell>
          <cell r="G68" t="str">
            <v xml:space="preserve"> Pedro Chas Morales</v>
          </cell>
          <cell r="H68">
            <v>0</v>
          </cell>
        </row>
        <row r="69">
          <cell r="A69">
            <v>127</v>
          </cell>
          <cell r="B69" t="str">
            <v>CHIMALTENANGO 2</v>
          </cell>
          <cell r="C69" t="str">
            <v>OCCIDENTE</v>
          </cell>
          <cell r="F69">
            <v>303093</v>
          </cell>
          <cell r="G69" t="str">
            <v xml:space="preserve"> Rony Armando Choche Perez</v>
          </cell>
          <cell r="H69">
            <v>0</v>
          </cell>
        </row>
        <row r="70">
          <cell r="A70">
            <v>135</v>
          </cell>
          <cell r="B70" t="str">
            <v>HUEHUETENANGO TERMINAL</v>
          </cell>
          <cell r="C70" t="str">
            <v>OCCIDENTE</v>
          </cell>
          <cell r="F70">
            <v>308911</v>
          </cell>
          <cell r="G70" t="str">
            <v xml:space="preserve"> Rudy Fernando Orozco Tejeda</v>
          </cell>
          <cell r="H70">
            <v>0</v>
          </cell>
        </row>
        <row r="71">
          <cell r="A71">
            <v>150</v>
          </cell>
          <cell r="B71" t="str">
            <v>SANTA CRUZ DEL QUICHE</v>
          </cell>
          <cell r="C71" t="str">
            <v>OCCIDENTE</v>
          </cell>
          <cell r="F71">
            <v>308493</v>
          </cell>
          <cell r="G71" t="str">
            <v xml:space="preserve"> Sandra Beatriz Ardiano De Leon</v>
          </cell>
          <cell r="H71">
            <v>0</v>
          </cell>
        </row>
        <row r="72">
          <cell r="A72">
            <v>155</v>
          </cell>
          <cell r="B72" t="str">
            <v>TECPAN</v>
          </cell>
          <cell r="C72" t="str">
            <v>OCCIDENTE</v>
          </cell>
          <cell r="F72">
            <v>307846</v>
          </cell>
          <cell r="G72" t="str">
            <v xml:space="preserve"> Sandra Patricia Baran Avila</v>
          </cell>
          <cell r="H72">
            <v>0</v>
          </cell>
        </row>
        <row r="73">
          <cell r="A73">
            <v>157</v>
          </cell>
          <cell r="B73" t="str">
            <v>TOTONICAPAN</v>
          </cell>
          <cell r="C73" t="str">
            <v>OCCIDENTE</v>
          </cell>
          <cell r="F73">
            <v>311838</v>
          </cell>
          <cell r="G73" t="str">
            <v xml:space="preserve"> Sarah Noemy Sandoval Poggio</v>
          </cell>
          <cell r="H73">
            <v>0</v>
          </cell>
        </row>
        <row r="74">
          <cell r="A74">
            <v>202</v>
          </cell>
          <cell r="B74" t="str">
            <v>SAN MARCOS CENTRO</v>
          </cell>
          <cell r="C74" t="str">
            <v>OCCIDENTE</v>
          </cell>
          <cell r="F74">
            <v>307962</v>
          </cell>
          <cell r="G74" t="str">
            <v xml:space="preserve"> Selvyn David Payola Ayala</v>
          </cell>
          <cell r="H74">
            <v>0</v>
          </cell>
        </row>
        <row r="75">
          <cell r="A75">
            <v>209</v>
          </cell>
          <cell r="B75" t="str">
            <v>SALCAJA</v>
          </cell>
          <cell r="C75" t="str">
            <v>OCCIDENTE</v>
          </cell>
          <cell r="F75">
            <v>309398</v>
          </cell>
          <cell r="G75" t="str">
            <v xml:space="preserve"> Sindy Yesenia Fuentes Alvarez De Flores</v>
          </cell>
          <cell r="H75">
            <v>0</v>
          </cell>
        </row>
        <row r="76">
          <cell r="A76">
            <v>243</v>
          </cell>
          <cell r="B76" t="str">
            <v>PRADERA XELA</v>
          </cell>
          <cell r="C76" t="str">
            <v>OCCIDENTE</v>
          </cell>
          <cell r="F76">
            <v>311776</v>
          </cell>
          <cell r="G76" t="str">
            <v xml:space="preserve"> Susan Jackelinne Cristal Sanchez</v>
          </cell>
          <cell r="H76">
            <v>0</v>
          </cell>
        </row>
        <row r="77">
          <cell r="A77">
            <v>246</v>
          </cell>
          <cell r="B77" t="str">
            <v>SANTA CRUZ BARILLAS</v>
          </cell>
          <cell r="C77" t="str">
            <v>OCCIDENTE</v>
          </cell>
          <cell r="F77">
            <v>307891</v>
          </cell>
          <cell r="G77" t="str">
            <v xml:space="preserve"> Susana Rodriguez Cordova</v>
          </cell>
          <cell r="H77">
            <v>0</v>
          </cell>
        </row>
        <row r="78">
          <cell r="A78">
            <v>339</v>
          </cell>
          <cell r="B78" t="str">
            <v>ANDARIA</v>
          </cell>
          <cell r="C78" t="str">
            <v>OCCIDENTE</v>
          </cell>
          <cell r="F78">
            <v>310071</v>
          </cell>
          <cell r="G78" t="str">
            <v xml:space="preserve"> Victoria Aracely Gomez Ochoa</v>
          </cell>
          <cell r="H78">
            <v>0</v>
          </cell>
        </row>
        <row r="79">
          <cell r="A79">
            <v>41</v>
          </cell>
          <cell r="B79" t="str">
            <v>JUTIAPA</v>
          </cell>
          <cell r="C79" t="str">
            <v>ORIENTE</v>
          </cell>
          <cell r="F79">
            <v>311632</v>
          </cell>
          <cell r="G79" t="str">
            <v xml:space="preserve"> Virginia Del Rosario Matilde Garcia Ico</v>
          </cell>
          <cell r="H79">
            <v>0</v>
          </cell>
        </row>
        <row r="80">
          <cell r="A80">
            <v>42</v>
          </cell>
          <cell r="B80" t="str">
            <v>JALAPA</v>
          </cell>
          <cell r="C80" t="str">
            <v>ORIENTE</v>
          </cell>
          <cell r="F80">
            <v>310214</v>
          </cell>
          <cell r="G80" t="str">
            <v xml:space="preserve"> Vivian Pamela Rodas Lopez</v>
          </cell>
          <cell r="H80">
            <v>0</v>
          </cell>
        </row>
        <row r="81">
          <cell r="A81">
            <v>77</v>
          </cell>
          <cell r="B81" t="str">
            <v>PUERTO BARRIOS</v>
          </cell>
          <cell r="C81" t="str">
            <v>ORIENTE</v>
          </cell>
          <cell r="F81">
            <v>311588</v>
          </cell>
          <cell r="G81" t="str">
            <v xml:space="preserve"> Wendy Carolina Flores Garcia</v>
          </cell>
          <cell r="H81">
            <v>0</v>
          </cell>
        </row>
        <row r="82">
          <cell r="A82">
            <v>122</v>
          </cell>
          <cell r="B82" t="str">
            <v>AGUA BLANCA</v>
          </cell>
          <cell r="C82" t="str">
            <v>ORIENTE</v>
          </cell>
          <cell r="F82">
            <v>309732</v>
          </cell>
          <cell r="G82" t="str">
            <v xml:space="preserve"> Wilfredo Noe Tobar Valenzuela</v>
          </cell>
          <cell r="H82">
            <v>0</v>
          </cell>
        </row>
        <row r="83">
          <cell r="A83">
            <v>128</v>
          </cell>
          <cell r="B83" t="str">
            <v>CHIQUIMULA 2</v>
          </cell>
          <cell r="C83" t="str">
            <v>ORIENTE</v>
          </cell>
          <cell r="F83">
            <v>311906</v>
          </cell>
          <cell r="G83" t="str">
            <v xml:space="preserve"> Yenifer Alejandra Ordoñez</v>
          </cell>
          <cell r="H83">
            <v>0</v>
          </cell>
        </row>
        <row r="84">
          <cell r="A84">
            <v>132</v>
          </cell>
          <cell r="B84" t="str">
            <v>ESQUIPULAS</v>
          </cell>
          <cell r="C84" t="str">
            <v>ORIENTE</v>
          </cell>
          <cell r="F84">
            <v>316191</v>
          </cell>
          <cell r="G84" t="str">
            <v>  Katerin Mishel Acosta Lobos</v>
          </cell>
          <cell r="H84">
            <v>0</v>
          </cell>
        </row>
        <row r="85">
          <cell r="A85">
            <v>134</v>
          </cell>
          <cell r="B85" t="str">
            <v>GUASTATOYA</v>
          </cell>
          <cell r="C85" t="str">
            <v>CENTRO ATLANTICO</v>
          </cell>
          <cell r="F85">
            <v>314769</v>
          </cell>
          <cell r="G85" t="str">
            <v>Abel Eduardo Lopez Lopez</v>
          </cell>
          <cell r="H85">
            <v>0</v>
          </cell>
        </row>
        <row r="86">
          <cell r="A86">
            <v>144</v>
          </cell>
          <cell r="B86" t="str">
            <v>RIO DULCE 2</v>
          </cell>
          <cell r="C86" t="str">
            <v>ORIENTE</v>
          </cell>
          <cell r="F86">
            <v>314692</v>
          </cell>
          <cell r="G86" t="str">
            <v>Abi Susana Santos Alvarado</v>
          </cell>
          <cell r="H86">
            <v>0</v>
          </cell>
        </row>
        <row r="87">
          <cell r="A87">
            <v>148</v>
          </cell>
          <cell r="B87" t="str">
            <v>SANARATE</v>
          </cell>
          <cell r="C87" t="str">
            <v>CENTRO ATLANTICO</v>
          </cell>
          <cell r="F87">
            <v>313537</v>
          </cell>
          <cell r="G87" t="str">
            <v>Abigail Nohemi Letona Lopez</v>
          </cell>
          <cell r="H87">
            <v>0</v>
          </cell>
        </row>
        <row r="88">
          <cell r="A88">
            <v>156</v>
          </cell>
          <cell r="B88" t="str">
            <v>TECULUTAN</v>
          </cell>
          <cell r="C88" t="str">
            <v>ORIENTE</v>
          </cell>
          <cell r="F88">
            <v>314163</v>
          </cell>
          <cell r="G88" t="str">
            <v>Abner Amilcar Miguel Pedro</v>
          </cell>
          <cell r="H88">
            <v>0</v>
          </cell>
        </row>
        <row r="89">
          <cell r="A89">
            <v>159</v>
          </cell>
          <cell r="B89" t="str">
            <v>PRADERA PUERTO BARRIOS</v>
          </cell>
          <cell r="C89" t="str">
            <v>ORIENTE</v>
          </cell>
          <cell r="F89">
            <v>90023754</v>
          </cell>
          <cell r="G89" t="str">
            <v>Abner Elias Pec Ical</v>
          </cell>
          <cell r="H89">
            <v>0</v>
          </cell>
        </row>
        <row r="90">
          <cell r="A90">
            <v>179</v>
          </cell>
          <cell r="B90" t="str">
            <v>ZACAPA CATEDRAL</v>
          </cell>
          <cell r="C90" t="str">
            <v>ORIENTE</v>
          </cell>
          <cell r="F90">
            <v>300544</v>
          </cell>
          <cell r="G90" t="str">
            <v>Abner Enmanuel Perez Rodriguez</v>
          </cell>
          <cell r="H90">
            <v>0</v>
          </cell>
        </row>
        <row r="91">
          <cell r="A91">
            <v>180</v>
          </cell>
          <cell r="B91" t="str">
            <v>MONJAS</v>
          </cell>
          <cell r="C91" t="str">
            <v>ORIENTE</v>
          </cell>
          <cell r="F91">
            <v>90039023</v>
          </cell>
          <cell r="G91" t="str">
            <v>Abner Gabriel Jimenez Say</v>
          </cell>
          <cell r="H91">
            <v>0</v>
          </cell>
        </row>
        <row r="92">
          <cell r="A92">
            <v>181</v>
          </cell>
          <cell r="B92" t="str">
            <v>SAN LUIS JILOTEPEQUE CENTRO</v>
          </cell>
          <cell r="C92" t="str">
            <v>ORIENTE</v>
          </cell>
          <cell r="F92">
            <v>315208</v>
          </cell>
          <cell r="G92" t="str">
            <v>Abner Juan Menchu Tiu</v>
          </cell>
          <cell r="H92">
            <v>0</v>
          </cell>
        </row>
        <row r="93">
          <cell r="A93">
            <v>182</v>
          </cell>
          <cell r="B93" t="str">
            <v>ASUNCION MITA</v>
          </cell>
          <cell r="C93" t="str">
            <v>ORIENTE</v>
          </cell>
          <cell r="F93">
            <v>90020203</v>
          </cell>
          <cell r="G93" t="str">
            <v xml:space="preserve">Abner Rigoberto Cab </v>
          </cell>
          <cell r="H93">
            <v>0</v>
          </cell>
        </row>
        <row r="94">
          <cell r="A94">
            <v>228</v>
          </cell>
          <cell r="B94" t="str">
            <v>PRADERA CHIQUIMULA</v>
          </cell>
          <cell r="C94" t="str">
            <v>ORIENTE</v>
          </cell>
          <cell r="F94">
            <v>315069</v>
          </cell>
          <cell r="G94" t="str">
            <v>Abner Rocael Sosa Escobar</v>
          </cell>
          <cell r="H94">
            <v>0</v>
          </cell>
        </row>
        <row r="95">
          <cell r="A95">
            <v>325</v>
          </cell>
          <cell r="B95" t="str">
            <v>UMG JUTIAPA</v>
          </cell>
          <cell r="C95" t="str">
            <v>ORIENTE</v>
          </cell>
          <cell r="F95">
            <v>304495</v>
          </cell>
          <cell r="G95" t="str">
            <v>Abner Yovani Xicay Sitan</v>
          </cell>
          <cell r="H95">
            <v>0</v>
          </cell>
        </row>
        <row r="96">
          <cell r="A96">
            <v>7</v>
          </cell>
          <cell r="B96" t="str">
            <v>ZONA 8</v>
          </cell>
          <cell r="C96" t="str">
            <v>CENTRO ATLANTICO</v>
          </cell>
          <cell r="F96">
            <v>316392</v>
          </cell>
          <cell r="G96" t="str">
            <v>Absalon  Santos Elias</v>
          </cell>
          <cell r="H96">
            <v>0</v>
          </cell>
        </row>
        <row r="97">
          <cell r="A97">
            <v>11</v>
          </cell>
          <cell r="B97" t="str">
            <v>PETAPA</v>
          </cell>
          <cell r="C97" t="str">
            <v>PETAPA</v>
          </cell>
          <cell r="F97">
            <v>313239</v>
          </cell>
          <cell r="G97" t="str">
            <v>Addy Aida Cifuentes Coronado</v>
          </cell>
          <cell r="H97">
            <v>0</v>
          </cell>
        </row>
        <row r="98">
          <cell r="A98">
            <v>51</v>
          </cell>
          <cell r="B98" t="str">
            <v>SAN CRISTOBAL</v>
          </cell>
          <cell r="C98" t="str">
            <v>PETAPA</v>
          </cell>
          <cell r="F98">
            <v>310864</v>
          </cell>
          <cell r="G98" t="str">
            <v>Adelaida Garcia Hernandez</v>
          </cell>
          <cell r="H98">
            <v>0</v>
          </cell>
        </row>
        <row r="99">
          <cell r="A99">
            <v>57</v>
          </cell>
          <cell r="B99" t="str">
            <v>VILLA NUEVA</v>
          </cell>
          <cell r="C99" t="str">
            <v>PETAPA</v>
          </cell>
          <cell r="F99">
            <v>314604</v>
          </cell>
          <cell r="G99" t="str">
            <v>Adieny Moren Ramirez Gamboa</v>
          </cell>
          <cell r="H99">
            <v>0</v>
          </cell>
        </row>
        <row r="100">
          <cell r="A100">
            <v>67</v>
          </cell>
          <cell r="B100" t="str">
            <v>QUETZAL</v>
          </cell>
          <cell r="C100" t="str">
            <v>PETAPA</v>
          </cell>
          <cell r="F100">
            <v>90028491</v>
          </cell>
          <cell r="G100" t="str">
            <v>Adolfo Rafael Segovia Quezada </v>
          </cell>
          <cell r="H100">
            <v>0</v>
          </cell>
        </row>
        <row r="101">
          <cell r="A101">
            <v>86</v>
          </cell>
          <cell r="B101" t="str">
            <v>EL FRUTAL</v>
          </cell>
          <cell r="C101" t="str">
            <v>PETAPA</v>
          </cell>
          <cell r="F101">
            <v>315870</v>
          </cell>
          <cell r="G101" t="str">
            <v xml:space="preserve">Adolfo Ronaldo Alfaro Rivera </v>
          </cell>
          <cell r="H101">
            <v>0</v>
          </cell>
        </row>
        <row r="102">
          <cell r="A102">
            <v>88</v>
          </cell>
          <cell r="B102" t="str">
            <v>ATANASIO TZUL</v>
          </cell>
          <cell r="C102" t="str">
            <v>PETAPA</v>
          </cell>
          <cell r="F102">
            <v>313885</v>
          </cell>
          <cell r="G102" t="str">
            <v>Adrian Emanuel Turcios Azurdia</v>
          </cell>
          <cell r="H102">
            <v>0</v>
          </cell>
        </row>
        <row r="103">
          <cell r="A103">
            <v>94</v>
          </cell>
          <cell r="B103" t="str">
            <v>BOULEVARD SAN CRISTOBAL</v>
          </cell>
          <cell r="C103" t="str">
            <v>PETAPA</v>
          </cell>
          <cell r="F103">
            <v>90040486</v>
          </cell>
          <cell r="G103" t="str">
            <v>Adriana Beatriz Estrada Vidal Guerra</v>
          </cell>
          <cell r="H103">
            <v>0</v>
          </cell>
        </row>
        <row r="104">
          <cell r="A104">
            <v>95</v>
          </cell>
          <cell r="B104" t="str">
            <v>AGUILAR BATRES 2</v>
          </cell>
          <cell r="C104" t="str">
            <v>PETAPA</v>
          </cell>
          <cell r="F104">
            <v>90029439</v>
          </cell>
          <cell r="G104" t="str">
            <v>Adriana Maria Ramos Tomin</v>
          </cell>
          <cell r="H104">
            <v>0</v>
          </cell>
        </row>
        <row r="105">
          <cell r="A105">
            <v>112</v>
          </cell>
          <cell r="B105" t="str">
            <v>PACIFIC CENTER</v>
          </cell>
          <cell r="C105" t="str">
            <v>PETAPA</v>
          </cell>
          <cell r="F105">
            <v>90039416</v>
          </cell>
          <cell r="G105" t="str">
            <v>Adriana Maria Segura Peralta Mazariegos</v>
          </cell>
          <cell r="H105">
            <v>0</v>
          </cell>
        </row>
        <row r="106">
          <cell r="A106">
            <v>119</v>
          </cell>
          <cell r="B106" t="str">
            <v>VILLA HERMOSA</v>
          </cell>
          <cell r="C106" t="str">
            <v>PETAPA</v>
          </cell>
          <cell r="F106">
            <v>90040679</v>
          </cell>
          <cell r="G106" t="str">
            <v>Adriana Pamela Morales Morataya</v>
          </cell>
          <cell r="H106">
            <v>0</v>
          </cell>
        </row>
        <row r="107">
          <cell r="A107">
            <v>120</v>
          </cell>
          <cell r="B107" t="str">
            <v>VILLA NUEVA 2</v>
          </cell>
          <cell r="C107" t="str">
            <v>PETAPA</v>
          </cell>
          <cell r="F107">
            <v>316187</v>
          </cell>
          <cell r="G107" t="str">
            <v xml:space="preserve">Ady Michelle Lopez Quel </v>
          </cell>
          <cell r="H107">
            <v>0</v>
          </cell>
        </row>
        <row r="108">
          <cell r="A108">
            <v>213</v>
          </cell>
          <cell r="B108" t="str">
            <v>AMATITLAN</v>
          </cell>
          <cell r="C108" t="str">
            <v>PETAPA</v>
          </cell>
          <cell r="F108">
            <v>311687</v>
          </cell>
          <cell r="G108" t="str">
            <v>Aida Gabriela De Leon Carrascoza</v>
          </cell>
          <cell r="H108">
            <v>0</v>
          </cell>
        </row>
        <row r="109">
          <cell r="A109">
            <v>223</v>
          </cell>
          <cell r="B109" t="str">
            <v>PLAZA MADERO</v>
          </cell>
          <cell r="C109" t="str">
            <v>PETAPA</v>
          </cell>
          <cell r="F109">
            <v>315221</v>
          </cell>
          <cell r="G109" t="str">
            <v>Alan David Perez Muyus</v>
          </cell>
          <cell r="H109">
            <v>0</v>
          </cell>
        </row>
        <row r="110">
          <cell r="A110">
            <v>250</v>
          </cell>
          <cell r="B110" t="str">
            <v>BOCA DEL MONTE</v>
          </cell>
          <cell r="C110" t="str">
            <v>PETAPA</v>
          </cell>
          <cell r="F110">
            <v>311950</v>
          </cell>
          <cell r="G110" t="str">
            <v>Alan Javier Castillo Ordoñez</v>
          </cell>
          <cell r="H110">
            <v>0</v>
          </cell>
        </row>
        <row r="111">
          <cell r="A111">
            <v>290</v>
          </cell>
          <cell r="B111" t="str">
            <v xml:space="preserve"> COMAYMA</v>
          </cell>
          <cell r="C111" t="str">
            <v>PETAPA</v>
          </cell>
          <cell r="F111">
            <v>313765</v>
          </cell>
          <cell r="G111" t="str">
            <v>Alan Ricardo Flores Diaz</v>
          </cell>
          <cell r="H111">
            <v>0</v>
          </cell>
        </row>
        <row r="112">
          <cell r="A112">
            <v>295</v>
          </cell>
          <cell r="B112" t="str">
            <v>CENTRASUR</v>
          </cell>
          <cell r="C112" t="str">
            <v>PETAPA</v>
          </cell>
          <cell r="F112">
            <v>314840</v>
          </cell>
          <cell r="G112" t="str">
            <v>Alba Andrea Perez Hernandez</v>
          </cell>
          <cell r="H112">
            <v>0</v>
          </cell>
        </row>
        <row r="113">
          <cell r="A113">
            <v>340</v>
          </cell>
          <cell r="B113" t="str">
            <v>LUMINOVA</v>
          </cell>
          <cell r="C113" t="str">
            <v>PETAPA</v>
          </cell>
          <cell r="F113">
            <v>312686</v>
          </cell>
          <cell r="G113" t="str">
            <v>Alba Azucena Santeliz Marin</v>
          </cell>
          <cell r="H113">
            <v>0</v>
          </cell>
        </row>
        <row r="114">
          <cell r="A114">
            <v>3</v>
          </cell>
          <cell r="B114" t="str">
            <v>ZONA 4</v>
          </cell>
          <cell r="C114" t="str">
            <v>REFORMA</v>
          </cell>
          <cell r="F114">
            <v>90045458</v>
          </cell>
          <cell r="G114" t="str">
            <v>Alba Beatriz Azucena Sapon Sapon</v>
          </cell>
          <cell r="H114">
            <v>0</v>
          </cell>
        </row>
        <row r="115">
          <cell r="A115">
            <v>4</v>
          </cell>
          <cell r="B115" t="str">
            <v>TIVOLI  ZONA 9</v>
          </cell>
          <cell r="C115" t="str">
            <v>REFORMA</v>
          </cell>
          <cell r="F115">
            <v>313081</v>
          </cell>
          <cell r="G115" t="str">
            <v>Alba Mariana Higueros Micheo</v>
          </cell>
          <cell r="H115">
            <v>0</v>
          </cell>
        </row>
        <row r="116">
          <cell r="A116">
            <v>6</v>
          </cell>
          <cell r="B116" t="str">
            <v>ZONA 5</v>
          </cell>
          <cell r="C116" t="str">
            <v>REFORMA</v>
          </cell>
          <cell r="F116">
            <v>313531</v>
          </cell>
          <cell r="G116" t="str">
            <v>Alejandra Gramajo Marroquin</v>
          </cell>
          <cell r="H116">
            <v>0</v>
          </cell>
        </row>
        <row r="117">
          <cell r="A117">
            <v>8</v>
          </cell>
          <cell r="B117" t="str">
            <v>REFORMA</v>
          </cell>
          <cell r="C117" t="str">
            <v>REFORMA</v>
          </cell>
          <cell r="F117">
            <v>313714</v>
          </cell>
          <cell r="G117" t="str">
            <v>Alejandra Julissa Solis Aguilar</v>
          </cell>
          <cell r="H117">
            <v>0</v>
          </cell>
        </row>
        <row r="118">
          <cell r="A118">
            <v>10</v>
          </cell>
          <cell r="B118" t="str">
            <v>MARGARITAS</v>
          </cell>
          <cell r="C118" t="str">
            <v>REFORMA</v>
          </cell>
          <cell r="F118">
            <v>313994</v>
          </cell>
          <cell r="G118" t="str">
            <v>Alejandra Naime Muñoz Letona</v>
          </cell>
          <cell r="H118">
            <v>0</v>
          </cell>
        </row>
        <row r="119">
          <cell r="A119">
            <v>15</v>
          </cell>
          <cell r="B119" t="str">
            <v>TERMINAL ZONA 9</v>
          </cell>
          <cell r="C119" t="str">
            <v>REFORMA</v>
          </cell>
          <cell r="F119">
            <v>314849</v>
          </cell>
          <cell r="G119" t="str">
            <v>Alejandro Enrique Mejicanos Ramos</v>
          </cell>
          <cell r="H119">
            <v>0</v>
          </cell>
        </row>
        <row r="120">
          <cell r="A120">
            <v>16</v>
          </cell>
          <cell r="B120" t="str">
            <v>AGENCIA CENTRAL</v>
          </cell>
          <cell r="C120" t="str">
            <v>REFORMA</v>
          </cell>
          <cell r="F120">
            <v>314099</v>
          </cell>
          <cell r="G120" t="str">
            <v>Alejandro Jose Gaytan Cordero</v>
          </cell>
          <cell r="H120">
            <v>0</v>
          </cell>
        </row>
        <row r="121">
          <cell r="A121">
            <v>18</v>
          </cell>
          <cell r="B121" t="str">
            <v>CAMINO REAL</v>
          </cell>
          <cell r="C121" t="str">
            <v>REFORMA</v>
          </cell>
          <cell r="F121">
            <v>315220</v>
          </cell>
          <cell r="G121" t="str">
            <v>Alejandro Jose Mont Diaz</v>
          </cell>
          <cell r="H121">
            <v>0</v>
          </cell>
        </row>
        <row r="122">
          <cell r="A122">
            <v>62</v>
          </cell>
          <cell r="B122" t="str">
            <v>LA TORRE</v>
          </cell>
          <cell r="C122" t="str">
            <v>REFORMA</v>
          </cell>
          <cell r="F122">
            <v>314705</v>
          </cell>
          <cell r="G122" t="str">
            <v>Alex Eduardo Gil Paniagua</v>
          </cell>
          <cell r="H122">
            <v>0</v>
          </cell>
        </row>
        <row r="123">
          <cell r="A123">
            <v>106</v>
          </cell>
          <cell r="B123" t="str">
            <v>FUNDACION 2</v>
          </cell>
          <cell r="C123" t="str">
            <v>REFORMA</v>
          </cell>
          <cell r="F123">
            <v>314936</v>
          </cell>
          <cell r="G123" t="str">
            <v>Alex Fernando Garcia De Leon</v>
          </cell>
          <cell r="H123">
            <v>0</v>
          </cell>
        </row>
        <row r="124">
          <cell r="A124">
            <v>199</v>
          </cell>
          <cell r="B124" t="str">
            <v>MONTUFAR</v>
          </cell>
          <cell r="C124" t="str">
            <v>REFORMA</v>
          </cell>
          <cell r="F124">
            <v>313694</v>
          </cell>
          <cell r="G124" t="str">
            <v>Alex Humberto Montezuma</v>
          </cell>
          <cell r="H124">
            <v>0</v>
          </cell>
        </row>
        <row r="125">
          <cell r="A125">
            <v>282</v>
          </cell>
          <cell r="B125" t="str">
            <v>OAKLAND MALL</v>
          </cell>
          <cell r="C125" t="str">
            <v>REFORMA</v>
          </cell>
          <cell r="F125">
            <v>307867</v>
          </cell>
          <cell r="G125" t="str">
            <v>Alex Jose Bamaca Baltazar</v>
          </cell>
          <cell r="H125">
            <v>0</v>
          </cell>
        </row>
        <row r="126">
          <cell r="A126">
            <v>317</v>
          </cell>
          <cell r="B126" t="str">
            <v>AVIA</v>
          </cell>
          <cell r="C126" t="str">
            <v>REFORMA</v>
          </cell>
          <cell r="F126">
            <v>90034705</v>
          </cell>
          <cell r="G126" t="str">
            <v xml:space="preserve">Alexander Josue Hurtado Palencia </v>
          </cell>
          <cell r="H126">
            <v>0</v>
          </cell>
        </row>
        <row r="127">
          <cell r="A127">
            <v>323</v>
          </cell>
          <cell r="B127" t="str">
            <v>FONTABELLA</v>
          </cell>
          <cell r="C127" t="str">
            <v>REFORMA</v>
          </cell>
          <cell r="F127">
            <v>311810</v>
          </cell>
          <cell r="G127" t="str">
            <v>Alexander Macario Gonzalez Monterroso</v>
          </cell>
          <cell r="H127">
            <v>0</v>
          </cell>
        </row>
        <row r="128">
          <cell r="A128">
            <v>324</v>
          </cell>
          <cell r="B128" t="str">
            <v>PLAZA 6-17</v>
          </cell>
          <cell r="C128" t="str">
            <v>REFORMA</v>
          </cell>
          <cell r="F128">
            <v>301291</v>
          </cell>
          <cell r="G128" t="str">
            <v>Alexandra Carolina Valdez Vasquez</v>
          </cell>
          <cell r="H128">
            <v>0</v>
          </cell>
        </row>
        <row r="129">
          <cell r="A129">
            <v>9</v>
          </cell>
          <cell r="B129" t="str">
            <v>ROOSEVELT</v>
          </cell>
          <cell r="C129" t="str">
            <v>ROOSEVELT</v>
          </cell>
          <cell r="F129">
            <v>90023724</v>
          </cell>
          <cell r="G129" t="str">
            <v>Alexandra Jennyffer Korina Matias Galindo</v>
          </cell>
          <cell r="H129">
            <v>0</v>
          </cell>
        </row>
        <row r="130">
          <cell r="A130">
            <v>26</v>
          </cell>
          <cell r="B130" t="str">
            <v>ANTIGUA EL PORTAL</v>
          </cell>
          <cell r="C130" t="str">
            <v>ROOSEVELT</v>
          </cell>
          <cell r="F130">
            <v>313482</v>
          </cell>
          <cell r="G130" t="str">
            <v>Alexandra Stefania Estrada Flores</v>
          </cell>
          <cell r="H130">
            <v>0</v>
          </cell>
        </row>
        <row r="131">
          <cell r="A131">
            <v>32</v>
          </cell>
          <cell r="B131" t="str">
            <v>ANTIGUA LANDIVAR</v>
          </cell>
          <cell r="C131" t="str">
            <v>ROOSEVELT</v>
          </cell>
          <cell r="F131">
            <v>300907</v>
          </cell>
          <cell r="G131" t="str">
            <v>Alexangel Quan Urrutia</v>
          </cell>
          <cell r="H131">
            <v>0</v>
          </cell>
        </row>
        <row r="132">
          <cell r="A132">
            <v>52</v>
          </cell>
          <cell r="B132" t="str">
            <v>MIRAFLORES</v>
          </cell>
          <cell r="C132" t="str">
            <v>ROOSEVELT</v>
          </cell>
          <cell r="F132">
            <v>312962</v>
          </cell>
          <cell r="G132" t="str">
            <v>Alexia Paola Marroquin Lopez</v>
          </cell>
          <cell r="H132">
            <v>0</v>
          </cell>
        </row>
        <row r="133">
          <cell r="A133">
            <v>60</v>
          </cell>
          <cell r="B133" t="str">
            <v>UTATLAN</v>
          </cell>
          <cell r="C133" t="str">
            <v>ROOSEVELT</v>
          </cell>
          <cell r="F133">
            <v>314671</v>
          </cell>
          <cell r="G133" t="str">
            <v>Alexsandra Daniela Cano Garcia</v>
          </cell>
          <cell r="H133">
            <v>0</v>
          </cell>
        </row>
        <row r="134">
          <cell r="A134">
            <v>69</v>
          </cell>
          <cell r="B134" t="str">
            <v>PERI-ROOSEVELT</v>
          </cell>
          <cell r="C134" t="str">
            <v>ROOSEVELT</v>
          </cell>
          <cell r="F134">
            <v>311103</v>
          </cell>
          <cell r="G134" t="str">
            <v>Alfredo Chiyal Bocel</v>
          </cell>
          <cell r="H134">
            <v>0</v>
          </cell>
        </row>
        <row r="135">
          <cell r="A135">
            <v>74</v>
          </cell>
          <cell r="B135" t="str">
            <v>CALZADA SAN JUAN</v>
          </cell>
          <cell r="C135" t="str">
            <v>REFORMA</v>
          </cell>
          <cell r="F135">
            <v>311576</v>
          </cell>
          <cell r="G135" t="str">
            <v>Alfredo Gomez Lancerio</v>
          </cell>
          <cell r="H135">
            <v>0</v>
          </cell>
        </row>
        <row r="136">
          <cell r="A136">
            <v>200</v>
          </cell>
          <cell r="B136" t="str">
            <v>GALERIAS MIRAFLORES</v>
          </cell>
          <cell r="C136" t="str">
            <v>ROOSEVELT</v>
          </cell>
          <cell r="F136">
            <v>313014</v>
          </cell>
          <cell r="G136" t="str">
            <v>Alfredo Monsanto Santos</v>
          </cell>
          <cell r="H136">
            <v>0</v>
          </cell>
        </row>
        <row r="137">
          <cell r="A137">
            <v>220</v>
          </cell>
          <cell r="B137" t="str">
            <v>JOCOTENANGO</v>
          </cell>
          <cell r="C137" t="str">
            <v>ROOSEVELT</v>
          </cell>
          <cell r="F137">
            <v>315223</v>
          </cell>
          <cell r="G137" t="str">
            <v>Alicia Magaly Juarez Quiacain</v>
          </cell>
          <cell r="H137">
            <v>0</v>
          </cell>
        </row>
        <row r="138">
          <cell r="A138">
            <v>252</v>
          </cell>
          <cell r="B138" t="str">
            <v>ESKALA ROOSEVELT</v>
          </cell>
          <cell r="C138" t="str">
            <v>ROOSEVELT</v>
          </cell>
          <cell r="F138">
            <v>90039162</v>
          </cell>
          <cell r="G138" t="str">
            <v>Alicia Michelle Estrada Revolorio</v>
          </cell>
          <cell r="H138">
            <v>0</v>
          </cell>
        </row>
        <row r="139">
          <cell r="A139">
            <v>260</v>
          </cell>
          <cell r="B139" t="str">
            <v>ANTIGUA LOS ENCINOS</v>
          </cell>
          <cell r="C139" t="str">
            <v>ROOSEVELT</v>
          </cell>
          <cell r="F139">
            <v>316316</v>
          </cell>
          <cell r="G139" t="str">
            <v>Alida Elizabeth Caj Amalem</v>
          </cell>
          <cell r="H139">
            <v>0</v>
          </cell>
        </row>
        <row r="140">
          <cell r="A140">
            <v>273</v>
          </cell>
          <cell r="B140" t="str">
            <v>CIUDAD VIEJA</v>
          </cell>
          <cell r="C140" t="str">
            <v>ROOSEVELT</v>
          </cell>
          <cell r="F140">
            <v>314035</v>
          </cell>
          <cell r="G140" t="str">
            <v>Alisson Andrea Jacobo Castro</v>
          </cell>
          <cell r="H140">
            <v>0</v>
          </cell>
        </row>
        <row r="141">
          <cell r="A141">
            <v>280</v>
          </cell>
          <cell r="B141" t="str">
            <v>LAS PUERTAS SAN LUCAS</v>
          </cell>
          <cell r="C141" t="str">
            <v>ROOSEVELT</v>
          </cell>
          <cell r="F141">
            <v>315214</v>
          </cell>
          <cell r="G141" t="str">
            <v>Allan David Galdamez De Leon</v>
          </cell>
          <cell r="H141">
            <v>0</v>
          </cell>
        </row>
        <row r="142">
          <cell r="A142">
            <v>91</v>
          </cell>
          <cell r="B142" t="str">
            <v xml:space="preserve"> AGENCIA CUADRES</v>
          </cell>
          <cell r="C142" t="str">
            <v>SIN ZONA</v>
          </cell>
          <cell r="F142">
            <v>316241</v>
          </cell>
          <cell r="G142" t="str">
            <v>Allan Esmaylin Cabrera Perez</v>
          </cell>
          <cell r="H142">
            <v>0</v>
          </cell>
        </row>
        <row r="143">
          <cell r="A143">
            <v>285</v>
          </cell>
          <cell r="B143" t="str">
            <v xml:space="preserve"> AGENCIA BANCA PRIVADA  5to Niv</v>
          </cell>
          <cell r="C143" t="str">
            <v>SIN ZONA</v>
          </cell>
          <cell r="F143">
            <v>306902</v>
          </cell>
          <cell r="G143" t="str">
            <v>Allan Kalleb Garcia Cahuex</v>
          </cell>
          <cell r="H143">
            <v>0</v>
          </cell>
        </row>
        <row r="144">
          <cell r="A144">
            <v>291</v>
          </cell>
          <cell r="B144" t="str">
            <v xml:space="preserve"> AGENCIA BANCA PRIVADA</v>
          </cell>
          <cell r="C144" t="str">
            <v>SIN ZONA</v>
          </cell>
          <cell r="F144">
            <v>313182</v>
          </cell>
          <cell r="G144" t="str">
            <v>Allan Kenneth Chiguichon Solis</v>
          </cell>
          <cell r="H144">
            <v>0</v>
          </cell>
        </row>
        <row r="145">
          <cell r="A145">
            <v>293</v>
          </cell>
          <cell r="B145" t="str">
            <v xml:space="preserve"> BANCA PRIVADA PLAZA ZONA 14</v>
          </cell>
          <cell r="C145" t="str">
            <v>SIN ZONA</v>
          </cell>
          <cell r="F145">
            <v>316227</v>
          </cell>
          <cell r="G145" t="str">
            <v>Allison Mirella Salguero Lopez</v>
          </cell>
          <cell r="H145">
            <v>0</v>
          </cell>
        </row>
        <row r="146">
          <cell r="A146">
            <v>307</v>
          </cell>
          <cell r="B146" t="str">
            <v xml:space="preserve"> Banca Privada Plaza Varieta</v>
          </cell>
          <cell r="C146" t="str">
            <v>SIN ZONA</v>
          </cell>
          <cell r="F146">
            <v>90033123</v>
          </cell>
          <cell r="G146" t="str">
            <v>Allyson Jazmin Arriaza Castellanos</v>
          </cell>
          <cell r="H146">
            <v>0</v>
          </cell>
        </row>
        <row r="147">
          <cell r="A147">
            <v>315</v>
          </cell>
          <cell r="B147" t="str">
            <v xml:space="preserve"> Operaciones de Agencias</v>
          </cell>
          <cell r="C147" t="str">
            <v>SIN ZONA</v>
          </cell>
          <cell r="F147">
            <v>315434</v>
          </cell>
          <cell r="G147" t="str">
            <v>Alma Carolina Herrera Pirir</v>
          </cell>
          <cell r="H147">
            <v>0</v>
          </cell>
        </row>
        <row r="148">
          <cell r="A148">
            <v>316</v>
          </cell>
          <cell r="B148" t="str">
            <v xml:space="preserve"> AGENCIA BANCA DE EMPRESAS</v>
          </cell>
          <cell r="C148" t="str">
            <v>SIN ZONA</v>
          </cell>
          <cell r="F148">
            <v>315280</v>
          </cell>
          <cell r="G148" t="str">
            <v>Alma Rosa Valle Blandon</v>
          </cell>
          <cell r="H148">
            <v>0</v>
          </cell>
        </row>
        <row r="149">
          <cell r="A149">
            <v>20</v>
          </cell>
          <cell r="B149" t="str">
            <v>MALACATAN</v>
          </cell>
          <cell r="C149" t="str">
            <v>SUROCCIDENTE</v>
          </cell>
          <cell r="F149">
            <v>302247</v>
          </cell>
          <cell r="G149" t="str">
            <v>Alma Yecenia Ramon Oroxon</v>
          </cell>
          <cell r="H149">
            <v>0</v>
          </cell>
        </row>
        <row r="150">
          <cell r="A150">
            <v>25</v>
          </cell>
          <cell r="B150" t="str">
            <v>TIQUISATE</v>
          </cell>
          <cell r="C150" t="str">
            <v>SUROCCIDENTE</v>
          </cell>
          <cell r="F150">
            <v>310433</v>
          </cell>
          <cell r="G150" t="str">
            <v>Alma Zucely Sarceño Peralta</v>
          </cell>
          <cell r="H150">
            <v>0</v>
          </cell>
        </row>
        <row r="151">
          <cell r="A151">
            <v>31</v>
          </cell>
          <cell r="B151" t="str">
            <v>COATEPEQUE</v>
          </cell>
          <cell r="C151" t="str">
            <v>SUROCCIDENTE</v>
          </cell>
          <cell r="F151">
            <v>313286</v>
          </cell>
          <cell r="G151" t="str">
            <v>Alvaro Fernando Acte Mérida</v>
          </cell>
          <cell r="H151">
            <v>0</v>
          </cell>
        </row>
        <row r="152">
          <cell r="A152">
            <v>43</v>
          </cell>
          <cell r="B152" t="str">
            <v>MAZATENANGO TERMINAL</v>
          </cell>
          <cell r="C152" t="str">
            <v>SUROCCIDENTE</v>
          </cell>
          <cell r="F152">
            <v>310546</v>
          </cell>
          <cell r="G152" t="str">
            <v>Alvaro Lopez Lopez</v>
          </cell>
          <cell r="H152">
            <v>0</v>
          </cell>
        </row>
        <row r="153">
          <cell r="A153">
            <v>48</v>
          </cell>
          <cell r="B153" t="str">
            <v>TECUN UMAN SAN MARCOS</v>
          </cell>
          <cell r="C153" t="str">
            <v>SUROCCIDENTE</v>
          </cell>
          <cell r="F153">
            <v>313119</v>
          </cell>
          <cell r="G153" t="str">
            <v>Alvaro Luis Carias Gonzalez</v>
          </cell>
          <cell r="H153">
            <v>0</v>
          </cell>
        </row>
        <row r="154">
          <cell r="A154">
            <v>63</v>
          </cell>
          <cell r="B154" t="str">
            <v>MAZATENANGO CENTRO</v>
          </cell>
          <cell r="C154" t="str">
            <v>SUROCCIDENTE</v>
          </cell>
          <cell r="F154">
            <v>315101</v>
          </cell>
          <cell r="G154" t="str">
            <v>Alvaro Oswaldo De La Rosa Hernandez</v>
          </cell>
          <cell r="H154">
            <v>0</v>
          </cell>
        </row>
        <row r="155">
          <cell r="A155">
            <v>89</v>
          </cell>
          <cell r="B155" t="str">
            <v>LA TRINIDAD RETALHULEU</v>
          </cell>
          <cell r="C155" t="str">
            <v>SUROCCIDENTE</v>
          </cell>
          <cell r="F155">
            <v>314982</v>
          </cell>
          <cell r="G155" t="str">
            <v>Alvin David Cush Roman</v>
          </cell>
          <cell r="H155">
            <v>0</v>
          </cell>
        </row>
        <row r="156">
          <cell r="A156">
            <v>130</v>
          </cell>
          <cell r="B156" t="str">
            <v>COBIGUA TIQUISATE</v>
          </cell>
          <cell r="C156" t="str">
            <v>SUROCCIDENTE</v>
          </cell>
          <cell r="F156">
            <v>313528</v>
          </cell>
          <cell r="G156" t="str">
            <v>Amairani Lilibeth Escobar Maquin</v>
          </cell>
          <cell r="H156">
            <v>0</v>
          </cell>
        </row>
        <row r="157">
          <cell r="A157">
            <v>143</v>
          </cell>
          <cell r="B157" t="str">
            <v>RETALHULEU LA SIRENA</v>
          </cell>
          <cell r="C157" t="str">
            <v>SUROCCIDENTE</v>
          </cell>
          <cell r="F157">
            <v>309338</v>
          </cell>
          <cell r="G157" t="str">
            <v>Amalia Rebeca Son Juarez</v>
          </cell>
          <cell r="H157">
            <v>0</v>
          </cell>
        </row>
        <row r="158">
          <cell r="A158">
            <v>176</v>
          </cell>
          <cell r="B158" t="str">
            <v>LA MAQUINA</v>
          </cell>
          <cell r="C158" t="str">
            <v>SUROCCIDENTE</v>
          </cell>
          <cell r="F158">
            <v>309664</v>
          </cell>
          <cell r="G158" t="str">
            <v>Amarilis Sarita Ajtun Lopez</v>
          </cell>
          <cell r="H158">
            <v>0</v>
          </cell>
        </row>
        <row r="159">
          <cell r="A159">
            <v>178</v>
          </cell>
          <cell r="B159" t="str">
            <v>LA TRINIDAD MALACATAN</v>
          </cell>
          <cell r="C159" t="str">
            <v>SUROCCIDENTE</v>
          </cell>
          <cell r="F159">
            <v>309337</v>
          </cell>
          <cell r="G159" t="str">
            <v>Amauri Santillano Catalan</v>
          </cell>
          <cell r="H159">
            <v>0</v>
          </cell>
        </row>
        <row r="160">
          <cell r="A160">
            <v>227</v>
          </cell>
          <cell r="B160" t="str">
            <v>PAJAPITA</v>
          </cell>
          <cell r="C160" t="str">
            <v>SUROCCIDENTE</v>
          </cell>
          <cell r="F160">
            <v>313295</v>
          </cell>
          <cell r="G160" t="str">
            <v>Amed Carlos Eduardo Matheu Cabrera</v>
          </cell>
          <cell r="H160">
            <v>0</v>
          </cell>
        </row>
        <row r="161">
          <cell r="A161">
            <v>236</v>
          </cell>
          <cell r="B161" t="str">
            <v>CHICACAO PAMAXAN</v>
          </cell>
          <cell r="C161" t="str">
            <v>SUROCCIDENTE</v>
          </cell>
          <cell r="F161">
            <v>315553</v>
          </cell>
          <cell r="G161" t="str">
            <v>Amed Isram Rodas Garcia</v>
          </cell>
          <cell r="H161">
            <v>0</v>
          </cell>
        </row>
        <row r="162">
          <cell r="A162">
            <v>257</v>
          </cell>
          <cell r="B162" t="str">
            <v>LA MAQUINA CENTRO II</v>
          </cell>
          <cell r="C162" t="str">
            <v>SUROCCIDENTE</v>
          </cell>
          <cell r="F162">
            <v>301503</v>
          </cell>
          <cell r="G162" t="str">
            <v>America Romilia Martinez Ramirez</v>
          </cell>
          <cell r="H162">
            <v>0</v>
          </cell>
        </row>
        <row r="163">
          <cell r="A163">
            <v>297</v>
          </cell>
          <cell r="B163" t="str">
            <v>LA TRINIDAD COATEPEQUE</v>
          </cell>
          <cell r="C163" t="str">
            <v>SUROCCIDENTE</v>
          </cell>
          <cell r="F163">
            <v>316348</v>
          </cell>
          <cell r="G163" t="str">
            <v>Amparo Rocio Macario</v>
          </cell>
          <cell r="H163">
            <v>0</v>
          </cell>
        </row>
        <row r="164">
          <cell r="A164">
            <v>400</v>
          </cell>
          <cell r="B164" t="str">
            <v>PLAZA BARISTA</v>
          </cell>
          <cell r="C164" t="str">
            <v>AMERICAS</v>
          </cell>
          <cell r="F164">
            <v>311055</v>
          </cell>
          <cell r="G164" t="str">
            <v>Amram Dodanim Lopez Cahuec</v>
          </cell>
          <cell r="H164">
            <v>0</v>
          </cell>
        </row>
        <row r="165">
          <cell r="A165">
            <v>93</v>
          </cell>
          <cell r="B165" t="str">
            <v>BANCA PERSONAL</v>
          </cell>
          <cell r="C165" t="str">
            <v>BANCA PERSONAL</v>
          </cell>
          <cell r="F165">
            <v>316329</v>
          </cell>
          <cell r="G165" t="str">
            <v>Ana Asencio</v>
          </cell>
          <cell r="H165">
            <v>0</v>
          </cell>
        </row>
        <row r="166">
          <cell r="A166">
            <v>345</v>
          </cell>
          <cell r="B166" t="str">
            <v>PLAZA AMERICAS</v>
          </cell>
          <cell r="C166" t="str">
            <v>SUROCCIDENTE</v>
          </cell>
          <cell r="F166">
            <v>301234</v>
          </cell>
          <cell r="G166" t="str">
            <v>Ana Bertha Guzman Yaggi</v>
          </cell>
          <cell r="H166">
            <v>0</v>
          </cell>
        </row>
        <row r="167">
          <cell r="F167">
            <v>301139</v>
          </cell>
          <cell r="G167" t="str">
            <v>Ana Cecilia De Los Angeles Monterroso Garcia</v>
          </cell>
          <cell r="H167">
            <v>0</v>
          </cell>
        </row>
        <row r="168">
          <cell r="F168">
            <v>307790</v>
          </cell>
          <cell r="G168" t="str">
            <v>Ana Cecilia Navichoc Chiquival</v>
          </cell>
          <cell r="H168">
            <v>0</v>
          </cell>
        </row>
        <row r="169">
          <cell r="F169">
            <v>315044</v>
          </cell>
          <cell r="G169" t="str">
            <v>Ana Celeste Garcia Garcia</v>
          </cell>
          <cell r="H169">
            <v>0</v>
          </cell>
        </row>
        <row r="170">
          <cell r="F170">
            <v>90040315</v>
          </cell>
          <cell r="G170" t="str">
            <v>Ana Daniela Lopez Cabrera</v>
          </cell>
          <cell r="H170">
            <v>0</v>
          </cell>
        </row>
        <row r="171">
          <cell r="F171">
            <v>316153</v>
          </cell>
          <cell r="G171" t="str">
            <v>Ana Del Rosario Yol Gonzalez</v>
          </cell>
          <cell r="H171">
            <v>0</v>
          </cell>
        </row>
        <row r="172">
          <cell r="F172">
            <v>315858</v>
          </cell>
          <cell r="G172" t="str">
            <v>Ana Francisca Citalan Velasquez</v>
          </cell>
          <cell r="H172">
            <v>0</v>
          </cell>
        </row>
        <row r="173">
          <cell r="F173">
            <v>309527</v>
          </cell>
          <cell r="G173" t="str">
            <v>Ana Gabriela Caal Cruz</v>
          </cell>
          <cell r="H173">
            <v>0</v>
          </cell>
        </row>
        <row r="174">
          <cell r="F174">
            <v>313217</v>
          </cell>
          <cell r="G174" t="str">
            <v>Ana Gabriela Damian Ixbalan</v>
          </cell>
          <cell r="H174">
            <v>0</v>
          </cell>
        </row>
        <row r="175">
          <cell r="F175">
            <v>305932</v>
          </cell>
          <cell r="G175" t="str">
            <v>Ana Gabriela De La Cruz Aguilar</v>
          </cell>
          <cell r="H175">
            <v>0</v>
          </cell>
        </row>
        <row r="176">
          <cell r="F176">
            <v>314984</v>
          </cell>
          <cell r="G176" t="str">
            <v>Ana Gabriela Equite Diaz</v>
          </cell>
          <cell r="H176">
            <v>0</v>
          </cell>
        </row>
        <row r="177">
          <cell r="F177">
            <v>314578</v>
          </cell>
          <cell r="G177" t="str">
            <v>Ana Gabriela Garcia Ajanel</v>
          </cell>
          <cell r="H177">
            <v>0</v>
          </cell>
        </row>
        <row r="178">
          <cell r="F178">
            <v>307751</v>
          </cell>
          <cell r="G178" t="str">
            <v>Ana Gabriela Gonzalez Herrera</v>
          </cell>
          <cell r="H178">
            <v>0</v>
          </cell>
        </row>
        <row r="179">
          <cell r="F179">
            <v>309545</v>
          </cell>
          <cell r="G179" t="str">
            <v>Ana Gabriela Pereira Mendizabal</v>
          </cell>
          <cell r="H179">
            <v>0</v>
          </cell>
        </row>
        <row r="180">
          <cell r="F180">
            <v>90040157</v>
          </cell>
          <cell r="G180" t="str">
            <v>Ana Gabriela Perez Ixcoy</v>
          </cell>
          <cell r="H180">
            <v>0</v>
          </cell>
        </row>
        <row r="181">
          <cell r="F181">
            <v>314839</v>
          </cell>
          <cell r="G181" t="str">
            <v>Ana Gabriela Samayoa Lopez</v>
          </cell>
          <cell r="H181">
            <v>0</v>
          </cell>
        </row>
        <row r="182">
          <cell r="F182">
            <v>315941</v>
          </cell>
          <cell r="G182" t="str">
            <v>Ana Garcia Coromac</v>
          </cell>
          <cell r="H182">
            <v>0</v>
          </cell>
        </row>
        <row r="183">
          <cell r="F183">
            <v>316036</v>
          </cell>
          <cell r="G183" t="str">
            <v>Ana Gisela Lainfiesta Lopez</v>
          </cell>
          <cell r="H183">
            <v>0</v>
          </cell>
        </row>
        <row r="184">
          <cell r="F184">
            <v>310329</v>
          </cell>
          <cell r="G184" t="str">
            <v>Ana Leticia Lux Say</v>
          </cell>
          <cell r="H184">
            <v>0</v>
          </cell>
        </row>
        <row r="185">
          <cell r="F185">
            <v>316053</v>
          </cell>
          <cell r="G185" t="str">
            <v xml:space="preserve">Ana Leticia Paau Oxom </v>
          </cell>
          <cell r="H185">
            <v>0</v>
          </cell>
        </row>
        <row r="186">
          <cell r="F186">
            <v>311761</v>
          </cell>
          <cell r="G186" t="str">
            <v>Ana Lourdes Muñoz Pensamiento</v>
          </cell>
          <cell r="H186">
            <v>0</v>
          </cell>
        </row>
        <row r="187">
          <cell r="F187">
            <v>311111</v>
          </cell>
          <cell r="G187" t="str">
            <v>Ana Lucia Donis Franco</v>
          </cell>
          <cell r="H187">
            <v>0</v>
          </cell>
        </row>
        <row r="188">
          <cell r="F188">
            <v>313991</v>
          </cell>
          <cell r="G188" t="str">
            <v>Ana Lucia Gudiel Vasquez</v>
          </cell>
          <cell r="H188">
            <v>0</v>
          </cell>
        </row>
        <row r="189">
          <cell r="F189">
            <v>90034569</v>
          </cell>
          <cell r="G189" t="str">
            <v>Ana Lucia Quib Yanes</v>
          </cell>
          <cell r="H189">
            <v>0</v>
          </cell>
        </row>
        <row r="190">
          <cell r="F190">
            <v>307442</v>
          </cell>
          <cell r="G190" t="str">
            <v>Ana Lucia Ramirez Aquino</v>
          </cell>
          <cell r="H190">
            <v>0</v>
          </cell>
        </row>
        <row r="191">
          <cell r="F191">
            <v>314751</v>
          </cell>
          <cell r="G191" t="str">
            <v>Ana Lucia Veliz Solares</v>
          </cell>
          <cell r="H191">
            <v>0</v>
          </cell>
        </row>
        <row r="192">
          <cell r="F192">
            <v>90025620</v>
          </cell>
          <cell r="G192" t="str">
            <v>Ana Luisa Jimenez Garcia</v>
          </cell>
          <cell r="H192">
            <v>0</v>
          </cell>
        </row>
        <row r="193">
          <cell r="F193">
            <v>306767</v>
          </cell>
          <cell r="G193" t="str">
            <v>Ana Marcela Castillo Rodriguez</v>
          </cell>
          <cell r="H193">
            <v>0</v>
          </cell>
        </row>
        <row r="194">
          <cell r="F194">
            <v>312249</v>
          </cell>
          <cell r="G194" t="str">
            <v>Ana Margarita Barrera Estrada</v>
          </cell>
          <cell r="H194">
            <v>0</v>
          </cell>
        </row>
        <row r="195">
          <cell r="F195">
            <v>202795</v>
          </cell>
          <cell r="G195" t="str">
            <v>Ana Maria Barrios Alejos</v>
          </cell>
          <cell r="H195">
            <v>0</v>
          </cell>
        </row>
        <row r="196">
          <cell r="F196">
            <v>302684</v>
          </cell>
          <cell r="G196" t="str">
            <v>Ana Melisa Giron Gonzalez</v>
          </cell>
          <cell r="H196">
            <v>0</v>
          </cell>
        </row>
        <row r="197">
          <cell r="F197">
            <v>315474</v>
          </cell>
          <cell r="G197" t="str">
            <v>Ana Merced Arriola Gomez</v>
          </cell>
          <cell r="H197">
            <v>0</v>
          </cell>
        </row>
        <row r="198">
          <cell r="F198">
            <v>308129</v>
          </cell>
          <cell r="G198" t="str">
            <v>Ana Mercedes Tiul Caal</v>
          </cell>
          <cell r="H198">
            <v>0</v>
          </cell>
        </row>
        <row r="199">
          <cell r="F199">
            <v>314191</v>
          </cell>
          <cell r="G199" t="str">
            <v>Ana Patricia Escobar Cardona</v>
          </cell>
          <cell r="H199">
            <v>0</v>
          </cell>
        </row>
        <row r="200">
          <cell r="F200">
            <v>310191</v>
          </cell>
          <cell r="G200" t="str">
            <v>Ana Paulina Macario Del Cid</v>
          </cell>
          <cell r="H200">
            <v>0</v>
          </cell>
        </row>
        <row r="201">
          <cell r="F201">
            <v>310728</v>
          </cell>
          <cell r="G201" t="str">
            <v>Ana Rita Morales Mata</v>
          </cell>
          <cell r="H201">
            <v>0</v>
          </cell>
        </row>
        <row r="202">
          <cell r="F202">
            <v>315052</v>
          </cell>
          <cell r="G202" t="str">
            <v>Ana Ruth Garcia Garcia</v>
          </cell>
          <cell r="H202">
            <v>0</v>
          </cell>
        </row>
        <row r="203">
          <cell r="F203">
            <v>314224</v>
          </cell>
          <cell r="G203" t="str">
            <v>Ana Ruth Wong Mejia</v>
          </cell>
          <cell r="H203">
            <v>0</v>
          </cell>
        </row>
        <row r="204">
          <cell r="F204">
            <v>314469</v>
          </cell>
          <cell r="G204" t="str">
            <v>Ana Sofia Castillo Armas</v>
          </cell>
          <cell r="H204">
            <v>0</v>
          </cell>
        </row>
        <row r="205">
          <cell r="F205">
            <v>312945</v>
          </cell>
          <cell r="G205" t="str">
            <v>Ana Victoria Gonzalez Garcia</v>
          </cell>
          <cell r="H205">
            <v>0</v>
          </cell>
        </row>
        <row r="206">
          <cell r="F206">
            <v>315974</v>
          </cell>
          <cell r="G206" t="str">
            <v>Ana Victoria Noj Galindo</v>
          </cell>
          <cell r="H206">
            <v>0</v>
          </cell>
        </row>
        <row r="207">
          <cell r="F207">
            <v>314019</v>
          </cell>
          <cell r="G207" t="str">
            <v>Anali Guadalupe Salazar Rodriguez</v>
          </cell>
          <cell r="H207">
            <v>0</v>
          </cell>
        </row>
        <row r="208">
          <cell r="F208">
            <v>90045664</v>
          </cell>
          <cell r="G208" t="str">
            <v>Anayanci Yorleni Reyes Contreras</v>
          </cell>
          <cell r="H208">
            <v>0</v>
          </cell>
        </row>
        <row r="209">
          <cell r="F209">
            <v>316215</v>
          </cell>
          <cell r="G209" t="str">
            <v>Anayeli Maribel Jimenez Gomez</v>
          </cell>
          <cell r="H209">
            <v>0</v>
          </cell>
        </row>
        <row r="210">
          <cell r="F210">
            <v>314363</v>
          </cell>
          <cell r="G210" t="str">
            <v xml:space="preserve">Anderson Noe Chunix Morales </v>
          </cell>
          <cell r="H210">
            <v>0</v>
          </cell>
        </row>
        <row r="211">
          <cell r="F211">
            <v>90014151</v>
          </cell>
          <cell r="G211" t="str">
            <v>Anderson Noe Morales Marroquin</v>
          </cell>
          <cell r="H211">
            <v>0</v>
          </cell>
        </row>
        <row r="212">
          <cell r="F212">
            <v>90028242</v>
          </cell>
          <cell r="G212" t="str">
            <v>Andrea Alejandra Veliz Veliz</v>
          </cell>
          <cell r="H212">
            <v>0</v>
          </cell>
        </row>
        <row r="213">
          <cell r="F213">
            <v>315372</v>
          </cell>
          <cell r="G213" t="str">
            <v>Andrea Ayalett Ochoa Lopez</v>
          </cell>
          <cell r="H213">
            <v>0</v>
          </cell>
        </row>
        <row r="214">
          <cell r="F214">
            <v>90034026</v>
          </cell>
          <cell r="G214" t="str">
            <v>Andrea Camila Mayorga Martinez</v>
          </cell>
          <cell r="H214">
            <v>0</v>
          </cell>
        </row>
        <row r="215">
          <cell r="F215">
            <v>315647</v>
          </cell>
          <cell r="G215" t="str">
            <v>Andrea Carolina Gomez Mazariegos</v>
          </cell>
          <cell r="H215">
            <v>0</v>
          </cell>
        </row>
        <row r="216">
          <cell r="F216">
            <v>311505</v>
          </cell>
          <cell r="G216" t="str">
            <v>Andrea Dayana Ordoñez Mendez</v>
          </cell>
          <cell r="H216">
            <v>0</v>
          </cell>
        </row>
        <row r="217">
          <cell r="F217">
            <v>306350</v>
          </cell>
          <cell r="G217" t="str">
            <v>Andrea Eunice Velasquez Mazariegos</v>
          </cell>
          <cell r="H217">
            <v>0</v>
          </cell>
        </row>
        <row r="218">
          <cell r="F218">
            <v>312424</v>
          </cell>
          <cell r="G218" t="str">
            <v>Andrea Fernanda Martin Flores</v>
          </cell>
          <cell r="H218">
            <v>0</v>
          </cell>
        </row>
        <row r="219">
          <cell r="F219">
            <v>315215</v>
          </cell>
          <cell r="G219" t="str">
            <v>Andrea Fernanda Villela Hernandez</v>
          </cell>
          <cell r="H219">
            <v>0</v>
          </cell>
        </row>
        <row r="220">
          <cell r="F220">
            <v>311380</v>
          </cell>
          <cell r="G220" t="str">
            <v>Andrea Lisbeth Ruiz Rodas</v>
          </cell>
          <cell r="H220">
            <v>0</v>
          </cell>
        </row>
        <row r="221">
          <cell r="F221">
            <v>311137</v>
          </cell>
          <cell r="G221" t="str">
            <v>Andrea Lucia Lopez Ajin</v>
          </cell>
          <cell r="H221">
            <v>0</v>
          </cell>
        </row>
        <row r="222">
          <cell r="F222">
            <v>303012</v>
          </cell>
          <cell r="G222" t="str">
            <v>Andrea Marbely Letran Juarez</v>
          </cell>
          <cell r="H222">
            <v>0</v>
          </cell>
        </row>
        <row r="223">
          <cell r="F223">
            <v>315264</v>
          </cell>
          <cell r="G223" t="str">
            <v>Andrea Margarita Gomez Morales</v>
          </cell>
          <cell r="H223">
            <v>0</v>
          </cell>
        </row>
        <row r="224">
          <cell r="F224">
            <v>302630</v>
          </cell>
          <cell r="G224" t="str">
            <v>Andrea Maria Alvarez Calderon</v>
          </cell>
          <cell r="H224">
            <v>0</v>
          </cell>
        </row>
        <row r="225">
          <cell r="F225">
            <v>314057</v>
          </cell>
          <cell r="G225" t="str">
            <v>Andrea Michelle Urbina Solorzano</v>
          </cell>
          <cell r="H225">
            <v>0</v>
          </cell>
        </row>
        <row r="226">
          <cell r="F226">
            <v>312310</v>
          </cell>
          <cell r="G226" t="str">
            <v>Andrea Paola Santisteban Per</v>
          </cell>
          <cell r="H226">
            <v>0</v>
          </cell>
        </row>
        <row r="227">
          <cell r="F227">
            <v>314786</v>
          </cell>
          <cell r="G227" t="str">
            <v>Andrea Stephany Villeda Bran</v>
          </cell>
          <cell r="H227">
            <v>0</v>
          </cell>
        </row>
        <row r="228">
          <cell r="F228">
            <v>311079</v>
          </cell>
          <cell r="G228" t="str">
            <v>Andrea Sucely Ortiz Villavicencio</v>
          </cell>
          <cell r="H228">
            <v>0</v>
          </cell>
        </row>
        <row r="229">
          <cell r="F229">
            <v>311759</v>
          </cell>
          <cell r="G229" t="str">
            <v>Andrea Yesenia Carpio Ramirez</v>
          </cell>
          <cell r="H229">
            <v>0</v>
          </cell>
        </row>
        <row r="230">
          <cell r="F230">
            <v>313301</v>
          </cell>
          <cell r="G230" t="str">
            <v>Andreina Antonieta Velasquez Fuentes</v>
          </cell>
          <cell r="H230">
            <v>0</v>
          </cell>
        </row>
        <row r="231">
          <cell r="F231">
            <v>314241</v>
          </cell>
          <cell r="G231" t="str">
            <v>Andres Simon Sunun</v>
          </cell>
          <cell r="H231">
            <v>0</v>
          </cell>
        </row>
        <row r="232">
          <cell r="F232">
            <v>315169</v>
          </cell>
          <cell r="G232" t="str">
            <v>Andy Oswaldo Pineda Arriola</v>
          </cell>
          <cell r="H232">
            <v>0</v>
          </cell>
        </row>
        <row r="233">
          <cell r="F233">
            <v>90024412</v>
          </cell>
          <cell r="G233" t="str">
            <v>Angel Alfonso Perez Velasquez</v>
          </cell>
          <cell r="H233">
            <v>0</v>
          </cell>
        </row>
        <row r="234">
          <cell r="F234">
            <v>314323</v>
          </cell>
          <cell r="G234" t="str">
            <v>Angel Arturo Mauricio Ayapan</v>
          </cell>
          <cell r="H234">
            <v>0</v>
          </cell>
        </row>
        <row r="235">
          <cell r="F235">
            <v>90039395</v>
          </cell>
          <cell r="G235" t="str">
            <v>Angel Daniel Moreno De La Cruz</v>
          </cell>
          <cell r="H235">
            <v>0</v>
          </cell>
        </row>
        <row r="236">
          <cell r="F236">
            <v>314933</v>
          </cell>
          <cell r="G236" t="str">
            <v>Angel Eliu Humberto Caal Lopez</v>
          </cell>
          <cell r="H236">
            <v>0</v>
          </cell>
        </row>
        <row r="237">
          <cell r="F237">
            <v>306471</v>
          </cell>
          <cell r="G237" t="str">
            <v>Angel Enmanuel Quim Macz</v>
          </cell>
          <cell r="H237">
            <v>0</v>
          </cell>
        </row>
        <row r="238">
          <cell r="F238">
            <v>309341</v>
          </cell>
          <cell r="G238" t="str">
            <v>Angel Estuardo Perez Veliz</v>
          </cell>
          <cell r="H238">
            <v>0</v>
          </cell>
        </row>
        <row r="239">
          <cell r="F239">
            <v>315129</v>
          </cell>
          <cell r="G239" t="str">
            <v xml:space="preserve">Angel Israel Perez Perez </v>
          </cell>
          <cell r="H239">
            <v>0</v>
          </cell>
        </row>
        <row r="240">
          <cell r="F240">
            <v>90019011</v>
          </cell>
          <cell r="G240" t="str">
            <v>Angel Joel Castro Cosajay</v>
          </cell>
          <cell r="H240">
            <v>0</v>
          </cell>
        </row>
        <row r="241">
          <cell r="F241">
            <v>309415</v>
          </cell>
          <cell r="G241" t="str">
            <v>Angel Jose Figueroa Garcia</v>
          </cell>
          <cell r="H241">
            <v>0</v>
          </cell>
        </row>
        <row r="242">
          <cell r="F242">
            <v>315312</v>
          </cell>
          <cell r="G242" t="str">
            <v>Angel Josue Ortiz De Leon</v>
          </cell>
          <cell r="H242">
            <v>0</v>
          </cell>
        </row>
        <row r="243">
          <cell r="F243">
            <v>305814</v>
          </cell>
          <cell r="G243" t="str">
            <v>Angel Josue Perez Rivera</v>
          </cell>
          <cell r="H243">
            <v>0</v>
          </cell>
        </row>
        <row r="244">
          <cell r="F244">
            <v>316229</v>
          </cell>
          <cell r="G244" t="str">
            <v>Angel Josue Yupe Cardona</v>
          </cell>
          <cell r="H244">
            <v>0</v>
          </cell>
        </row>
        <row r="245">
          <cell r="F245">
            <v>90019594</v>
          </cell>
          <cell r="G245" t="str">
            <v>Angel Leonel Martinez Mayorga</v>
          </cell>
          <cell r="H245">
            <v>0</v>
          </cell>
        </row>
        <row r="246">
          <cell r="F246">
            <v>314564</v>
          </cell>
          <cell r="G246" t="str">
            <v>Angel Raderyk Vasquez Ovando</v>
          </cell>
          <cell r="H246">
            <v>0</v>
          </cell>
        </row>
        <row r="247">
          <cell r="F247">
            <v>312055</v>
          </cell>
          <cell r="G247" t="str">
            <v>Angela Daniela Mazariegos Herrera</v>
          </cell>
          <cell r="H247">
            <v>0</v>
          </cell>
        </row>
        <row r="248">
          <cell r="F248">
            <v>311086</v>
          </cell>
          <cell r="G248" t="str">
            <v>Angela Esmeralda Reyes Arriaza</v>
          </cell>
          <cell r="H248">
            <v>0</v>
          </cell>
        </row>
        <row r="249">
          <cell r="F249">
            <v>309859</v>
          </cell>
          <cell r="G249" t="str">
            <v>Angela Ester Gramajo Galicia</v>
          </cell>
          <cell r="H249">
            <v>0</v>
          </cell>
        </row>
        <row r="250">
          <cell r="F250">
            <v>90038297</v>
          </cell>
          <cell r="G250" t="str">
            <v>Angela Janeth Veliz Vasquez</v>
          </cell>
          <cell r="H250">
            <v>0</v>
          </cell>
        </row>
        <row r="251">
          <cell r="F251">
            <v>90019118</v>
          </cell>
          <cell r="G251" t="str">
            <v>Angela Josefina Ramirez Chang</v>
          </cell>
          <cell r="H251">
            <v>0</v>
          </cell>
        </row>
        <row r="252">
          <cell r="F252">
            <v>315026</v>
          </cell>
          <cell r="G252" t="str">
            <v>Angela Marizol Ramon Escobar</v>
          </cell>
          <cell r="H252">
            <v>0</v>
          </cell>
        </row>
        <row r="253">
          <cell r="F253">
            <v>90012092</v>
          </cell>
          <cell r="G253" t="str">
            <v>Angela Ramirez</v>
          </cell>
          <cell r="H253">
            <v>0</v>
          </cell>
        </row>
        <row r="254">
          <cell r="F254">
            <v>315679</v>
          </cell>
          <cell r="G254" t="str">
            <v>Angela Xiomara Ponciano Gonzalez</v>
          </cell>
          <cell r="H254">
            <v>0</v>
          </cell>
        </row>
        <row r="255">
          <cell r="F255">
            <v>316255</v>
          </cell>
          <cell r="G255" t="str">
            <v>Angelica Isabel Velasquez Quintanilla</v>
          </cell>
          <cell r="H255">
            <v>0</v>
          </cell>
        </row>
        <row r="256">
          <cell r="F256">
            <v>314741</v>
          </cell>
          <cell r="G256" t="str">
            <v>Angelica Lorena Garcia Gonzalez</v>
          </cell>
          <cell r="H256">
            <v>0</v>
          </cell>
        </row>
        <row r="257">
          <cell r="F257">
            <v>314696</v>
          </cell>
          <cell r="G257" t="str">
            <v>Angelica Sol Ortiz</v>
          </cell>
          <cell r="H257">
            <v>0</v>
          </cell>
        </row>
        <row r="258">
          <cell r="F258">
            <v>90046642</v>
          </cell>
          <cell r="G258" t="str">
            <v xml:space="preserve">Angie Dayana Vasquez Chamo </v>
          </cell>
          <cell r="H258">
            <v>0</v>
          </cell>
        </row>
        <row r="259">
          <cell r="F259">
            <v>311699</v>
          </cell>
          <cell r="G259" t="str">
            <v>Anika Beira Domingo Escobar</v>
          </cell>
          <cell r="H259">
            <v>0</v>
          </cell>
        </row>
        <row r="260">
          <cell r="F260">
            <v>315556</v>
          </cell>
          <cell r="G260" t="str">
            <v>Anthony Enrique Castellanos Perez</v>
          </cell>
          <cell r="H260">
            <v>0</v>
          </cell>
        </row>
        <row r="261">
          <cell r="F261">
            <v>315121</v>
          </cell>
          <cell r="G261" t="str">
            <v>Antoni Alexis Del Cid Sian</v>
          </cell>
          <cell r="H261">
            <v>0</v>
          </cell>
        </row>
        <row r="262">
          <cell r="F262">
            <v>314905</v>
          </cell>
          <cell r="G262" t="str">
            <v>Antonio Carlos Alvarenga Diaz</v>
          </cell>
          <cell r="H262">
            <v>0</v>
          </cell>
        </row>
        <row r="263">
          <cell r="F263">
            <v>90045958</v>
          </cell>
          <cell r="G263" t="str">
            <v>Antony Alberto Salazar Alfaro</v>
          </cell>
          <cell r="H263">
            <v>0</v>
          </cell>
        </row>
        <row r="264">
          <cell r="F264">
            <v>316077</v>
          </cell>
          <cell r="G264" t="str">
            <v>Antony Guadalupe De Paz Gomez</v>
          </cell>
          <cell r="H264">
            <v>0</v>
          </cell>
        </row>
        <row r="265">
          <cell r="F265">
            <v>90035252</v>
          </cell>
          <cell r="G265" t="str">
            <v>Antony Steven Cabrera Muñoz</v>
          </cell>
          <cell r="H265">
            <v>0</v>
          </cell>
        </row>
        <row r="266">
          <cell r="F266">
            <v>311557</v>
          </cell>
          <cell r="G266" t="str">
            <v>Aracely Nohemy Fuentes Alonzo</v>
          </cell>
          <cell r="H266">
            <v>0</v>
          </cell>
        </row>
        <row r="267">
          <cell r="F267">
            <v>102256</v>
          </cell>
          <cell r="G267" t="str">
            <v>Arelis Noemi Gonzalez Vivar</v>
          </cell>
          <cell r="H267">
            <v>0</v>
          </cell>
        </row>
        <row r="268">
          <cell r="F268">
            <v>315150</v>
          </cell>
          <cell r="G268" t="str">
            <v>Arely Maoly Aguilar Y Aguilar</v>
          </cell>
          <cell r="H268">
            <v>0</v>
          </cell>
        </row>
        <row r="269">
          <cell r="F269">
            <v>314522</v>
          </cell>
          <cell r="G269" t="str">
            <v>Argentina Frisdy Juarez Lopez</v>
          </cell>
          <cell r="H269">
            <v>0</v>
          </cell>
        </row>
        <row r="270">
          <cell r="F270">
            <v>315499</v>
          </cell>
          <cell r="G270" t="str">
            <v>Arias Maquin, Miguel Angel</v>
          </cell>
          <cell r="H270">
            <v>0</v>
          </cell>
        </row>
        <row r="271">
          <cell r="F271">
            <v>309908</v>
          </cell>
          <cell r="G271" t="str">
            <v>Arleth Julissa Paredez Ramirez</v>
          </cell>
          <cell r="H271">
            <v>0</v>
          </cell>
        </row>
        <row r="272">
          <cell r="F272">
            <v>312327</v>
          </cell>
          <cell r="G272" t="str">
            <v>Armando Andree Quiñonez Flores</v>
          </cell>
          <cell r="H272">
            <v>0</v>
          </cell>
        </row>
        <row r="273">
          <cell r="F273">
            <v>90040541</v>
          </cell>
          <cell r="G273" t="str">
            <v>Aron Enrique Zacarias Asijtuj</v>
          </cell>
          <cell r="H273">
            <v>0</v>
          </cell>
        </row>
        <row r="274">
          <cell r="F274">
            <v>315532</v>
          </cell>
          <cell r="G274" t="str">
            <v>Ashley Dayana Franco Sandoval</v>
          </cell>
          <cell r="H274">
            <v>0</v>
          </cell>
        </row>
        <row r="275">
          <cell r="F275">
            <v>90039321</v>
          </cell>
          <cell r="G275" t="str">
            <v>Ashley Melissa Medina Rodriguez</v>
          </cell>
          <cell r="H275">
            <v>0</v>
          </cell>
        </row>
        <row r="276">
          <cell r="F276">
            <v>90027868</v>
          </cell>
          <cell r="G276" t="str">
            <v>Ashly Anabella Raymundo Gonzalez</v>
          </cell>
          <cell r="H276">
            <v>0</v>
          </cell>
        </row>
        <row r="277">
          <cell r="F277">
            <v>90040420</v>
          </cell>
          <cell r="G277" t="str">
            <v>Astrid Alejandra Zetta Estrada</v>
          </cell>
          <cell r="H277">
            <v>0</v>
          </cell>
        </row>
        <row r="278">
          <cell r="F278">
            <v>310537</v>
          </cell>
          <cell r="G278" t="str">
            <v>Astrid Anybeth Ochoa Sac</v>
          </cell>
          <cell r="H278">
            <v>0</v>
          </cell>
        </row>
        <row r="279">
          <cell r="F279">
            <v>315493</v>
          </cell>
          <cell r="G279" t="str">
            <v>Astrid Carolina Lopez Lopez</v>
          </cell>
          <cell r="H279">
            <v>0</v>
          </cell>
        </row>
        <row r="280">
          <cell r="F280">
            <v>310020</v>
          </cell>
          <cell r="G280" t="str">
            <v>Astrid Elena Alvarado Lopez</v>
          </cell>
          <cell r="H280">
            <v>0</v>
          </cell>
        </row>
        <row r="281">
          <cell r="F281">
            <v>309560</v>
          </cell>
          <cell r="G281" t="str">
            <v>Astrid Gabriela Carin Castillo</v>
          </cell>
          <cell r="H281">
            <v>0</v>
          </cell>
        </row>
        <row r="282">
          <cell r="F282">
            <v>315277</v>
          </cell>
          <cell r="G282" t="str">
            <v>Astrid Guadalupe Fernandez Perez</v>
          </cell>
          <cell r="H282">
            <v>0</v>
          </cell>
        </row>
        <row r="283">
          <cell r="F283">
            <v>310483</v>
          </cell>
          <cell r="G283" t="str">
            <v>Astrid Ivone Hernandez</v>
          </cell>
          <cell r="H283">
            <v>0</v>
          </cell>
        </row>
        <row r="284">
          <cell r="F284">
            <v>309804</v>
          </cell>
          <cell r="G284" t="str">
            <v>Astrid Leonela Barrios Velasquez</v>
          </cell>
          <cell r="H284">
            <v>0</v>
          </cell>
        </row>
        <row r="285">
          <cell r="F285">
            <v>312146</v>
          </cell>
          <cell r="G285" t="str">
            <v>Astrid Lisbeth Morales Morales</v>
          </cell>
          <cell r="H285">
            <v>0</v>
          </cell>
        </row>
        <row r="286">
          <cell r="F286">
            <v>310967</v>
          </cell>
          <cell r="G286" t="str">
            <v>Astrid Marielena Mendez Garcia</v>
          </cell>
          <cell r="H286">
            <v>0</v>
          </cell>
        </row>
        <row r="287">
          <cell r="F287">
            <v>316090</v>
          </cell>
          <cell r="G287" t="str">
            <v>Astrid Sucely Veliz Caal</v>
          </cell>
          <cell r="H287">
            <v>0</v>
          </cell>
        </row>
        <row r="288">
          <cell r="F288">
            <v>301426</v>
          </cell>
          <cell r="G288" t="str">
            <v>Astrid Swanda Alvarez Morales</v>
          </cell>
          <cell r="H288">
            <v>0</v>
          </cell>
        </row>
        <row r="289">
          <cell r="F289">
            <v>90046808</v>
          </cell>
          <cell r="G289" t="str">
            <v xml:space="preserve">Astrid Yazmin Castañeda Natareno </v>
          </cell>
          <cell r="H289">
            <v>0</v>
          </cell>
        </row>
        <row r="290">
          <cell r="F290">
            <v>311328</v>
          </cell>
          <cell r="G290" t="str">
            <v>Astrid Yohana Escobar Oliva</v>
          </cell>
          <cell r="H290">
            <v>0</v>
          </cell>
        </row>
        <row r="291">
          <cell r="F291">
            <v>315877</v>
          </cell>
          <cell r="G291" t="str">
            <v>Aura Cecilia Gregorio Asencio</v>
          </cell>
          <cell r="H291">
            <v>0</v>
          </cell>
        </row>
        <row r="292">
          <cell r="F292">
            <v>314277</v>
          </cell>
          <cell r="G292" t="str">
            <v>Aura Josefina Coy Tiul</v>
          </cell>
          <cell r="H292">
            <v>0</v>
          </cell>
        </row>
        <row r="293">
          <cell r="F293">
            <v>202265</v>
          </cell>
          <cell r="G293" t="str">
            <v>Aura Leticia Aparicio Marin</v>
          </cell>
          <cell r="H293">
            <v>0</v>
          </cell>
        </row>
        <row r="294">
          <cell r="F294">
            <v>314986</v>
          </cell>
          <cell r="G294" t="str">
            <v>Aura Lourdes Garcia Gomez</v>
          </cell>
          <cell r="H294">
            <v>0</v>
          </cell>
        </row>
        <row r="295">
          <cell r="F295">
            <v>316381</v>
          </cell>
          <cell r="G295" t="str">
            <v>Aura Marina Amperez</v>
          </cell>
          <cell r="H295">
            <v>0</v>
          </cell>
        </row>
        <row r="296">
          <cell r="F296">
            <v>90009266</v>
          </cell>
          <cell r="G296" t="str">
            <v>Aura Marina Mejia Reyes</v>
          </cell>
          <cell r="H296">
            <v>0</v>
          </cell>
        </row>
        <row r="297">
          <cell r="F297">
            <v>307550</v>
          </cell>
          <cell r="G297" t="str">
            <v>Aura Marleny Perez Ventura</v>
          </cell>
          <cell r="H297">
            <v>0</v>
          </cell>
        </row>
        <row r="298">
          <cell r="F298">
            <v>314350</v>
          </cell>
          <cell r="G298" t="str">
            <v>Aura Mirthala Castillo Castillo</v>
          </cell>
          <cell r="H298">
            <v>0</v>
          </cell>
        </row>
        <row r="299">
          <cell r="F299">
            <v>313666</v>
          </cell>
          <cell r="G299" t="str">
            <v>Avner Josue Merida Molina</v>
          </cell>
          <cell r="H299">
            <v>0</v>
          </cell>
        </row>
        <row r="300">
          <cell r="F300">
            <v>315316</v>
          </cell>
          <cell r="G300" t="str">
            <v>Axel Alexander Lemus Ovando</v>
          </cell>
          <cell r="H300">
            <v>0</v>
          </cell>
        </row>
        <row r="301">
          <cell r="F301">
            <v>315388</v>
          </cell>
          <cell r="G301" t="str">
            <v>Axel Anderson Montufar Roca</v>
          </cell>
          <cell r="H301">
            <v>0</v>
          </cell>
        </row>
        <row r="302">
          <cell r="F302">
            <v>314730</v>
          </cell>
          <cell r="G302" t="str">
            <v>Axel Denilson Hernandez Tocay</v>
          </cell>
          <cell r="H302">
            <v>0</v>
          </cell>
        </row>
        <row r="303">
          <cell r="F303">
            <v>307506</v>
          </cell>
          <cell r="G303" t="str">
            <v>Axel Jonathan Cash Mendez</v>
          </cell>
          <cell r="H303">
            <v>0</v>
          </cell>
        </row>
        <row r="304">
          <cell r="F304">
            <v>315271</v>
          </cell>
          <cell r="G304" t="str">
            <v>Axel Roberto Guzman Coro</v>
          </cell>
          <cell r="H304">
            <v>0</v>
          </cell>
        </row>
        <row r="305">
          <cell r="F305">
            <v>308798</v>
          </cell>
          <cell r="G305" t="str">
            <v>Axel Wilfredo Caal Coy</v>
          </cell>
          <cell r="H305">
            <v>0</v>
          </cell>
        </row>
        <row r="306">
          <cell r="F306">
            <v>90019192</v>
          </cell>
          <cell r="G306" t="str">
            <v>Axel Yoneldis Gaspar Juarez</v>
          </cell>
          <cell r="H306">
            <v>0</v>
          </cell>
        </row>
        <row r="307">
          <cell r="F307">
            <v>90019415</v>
          </cell>
          <cell r="G307" t="str">
            <v>Aykom Boriyer Cabrera De Leon</v>
          </cell>
          <cell r="H307">
            <v>0</v>
          </cell>
        </row>
        <row r="308">
          <cell r="F308">
            <v>313155</v>
          </cell>
          <cell r="G308" t="str">
            <v>Aylin Jiceli Romero Cruz</v>
          </cell>
          <cell r="H308">
            <v>0</v>
          </cell>
        </row>
        <row r="309">
          <cell r="F309">
            <v>307068</v>
          </cell>
          <cell r="G309" t="str">
            <v>Azucena Raquel Luis Perez Garzona</v>
          </cell>
          <cell r="H309">
            <v>0</v>
          </cell>
        </row>
        <row r="310">
          <cell r="F310">
            <v>313706</v>
          </cell>
          <cell r="G310" t="str">
            <v>Barbara Alejandra Toj Romero</v>
          </cell>
          <cell r="H310">
            <v>0</v>
          </cell>
        </row>
        <row r="311">
          <cell r="F311">
            <v>315693</v>
          </cell>
          <cell r="G311" t="str">
            <v>Barbara Asibinac</v>
          </cell>
          <cell r="H311">
            <v>0</v>
          </cell>
        </row>
        <row r="312">
          <cell r="F312">
            <v>315454</v>
          </cell>
          <cell r="G312" t="str">
            <v>Barillas Sobalvarro, Pablo Jose</v>
          </cell>
          <cell r="H312">
            <v>0</v>
          </cell>
        </row>
        <row r="313">
          <cell r="F313">
            <v>90028293</v>
          </cell>
          <cell r="G313" t="str">
            <v xml:space="preserve">Beatriz Angela Hernandez Cifuentes </v>
          </cell>
          <cell r="H313">
            <v>0</v>
          </cell>
        </row>
        <row r="314">
          <cell r="F314">
            <v>311943</v>
          </cell>
          <cell r="G314" t="str">
            <v>Beberli Yuceli Gomez Davila</v>
          </cell>
          <cell r="H314">
            <v>0</v>
          </cell>
        </row>
        <row r="315">
          <cell r="F315">
            <v>311141</v>
          </cell>
          <cell r="G315" t="str">
            <v>Beberlin Dayana Veron Garcia</v>
          </cell>
          <cell r="H315">
            <v>0</v>
          </cell>
        </row>
        <row r="316">
          <cell r="F316">
            <v>312544</v>
          </cell>
          <cell r="G316" t="str">
            <v>Beberly Angeaneth Gonzalez Ruiz</v>
          </cell>
          <cell r="H316">
            <v>0</v>
          </cell>
        </row>
        <row r="317">
          <cell r="F317">
            <v>309965</v>
          </cell>
          <cell r="G317" t="str">
            <v>Beberly Karina Ramirez Ismatul</v>
          </cell>
          <cell r="H317">
            <v>0</v>
          </cell>
        </row>
        <row r="318">
          <cell r="F318">
            <v>313675</v>
          </cell>
          <cell r="G318" t="str">
            <v>Beberly Salvador Zuñiga</v>
          </cell>
          <cell r="H318">
            <v>0</v>
          </cell>
        </row>
        <row r="319">
          <cell r="F319">
            <v>316161</v>
          </cell>
          <cell r="G319" t="str">
            <v>Belgica Jasmin Celeste Merida Escobar</v>
          </cell>
          <cell r="H319">
            <v>0</v>
          </cell>
        </row>
        <row r="320">
          <cell r="F320">
            <v>311623</v>
          </cell>
          <cell r="G320" t="str">
            <v>Belgica Lizeth Can Guitz</v>
          </cell>
          <cell r="H320">
            <v>0</v>
          </cell>
        </row>
        <row r="321">
          <cell r="F321">
            <v>90023865</v>
          </cell>
          <cell r="G321" t="str">
            <v>Benito Abad Jimenez Carrillo</v>
          </cell>
          <cell r="H321">
            <v>0</v>
          </cell>
        </row>
        <row r="322">
          <cell r="F322">
            <v>312483</v>
          </cell>
          <cell r="G322" t="str">
            <v>Berta Elizabeth Rodas Rosales</v>
          </cell>
          <cell r="H322">
            <v>0</v>
          </cell>
        </row>
        <row r="323">
          <cell r="F323">
            <v>314219</v>
          </cell>
          <cell r="G323" t="str">
            <v>Berta Leticia Yapan Pelen</v>
          </cell>
          <cell r="H323">
            <v>0</v>
          </cell>
        </row>
        <row r="324">
          <cell r="F324">
            <v>314495</v>
          </cell>
          <cell r="G324" t="str">
            <v>Bertha Lidia Morataya Diaz</v>
          </cell>
          <cell r="H324">
            <v>0</v>
          </cell>
        </row>
        <row r="325">
          <cell r="F325">
            <v>310116</v>
          </cell>
          <cell r="G325" t="str">
            <v>Bertha Rosalba Gabriel Vasquez</v>
          </cell>
          <cell r="H325">
            <v>0</v>
          </cell>
        </row>
        <row r="326">
          <cell r="F326">
            <v>312164</v>
          </cell>
          <cell r="G326" t="str">
            <v>Betzy Dayana Gutierrez Chon</v>
          </cell>
          <cell r="H326">
            <v>0</v>
          </cell>
        </row>
        <row r="327">
          <cell r="F327">
            <v>314695</v>
          </cell>
          <cell r="G327" t="str">
            <v>Beverly Jeanette Panjoj Tiriquiz</v>
          </cell>
          <cell r="H327">
            <v>0</v>
          </cell>
        </row>
        <row r="328">
          <cell r="F328">
            <v>305070</v>
          </cell>
          <cell r="G328" t="str">
            <v>Beverly Walesca Morales Ibarra</v>
          </cell>
          <cell r="H328">
            <v>0</v>
          </cell>
        </row>
        <row r="329">
          <cell r="F329">
            <v>311595</v>
          </cell>
          <cell r="G329" t="str">
            <v>Billy Giovanny Avalos Castillo</v>
          </cell>
          <cell r="H329">
            <v>0</v>
          </cell>
        </row>
        <row r="330">
          <cell r="F330">
            <v>314496</v>
          </cell>
          <cell r="G330" t="str">
            <v>Blanca Cristina Saquic Ac</v>
          </cell>
          <cell r="H330">
            <v>0</v>
          </cell>
        </row>
        <row r="331">
          <cell r="F331">
            <v>310463</v>
          </cell>
          <cell r="G331" t="str">
            <v>Blanca Olinda Quintanilla Godoy</v>
          </cell>
          <cell r="H331">
            <v>0</v>
          </cell>
        </row>
        <row r="332">
          <cell r="F332">
            <v>312093</v>
          </cell>
          <cell r="G332" t="str">
            <v xml:space="preserve">Bobadilla Romero Alan Gonzalo </v>
          </cell>
          <cell r="H332">
            <v>0</v>
          </cell>
        </row>
        <row r="333">
          <cell r="F333">
            <v>90040131</v>
          </cell>
          <cell r="G333" t="str">
            <v>Bradley Waldemar Martinez Salvador</v>
          </cell>
          <cell r="H333">
            <v>0</v>
          </cell>
        </row>
        <row r="334">
          <cell r="F334">
            <v>315542</v>
          </cell>
          <cell r="G334" t="str">
            <v>Brandon Alberto Jerez Cajas</v>
          </cell>
          <cell r="H334">
            <v>0</v>
          </cell>
        </row>
        <row r="335">
          <cell r="F335">
            <v>90040632</v>
          </cell>
          <cell r="G335" t="str">
            <v>Brandon Alexander Velasquez Acabal</v>
          </cell>
          <cell r="H335">
            <v>0</v>
          </cell>
        </row>
        <row r="336">
          <cell r="F336">
            <v>90039821</v>
          </cell>
          <cell r="G336" t="str">
            <v>Brandon Alexis Alvarado Morales</v>
          </cell>
          <cell r="H336">
            <v>0</v>
          </cell>
        </row>
        <row r="337">
          <cell r="F337">
            <v>313655</v>
          </cell>
          <cell r="G337" t="str">
            <v>Brandon Antonio Alvarez Lopez</v>
          </cell>
          <cell r="H337">
            <v>0</v>
          </cell>
        </row>
        <row r="338">
          <cell r="F338">
            <v>311035</v>
          </cell>
          <cell r="G338" t="str">
            <v>Brandon Ivan De Mata Monzon</v>
          </cell>
          <cell r="H338">
            <v>0</v>
          </cell>
        </row>
        <row r="339">
          <cell r="F339">
            <v>90033943</v>
          </cell>
          <cell r="G339" t="str">
            <v xml:space="preserve">Brandon Josue Velasquez Galiano   </v>
          </cell>
          <cell r="H339">
            <v>0</v>
          </cell>
        </row>
        <row r="340">
          <cell r="F340">
            <v>314928</v>
          </cell>
          <cell r="G340" t="str">
            <v>Brandon Steve Juarez Arrazola</v>
          </cell>
          <cell r="H340">
            <v>0</v>
          </cell>
        </row>
        <row r="341">
          <cell r="F341">
            <v>313852</v>
          </cell>
          <cell r="G341" t="str">
            <v>Brandon Steven Quiñonez Garcia</v>
          </cell>
          <cell r="H341">
            <v>0</v>
          </cell>
        </row>
        <row r="342">
          <cell r="F342">
            <v>90034295</v>
          </cell>
          <cell r="G342" t="str">
            <v>Braulio Antonio Chimil Escobedo</v>
          </cell>
          <cell r="H342">
            <v>0</v>
          </cell>
        </row>
        <row r="343">
          <cell r="F343">
            <v>90038385</v>
          </cell>
          <cell r="G343" t="str">
            <v>Brayan Agusto Vasquez Rustrian</v>
          </cell>
          <cell r="H343">
            <v>0</v>
          </cell>
        </row>
        <row r="344">
          <cell r="F344">
            <v>315227</v>
          </cell>
          <cell r="G344" t="str">
            <v>Brayan Alexander Lopez Garcia</v>
          </cell>
          <cell r="H344">
            <v>0</v>
          </cell>
        </row>
        <row r="345">
          <cell r="F345">
            <v>311689</v>
          </cell>
          <cell r="G345" t="str">
            <v>Brayan Alexander Recancoy Ramos</v>
          </cell>
          <cell r="H345">
            <v>0</v>
          </cell>
        </row>
        <row r="346">
          <cell r="F346">
            <v>90012124</v>
          </cell>
          <cell r="G346" t="str">
            <v>Brayan Alexis Vicente Chach</v>
          </cell>
          <cell r="H346">
            <v>0</v>
          </cell>
        </row>
        <row r="347">
          <cell r="F347">
            <v>314853</v>
          </cell>
          <cell r="G347" t="str">
            <v>Brayan Dennis Lopez Puac</v>
          </cell>
          <cell r="H347">
            <v>0</v>
          </cell>
        </row>
        <row r="348">
          <cell r="F348">
            <v>310812</v>
          </cell>
          <cell r="G348" t="str">
            <v>Brayan Franklin Lopez Alvarez</v>
          </cell>
          <cell r="H348">
            <v>0</v>
          </cell>
        </row>
        <row r="349">
          <cell r="F349">
            <v>316342</v>
          </cell>
          <cell r="G349" t="str">
            <v>Brayan Ignacio Zamora Charuc</v>
          </cell>
          <cell r="H349">
            <v>0</v>
          </cell>
        </row>
        <row r="350">
          <cell r="F350">
            <v>90014221</v>
          </cell>
          <cell r="G350" t="str">
            <v>Brayan Josue Jimenez Barrios</v>
          </cell>
          <cell r="H350">
            <v>0</v>
          </cell>
        </row>
        <row r="351">
          <cell r="F351">
            <v>90033553</v>
          </cell>
          <cell r="G351" t="str">
            <v>Brayan Neftali Camey Por</v>
          </cell>
          <cell r="H351">
            <v>0</v>
          </cell>
        </row>
        <row r="352">
          <cell r="F352">
            <v>315698</v>
          </cell>
          <cell r="G352" t="str">
            <v>Brayan Oseas Chip Charuc</v>
          </cell>
          <cell r="H352">
            <v>0</v>
          </cell>
        </row>
        <row r="353">
          <cell r="F353">
            <v>9033891</v>
          </cell>
          <cell r="G353" t="str">
            <v>Brenda Elizabeth Pineda Avendano</v>
          </cell>
          <cell r="H353">
            <v>0</v>
          </cell>
        </row>
        <row r="354">
          <cell r="F354">
            <v>90033891</v>
          </cell>
          <cell r="G354" t="str">
            <v xml:space="preserve">Brenda Elizabeth Pineda Avendaño </v>
          </cell>
          <cell r="H354">
            <v>0</v>
          </cell>
        </row>
        <row r="355">
          <cell r="F355">
            <v>308857</v>
          </cell>
          <cell r="G355" t="str">
            <v>Brenda Elizabeth Sanchez Barrientos</v>
          </cell>
          <cell r="H355">
            <v>0</v>
          </cell>
        </row>
        <row r="356">
          <cell r="F356">
            <v>305633</v>
          </cell>
          <cell r="G356" t="str">
            <v>Brenda Esmeralda Alvarado Pascual</v>
          </cell>
          <cell r="H356">
            <v>0</v>
          </cell>
        </row>
        <row r="357">
          <cell r="F357">
            <v>311220</v>
          </cell>
          <cell r="G357" t="str">
            <v>Brenda Karina Coxaj Peinado</v>
          </cell>
          <cell r="H357">
            <v>0</v>
          </cell>
        </row>
        <row r="358">
          <cell r="F358">
            <v>314642</v>
          </cell>
          <cell r="G358" t="str">
            <v>Brenda Liseth Ixcoy Tulujan</v>
          </cell>
          <cell r="H358">
            <v>0</v>
          </cell>
        </row>
        <row r="359">
          <cell r="F359">
            <v>304427</v>
          </cell>
          <cell r="G359" t="str">
            <v>Brenda Lucrecia Lopez Gonzalez</v>
          </cell>
          <cell r="H359">
            <v>0</v>
          </cell>
        </row>
        <row r="360">
          <cell r="F360">
            <v>315536</v>
          </cell>
          <cell r="G360" t="str">
            <v>Brenda Lucrecia Ruiz Sanchez</v>
          </cell>
          <cell r="H360">
            <v>0</v>
          </cell>
        </row>
        <row r="361">
          <cell r="F361">
            <v>860486</v>
          </cell>
          <cell r="G361" t="str">
            <v>Brenda Lucrecia Velasquez Cifuentes</v>
          </cell>
          <cell r="H361">
            <v>0</v>
          </cell>
        </row>
        <row r="362">
          <cell r="F362">
            <v>310019</v>
          </cell>
          <cell r="G362" t="str">
            <v>Brenda Maribel Montenegro Reyes</v>
          </cell>
          <cell r="H362">
            <v>0</v>
          </cell>
        </row>
        <row r="363">
          <cell r="F363">
            <v>301074</v>
          </cell>
          <cell r="G363" t="str">
            <v>Brenda Marisol Aguilar Patzan</v>
          </cell>
          <cell r="H363">
            <v>0</v>
          </cell>
        </row>
        <row r="364">
          <cell r="F364">
            <v>313843</v>
          </cell>
          <cell r="G364" t="str">
            <v>Brenda Marisol Sanchez Chivalan</v>
          </cell>
          <cell r="H364">
            <v>0</v>
          </cell>
        </row>
        <row r="365">
          <cell r="F365">
            <v>309042</v>
          </cell>
          <cell r="G365" t="str">
            <v>Brenda Perez Morales</v>
          </cell>
          <cell r="H365">
            <v>0</v>
          </cell>
        </row>
        <row r="366">
          <cell r="F366">
            <v>306259</v>
          </cell>
          <cell r="G366" t="str">
            <v>Brenda Raquel Ramirez Sanchez</v>
          </cell>
          <cell r="H366">
            <v>0</v>
          </cell>
        </row>
        <row r="367">
          <cell r="F367">
            <v>90048641</v>
          </cell>
          <cell r="G367" t="str">
            <v>Brenda Sucely Raczan Pichiyá</v>
          </cell>
          <cell r="H367">
            <v>0</v>
          </cell>
        </row>
        <row r="368">
          <cell r="F368">
            <v>316139</v>
          </cell>
          <cell r="G368" t="str">
            <v xml:space="preserve">Brenda Yaneth Gonzalez </v>
          </cell>
          <cell r="H368">
            <v>0</v>
          </cell>
        </row>
        <row r="369">
          <cell r="F369">
            <v>314304</v>
          </cell>
          <cell r="G369" t="str">
            <v>Brenda Yaneth Perez Lucas</v>
          </cell>
          <cell r="H369">
            <v>0</v>
          </cell>
        </row>
        <row r="370">
          <cell r="F370">
            <v>90016326</v>
          </cell>
          <cell r="G370" t="str">
            <v>Brenda Yessenia Monroy Amado</v>
          </cell>
          <cell r="H370">
            <v>0</v>
          </cell>
        </row>
        <row r="371">
          <cell r="F371">
            <v>315398</v>
          </cell>
          <cell r="G371" t="str">
            <v>Bretany Celeste Ramirez</v>
          </cell>
          <cell r="H371">
            <v>0</v>
          </cell>
        </row>
        <row r="372">
          <cell r="F372">
            <v>313436</v>
          </cell>
          <cell r="G372" t="str">
            <v>Brian Baudilio Orozco Perez</v>
          </cell>
          <cell r="H372">
            <v>0</v>
          </cell>
        </row>
        <row r="373">
          <cell r="F373">
            <v>310691</v>
          </cell>
          <cell r="G373" t="str">
            <v>Brisley Cristina Ortiz Zelada</v>
          </cell>
          <cell r="H373">
            <v>0</v>
          </cell>
        </row>
        <row r="374">
          <cell r="F374">
            <v>314290</v>
          </cell>
          <cell r="G374" t="str">
            <v>Bryan Alexander Emanuel Orozco Lancerio</v>
          </cell>
          <cell r="H374">
            <v>0</v>
          </cell>
        </row>
        <row r="375">
          <cell r="F375">
            <v>90049042</v>
          </cell>
          <cell r="G375" t="str">
            <v>Bryan Alexander Hernandez Garcia</v>
          </cell>
          <cell r="H375">
            <v>0</v>
          </cell>
        </row>
        <row r="376">
          <cell r="F376">
            <v>315893</v>
          </cell>
          <cell r="G376" t="str">
            <v>Bryan Alexander Laines Marroquin</v>
          </cell>
          <cell r="H376">
            <v>0</v>
          </cell>
        </row>
        <row r="377">
          <cell r="F377">
            <v>90024675</v>
          </cell>
          <cell r="G377" t="str">
            <v>Bryan Arnoldo Lemus Loez</v>
          </cell>
          <cell r="H377">
            <v>0</v>
          </cell>
        </row>
        <row r="378">
          <cell r="F378">
            <v>310326</v>
          </cell>
          <cell r="G378" t="str">
            <v>Bryan Daniel Donado Ortiz</v>
          </cell>
          <cell r="H378">
            <v>0</v>
          </cell>
        </row>
        <row r="379">
          <cell r="F379">
            <v>315133</v>
          </cell>
          <cell r="G379" t="str">
            <v>Bryan Daniel Milián De León</v>
          </cell>
          <cell r="H379">
            <v>0</v>
          </cell>
        </row>
        <row r="380">
          <cell r="F380">
            <v>315743</v>
          </cell>
          <cell r="G380" t="str">
            <v>Bryan Escobar</v>
          </cell>
          <cell r="H380">
            <v>0</v>
          </cell>
        </row>
        <row r="381">
          <cell r="F381">
            <v>314080</v>
          </cell>
          <cell r="G381" t="str">
            <v>Bryan Leonardo Lopez</v>
          </cell>
          <cell r="H381">
            <v>0</v>
          </cell>
        </row>
        <row r="382">
          <cell r="F382">
            <v>303716</v>
          </cell>
          <cell r="G382" t="str">
            <v>Bryan Noe Rodriguez Soto</v>
          </cell>
          <cell r="H382">
            <v>0</v>
          </cell>
        </row>
        <row r="383">
          <cell r="F383">
            <v>314726</v>
          </cell>
          <cell r="G383" t="str">
            <v>Bryan Roberto Sanchez Echeverria</v>
          </cell>
          <cell r="H383">
            <v>0</v>
          </cell>
        </row>
        <row r="384">
          <cell r="F384">
            <v>90038373</v>
          </cell>
          <cell r="G384" t="str">
            <v>Bryan Sleyter Gabriel Coy Tercero</v>
          </cell>
          <cell r="H384">
            <v>0</v>
          </cell>
        </row>
        <row r="385">
          <cell r="F385">
            <v>307335</v>
          </cell>
          <cell r="G385" t="str">
            <v>Bryllan Armando Sierra Sierra</v>
          </cell>
          <cell r="H385">
            <v>0</v>
          </cell>
        </row>
        <row r="386">
          <cell r="F386">
            <v>90035045</v>
          </cell>
          <cell r="G386" t="str">
            <v>Byron Andre Concua Avila</v>
          </cell>
          <cell r="H386">
            <v>0</v>
          </cell>
        </row>
        <row r="387">
          <cell r="F387">
            <v>315690</v>
          </cell>
          <cell r="G387" t="str">
            <v>Byron Elias Yac Flores</v>
          </cell>
          <cell r="H387">
            <v>0</v>
          </cell>
        </row>
        <row r="388">
          <cell r="F388">
            <v>314864</v>
          </cell>
          <cell r="G388" t="str">
            <v>Byron Estuardo Paredes Villela</v>
          </cell>
          <cell r="H388">
            <v>0</v>
          </cell>
        </row>
        <row r="389">
          <cell r="F389">
            <v>303766</v>
          </cell>
          <cell r="G389" t="str">
            <v>Byron Josue Moscoso Vega</v>
          </cell>
          <cell r="H389">
            <v>0</v>
          </cell>
        </row>
        <row r="390">
          <cell r="F390">
            <v>313985</v>
          </cell>
          <cell r="G390" t="str">
            <v>Byron Mauricio Amezquita Rivas</v>
          </cell>
          <cell r="H390">
            <v>0</v>
          </cell>
        </row>
        <row r="391">
          <cell r="F391">
            <v>313648</v>
          </cell>
          <cell r="G391" t="str">
            <v>Byron Veliz Vasquez</v>
          </cell>
          <cell r="H391">
            <v>0</v>
          </cell>
        </row>
        <row r="392">
          <cell r="F392">
            <v>315029</v>
          </cell>
          <cell r="G392" t="str">
            <v>Camelia Bocel Tun</v>
          </cell>
          <cell r="H392">
            <v>0</v>
          </cell>
        </row>
        <row r="393">
          <cell r="F393">
            <v>90023720</v>
          </cell>
          <cell r="G393" t="str">
            <v>Caren Lucia De León Custodio</v>
          </cell>
          <cell r="H393">
            <v>0</v>
          </cell>
        </row>
        <row r="394">
          <cell r="F394">
            <v>90034378</v>
          </cell>
          <cell r="G394" t="str">
            <v>Caren Mishel Ceballos Marroquin</v>
          </cell>
          <cell r="H394">
            <v>0</v>
          </cell>
        </row>
        <row r="395">
          <cell r="F395">
            <v>309787</v>
          </cell>
          <cell r="G395" t="str">
            <v>Carla Eloiza Castillo Gonzalez</v>
          </cell>
          <cell r="H395">
            <v>0</v>
          </cell>
        </row>
        <row r="396">
          <cell r="F396">
            <v>315267</v>
          </cell>
          <cell r="G396" t="str">
            <v>Carla Esmeralda Candido Gonzalez</v>
          </cell>
          <cell r="H396">
            <v>0</v>
          </cell>
        </row>
        <row r="397">
          <cell r="F397">
            <v>314451</v>
          </cell>
          <cell r="G397" t="str">
            <v>Carla Fernanda Fernandez Lopez</v>
          </cell>
          <cell r="H397">
            <v>0</v>
          </cell>
        </row>
        <row r="398">
          <cell r="F398">
            <v>312153</v>
          </cell>
          <cell r="G398" t="str">
            <v>Carlos Adalberto Diaz Escobar</v>
          </cell>
          <cell r="H398">
            <v>0</v>
          </cell>
        </row>
        <row r="399">
          <cell r="F399">
            <v>315125</v>
          </cell>
          <cell r="G399" t="str">
            <v>Carlos Alberto Galvez Hernandez</v>
          </cell>
          <cell r="H399">
            <v>0</v>
          </cell>
        </row>
        <row r="400">
          <cell r="F400">
            <v>314135</v>
          </cell>
          <cell r="G400" t="str">
            <v>Carlos Alberto Guzman Hernandez</v>
          </cell>
          <cell r="H400">
            <v>0</v>
          </cell>
        </row>
        <row r="401">
          <cell r="F401">
            <v>300358</v>
          </cell>
          <cell r="G401" t="str">
            <v>Carlos Alberto Hernandez Cermeño</v>
          </cell>
          <cell r="H401">
            <v>0</v>
          </cell>
        </row>
        <row r="402">
          <cell r="F402">
            <v>315422</v>
          </cell>
          <cell r="G402" t="str">
            <v xml:space="preserve">Carlos Alberto Roque </v>
          </cell>
          <cell r="H402">
            <v>0</v>
          </cell>
        </row>
        <row r="403">
          <cell r="F403">
            <v>315051</v>
          </cell>
          <cell r="G403" t="str">
            <v>Carlos Alfredo Catun Rax</v>
          </cell>
          <cell r="H403">
            <v>0</v>
          </cell>
        </row>
        <row r="404">
          <cell r="F404">
            <v>309822</v>
          </cell>
          <cell r="G404" t="str">
            <v>Carlos Anibal Caal Tux</v>
          </cell>
          <cell r="H404">
            <v>0</v>
          </cell>
        </row>
        <row r="405">
          <cell r="F405">
            <v>90040281</v>
          </cell>
          <cell r="G405" t="str">
            <v>Carlos Antonio Jul Coc</v>
          </cell>
          <cell r="H405">
            <v>0</v>
          </cell>
        </row>
        <row r="406">
          <cell r="F406">
            <v>302371</v>
          </cell>
          <cell r="G406" t="str">
            <v>Carlos Arturo Straube Lopez</v>
          </cell>
          <cell r="H406">
            <v>0</v>
          </cell>
        </row>
        <row r="407">
          <cell r="F407">
            <v>90040568</v>
          </cell>
          <cell r="G407" t="str">
            <v>Carlos Daniel Quiñonez Cortez</v>
          </cell>
          <cell r="H407">
            <v>0</v>
          </cell>
        </row>
        <row r="408">
          <cell r="F408">
            <v>314836</v>
          </cell>
          <cell r="G408" t="str">
            <v xml:space="preserve">Carlos David Ajmac </v>
          </cell>
          <cell r="H408">
            <v>0</v>
          </cell>
        </row>
        <row r="409">
          <cell r="F409">
            <v>314738</v>
          </cell>
          <cell r="G409" t="str">
            <v>Carlos David Castillo Gamboa</v>
          </cell>
          <cell r="H409">
            <v>0</v>
          </cell>
        </row>
        <row r="410">
          <cell r="F410">
            <v>315301</v>
          </cell>
          <cell r="G410" t="str">
            <v>Carlos Edmundo Hernandez Miranda</v>
          </cell>
          <cell r="H410">
            <v>0</v>
          </cell>
        </row>
        <row r="411">
          <cell r="F411">
            <v>90040530</v>
          </cell>
          <cell r="G411" t="str">
            <v>Carlos Eduardo Hernandez Garcia</v>
          </cell>
          <cell r="H411">
            <v>0</v>
          </cell>
        </row>
        <row r="412">
          <cell r="F412">
            <v>315158</v>
          </cell>
          <cell r="G412" t="str">
            <v>Carlos Emilio Cumez Chenol</v>
          </cell>
          <cell r="H412">
            <v>0</v>
          </cell>
        </row>
        <row r="413">
          <cell r="F413">
            <v>90019985</v>
          </cell>
          <cell r="G413" t="str">
            <v xml:space="preserve">Carlos Enrique Bocel Saloj </v>
          </cell>
          <cell r="H413">
            <v>0</v>
          </cell>
        </row>
        <row r="414">
          <cell r="F414">
            <v>312533</v>
          </cell>
          <cell r="G414" t="str">
            <v>Carlos Enrique Coz Toc</v>
          </cell>
          <cell r="H414">
            <v>0</v>
          </cell>
        </row>
        <row r="415">
          <cell r="F415">
            <v>313839</v>
          </cell>
          <cell r="G415" t="str">
            <v>Carlos Enrique Dighero Lopez</v>
          </cell>
          <cell r="H415">
            <v>0</v>
          </cell>
        </row>
        <row r="416">
          <cell r="F416">
            <v>314773</v>
          </cell>
          <cell r="G416" t="str">
            <v>Carlos Enrique Ramirez Lopez</v>
          </cell>
          <cell r="H416">
            <v>0</v>
          </cell>
        </row>
        <row r="417">
          <cell r="F417">
            <v>312210</v>
          </cell>
          <cell r="G417" t="str">
            <v>Carlos Enrique Saenz Cardona</v>
          </cell>
          <cell r="H417">
            <v>0</v>
          </cell>
        </row>
        <row r="418">
          <cell r="F418">
            <v>316060</v>
          </cell>
          <cell r="G418" t="str">
            <v>Carlos Enrique Sosa Hernandez</v>
          </cell>
          <cell r="H418">
            <v>0</v>
          </cell>
        </row>
        <row r="419">
          <cell r="F419">
            <v>313303</v>
          </cell>
          <cell r="G419" t="str">
            <v>Carlos Enrique Vasquez Esteban</v>
          </cell>
          <cell r="H419">
            <v>0</v>
          </cell>
        </row>
        <row r="420">
          <cell r="F420">
            <v>314841</v>
          </cell>
          <cell r="G420" t="str">
            <v>Carlos Estuardo Campos Asig</v>
          </cell>
          <cell r="H420">
            <v>0</v>
          </cell>
        </row>
        <row r="421">
          <cell r="F421">
            <v>90039873</v>
          </cell>
          <cell r="G421" t="str">
            <v>Carlos Fernando Ochoa Contreras</v>
          </cell>
          <cell r="H421">
            <v>0</v>
          </cell>
        </row>
        <row r="422">
          <cell r="F422">
            <v>308075</v>
          </cell>
          <cell r="G422" t="str">
            <v>Carlos Humberto De Paz Paiz</v>
          </cell>
          <cell r="H422">
            <v>0</v>
          </cell>
        </row>
        <row r="423">
          <cell r="F423">
            <v>314441</v>
          </cell>
          <cell r="G423" t="str">
            <v>Carlos Josue Perez Garcia</v>
          </cell>
          <cell r="H423">
            <v>0</v>
          </cell>
        </row>
        <row r="424">
          <cell r="F424">
            <v>90015872</v>
          </cell>
          <cell r="G424" t="str">
            <v>Carlos Josue Salazar Quej</v>
          </cell>
          <cell r="H424">
            <v>0</v>
          </cell>
        </row>
        <row r="425">
          <cell r="F425">
            <v>202153</v>
          </cell>
          <cell r="G425" t="str">
            <v>Carlos Leonel Corado Sosa</v>
          </cell>
          <cell r="H425">
            <v>0</v>
          </cell>
        </row>
        <row r="426">
          <cell r="F426">
            <v>90046281</v>
          </cell>
          <cell r="G426" t="str">
            <v>Carlos Manuel Amarra Mateo</v>
          </cell>
          <cell r="H426">
            <v>0</v>
          </cell>
        </row>
        <row r="427">
          <cell r="F427">
            <v>313324</v>
          </cell>
          <cell r="G427" t="str">
            <v>Carlos Miguel Carrillo Perez</v>
          </cell>
          <cell r="H427">
            <v>0</v>
          </cell>
        </row>
        <row r="428">
          <cell r="F428">
            <v>310535</v>
          </cell>
          <cell r="G428" t="str">
            <v>Carlos Oliverio Ortiz Villalobos</v>
          </cell>
          <cell r="H428">
            <v>0</v>
          </cell>
        </row>
        <row r="429">
          <cell r="F429">
            <v>315501</v>
          </cell>
          <cell r="G429" t="str">
            <v>Carlos Onofre Sierra Vasquez</v>
          </cell>
          <cell r="H429">
            <v>0</v>
          </cell>
        </row>
        <row r="430">
          <cell r="F430">
            <v>313844</v>
          </cell>
          <cell r="G430" t="str">
            <v>Carlos Raul Pedroza Lopez</v>
          </cell>
          <cell r="H430">
            <v>0</v>
          </cell>
        </row>
        <row r="431">
          <cell r="F431">
            <v>315111</v>
          </cell>
          <cell r="G431" t="str">
            <v>Carlos Roberto Arana Garcia</v>
          </cell>
          <cell r="H431">
            <v>0</v>
          </cell>
        </row>
        <row r="432">
          <cell r="F432">
            <v>314759</v>
          </cell>
          <cell r="G432" t="str">
            <v>Carlos Roberto Hernandez Gonzalez</v>
          </cell>
          <cell r="H432">
            <v>0</v>
          </cell>
        </row>
        <row r="433">
          <cell r="F433">
            <v>304522</v>
          </cell>
          <cell r="G433" t="str">
            <v>Carlos Saul Santizo Lopez</v>
          </cell>
          <cell r="H433">
            <v>0</v>
          </cell>
        </row>
        <row r="434">
          <cell r="F434">
            <v>315182</v>
          </cell>
          <cell r="G434" t="str">
            <v>Carmen Amalia Macario Rixtun</v>
          </cell>
          <cell r="H434">
            <v>0</v>
          </cell>
        </row>
        <row r="435">
          <cell r="F435">
            <v>314413</v>
          </cell>
          <cell r="G435" t="str">
            <v>Carmen Arely Perez Escobar</v>
          </cell>
          <cell r="H435">
            <v>0</v>
          </cell>
        </row>
        <row r="436">
          <cell r="F436">
            <v>311800</v>
          </cell>
          <cell r="G436" t="str">
            <v>Carmen Elizabeth Vargas Tun</v>
          </cell>
          <cell r="H436">
            <v>0</v>
          </cell>
        </row>
        <row r="437">
          <cell r="F437">
            <v>316294</v>
          </cell>
          <cell r="G437" t="str">
            <v>Carmen Fernanda Ramos Jimenez</v>
          </cell>
          <cell r="H437">
            <v>0</v>
          </cell>
        </row>
        <row r="438">
          <cell r="F438">
            <v>312849</v>
          </cell>
          <cell r="G438" t="str">
            <v>Carmen Liliana Subuyuj Ordoñez</v>
          </cell>
          <cell r="H438">
            <v>0</v>
          </cell>
        </row>
        <row r="439">
          <cell r="F439">
            <v>315612</v>
          </cell>
          <cell r="G439" t="str">
            <v>Castanon Lopez, Brandon Eliberto</v>
          </cell>
          <cell r="H439">
            <v>0</v>
          </cell>
        </row>
        <row r="440">
          <cell r="F440">
            <v>312692</v>
          </cell>
          <cell r="G440" t="str">
            <v>Catarina Del Rosario Lopez Taquiej</v>
          </cell>
          <cell r="H440">
            <v>0</v>
          </cell>
        </row>
        <row r="441">
          <cell r="F441">
            <v>314287</v>
          </cell>
          <cell r="G441" t="str">
            <v>Caterin Berenise Cayax Atz</v>
          </cell>
          <cell r="H441">
            <v>0</v>
          </cell>
        </row>
        <row r="442">
          <cell r="F442">
            <v>90020133</v>
          </cell>
          <cell r="G442" t="str">
            <v>Caterin Marieli Acevedo Gomez</v>
          </cell>
          <cell r="H442">
            <v>0</v>
          </cell>
        </row>
        <row r="443">
          <cell r="F443">
            <v>311488</v>
          </cell>
          <cell r="G443" t="str">
            <v>Catherine Mishel Gonzalez Rodas</v>
          </cell>
          <cell r="H443">
            <v>0</v>
          </cell>
        </row>
        <row r="444">
          <cell r="F444">
            <v>90046860</v>
          </cell>
          <cell r="G444" t="str">
            <v>Catherine Noemi Rodriguez De Leon</v>
          </cell>
          <cell r="H444">
            <v>0</v>
          </cell>
        </row>
        <row r="445">
          <cell r="F445">
            <v>313662</v>
          </cell>
          <cell r="G445" t="str">
            <v>Catirin Marbella Juarez Garcia</v>
          </cell>
          <cell r="H445">
            <v>0</v>
          </cell>
        </row>
        <row r="446">
          <cell r="F446">
            <v>307766</v>
          </cell>
          <cell r="G446" t="str">
            <v>Cecia Amabil Lopez Valencia De Cifuentes</v>
          </cell>
          <cell r="H446">
            <v>0</v>
          </cell>
        </row>
        <row r="447">
          <cell r="F447">
            <v>311730</v>
          </cell>
          <cell r="G447" t="str">
            <v>Cecilia Margoth Lopez Raymundo</v>
          </cell>
          <cell r="H447">
            <v>0</v>
          </cell>
        </row>
        <row r="448">
          <cell r="F448">
            <v>304801</v>
          </cell>
          <cell r="G448" t="str">
            <v>Celeste Azucena Estrada Salvador De Estrada</v>
          </cell>
          <cell r="H448">
            <v>0</v>
          </cell>
        </row>
        <row r="449">
          <cell r="F449">
            <v>314955</v>
          </cell>
          <cell r="G449" t="str">
            <v>Celia Esperanza Arroyo Chiche</v>
          </cell>
          <cell r="H449">
            <v>0</v>
          </cell>
        </row>
        <row r="450">
          <cell r="F450">
            <v>315237</v>
          </cell>
          <cell r="G450" t="str">
            <v>Celia Mariela Castillo Beteta</v>
          </cell>
          <cell r="H450">
            <v>0</v>
          </cell>
        </row>
        <row r="451">
          <cell r="F451">
            <v>310950</v>
          </cell>
          <cell r="G451" t="str">
            <v>Cendy Regina Axulen Gonzalez</v>
          </cell>
          <cell r="H451">
            <v>0</v>
          </cell>
        </row>
        <row r="452">
          <cell r="F452">
            <v>90033490</v>
          </cell>
          <cell r="G452" t="str">
            <v>Cesar Alejandro Del Valle Duran</v>
          </cell>
          <cell r="H452">
            <v>0</v>
          </cell>
        </row>
        <row r="453">
          <cell r="F453">
            <v>90034702</v>
          </cell>
          <cell r="G453" t="str">
            <v xml:space="preserve">Cesar Armando Hernandez Hernandez </v>
          </cell>
          <cell r="H453">
            <v>0</v>
          </cell>
        </row>
        <row r="454">
          <cell r="F454">
            <v>315840</v>
          </cell>
          <cell r="G454" t="str">
            <v>Cesar David Perez Garrido</v>
          </cell>
          <cell r="H454">
            <v>0</v>
          </cell>
        </row>
        <row r="455">
          <cell r="F455">
            <v>311971</v>
          </cell>
          <cell r="G455" t="str">
            <v>Cesar Eduardo Lopez Lopez</v>
          </cell>
          <cell r="H455">
            <v>0</v>
          </cell>
        </row>
        <row r="456">
          <cell r="F456">
            <v>314640</v>
          </cell>
          <cell r="G456" t="str">
            <v>Cesar Estuardo Perez Monterroso</v>
          </cell>
          <cell r="H456">
            <v>0</v>
          </cell>
        </row>
        <row r="457">
          <cell r="F457">
            <v>300192</v>
          </cell>
          <cell r="G457" t="str">
            <v>Cesar Fernando Reyna Almengor</v>
          </cell>
          <cell r="H457">
            <v>0</v>
          </cell>
        </row>
        <row r="458">
          <cell r="F458">
            <v>313484</v>
          </cell>
          <cell r="G458" t="str">
            <v>Cesar Geovanni Tuc Sum</v>
          </cell>
          <cell r="H458">
            <v>0</v>
          </cell>
        </row>
        <row r="459">
          <cell r="F459">
            <v>303330</v>
          </cell>
          <cell r="G459" t="str">
            <v>Cesar Geovanny De Leon Palacios</v>
          </cell>
          <cell r="H459">
            <v>0</v>
          </cell>
        </row>
        <row r="460">
          <cell r="F460">
            <v>313749</v>
          </cell>
          <cell r="G460" t="str">
            <v>Cesar Haroldo Ixcayau Castro</v>
          </cell>
          <cell r="H460">
            <v>0</v>
          </cell>
        </row>
        <row r="461">
          <cell r="F461">
            <v>314446</v>
          </cell>
          <cell r="G461" t="str">
            <v>Cesar Humberto Cazun Hernandez</v>
          </cell>
          <cell r="H461">
            <v>0</v>
          </cell>
        </row>
        <row r="462">
          <cell r="F462">
            <v>314900</v>
          </cell>
          <cell r="G462" t="str">
            <v>Cesar Oliverio Orozco Flores</v>
          </cell>
          <cell r="H462">
            <v>0</v>
          </cell>
        </row>
        <row r="463">
          <cell r="F463">
            <v>90013868</v>
          </cell>
          <cell r="G463" t="str">
            <v>Cesia Ixtetela Yataz</v>
          </cell>
          <cell r="H463">
            <v>0</v>
          </cell>
        </row>
        <row r="464">
          <cell r="F464">
            <v>311692</v>
          </cell>
          <cell r="G464" t="str">
            <v>Cesia Paola Marroquin Sanchez</v>
          </cell>
          <cell r="H464">
            <v>0</v>
          </cell>
        </row>
        <row r="465">
          <cell r="F465">
            <v>315401</v>
          </cell>
          <cell r="G465" t="str">
            <v>Christa Maria Belen Barrera Mazariegos</v>
          </cell>
          <cell r="H465">
            <v>0</v>
          </cell>
        </row>
        <row r="466">
          <cell r="F466">
            <v>315509</v>
          </cell>
          <cell r="G466" t="str">
            <v>Christiam Daniel Arroyo Cisneros</v>
          </cell>
          <cell r="H466">
            <v>0</v>
          </cell>
        </row>
        <row r="467">
          <cell r="F467">
            <v>310362</v>
          </cell>
          <cell r="G467" t="str">
            <v>Christian Alejandro Tistoj Lopez</v>
          </cell>
          <cell r="H467">
            <v>0</v>
          </cell>
        </row>
        <row r="468">
          <cell r="F468">
            <v>315525</v>
          </cell>
          <cell r="G468" t="str">
            <v>Christian Bladimir Panjoj Mejia</v>
          </cell>
          <cell r="H468">
            <v>0</v>
          </cell>
        </row>
        <row r="469">
          <cell r="F469">
            <v>314565</v>
          </cell>
          <cell r="G469" t="str">
            <v>Christian Eduardo Celada Orellana</v>
          </cell>
          <cell r="H469">
            <v>0</v>
          </cell>
        </row>
        <row r="470">
          <cell r="F470">
            <v>312926</v>
          </cell>
          <cell r="G470" t="str">
            <v>Christian Enrique Claverie Zimeri</v>
          </cell>
          <cell r="H470">
            <v>0</v>
          </cell>
        </row>
        <row r="471">
          <cell r="F471">
            <v>316051</v>
          </cell>
          <cell r="G471" t="str">
            <v>Christin Andrea Castillo Calderon</v>
          </cell>
          <cell r="H471">
            <v>0</v>
          </cell>
        </row>
        <row r="472">
          <cell r="F472">
            <v>309907</v>
          </cell>
          <cell r="G472" t="str">
            <v>Christofer Antonio Chali Bacajol</v>
          </cell>
          <cell r="H472">
            <v>0</v>
          </cell>
        </row>
        <row r="473">
          <cell r="F473">
            <v>90035213</v>
          </cell>
          <cell r="G473" t="str">
            <v>Cindi Paola Zepeda Irineo</v>
          </cell>
          <cell r="H473">
            <v>0</v>
          </cell>
        </row>
        <row r="474">
          <cell r="F474">
            <v>314040</v>
          </cell>
          <cell r="G474" t="str">
            <v>Cindy Abigail Patzan Perez</v>
          </cell>
          <cell r="H474">
            <v>0</v>
          </cell>
        </row>
        <row r="475">
          <cell r="F475">
            <v>312703</v>
          </cell>
          <cell r="G475" t="str">
            <v>Cindy Aracely Ruano Can</v>
          </cell>
          <cell r="H475">
            <v>0</v>
          </cell>
        </row>
        <row r="476">
          <cell r="F476">
            <v>307760</v>
          </cell>
          <cell r="G476" t="str">
            <v>Cindy Beatriz Reyes De Leon</v>
          </cell>
          <cell r="H476">
            <v>0</v>
          </cell>
        </row>
        <row r="477">
          <cell r="F477">
            <v>312950</v>
          </cell>
          <cell r="G477" t="str">
            <v>Cindy Carolina Sandoval Ruiz</v>
          </cell>
          <cell r="H477">
            <v>0</v>
          </cell>
        </row>
        <row r="478">
          <cell r="F478">
            <v>314704</v>
          </cell>
          <cell r="G478" t="str">
            <v xml:space="preserve">Cindy Damaris Villagran Castellano </v>
          </cell>
          <cell r="H478">
            <v>0</v>
          </cell>
        </row>
        <row r="479">
          <cell r="F479">
            <v>312302</v>
          </cell>
          <cell r="G479" t="str">
            <v>Cindy Gabriela Chanchavac Mejia</v>
          </cell>
          <cell r="H479">
            <v>0</v>
          </cell>
        </row>
        <row r="480">
          <cell r="F480">
            <v>312872</v>
          </cell>
          <cell r="G480" t="str">
            <v>Cindy Judith Urizar Davila</v>
          </cell>
          <cell r="H480">
            <v>0</v>
          </cell>
        </row>
        <row r="481">
          <cell r="F481">
            <v>314903</v>
          </cell>
          <cell r="G481" t="str">
            <v>Cindy Julissa Herrera</v>
          </cell>
          <cell r="H481">
            <v>0</v>
          </cell>
        </row>
        <row r="482">
          <cell r="F482">
            <v>90012180</v>
          </cell>
          <cell r="G482" t="str">
            <v>Cindy Mayroby Oscal Quiñonez</v>
          </cell>
          <cell r="H482">
            <v>0</v>
          </cell>
        </row>
        <row r="483">
          <cell r="F483">
            <v>312532</v>
          </cell>
          <cell r="G483" t="str">
            <v>Cindy Melissa Cordon Alfaro</v>
          </cell>
          <cell r="H483">
            <v>0</v>
          </cell>
        </row>
        <row r="484">
          <cell r="F484">
            <v>90040631</v>
          </cell>
          <cell r="G484" t="str">
            <v>Cindy Paola Aguilar Jolon</v>
          </cell>
          <cell r="H484">
            <v>0</v>
          </cell>
        </row>
        <row r="485">
          <cell r="F485">
            <v>314028</v>
          </cell>
          <cell r="G485" t="str">
            <v>Cindy Paola Garcia Monroy</v>
          </cell>
          <cell r="H485">
            <v>0</v>
          </cell>
        </row>
        <row r="486">
          <cell r="F486">
            <v>315484</v>
          </cell>
          <cell r="G486" t="str">
            <v>Cindy Perez</v>
          </cell>
          <cell r="H486">
            <v>0</v>
          </cell>
        </row>
        <row r="487">
          <cell r="F487">
            <v>314689</v>
          </cell>
          <cell r="G487" t="str">
            <v>Cindy Veronica Bran Polanco Alvarez</v>
          </cell>
          <cell r="H487">
            <v>0</v>
          </cell>
        </row>
        <row r="488">
          <cell r="F488">
            <v>314409</v>
          </cell>
          <cell r="G488" t="str">
            <v>Cindy Yenibeth Cano Claudio</v>
          </cell>
          <cell r="H488">
            <v>0</v>
          </cell>
        </row>
        <row r="489">
          <cell r="F489">
            <v>310946</v>
          </cell>
          <cell r="G489" t="str">
            <v>Cindy Yesenia Morales Quevedo</v>
          </cell>
          <cell r="H489">
            <v>0</v>
          </cell>
        </row>
        <row r="490">
          <cell r="F490">
            <v>312831</v>
          </cell>
          <cell r="G490" t="str">
            <v>Cindy Yojana Mendoza Cajas</v>
          </cell>
          <cell r="H490">
            <v>0</v>
          </cell>
        </row>
        <row r="491">
          <cell r="F491">
            <v>90033088</v>
          </cell>
          <cell r="G491" t="str">
            <v xml:space="preserve">Cinthia Andreina Valenzula </v>
          </cell>
          <cell r="H491">
            <v>0</v>
          </cell>
        </row>
        <row r="492">
          <cell r="F492">
            <v>314546</v>
          </cell>
          <cell r="G492" t="str">
            <v xml:space="preserve">Cinthia Irene Paz Caal   </v>
          </cell>
          <cell r="H492">
            <v>0</v>
          </cell>
        </row>
        <row r="493">
          <cell r="F493">
            <v>312181</v>
          </cell>
          <cell r="G493" t="str">
            <v>Clara Elizabeth Joge Torres</v>
          </cell>
          <cell r="H493">
            <v>0</v>
          </cell>
        </row>
        <row r="494">
          <cell r="F494">
            <v>310768</v>
          </cell>
          <cell r="G494" t="str">
            <v>Clara Lorena Perez Hernandez</v>
          </cell>
          <cell r="H494">
            <v>0</v>
          </cell>
        </row>
        <row r="495">
          <cell r="F495">
            <v>315453</v>
          </cell>
          <cell r="G495" t="str">
            <v>Claudia Analy Argueta Matias</v>
          </cell>
          <cell r="H495">
            <v>0</v>
          </cell>
        </row>
        <row r="496">
          <cell r="F496">
            <v>306444</v>
          </cell>
          <cell r="G496" t="str">
            <v>Claudia Dolores Barcenas Guillen</v>
          </cell>
          <cell r="H496">
            <v>0</v>
          </cell>
        </row>
        <row r="497">
          <cell r="F497">
            <v>315625</v>
          </cell>
          <cell r="G497" t="str">
            <v>Claudia Elizabeth Carrera Marroquin</v>
          </cell>
          <cell r="H497">
            <v>0</v>
          </cell>
        </row>
        <row r="498">
          <cell r="F498">
            <v>301809</v>
          </cell>
          <cell r="G498" t="str">
            <v>Claudia Eugenia Chavarria Ramos</v>
          </cell>
          <cell r="H498">
            <v>0</v>
          </cell>
        </row>
        <row r="499">
          <cell r="F499">
            <v>90010411</v>
          </cell>
          <cell r="G499" t="str">
            <v>Claudia Liliana Muñoz Jimenez De Lopez</v>
          </cell>
          <cell r="H499">
            <v>0</v>
          </cell>
        </row>
        <row r="500">
          <cell r="F500">
            <v>311808</v>
          </cell>
          <cell r="G500" t="str">
            <v>Claudia Lorena Quino Isaguirre</v>
          </cell>
          <cell r="H500">
            <v>0</v>
          </cell>
        </row>
        <row r="501">
          <cell r="F501">
            <v>313840</v>
          </cell>
          <cell r="G501" t="str">
            <v>Claudia Maria Orozco Garcia</v>
          </cell>
          <cell r="H501">
            <v>0</v>
          </cell>
        </row>
        <row r="502">
          <cell r="F502">
            <v>314574</v>
          </cell>
          <cell r="G502" t="str">
            <v>Claudia Marisol Esquivel Ramirez</v>
          </cell>
          <cell r="H502">
            <v>0</v>
          </cell>
        </row>
        <row r="503">
          <cell r="F503">
            <v>315248</v>
          </cell>
          <cell r="G503" t="str">
            <v>Claudia Marissa Chuquiej Granados</v>
          </cell>
          <cell r="H503">
            <v>0</v>
          </cell>
        </row>
        <row r="504">
          <cell r="F504">
            <v>313613</v>
          </cell>
          <cell r="G504" t="str">
            <v>Claudia Noemi Marroquin Perez</v>
          </cell>
          <cell r="H504">
            <v>0</v>
          </cell>
        </row>
        <row r="505">
          <cell r="F505">
            <v>315859</v>
          </cell>
          <cell r="G505" t="str">
            <v>Claudia Roxana Beb Ac</v>
          </cell>
          <cell r="H505">
            <v>0</v>
          </cell>
        </row>
        <row r="506">
          <cell r="F506">
            <v>90034566</v>
          </cell>
          <cell r="G506" t="str">
            <v xml:space="preserve">Claudia Stephanie Fuentes Ardon </v>
          </cell>
          <cell r="H506">
            <v>0</v>
          </cell>
        </row>
        <row r="507">
          <cell r="F507">
            <v>306569</v>
          </cell>
          <cell r="G507" t="str">
            <v>Claudia Susana Garcia</v>
          </cell>
          <cell r="H507">
            <v>0</v>
          </cell>
        </row>
        <row r="508">
          <cell r="F508">
            <v>311441</v>
          </cell>
          <cell r="G508" t="str">
            <v>Claudia Yaneth Hidalgo Gonzalez</v>
          </cell>
          <cell r="H508">
            <v>0</v>
          </cell>
        </row>
        <row r="509">
          <cell r="F509">
            <v>303265</v>
          </cell>
          <cell r="G509" t="str">
            <v>Claudia Yesenia Pinto Picen</v>
          </cell>
          <cell r="H509">
            <v>0</v>
          </cell>
        </row>
        <row r="510">
          <cell r="F510">
            <v>313318</v>
          </cell>
          <cell r="G510" t="str">
            <v>Claudia Yesenia Ramos Perez</v>
          </cell>
          <cell r="H510">
            <v>0</v>
          </cell>
        </row>
        <row r="511">
          <cell r="F511">
            <v>90048811</v>
          </cell>
          <cell r="G511" t="str">
            <v>Claudio Leonardo Vasquez   </v>
          </cell>
          <cell r="H511">
            <v>0</v>
          </cell>
        </row>
        <row r="512">
          <cell r="F512">
            <v>315497</v>
          </cell>
          <cell r="G512" t="str">
            <v>Coc Coronado, Osman Ivan Boanerges</v>
          </cell>
          <cell r="H512">
            <v>0</v>
          </cell>
        </row>
        <row r="513">
          <cell r="F513">
            <v>309535</v>
          </cell>
          <cell r="G513" t="str">
            <v>Coralia Brenda Judith Ruano Hernandez</v>
          </cell>
          <cell r="H513">
            <v>0</v>
          </cell>
        </row>
        <row r="514">
          <cell r="F514">
            <v>315611</v>
          </cell>
          <cell r="G514" t="str">
            <v>Cordova Newbery, Allison Alejandra</v>
          </cell>
          <cell r="H514">
            <v>0</v>
          </cell>
        </row>
        <row r="515">
          <cell r="F515">
            <v>314757</v>
          </cell>
          <cell r="G515" t="str">
            <v>Cristal Estephania Juarroz Muñoz</v>
          </cell>
          <cell r="H515">
            <v>0</v>
          </cell>
        </row>
        <row r="516">
          <cell r="F516">
            <v>90040454</v>
          </cell>
          <cell r="G516" t="str">
            <v>Cristel Dolores Vasquez Rodriguez</v>
          </cell>
          <cell r="H516">
            <v>0</v>
          </cell>
        </row>
        <row r="517">
          <cell r="F517">
            <v>90033452</v>
          </cell>
          <cell r="G517" t="str">
            <v>Cristhian Andres Contreras Rivas</v>
          </cell>
          <cell r="H517">
            <v>0</v>
          </cell>
        </row>
        <row r="518">
          <cell r="F518">
            <v>90046187</v>
          </cell>
          <cell r="G518" t="str">
            <v>Cristi Paola Rodriguez Contreras</v>
          </cell>
          <cell r="H518">
            <v>0</v>
          </cell>
        </row>
        <row r="519">
          <cell r="F519">
            <v>90019997</v>
          </cell>
          <cell r="G519" t="str">
            <v>Cristian Alessandro Avalos Martinez</v>
          </cell>
          <cell r="H519">
            <v>0</v>
          </cell>
        </row>
        <row r="520">
          <cell r="F520">
            <v>310711</v>
          </cell>
          <cell r="G520" t="str">
            <v>Cristian Alfredo Jimenez Quino</v>
          </cell>
          <cell r="H520">
            <v>0</v>
          </cell>
        </row>
        <row r="521">
          <cell r="F521">
            <v>314119</v>
          </cell>
          <cell r="G521" t="str">
            <v>Cristian David Urizar Canteo</v>
          </cell>
          <cell r="H521">
            <v>0</v>
          </cell>
        </row>
        <row r="522">
          <cell r="F522">
            <v>90038775</v>
          </cell>
          <cell r="G522" t="str">
            <v>Cristian Enrique Escalante Albanez</v>
          </cell>
          <cell r="H522">
            <v>0</v>
          </cell>
        </row>
        <row r="523">
          <cell r="F523">
            <v>312995</v>
          </cell>
          <cell r="G523" t="str">
            <v>Cristian Esleiter Zuleta Batres</v>
          </cell>
          <cell r="H523">
            <v>0</v>
          </cell>
        </row>
        <row r="524">
          <cell r="F524">
            <v>313746</v>
          </cell>
          <cell r="G524" t="str">
            <v>Cristian Omar Cruz Mata</v>
          </cell>
          <cell r="H524">
            <v>0</v>
          </cell>
        </row>
        <row r="525">
          <cell r="F525">
            <v>314701</v>
          </cell>
          <cell r="G525" t="str">
            <v>Cristian Orlando Leonardo Cortez</v>
          </cell>
          <cell r="H525">
            <v>0</v>
          </cell>
        </row>
        <row r="526">
          <cell r="F526">
            <v>314817</v>
          </cell>
          <cell r="G526" t="str">
            <v>Cristian Orlando Monzon De Leon</v>
          </cell>
          <cell r="H526">
            <v>0</v>
          </cell>
        </row>
        <row r="527">
          <cell r="F527">
            <v>314085</v>
          </cell>
          <cell r="G527" t="str">
            <v>Cristian Ottoniel Lopez Alvarado</v>
          </cell>
          <cell r="H527">
            <v>0</v>
          </cell>
        </row>
        <row r="528">
          <cell r="F528">
            <v>314431</v>
          </cell>
          <cell r="G528" t="str">
            <v>Cristian Rene Contreras Sales</v>
          </cell>
          <cell r="H528">
            <v>0</v>
          </cell>
        </row>
        <row r="529">
          <cell r="F529">
            <v>90050524</v>
          </cell>
          <cell r="G529" t="str">
            <v>Cristian Rodrigo Chilel Samayoa</v>
          </cell>
          <cell r="H529">
            <v>0</v>
          </cell>
        </row>
        <row r="530">
          <cell r="F530">
            <v>314612</v>
          </cell>
          <cell r="G530" t="str">
            <v>Cristian Romulo Rolando Cojulun Barrera</v>
          </cell>
          <cell r="H530">
            <v>0</v>
          </cell>
        </row>
        <row r="531">
          <cell r="F531">
            <v>314468</v>
          </cell>
          <cell r="G531" t="str">
            <v>Cristian Salvador Perez Quiroa</v>
          </cell>
          <cell r="H531">
            <v>0</v>
          </cell>
        </row>
        <row r="532">
          <cell r="F532">
            <v>314670</v>
          </cell>
          <cell r="G532" t="str">
            <v>Cristian Tomas Chuc Perez</v>
          </cell>
          <cell r="H532">
            <v>0</v>
          </cell>
        </row>
        <row r="533">
          <cell r="F533">
            <v>315578</v>
          </cell>
          <cell r="G533" t="str">
            <v>Cristian Ubaldo De Leon Ramirez</v>
          </cell>
          <cell r="H533">
            <v>0</v>
          </cell>
        </row>
        <row r="534">
          <cell r="F534">
            <v>307449</v>
          </cell>
          <cell r="G534" t="str">
            <v>Cristina De Jesus Hernandez Macajola</v>
          </cell>
          <cell r="H534">
            <v>0</v>
          </cell>
        </row>
        <row r="535">
          <cell r="F535">
            <v>306823</v>
          </cell>
          <cell r="G535" t="str">
            <v>Cristina Mariela Sapon Morales</v>
          </cell>
          <cell r="H535">
            <v>0</v>
          </cell>
        </row>
        <row r="536">
          <cell r="F536">
            <v>313589</v>
          </cell>
          <cell r="G536" t="str">
            <v>Cristobal Vinicio Chacon Rosana</v>
          </cell>
          <cell r="H536">
            <v>0</v>
          </cell>
        </row>
        <row r="537">
          <cell r="F537">
            <v>314538</v>
          </cell>
          <cell r="G537" t="str">
            <v>Cristofer Melgar Ortega</v>
          </cell>
          <cell r="H537">
            <v>0</v>
          </cell>
        </row>
        <row r="538">
          <cell r="F538">
            <v>90024719</v>
          </cell>
          <cell r="G538" t="str">
            <v>Cristopher Josue Chanquin Flores</v>
          </cell>
          <cell r="H538">
            <v>0</v>
          </cell>
        </row>
        <row r="539">
          <cell r="F539">
            <v>310386</v>
          </cell>
          <cell r="G539" t="str">
            <v>Cristy Charito Bran Guerra</v>
          </cell>
          <cell r="H539">
            <v>0</v>
          </cell>
        </row>
        <row r="540">
          <cell r="F540">
            <v>314883</v>
          </cell>
          <cell r="G540" t="str">
            <v>Cynthia Guisela Samayoa Aldana</v>
          </cell>
          <cell r="H540">
            <v>0</v>
          </cell>
        </row>
        <row r="541">
          <cell r="F541">
            <v>313709</v>
          </cell>
          <cell r="G541" t="str">
            <v>Cynthia Marisol Gonzalez Vargas</v>
          </cell>
          <cell r="H541">
            <v>0</v>
          </cell>
        </row>
        <row r="542">
          <cell r="F542">
            <v>314097</v>
          </cell>
          <cell r="G542" t="str">
            <v>Cynthia Rosaura Cruz Cosajay</v>
          </cell>
          <cell r="H542">
            <v>0</v>
          </cell>
        </row>
        <row r="543">
          <cell r="F543">
            <v>90038604</v>
          </cell>
          <cell r="G543" t="str">
            <v>Daily Tatiana Godoy Aguilar</v>
          </cell>
          <cell r="H543">
            <v>0</v>
          </cell>
        </row>
        <row r="544">
          <cell r="F544">
            <v>90049072</v>
          </cell>
          <cell r="G544" t="str">
            <v>Daily Yamileth Del Cid Vasquez</v>
          </cell>
          <cell r="H544">
            <v>0</v>
          </cell>
        </row>
        <row r="545">
          <cell r="F545">
            <v>314981</v>
          </cell>
          <cell r="G545" t="str">
            <v>Dalila Marisol Ramos Galan</v>
          </cell>
          <cell r="H545">
            <v>0</v>
          </cell>
        </row>
        <row r="546">
          <cell r="F546">
            <v>315331</v>
          </cell>
          <cell r="G546" t="str">
            <v>Dallynn Eunice Perez Herrera</v>
          </cell>
          <cell r="H546">
            <v>0</v>
          </cell>
        </row>
        <row r="547">
          <cell r="F547">
            <v>308765</v>
          </cell>
          <cell r="G547" t="str">
            <v>Damaris Abigail Garcia Perez</v>
          </cell>
          <cell r="H547">
            <v>0</v>
          </cell>
        </row>
        <row r="548">
          <cell r="F548">
            <v>315256</v>
          </cell>
          <cell r="G548" t="str">
            <v>Damaris Abigail Urizar Martinez</v>
          </cell>
          <cell r="H548">
            <v>0</v>
          </cell>
        </row>
        <row r="549">
          <cell r="F549">
            <v>315624</v>
          </cell>
          <cell r="G549" t="str">
            <v>Damaris Azucena Canahui Barillas</v>
          </cell>
          <cell r="H549">
            <v>0</v>
          </cell>
        </row>
        <row r="550">
          <cell r="F550">
            <v>307394</v>
          </cell>
          <cell r="G550" t="str">
            <v>Damaris Judith Rivas Benitez</v>
          </cell>
          <cell r="H550">
            <v>0</v>
          </cell>
        </row>
        <row r="551">
          <cell r="F551">
            <v>312949</v>
          </cell>
          <cell r="G551" t="str">
            <v>Damaris Liseth Sagastume Pinto</v>
          </cell>
          <cell r="H551">
            <v>0</v>
          </cell>
        </row>
        <row r="552">
          <cell r="F552">
            <v>314411</v>
          </cell>
          <cell r="G552" t="str">
            <v>Damaris Paola Gonzalez Gallardo</v>
          </cell>
          <cell r="H552">
            <v>0</v>
          </cell>
        </row>
        <row r="553">
          <cell r="F553">
            <v>314179</v>
          </cell>
          <cell r="G553" t="str">
            <v>Damaris Sucely Mendez Roche</v>
          </cell>
          <cell r="H553">
            <v>0</v>
          </cell>
        </row>
        <row r="554">
          <cell r="F554">
            <v>314276</v>
          </cell>
          <cell r="G554" t="str">
            <v>Damaris Violeta Gonzalez Miguel</v>
          </cell>
          <cell r="H554">
            <v>0</v>
          </cell>
        </row>
        <row r="555">
          <cell r="F555">
            <v>313514</v>
          </cell>
          <cell r="G555" t="str">
            <v>Danae Melissa Xitumul Ruiz</v>
          </cell>
          <cell r="H555">
            <v>0</v>
          </cell>
        </row>
        <row r="556">
          <cell r="F556">
            <v>90029081</v>
          </cell>
          <cell r="G556" t="str">
            <v>Danaly Iveth Garcia Monterroso</v>
          </cell>
          <cell r="H556">
            <v>0</v>
          </cell>
        </row>
        <row r="557">
          <cell r="F557">
            <v>313868</v>
          </cell>
          <cell r="G557" t="str">
            <v>Danely Arleth Rubin Escobar</v>
          </cell>
          <cell r="H557">
            <v>0</v>
          </cell>
        </row>
        <row r="558">
          <cell r="F558">
            <v>315480</v>
          </cell>
          <cell r="G558" t="str">
            <v>Daneylie Abigalie Dardon Gomez</v>
          </cell>
          <cell r="H558">
            <v>0</v>
          </cell>
        </row>
        <row r="559">
          <cell r="F559">
            <v>314406</v>
          </cell>
          <cell r="G559" t="str">
            <v>Daniel Abrahan Castillo Hernandez</v>
          </cell>
          <cell r="H559">
            <v>0</v>
          </cell>
        </row>
        <row r="560">
          <cell r="F560">
            <v>316140</v>
          </cell>
          <cell r="G560" t="str">
            <v xml:space="preserve">Daniel Alberto Alaya Guzman </v>
          </cell>
          <cell r="H560">
            <v>0</v>
          </cell>
        </row>
        <row r="561">
          <cell r="F561">
            <v>90045772</v>
          </cell>
          <cell r="G561" t="str">
            <v>Daniel Alejandro Ramos Loarca</v>
          </cell>
          <cell r="H561">
            <v>0</v>
          </cell>
        </row>
        <row r="562">
          <cell r="F562">
            <v>90039185</v>
          </cell>
          <cell r="G562" t="str">
            <v xml:space="preserve">Daniel Alexander Molina Torres </v>
          </cell>
          <cell r="H562">
            <v>0</v>
          </cell>
        </row>
        <row r="563">
          <cell r="F563">
            <v>314646</v>
          </cell>
          <cell r="G563" t="str">
            <v>Daniel Alfredo Aguirre Marroquin</v>
          </cell>
          <cell r="H563">
            <v>0</v>
          </cell>
        </row>
        <row r="564">
          <cell r="F564">
            <v>305521</v>
          </cell>
          <cell r="G564" t="str">
            <v>Daniel Antonio Aceituno Paredes</v>
          </cell>
          <cell r="H564">
            <v>0</v>
          </cell>
        </row>
        <row r="565">
          <cell r="F565">
            <v>315030</v>
          </cell>
          <cell r="G565" t="str">
            <v>Daniel Antonio Gonzalez Del Cid</v>
          </cell>
          <cell r="H565">
            <v>0</v>
          </cell>
        </row>
        <row r="566">
          <cell r="F566">
            <v>90040976</v>
          </cell>
          <cell r="G566" t="str">
            <v>Daniel Ernesto Perez</v>
          </cell>
          <cell r="H566">
            <v>0</v>
          </cell>
        </row>
        <row r="567">
          <cell r="F567">
            <v>90009267</v>
          </cell>
          <cell r="G567" t="str">
            <v>Daniel Humberto Morales Cervantes</v>
          </cell>
          <cell r="H567">
            <v>0</v>
          </cell>
        </row>
        <row r="568">
          <cell r="F568">
            <v>315568</v>
          </cell>
          <cell r="G568" t="str">
            <v>Daniel Isai Moran Lima</v>
          </cell>
          <cell r="H568">
            <v>0</v>
          </cell>
        </row>
        <row r="569">
          <cell r="F569">
            <v>90018997</v>
          </cell>
          <cell r="G569" t="str">
            <v>Daniel Uvaldo Barreno Meneses</v>
          </cell>
          <cell r="H569">
            <v>0</v>
          </cell>
        </row>
        <row r="570">
          <cell r="F570">
            <v>310374</v>
          </cell>
          <cell r="G570" t="str">
            <v>Daniela Amarilis Davila Juarez De Carrillo</v>
          </cell>
          <cell r="H570">
            <v>0</v>
          </cell>
        </row>
        <row r="571">
          <cell r="F571">
            <v>90027914</v>
          </cell>
          <cell r="G571" t="str">
            <v>Daniela Karime Jimenez Lopez</v>
          </cell>
          <cell r="H571">
            <v>0</v>
          </cell>
        </row>
        <row r="572">
          <cell r="F572">
            <v>316279</v>
          </cell>
          <cell r="G572" t="str">
            <v>Daniela Maricruz Castillo Reyes</v>
          </cell>
          <cell r="H572">
            <v>0</v>
          </cell>
        </row>
        <row r="573">
          <cell r="F573">
            <v>315327</v>
          </cell>
          <cell r="G573" t="str">
            <v>Daninyer Alfonso Orellana Madrid</v>
          </cell>
          <cell r="H573">
            <v>0</v>
          </cell>
        </row>
        <row r="574">
          <cell r="F574">
            <v>307048</v>
          </cell>
          <cell r="G574" t="str">
            <v>Danny Eduardo Caal De Leon</v>
          </cell>
          <cell r="H574">
            <v>0</v>
          </cell>
        </row>
        <row r="575">
          <cell r="F575">
            <v>312659</v>
          </cell>
          <cell r="G575" t="str">
            <v>Danny Johana Perez Reyes</v>
          </cell>
          <cell r="H575">
            <v>0</v>
          </cell>
        </row>
        <row r="576">
          <cell r="F576">
            <v>315104</v>
          </cell>
          <cell r="G576" t="str">
            <v>Dany Adalberto Choc Bac</v>
          </cell>
          <cell r="H576">
            <v>0</v>
          </cell>
        </row>
        <row r="577">
          <cell r="F577">
            <v>314807</v>
          </cell>
          <cell r="G577" t="str">
            <v>Daomi Mishel Larios Morales</v>
          </cell>
          <cell r="H577">
            <v>0</v>
          </cell>
        </row>
        <row r="578">
          <cell r="F578">
            <v>312391</v>
          </cell>
          <cell r="G578" t="str">
            <v>Daphne Pamela Lopez Rodriguez</v>
          </cell>
          <cell r="H578">
            <v>0</v>
          </cell>
        </row>
        <row r="579">
          <cell r="F579">
            <v>312172</v>
          </cell>
          <cell r="G579" t="str">
            <v>Darbin Alejandro Soto Rodriguez</v>
          </cell>
          <cell r="H579">
            <v>0</v>
          </cell>
        </row>
        <row r="580">
          <cell r="F580">
            <v>314845</v>
          </cell>
          <cell r="G580" t="str">
            <v>Darissa Anahi Galindo Monzon</v>
          </cell>
          <cell r="H580">
            <v>0</v>
          </cell>
        </row>
        <row r="581">
          <cell r="F581">
            <v>312419</v>
          </cell>
          <cell r="G581" t="str">
            <v>Darli Asuceli Florian Garcia</v>
          </cell>
          <cell r="H581">
            <v>0</v>
          </cell>
        </row>
        <row r="582">
          <cell r="F582">
            <v>312836</v>
          </cell>
          <cell r="G582" t="str">
            <v>Darlin Estefany Coyoy Rivas</v>
          </cell>
          <cell r="H582">
            <v>0</v>
          </cell>
        </row>
        <row r="583">
          <cell r="F583">
            <v>312077</v>
          </cell>
          <cell r="G583" t="str">
            <v>Darlin Pamela Aguilar De La Cruz Marroquin</v>
          </cell>
          <cell r="H583">
            <v>0</v>
          </cell>
        </row>
        <row r="584">
          <cell r="F584">
            <v>316002</v>
          </cell>
          <cell r="G584" t="str">
            <v>Darling Daniela Quinteros Arevalo</v>
          </cell>
          <cell r="H584">
            <v>0</v>
          </cell>
        </row>
        <row r="585">
          <cell r="F585">
            <v>90046250</v>
          </cell>
          <cell r="G585" t="str">
            <v>Darling Esther Alfaro Gonzalez</v>
          </cell>
          <cell r="H585">
            <v>0</v>
          </cell>
        </row>
        <row r="586">
          <cell r="F586">
            <v>314775</v>
          </cell>
          <cell r="G586" t="str">
            <v>Darlyn Dayanara Cortez Ramirez</v>
          </cell>
          <cell r="H586">
            <v>0</v>
          </cell>
        </row>
        <row r="587">
          <cell r="F587">
            <v>312223</v>
          </cell>
          <cell r="G587" t="str">
            <v>Darlyn Guadalupe Barrios Yax</v>
          </cell>
          <cell r="H587">
            <v>0</v>
          </cell>
        </row>
        <row r="588">
          <cell r="F588">
            <v>309926</v>
          </cell>
          <cell r="G588" t="str">
            <v>Darwin Alexis Ponciano Cruz</v>
          </cell>
          <cell r="H588">
            <v>0</v>
          </cell>
        </row>
        <row r="589">
          <cell r="F589">
            <v>315650</v>
          </cell>
          <cell r="G589" t="str">
            <v>Darwin Emanuel Olivares Carrera</v>
          </cell>
          <cell r="H589">
            <v>0</v>
          </cell>
        </row>
        <row r="590">
          <cell r="F590">
            <v>90049762</v>
          </cell>
          <cell r="G590" t="str">
            <v>Darwin Javier Sian Rodriguez</v>
          </cell>
          <cell r="H590">
            <v>0</v>
          </cell>
        </row>
        <row r="591">
          <cell r="F591">
            <v>315167</v>
          </cell>
          <cell r="G591" t="str">
            <v>Darwin Omar Cabrera Cheguen</v>
          </cell>
          <cell r="H591">
            <v>0</v>
          </cell>
        </row>
        <row r="592">
          <cell r="F592">
            <v>311345</v>
          </cell>
          <cell r="G592" t="str">
            <v>Darwin Ruben Martinez Ramirez</v>
          </cell>
          <cell r="H592">
            <v>0</v>
          </cell>
        </row>
        <row r="593">
          <cell r="F593">
            <v>310390</v>
          </cell>
          <cell r="G593" t="str">
            <v>Dauris Yomira Tellechea Lopez</v>
          </cell>
          <cell r="H593">
            <v>0</v>
          </cell>
        </row>
        <row r="594">
          <cell r="F594">
            <v>202076</v>
          </cell>
          <cell r="G594" t="str">
            <v>David De Jesus Quel Orozco</v>
          </cell>
          <cell r="H594">
            <v>0</v>
          </cell>
        </row>
        <row r="595">
          <cell r="F595">
            <v>314891</v>
          </cell>
          <cell r="G595" t="str">
            <v>David Emanuel Cachin Morales</v>
          </cell>
          <cell r="H595">
            <v>0</v>
          </cell>
        </row>
        <row r="596">
          <cell r="F596">
            <v>316254</v>
          </cell>
          <cell r="G596" t="str">
            <v>David Julian Molina Santos</v>
          </cell>
          <cell r="H596">
            <v>0</v>
          </cell>
        </row>
        <row r="597">
          <cell r="F597">
            <v>309831</v>
          </cell>
          <cell r="G597" t="str">
            <v>David Mejia Vicente</v>
          </cell>
          <cell r="H597">
            <v>0</v>
          </cell>
        </row>
        <row r="598">
          <cell r="F598">
            <v>314090</v>
          </cell>
          <cell r="G598" t="str">
            <v>Dayana Mishell Mazariegos Gomez</v>
          </cell>
          <cell r="H598">
            <v>0</v>
          </cell>
        </row>
        <row r="599">
          <cell r="F599">
            <v>315533</v>
          </cell>
          <cell r="G599" t="str">
            <v>Dayana Paola Lopez Bolanos</v>
          </cell>
          <cell r="H599">
            <v>0</v>
          </cell>
        </row>
        <row r="600">
          <cell r="F600">
            <v>314017</v>
          </cell>
          <cell r="G600" t="str">
            <v>Dayanna Beatriz Cachupe Chavac Cifuentes</v>
          </cell>
          <cell r="H600">
            <v>0</v>
          </cell>
        </row>
        <row r="601">
          <cell r="F601">
            <v>90028025</v>
          </cell>
          <cell r="G601" t="str">
            <v>Dayli Anai García Morales</v>
          </cell>
          <cell r="H601">
            <v>0</v>
          </cell>
        </row>
        <row r="602">
          <cell r="F602">
            <v>314852</v>
          </cell>
          <cell r="G602" t="str">
            <v>Daylin Ambrocia Cruz Lopez</v>
          </cell>
          <cell r="H602">
            <v>0</v>
          </cell>
        </row>
        <row r="603">
          <cell r="F603">
            <v>313408</v>
          </cell>
          <cell r="G603" t="str">
            <v>Dayne Dalu Sanchez Hernandez</v>
          </cell>
          <cell r="H603">
            <v>0</v>
          </cell>
        </row>
        <row r="604">
          <cell r="F604">
            <v>90040024</v>
          </cell>
          <cell r="G604" t="str">
            <v>Dayra Rene Colindres Donis</v>
          </cell>
          <cell r="H604">
            <v>0</v>
          </cell>
        </row>
        <row r="605">
          <cell r="F605">
            <v>315552</v>
          </cell>
          <cell r="G605" t="str">
            <v>Debora Eunice Tzay Chuluc</v>
          </cell>
          <cell r="H605">
            <v>0</v>
          </cell>
        </row>
        <row r="606">
          <cell r="F606">
            <v>313629</v>
          </cell>
          <cell r="G606" t="str">
            <v>Debora Madahi Escobar Gomez</v>
          </cell>
          <cell r="H606">
            <v>0</v>
          </cell>
        </row>
        <row r="607">
          <cell r="F607">
            <v>315270</v>
          </cell>
          <cell r="G607" t="str">
            <v>Debora Paola Sepez Cuc</v>
          </cell>
          <cell r="H607">
            <v>0</v>
          </cell>
        </row>
        <row r="608">
          <cell r="F608">
            <v>90040435</v>
          </cell>
          <cell r="G608" t="str">
            <v>Deily Noeli Ramirez Villela</v>
          </cell>
          <cell r="H608">
            <v>0</v>
          </cell>
        </row>
        <row r="609">
          <cell r="F609">
            <v>314353</v>
          </cell>
          <cell r="G609" t="str">
            <v>Deisy Gabriela Pineda Paiz</v>
          </cell>
          <cell r="H609">
            <v>0</v>
          </cell>
        </row>
        <row r="610">
          <cell r="F610">
            <v>90039668</v>
          </cell>
          <cell r="G610" t="str">
            <v>Deisy Lizet Perez Oliva</v>
          </cell>
          <cell r="H610">
            <v>0</v>
          </cell>
        </row>
        <row r="611">
          <cell r="F611">
            <v>302751</v>
          </cell>
          <cell r="G611" t="str">
            <v>Delia Virginia Piedrasanta Parra</v>
          </cell>
          <cell r="H611">
            <v>0</v>
          </cell>
        </row>
        <row r="612">
          <cell r="F612">
            <v>201031</v>
          </cell>
          <cell r="G612" t="str">
            <v>Delio Maynor Lopez Barrios</v>
          </cell>
          <cell r="H612">
            <v>0</v>
          </cell>
        </row>
        <row r="613">
          <cell r="F613">
            <v>311758</v>
          </cell>
          <cell r="G613" t="str">
            <v>Delmy Fabiola Orellana Barrientos</v>
          </cell>
          <cell r="H613">
            <v>0</v>
          </cell>
        </row>
        <row r="614">
          <cell r="F614">
            <v>307870</v>
          </cell>
          <cell r="G614" t="str">
            <v>Delmy Francisca Lopez Perez</v>
          </cell>
          <cell r="H614">
            <v>0</v>
          </cell>
        </row>
        <row r="615">
          <cell r="F615">
            <v>90025139</v>
          </cell>
          <cell r="G615" t="str">
            <v xml:space="preserve">Delmy Nayeli Muyus Aguilar </v>
          </cell>
          <cell r="H615">
            <v>0</v>
          </cell>
        </row>
        <row r="616">
          <cell r="F616">
            <v>314901</v>
          </cell>
          <cell r="G616" t="str">
            <v>Delmy Vanesa Morales Ramirez</v>
          </cell>
          <cell r="H616">
            <v>0</v>
          </cell>
        </row>
        <row r="617">
          <cell r="F617">
            <v>306256</v>
          </cell>
          <cell r="G617" t="str">
            <v>Delwin Leonel Vasquez Barrera</v>
          </cell>
          <cell r="H617">
            <v>0</v>
          </cell>
        </row>
        <row r="618">
          <cell r="F618">
            <v>314540</v>
          </cell>
          <cell r="G618" t="str">
            <v>Denilson Laureano De Paz Galdamez</v>
          </cell>
          <cell r="H618">
            <v>0</v>
          </cell>
        </row>
        <row r="619">
          <cell r="F619">
            <v>315802</v>
          </cell>
          <cell r="G619" t="str">
            <v>Denis Rodrigo Diaz Alvarado</v>
          </cell>
          <cell r="H619">
            <v>0</v>
          </cell>
        </row>
        <row r="620">
          <cell r="F620">
            <v>90039302</v>
          </cell>
          <cell r="G620" t="str">
            <v>Dennis Alexander Esquivel Galeano</v>
          </cell>
          <cell r="H620">
            <v>0</v>
          </cell>
        </row>
        <row r="621">
          <cell r="F621">
            <v>312158</v>
          </cell>
          <cell r="G621" t="str">
            <v>Derick Juan David Coti Camas</v>
          </cell>
          <cell r="H621">
            <v>0</v>
          </cell>
        </row>
        <row r="622">
          <cell r="F622">
            <v>315437</v>
          </cell>
          <cell r="G622" t="str">
            <v>Deysi Liliana Caal Oxom</v>
          </cell>
          <cell r="H622">
            <v>0</v>
          </cell>
        </row>
        <row r="623">
          <cell r="F623">
            <v>309692</v>
          </cell>
          <cell r="G623" t="str">
            <v>Deysi Margoth Lopez Monroy</v>
          </cell>
          <cell r="H623">
            <v>0</v>
          </cell>
        </row>
        <row r="624">
          <cell r="F624">
            <v>309418</v>
          </cell>
          <cell r="G624" t="str">
            <v>Deysi Noemi Aranoli Carias Pimentel</v>
          </cell>
          <cell r="H624">
            <v>0</v>
          </cell>
        </row>
        <row r="625">
          <cell r="F625">
            <v>313797</v>
          </cell>
          <cell r="G625" t="str">
            <v>Deysi Paola Lopez Yanes De Conde</v>
          </cell>
          <cell r="H625">
            <v>0</v>
          </cell>
        </row>
        <row r="626">
          <cell r="F626">
            <v>312166</v>
          </cell>
          <cell r="G626" t="str">
            <v>Deysi Roxana Pablo Ramirez</v>
          </cell>
          <cell r="H626">
            <v>0</v>
          </cell>
        </row>
        <row r="627">
          <cell r="F627">
            <v>315803</v>
          </cell>
          <cell r="G627" t="str">
            <v>Deyvid Saul Osorio Colin</v>
          </cell>
          <cell r="H627">
            <v>0</v>
          </cell>
        </row>
        <row r="628">
          <cell r="F628">
            <v>313856</v>
          </cell>
          <cell r="G628" t="str">
            <v>Diana Andrea Castillo Mejia</v>
          </cell>
          <cell r="H628">
            <v>0</v>
          </cell>
        </row>
        <row r="629">
          <cell r="F629">
            <v>310411</v>
          </cell>
          <cell r="G629" t="str">
            <v>Diana Elizabeth Ayfan Del Cid</v>
          </cell>
          <cell r="H629">
            <v>0</v>
          </cell>
        </row>
        <row r="630">
          <cell r="F630">
            <v>315070</v>
          </cell>
          <cell r="G630" t="str">
            <v>Diana Guisela Satey De Leon</v>
          </cell>
          <cell r="H630">
            <v>0</v>
          </cell>
        </row>
        <row r="631">
          <cell r="F631">
            <v>90039330</v>
          </cell>
          <cell r="G631" t="str">
            <v>Diana Ivon Aguilar Gonzalez</v>
          </cell>
          <cell r="H631">
            <v>0</v>
          </cell>
        </row>
        <row r="632">
          <cell r="F632">
            <v>315089</v>
          </cell>
          <cell r="G632" t="str">
            <v>Diana Lizeth Acabal Pansay</v>
          </cell>
          <cell r="H632">
            <v>0</v>
          </cell>
        </row>
        <row r="633">
          <cell r="F633">
            <v>315209</v>
          </cell>
          <cell r="G633" t="str">
            <v>Diana Mishel Perez Flores</v>
          </cell>
          <cell r="H633">
            <v>0</v>
          </cell>
        </row>
        <row r="634">
          <cell r="F634">
            <v>314964</v>
          </cell>
          <cell r="G634" t="str">
            <v>Diana Priscila Reyes Bran</v>
          </cell>
          <cell r="H634">
            <v>0</v>
          </cell>
        </row>
        <row r="635">
          <cell r="F635">
            <v>309360</v>
          </cell>
          <cell r="G635" t="str">
            <v>Diana Violeta Yaguas Carin</v>
          </cell>
          <cell r="H635">
            <v>0</v>
          </cell>
        </row>
        <row r="636">
          <cell r="F636">
            <v>315616</v>
          </cell>
          <cell r="G636" t="str">
            <v>Diaz Calderon, Josue Noe</v>
          </cell>
          <cell r="H636">
            <v>0</v>
          </cell>
        </row>
        <row r="637">
          <cell r="F637">
            <v>90023521</v>
          </cell>
          <cell r="G637" t="str">
            <v>Diego Alejandro Castillo Cortez</v>
          </cell>
          <cell r="H637">
            <v>0</v>
          </cell>
        </row>
        <row r="638">
          <cell r="F638">
            <v>90025289</v>
          </cell>
          <cell r="G638" t="str">
            <v>Diego Alejandro Donis Juarez</v>
          </cell>
          <cell r="H638">
            <v>0</v>
          </cell>
        </row>
        <row r="639">
          <cell r="F639">
            <v>310497</v>
          </cell>
          <cell r="G639" t="str">
            <v>Diego Alejandro España Rivera</v>
          </cell>
          <cell r="H639">
            <v>0</v>
          </cell>
        </row>
        <row r="640">
          <cell r="F640">
            <v>315545</v>
          </cell>
          <cell r="G640" t="str">
            <v>Diego Alejandro Monroy Barillas</v>
          </cell>
          <cell r="H640">
            <v>0</v>
          </cell>
        </row>
        <row r="641">
          <cell r="F641">
            <v>314603</v>
          </cell>
          <cell r="G641" t="str">
            <v>Diego Antonio Dubon Suyen</v>
          </cell>
          <cell r="H641">
            <v>0</v>
          </cell>
        </row>
        <row r="642">
          <cell r="F642">
            <v>314250</v>
          </cell>
          <cell r="G642" t="str">
            <v>Diego Armando Contreras Flores</v>
          </cell>
          <cell r="H642">
            <v>0</v>
          </cell>
        </row>
        <row r="643">
          <cell r="F643">
            <v>314912</v>
          </cell>
          <cell r="G643" t="str">
            <v>Diego Ezequiel Samayoa Toledo</v>
          </cell>
          <cell r="H643">
            <v>0</v>
          </cell>
        </row>
        <row r="644">
          <cell r="F644">
            <v>90018989</v>
          </cell>
          <cell r="G644" t="str">
            <v>Diego Fernando Sacher Escobar</v>
          </cell>
          <cell r="H644">
            <v>0</v>
          </cell>
        </row>
        <row r="645">
          <cell r="F645">
            <v>314021</v>
          </cell>
          <cell r="G645" t="str">
            <v>Diego Josue Dieguez Vivar</v>
          </cell>
          <cell r="H645">
            <v>0</v>
          </cell>
        </row>
        <row r="646">
          <cell r="F646">
            <v>315354</v>
          </cell>
          <cell r="G646" t="str">
            <v>Diego Rodrigo Morales Camacho</v>
          </cell>
          <cell r="H646">
            <v>0</v>
          </cell>
        </row>
        <row r="647">
          <cell r="F647">
            <v>314609</v>
          </cell>
          <cell r="G647" t="str">
            <v>Dilma Carolina Zetino Zepeda</v>
          </cell>
          <cell r="H647">
            <v>0</v>
          </cell>
        </row>
        <row r="648">
          <cell r="F648">
            <v>90025593</v>
          </cell>
          <cell r="G648" t="str">
            <v xml:space="preserve">Dina Azucely Alvarez Melchor </v>
          </cell>
          <cell r="H648">
            <v>0</v>
          </cell>
        </row>
        <row r="649">
          <cell r="F649">
            <v>315393</v>
          </cell>
          <cell r="G649" t="str">
            <v>Dina Azucena Ortiz Crispin</v>
          </cell>
          <cell r="H649">
            <v>0</v>
          </cell>
        </row>
        <row r="650">
          <cell r="F650">
            <v>90024411</v>
          </cell>
          <cell r="G650" t="str">
            <v>Dina Elizabeth Garrido Alvarez</v>
          </cell>
          <cell r="H650">
            <v>0</v>
          </cell>
        </row>
        <row r="651">
          <cell r="F651">
            <v>315224</v>
          </cell>
          <cell r="G651" t="str">
            <v>Dina Nohemi Solano Juarez</v>
          </cell>
          <cell r="H651">
            <v>0</v>
          </cell>
        </row>
        <row r="652">
          <cell r="F652">
            <v>301534</v>
          </cell>
          <cell r="G652" t="str">
            <v>Donald Alejandro Mendez Mayen</v>
          </cell>
          <cell r="H652">
            <v>0</v>
          </cell>
        </row>
        <row r="653">
          <cell r="F653">
            <v>314847</v>
          </cell>
          <cell r="G653" t="str">
            <v>Donald Jacshon Abac Velasquez</v>
          </cell>
          <cell r="H653">
            <v>0</v>
          </cell>
        </row>
        <row r="654">
          <cell r="F654">
            <v>314364</v>
          </cell>
          <cell r="G654" t="str">
            <v xml:space="preserve">Donel Omar Landaverry Solis </v>
          </cell>
          <cell r="H654">
            <v>0</v>
          </cell>
        </row>
        <row r="655">
          <cell r="F655">
            <v>314070</v>
          </cell>
          <cell r="G655" t="str">
            <v>Donetta Diaz Oroman</v>
          </cell>
          <cell r="H655">
            <v>0</v>
          </cell>
        </row>
        <row r="656">
          <cell r="F656">
            <v>313316</v>
          </cell>
          <cell r="G656" t="str">
            <v>Dora Estefany Garcia Zetino</v>
          </cell>
          <cell r="H656">
            <v>0</v>
          </cell>
        </row>
        <row r="657">
          <cell r="F657">
            <v>308707</v>
          </cell>
          <cell r="G657" t="str">
            <v>Dorcas Raquel Palacios Reyes</v>
          </cell>
          <cell r="H657">
            <v>0</v>
          </cell>
        </row>
        <row r="658">
          <cell r="F658">
            <v>308921</v>
          </cell>
          <cell r="G658" t="str">
            <v>Doris Elizabeth Sandoval Gonzalez De Balcarcel</v>
          </cell>
          <cell r="H658">
            <v>0</v>
          </cell>
        </row>
        <row r="659">
          <cell r="F659">
            <v>315057</v>
          </cell>
          <cell r="G659" t="str">
            <v>Dorman Fernando Gomez Perez</v>
          </cell>
          <cell r="H659">
            <v>0</v>
          </cell>
        </row>
        <row r="660">
          <cell r="F660">
            <v>312651</v>
          </cell>
          <cell r="G660" t="str">
            <v>Douglas Alberto Luna</v>
          </cell>
          <cell r="H660">
            <v>0</v>
          </cell>
        </row>
        <row r="661">
          <cell r="F661">
            <v>316040</v>
          </cell>
          <cell r="G661" t="str">
            <v>Douglas Armando Flores Mendoza</v>
          </cell>
          <cell r="H661">
            <v>0</v>
          </cell>
        </row>
        <row r="662">
          <cell r="F662">
            <v>314635</v>
          </cell>
          <cell r="G662" t="str">
            <v>Douglas Armando Garcia Machic</v>
          </cell>
          <cell r="H662">
            <v>0</v>
          </cell>
        </row>
        <row r="663">
          <cell r="F663">
            <v>313351</v>
          </cell>
          <cell r="G663" t="str">
            <v>Douglas Nehemias Paz Agustin</v>
          </cell>
          <cell r="H663">
            <v>0</v>
          </cell>
        </row>
        <row r="664">
          <cell r="F664">
            <v>309154</v>
          </cell>
          <cell r="G664" t="str">
            <v>Duglas Alexander Ramirez</v>
          </cell>
          <cell r="H664">
            <v>0</v>
          </cell>
        </row>
        <row r="665">
          <cell r="F665">
            <v>314977</v>
          </cell>
          <cell r="G665" t="str">
            <v>Dulce Collin Garcia</v>
          </cell>
          <cell r="H665">
            <v>0</v>
          </cell>
        </row>
        <row r="666">
          <cell r="F666">
            <v>316311</v>
          </cell>
          <cell r="G666" t="str">
            <v>Dulce Estrella Miranda Morales</v>
          </cell>
          <cell r="H666">
            <v>0</v>
          </cell>
        </row>
        <row r="667">
          <cell r="F667">
            <v>310593</v>
          </cell>
          <cell r="G667" t="str">
            <v>Dulce Estrellita Boche Pineda</v>
          </cell>
          <cell r="H667">
            <v>0</v>
          </cell>
        </row>
        <row r="668">
          <cell r="F668">
            <v>312578</v>
          </cell>
          <cell r="G668" t="str">
            <v>Dulce Fabiola Cabrera Alvarado</v>
          </cell>
          <cell r="H668">
            <v>0</v>
          </cell>
        </row>
        <row r="669">
          <cell r="F669">
            <v>90027833</v>
          </cell>
          <cell r="G669" t="str">
            <v>Dulce Flor De Maria Jor Rax</v>
          </cell>
          <cell r="H669">
            <v>0</v>
          </cell>
        </row>
        <row r="670">
          <cell r="F670">
            <v>90040421</v>
          </cell>
          <cell r="G670" t="str">
            <v>Dulce Maria Arredondo Ubedo</v>
          </cell>
          <cell r="H670">
            <v>0</v>
          </cell>
        </row>
        <row r="671">
          <cell r="F671">
            <v>315028</v>
          </cell>
          <cell r="G671" t="str">
            <v>Dulce Maria Barillas Pineda</v>
          </cell>
          <cell r="H671">
            <v>0</v>
          </cell>
        </row>
        <row r="672">
          <cell r="F672">
            <v>314016</v>
          </cell>
          <cell r="G672" t="str">
            <v>Dulce Maria De Los Angeles Carranza Poitan</v>
          </cell>
          <cell r="H672">
            <v>0</v>
          </cell>
        </row>
        <row r="673">
          <cell r="F673">
            <v>314511</v>
          </cell>
          <cell r="G673" t="str">
            <v>Dulce Maria Fajardo Ramos</v>
          </cell>
          <cell r="H673">
            <v>0</v>
          </cell>
        </row>
        <row r="674">
          <cell r="F674">
            <v>90051355</v>
          </cell>
          <cell r="G674" t="str">
            <v>Dulce Maria Secaida Quiñonez</v>
          </cell>
          <cell r="H674">
            <v>0</v>
          </cell>
        </row>
        <row r="675">
          <cell r="F675">
            <v>314338</v>
          </cell>
          <cell r="G675" t="str">
            <v>Dulce Maria Sican Galicia</v>
          </cell>
          <cell r="H675">
            <v>0</v>
          </cell>
        </row>
        <row r="676">
          <cell r="F676">
            <v>315734</v>
          </cell>
          <cell r="G676" t="str">
            <v>Dulce Marina Lopez Solis</v>
          </cell>
          <cell r="H676">
            <v>0</v>
          </cell>
        </row>
        <row r="677">
          <cell r="F677">
            <v>90046332</v>
          </cell>
          <cell r="G677" t="str">
            <v>Dulce Mishell Alvarado Tovar</v>
          </cell>
          <cell r="H677">
            <v>0</v>
          </cell>
        </row>
        <row r="678">
          <cell r="F678">
            <v>301052</v>
          </cell>
          <cell r="G678" t="str">
            <v>Dulsse Gabriela Muñoz Giordano Sen</v>
          </cell>
          <cell r="H678">
            <v>0</v>
          </cell>
        </row>
        <row r="679">
          <cell r="F679">
            <v>313406</v>
          </cell>
          <cell r="G679" t="str">
            <v>Duncan Vladimir Fuentes Marroquin</v>
          </cell>
          <cell r="H679">
            <v>0</v>
          </cell>
        </row>
        <row r="680">
          <cell r="F680">
            <v>315061</v>
          </cell>
          <cell r="G680" t="str">
            <v>Durvin Dayanara Mejicanos Ramos</v>
          </cell>
          <cell r="H680">
            <v>0</v>
          </cell>
        </row>
        <row r="681">
          <cell r="F681">
            <v>315551</v>
          </cell>
          <cell r="G681" t="str">
            <v>Dylan Anderson Rodriguez Paredes</v>
          </cell>
          <cell r="H681">
            <v>0</v>
          </cell>
        </row>
        <row r="682">
          <cell r="F682">
            <v>301579</v>
          </cell>
          <cell r="G682" t="str">
            <v>Eber Manuel Valdes Samayoa</v>
          </cell>
          <cell r="H682">
            <v>0</v>
          </cell>
        </row>
        <row r="683">
          <cell r="F683">
            <v>314077</v>
          </cell>
          <cell r="G683" t="str">
            <v>Eddy Estuardo Lool Calderon</v>
          </cell>
          <cell r="H683">
            <v>0</v>
          </cell>
        </row>
        <row r="684">
          <cell r="F684">
            <v>304630</v>
          </cell>
          <cell r="G684" t="str">
            <v>Eddy Jose Cabrera Rivas</v>
          </cell>
          <cell r="H684">
            <v>0</v>
          </cell>
        </row>
        <row r="685">
          <cell r="F685">
            <v>315163</v>
          </cell>
          <cell r="G685" t="str">
            <v>Edgar Alejandro Alvarado Juarez</v>
          </cell>
          <cell r="H685">
            <v>0</v>
          </cell>
        </row>
        <row r="686">
          <cell r="F686">
            <v>90041399</v>
          </cell>
          <cell r="G686" t="str">
            <v>Edgar Alexander Toc Del Aguila</v>
          </cell>
          <cell r="H686">
            <v>0</v>
          </cell>
        </row>
        <row r="687">
          <cell r="F687">
            <v>314231</v>
          </cell>
          <cell r="G687" t="str">
            <v>Edgar Alfonso Escoto Asig</v>
          </cell>
          <cell r="H687">
            <v>0</v>
          </cell>
        </row>
        <row r="688">
          <cell r="F688">
            <v>312910</v>
          </cell>
          <cell r="G688" t="str">
            <v>Edgar Augusto Lara Joachin</v>
          </cell>
          <cell r="H688">
            <v>0</v>
          </cell>
        </row>
        <row r="689">
          <cell r="F689">
            <v>314084</v>
          </cell>
          <cell r="G689" t="str">
            <v>Edgar Emilio Gomez Bobadilla</v>
          </cell>
          <cell r="H689">
            <v>0</v>
          </cell>
        </row>
        <row r="690">
          <cell r="F690">
            <v>311466</v>
          </cell>
          <cell r="G690" t="str">
            <v>Edgar Estuardo Guerra Romero</v>
          </cell>
          <cell r="H690">
            <v>0</v>
          </cell>
        </row>
        <row r="691">
          <cell r="F691">
            <v>312457</v>
          </cell>
          <cell r="G691" t="str">
            <v>Edgar Estuardo Moran Lopez</v>
          </cell>
          <cell r="H691">
            <v>0</v>
          </cell>
        </row>
        <row r="692">
          <cell r="F692">
            <v>316039</v>
          </cell>
          <cell r="G692" t="str">
            <v>Edgar Francisco Garcia De Leon</v>
          </cell>
          <cell r="H692">
            <v>0</v>
          </cell>
        </row>
        <row r="693">
          <cell r="F693">
            <v>313373</v>
          </cell>
          <cell r="G693" t="str">
            <v>Edgar Francisco Yanes Carrera</v>
          </cell>
          <cell r="H693">
            <v>0</v>
          </cell>
        </row>
        <row r="694">
          <cell r="F694">
            <v>315597</v>
          </cell>
          <cell r="G694" t="str">
            <v>Edgar Jhonatan Contreras Garcia</v>
          </cell>
          <cell r="H694">
            <v>0</v>
          </cell>
        </row>
        <row r="695">
          <cell r="F695">
            <v>90012195</v>
          </cell>
          <cell r="G695" t="str">
            <v>Edgar Joel Castro Ramirez</v>
          </cell>
          <cell r="H695">
            <v>0</v>
          </cell>
        </row>
        <row r="696">
          <cell r="F696">
            <v>314531</v>
          </cell>
          <cell r="G696" t="str">
            <v>Edgar Josue Lopez Cahuec</v>
          </cell>
          <cell r="H696">
            <v>0</v>
          </cell>
        </row>
        <row r="697">
          <cell r="F697">
            <v>309428</v>
          </cell>
          <cell r="G697" t="str">
            <v>Edgar Manrique Flores Sanchez</v>
          </cell>
          <cell r="H697">
            <v>0</v>
          </cell>
        </row>
        <row r="698">
          <cell r="F698">
            <v>315766</v>
          </cell>
          <cell r="G698" t="str">
            <v>Edgar Omar De Jesus Andrade Monterroso</v>
          </cell>
          <cell r="H698">
            <v>0</v>
          </cell>
        </row>
        <row r="699">
          <cell r="F699">
            <v>313559</v>
          </cell>
          <cell r="G699" t="str">
            <v>Edgar Ricardo Lopez Valenzuela</v>
          </cell>
          <cell r="H699">
            <v>0</v>
          </cell>
        </row>
        <row r="700">
          <cell r="F700">
            <v>314916</v>
          </cell>
          <cell r="G700" t="str">
            <v>Edgar Samuel Chavez Garcia</v>
          </cell>
          <cell r="H700">
            <v>0</v>
          </cell>
        </row>
        <row r="701">
          <cell r="F701">
            <v>314885</v>
          </cell>
          <cell r="G701" t="str">
            <v>Edi Ibander Osoy Lopez</v>
          </cell>
          <cell r="H701">
            <v>0</v>
          </cell>
        </row>
        <row r="702">
          <cell r="F702">
            <v>313141</v>
          </cell>
          <cell r="G702" t="str">
            <v>Edith Carolina Rojas Moreno</v>
          </cell>
          <cell r="H702">
            <v>0</v>
          </cell>
        </row>
        <row r="703">
          <cell r="F703">
            <v>313861</v>
          </cell>
          <cell r="G703" t="str">
            <v>Edith Guadalupe Del Cid Orellana</v>
          </cell>
          <cell r="H703">
            <v>0</v>
          </cell>
        </row>
        <row r="704">
          <cell r="F704">
            <v>311901</v>
          </cell>
          <cell r="G704" t="str">
            <v>Edith Veranice Palacios</v>
          </cell>
          <cell r="H704">
            <v>0</v>
          </cell>
        </row>
        <row r="705">
          <cell r="F705">
            <v>304240</v>
          </cell>
          <cell r="G705" t="str">
            <v>Edna Fabiola Miranda Nufio</v>
          </cell>
          <cell r="H705">
            <v>0</v>
          </cell>
        </row>
        <row r="706">
          <cell r="F706">
            <v>90024418</v>
          </cell>
          <cell r="G706" t="str">
            <v xml:space="preserve">Edna Gabriela Ramirez </v>
          </cell>
          <cell r="H706">
            <v>0</v>
          </cell>
        </row>
        <row r="707">
          <cell r="F707">
            <v>313195</v>
          </cell>
          <cell r="G707" t="str">
            <v>Edna Helenin Benitez Guzman De Altan</v>
          </cell>
          <cell r="H707">
            <v>0</v>
          </cell>
        </row>
        <row r="708">
          <cell r="F708">
            <v>313770</v>
          </cell>
          <cell r="G708" t="str">
            <v>Edna Rubi Hernandez Retana</v>
          </cell>
          <cell r="H708">
            <v>0</v>
          </cell>
        </row>
        <row r="709">
          <cell r="F709">
            <v>90048797</v>
          </cell>
          <cell r="G709" t="str">
            <v xml:space="preserve">Edson Fernando Segura Chocop </v>
          </cell>
          <cell r="H709">
            <v>0</v>
          </cell>
        </row>
        <row r="710">
          <cell r="F710">
            <v>314675</v>
          </cell>
          <cell r="G710" t="str">
            <v>Edson Romeo Maldonado Reyes</v>
          </cell>
          <cell r="H710">
            <v>0</v>
          </cell>
        </row>
        <row r="711">
          <cell r="F711">
            <v>308533</v>
          </cell>
          <cell r="G711" t="str">
            <v>Eduardo Antonio Sotoj Zepeda</v>
          </cell>
          <cell r="H711">
            <v>0</v>
          </cell>
        </row>
        <row r="712">
          <cell r="F712">
            <v>315502</v>
          </cell>
          <cell r="G712" t="str">
            <v>Eduardo Eliu Camey Coyoy</v>
          </cell>
          <cell r="H712">
            <v>0</v>
          </cell>
        </row>
        <row r="713">
          <cell r="F713">
            <v>315786</v>
          </cell>
          <cell r="G713" t="str">
            <v>Eduardo Isaias Hernandez Ambrocio      </v>
          </cell>
          <cell r="H713">
            <v>0</v>
          </cell>
        </row>
        <row r="714">
          <cell r="F714">
            <v>315483</v>
          </cell>
          <cell r="G714" t="str">
            <v>Eduardo Jose Perez Pichilla</v>
          </cell>
          <cell r="H714">
            <v>0</v>
          </cell>
        </row>
        <row r="715">
          <cell r="F715">
            <v>306695</v>
          </cell>
          <cell r="G715" t="str">
            <v>Eduvina Lisbeth Chilel Garcia De Leon</v>
          </cell>
          <cell r="H715">
            <v>0</v>
          </cell>
        </row>
        <row r="716">
          <cell r="F716">
            <v>313804</v>
          </cell>
          <cell r="G716" t="str">
            <v>Edvin Daniel Compa Oroxom</v>
          </cell>
          <cell r="H716">
            <v>0</v>
          </cell>
        </row>
        <row r="717">
          <cell r="F717">
            <v>305736</v>
          </cell>
          <cell r="G717" t="str">
            <v>Edvin Estuardo Ordoñez Gonzalez</v>
          </cell>
          <cell r="H717">
            <v>0</v>
          </cell>
        </row>
        <row r="718">
          <cell r="F718">
            <v>90024501</v>
          </cell>
          <cell r="G718" t="str">
            <v>Edvin Estuardo Revolorio Marroquin</v>
          </cell>
          <cell r="H718">
            <v>0</v>
          </cell>
        </row>
        <row r="719">
          <cell r="F719">
            <v>313259</v>
          </cell>
          <cell r="G719" t="str">
            <v>Edvin Orlando Tuis Guerra</v>
          </cell>
          <cell r="H719">
            <v>0</v>
          </cell>
        </row>
        <row r="720">
          <cell r="F720">
            <v>313327</v>
          </cell>
          <cell r="G720" t="str">
            <v>Edvin Raul Chavez Monroy</v>
          </cell>
          <cell r="H720">
            <v>0</v>
          </cell>
        </row>
        <row r="721">
          <cell r="F721">
            <v>309209</v>
          </cell>
          <cell r="G721" t="str">
            <v>Edward Andoni Alvarez Agueda</v>
          </cell>
          <cell r="H721">
            <v>0</v>
          </cell>
        </row>
        <row r="722">
          <cell r="F722">
            <v>314281</v>
          </cell>
          <cell r="G722" t="str">
            <v>Edward Josue Cortez Belloso</v>
          </cell>
          <cell r="H722">
            <v>0</v>
          </cell>
        </row>
        <row r="723">
          <cell r="F723">
            <v>311219</v>
          </cell>
          <cell r="G723" t="str">
            <v>Edward Oswaldo Mo Macz</v>
          </cell>
          <cell r="H723">
            <v>0</v>
          </cell>
        </row>
        <row r="724">
          <cell r="F724">
            <v>316043</v>
          </cell>
          <cell r="G724" t="str">
            <v>Edward Pedro Figueroa Alvarado</v>
          </cell>
          <cell r="H724">
            <v>0</v>
          </cell>
        </row>
        <row r="725">
          <cell r="F725">
            <v>315174</v>
          </cell>
          <cell r="G725" t="str">
            <v>Edwin Adolfo Soberanis Mazariegos</v>
          </cell>
          <cell r="H725">
            <v>0</v>
          </cell>
        </row>
        <row r="726">
          <cell r="F726">
            <v>312540</v>
          </cell>
          <cell r="G726" t="str">
            <v>Edwin Alexander Davila Xitumul</v>
          </cell>
          <cell r="H726">
            <v>0</v>
          </cell>
        </row>
        <row r="727">
          <cell r="F727">
            <v>90009506</v>
          </cell>
          <cell r="G727" t="str">
            <v>Edwin Andre Mendez Nuñez</v>
          </cell>
          <cell r="H727">
            <v>0</v>
          </cell>
        </row>
        <row r="728">
          <cell r="F728">
            <v>313701</v>
          </cell>
          <cell r="G728" t="str">
            <v>Edwin Ernesto Sut Chinol</v>
          </cell>
          <cell r="H728">
            <v>0</v>
          </cell>
        </row>
        <row r="729">
          <cell r="F729">
            <v>312557</v>
          </cell>
          <cell r="G729" t="str">
            <v>Edwin Romeo Eleazar Ochoa Lopez</v>
          </cell>
          <cell r="H729">
            <v>0</v>
          </cell>
        </row>
        <row r="730">
          <cell r="F730">
            <v>315994</v>
          </cell>
          <cell r="G730" t="str">
            <v>Edwin Wilfredo Pineda Giron</v>
          </cell>
          <cell r="H730">
            <v>0</v>
          </cell>
        </row>
        <row r="731">
          <cell r="F731">
            <v>315190</v>
          </cell>
          <cell r="G731" t="str">
            <v xml:space="preserve">Edy Alexander Gonzalez Ramos </v>
          </cell>
          <cell r="H731">
            <v>0</v>
          </cell>
        </row>
        <row r="732">
          <cell r="F732">
            <v>90023752</v>
          </cell>
          <cell r="G732" t="str">
            <v>Edy Dionisio Fuentes Martinez</v>
          </cell>
          <cell r="H732">
            <v>0</v>
          </cell>
        </row>
        <row r="733">
          <cell r="F733">
            <v>311167</v>
          </cell>
          <cell r="G733" t="str">
            <v>Edy Giancarlo Moreno Pineda</v>
          </cell>
          <cell r="H733">
            <v>0</v>
          </cell>
        </row>
        <row r="734">
          <cell r="F734">
            <v>90034737</v>
          </cell>
          <cell r="G734" t="str">
            <v xml:space="preserve">Edyn Ivan Martinez Lopez </v>
          </cell>
          <cell r="H734">
            <v>0</v>
          </cell>
        </row>
        <row r="735">
          <cell r="F735">
            <v>90033087</v>
          </cell>
          <cell r="G735" t="str">
            <v>Eidy Natalia Hernandez Lopez</v>
          </cell>
          <cell r="H735">
            <v>0</v>
          </cell>
        </row>
        <row r="736">
          <cell r="F736">
            <v>312542</v>
          </cell>
          <cell r="G736" t="str">
            <v>Elba Eulalia Esquite Lemus</v>
          </cell>
          <cell r="H736">
            <v>0</v>
          </cell>
        </row>
        <row r="737">
          <cell r="F737">
            <v>3410331</v>
          </cell>
          <cell r="G737" t="str">
            <v>Elda Luzbina Valdez Guerra</v>
          </cell>
          <cell r="H737">
            <v>0</v>
          </cell>
        </row>
        <row r="738">
          <cell r="F738">
            <v>303412</v>
          </cell>
          <cell r="G738" t="str">
            <v>Elder Antonio Mendez Tobar</v>
          </cell>
          <cell r="H738">
            <v>0</v>
          </cell>
        </row>
        <row r="739">
          <cell r="F739">
            <v>315436</v>
          </cell>
          <cell r="G739" t="str">
            <v>Elder Frankiln Cax Dionicio</v>
          </cell>
          <cell r="H739">
            <v>0</v>
          </cell>
        </row>
        <row r="740">
          <cell r="F740">
            <v>311891</v>
          </cell>
          <cell r="G740" t="str">
            <v>Elder Uzias Jordan Perez</v>
          </cell>
          <cell r="H740">
            <v>0</v>
          </cell>
        </row>
        <row r="741">
          <cell r="F741">
            <v>309812</v>
          </cell>
          <cell r="G741" t="str">
            <v>Elena Yazmin Valdez Gallegos</v>
          </cell>
          <cell r="H741">
            <v>0</v>
          </cell>
        </row>
        <row r="742">
          <cell r="F742">
            <v>315975</v>
          </cell>
          <cell r="G742" t="str">
            <v>Elias Isaac Guevara Hernandez</v>
          </cell>
          <cell r="H742">
            <v>0</v>
          </cell>
        </row>
        <row r="743">
          <cell r="F743">
            <v>314275</v>
          </cell>
          <cell r="G743" t="str">
            <v>Elias Jose Daniel Estrada Nufio</v>
          </cell>
          <cell r="H743">
            <v>0</v>
          </cell>
        </row>
        <row r="744">
          <cell r="F744">
            <v>313314</v>
          </cell>
          <cell r="G744" t="str">
            <v>Elida Bertilia Donis Aguilar</v>
          </cell>
          <cell r="H744">
            <v>0</v>
          </cell>
        </row>
        <row r="745">
          <cell r="F745">
            <v>307588</v>
          </cell>
          <cell r="G745" t="str">
            <v>Elida Noemi Monroy Ortega</v>
          </cell>
          <cell r="H745">
            <v>0</v>
          </cell>
        </row>
        <row r="746">
          <cell r="F746">
            <v>315463</v>
          </cell>
          <cell r="G746" t="str">
            <v>Elin Magali Gallardo Velasquez</v>
          </cell>
          <cell r="H746">
            <v>0</v>
          </cell>
        </row>
        <row r="747">
          <cell r="F747">
            <v>90045872</v>
          </cell>
          <cell r="G747" t="str">
            <v>Elisa Alejandra Carabeo Alba</v>
          </cell>
          <cell r="H747">
            <v>0</v>
          </cell>
        </row>
        <row r="748">
          <cell r="F748">
            <v>316378</v>
          </cell>
          <cell r="G748" t="str">
            <v>Elisa Bravo</v>
          </cell>
          <cell r="H748">
            <v>0</v>
          </cell>
        </row>
        <row r="749">
          <cell r="F749">
            <v>310755</v>
          </cell>
          <cell r="G749" t="str">
            <v>Elisa Clementina Mazariegos Andrade</v>
          </cell>
          <cell r="H749">
            <v>0</v>
          </cell>
        </row>
        <row r="750">
          <cell r="F750">
            <v>314466</v>
          </cell>
          <cell r="G750" t="str">
            <v>Eliseo Gonzalez De Leon</v>
          </cell>
          <cell r="H750">
            <v>0</v>
          </cell>
        </row>
        <row r="751">
          <cell r="F751">
            <v>315555</v>
          </cell>
          <cell r="G751" t="str">
            <v>Eliseo Macario Carrillo</v>
          </cell>
          <cell r="H751">
            <v>0</v>
          </cell>
        </row>
        <row r="752">
          <cell r="F752">
            <v>90016469</v>
          </cell>
          <cell r="G752" t="str">
            <v>Elizabeth Nohemi Campa Mazat</v>
          </cell>
          <cell r="H752">
            <v>0</v>
          </cell>
        </row>
        <row r="753">
          <cell r="F753">
            <v>310043</v>
          </cell>
          <cell r="G753" t="str">
            <v>Elizangela Jazmin Barillas Ramirez</v>
          </cell>
          <cell r="H753">
            <v>0</v>
          </cell>
        </row>
        <row r="754">
          <cell r="F754">
            <v>314443</v>
          </cell>
          <cell r="G754" t="str">
            <v>Elmer Antonio Muñoz Alvarez</v>
          </cell>
          <cell r="H754">
            <v>0</v>
          </cell>
        </row>
        <row r="755">
          <cell r="F755">
            <v>314800</v>
          </cell>
          <cell r="G755" t="str">
            <v>Elmer Eduardo Castillo</v>
          </cell>
          <cell r="H755">
            <v>0</v>
          </cell>
        </row>
        <row r="756">
          <cell r="F756">
            <v>314739</v>
          </cell>
          <cell r="G756" t="str">
            <v>Elmer Josue Chinchilla Mendoza</v>
          </cell>
          <cell r="H756">
            <v>0</v>
          </cell>
        </row>
        <row r="757">
          <cell r="F757">
            <v>314763</v>
          </cell>
          <cell r="G757" t="str">
            <v>Elsa Edith Alixjandra Morales Cordon</v>
          </cell>
          <cell r="H757">
            <v>0</v>
          </cell>
        </row>
        <row r="758">
          <cell r="F758">
            <v>311227</v>
          </cell>
          <cell r="G758" t="str">
            <v>Elsa Karina Siquibache Perez</v>
          </cell>
          <cell r="H758">
            <v>0</v>
          </cell>
        </row>
        <row r="759">
          <cell r="F759">
            <v>308968</v>
          </cell>
          <cell r="G759" t="str">
            <v>Eluizer Amadeus De Leon De Leon</v>
          </cell>
          <cell r="H759">
            <v>0</v>
          </cell>
        </row>
        <row r="760">
          <cell r="F760">
            <v>308401</v>
          </cell>
          <cell r="G760" t="str">
            <v>Eluvia Josefina Sazo Garcia</v>
          </cell>
          <cell r="H760">
            <v>0</v>
          </cell>
        </row>
        <row r="761">
          <cell r="F761">
            <v>314871</v>
          </cell>
          <cell r="G761" t="str">
            <v>Elvis Ariel Juarez Solis</v>
          </cell>
          <cell r="H761">
            <v>0</v>
          </cell>
        </row>
        <row r="762">
          <cell r="F762">
            <v>90040434</v>
          </cell>
          <cell r="G762" t="str">
            <v xml:space="preserve">Elvis Armando Perez Urizar </v>
          </cell>
          <cell r="H762">
            <v>0</v>
          </cell>
        </row>
        <row r="763">
          <cell r="F763">
            <v>315613</v>
          </cell>
          <cell r="G763" t="str">
            <v>Elvis Humberto Morataya Chavarria</v>
          </cell>
          <cell r="H763">
            <v>0</v>
          </cell>
        </row>
        <row r="764">
          <cell r="F764">
            <v>90020902</v>
          </cell>
          <cell r="G764" t="str">
            <v>Elvis Manuel Rafael Solares</v>
          </cell>
          <cell r="H764">
            <v>0</v>
          </cell>
        </row>
        <row r="765">
          <cell r="F765">
            <v>313368</v>
          </cell>
          <cell r="G765" t="str">
            <v>Elvis Orlando Lopez Marroquin</v>
          </cell>
          <cell r="H765">
            <v>0</v>
          </cell>
        </row>
        <row r="766">
          <cell r="F766">
            <v>314342</v>
          </cell>
          <cell r="G766" t="str">
            <v>Emanuel Perez Garnillo</v>
          </cell>
          <cell r="H766">
            <v>0</v>
          </cell>
        </row>
        <row r="767">
          <cell r="F767">
            <v>312736</v>
          </cell>
          <cell r="G767" t="str">
            <v>Emely Johanna Urbina Beltran</v>
          </cell>
          <cell r="H767">
            <v>0</v>
          </cell>
        </row>
        <row r="768">
          <cell r="F768">
            <v>90039503</v>
          </cell>
          <cell r="G768" t="str">
            <v>Emely Pamela Noj Aguilar</v>
          </cell>
          <cell r="H768">
            <v>0</v>
          </cell>
        </row>
        <row r="769">
          <cell r="F769">
            <v>90034565</v>
          </cell>
          <cell r="G769" t="str">
            <v xml:space="preserve">Emely Raquel Reyes Bremer </v>
          </cell>
          <cell r="H769">
            <v>0</v>
          </cell>
        </row>
        <row r="770">
          <cell r="F770">
            <v>312762</v>
          </cell>
          <cell r="G770" t="str">
            <v>Emerson Ezequiel Giron Lopez</v>
          </cell>
          <cell r="H770">
            <v>0</v>
          </cell>
        </row>
        <row r="771">
          <cell r="F771">
            <v>303591</v>
          </cell>
          <cell r="G771" t="str">
            <v>Emerson Josue Lopez Hernandez</v>
          </cell>
          <cell r="H771">
            <v>0</v>
          </cell>
        </row>
        <row r="772">
          <cell r="F772">
            <v>312165</v>
          </cell>
          <cell r="G772" t="str">
            <v>Emily Jisselle Rosales Paz</v>
          </cell>
          <cell r="H772">
            <v>0</v>
          </cell>
        </row>
        <row r="773">
          <cell r="F773">
            <v>90033484</v>
          </cell>
          <cell r="G773" t="str">
            <v>Emmanuel Alejandro Luna Portillo</v>
          </cell>
          <cell r="H773">
            <v>0</v>
          </cell>
        </row>
        <row r="774">
          <cell r="F774">
            <v>860236</v>
          </cell>
          <cell r="G774" t="str">
            <v>Emmanuel Gonzalez</v>
          </cell>
          <cell r="H774">
            <v>0</v>
          </cell>
        </row>
        <row r="775">
          <cell r="F775">
            <v>313560</v>
          </cell>
          <cell r="G775" t="str">
            <v>Emy Noemi Vicente Herrera</v>
          </cell>
          <cell r="H775">
            <v>0</v>
          </cell>
        </row>
        <row r="776">
          <cell r="F776">
            <v>315360</v>
          </cell>
          <cell r="G776" t="str">
            <v>Eneas Valdez Colop</v>
          </cell>
          <cell r="H776">
            <v>0</v>
          </cell>
        </row>
        <row r="777">
          <cell r="F777">
            <v>316174</v>
          </cell>
          <cell r="G777" t="str">
            <v xml:space="preserve">Enrique Alfonso Lopez Ramirez </v>
          </cell>
          <cell r="H777">
            <v>0</v>
          </cell>
        </row>
        <row r="778">
          <cell r="F778">
            <v>315047</v>
          </cell>
          <cell r="G778" t="str">
            <v>Erick Adolfo Orellana Lopez</v>
          </cell>
          <cell r="H778">
            <v>0</v>
          </cell>
        </row>
        <row r="779">
          <cell r="F779">
            <v>90021461</v>
          </cell>
          <cell r="G779" t="str">
            <v>Erick Alejandro Aguilar De Leon</v>
          </cell>
          <cell r="H779">
            <v>0</v>
          </cell>
        </row>
        <row r="780">
          <cell r="F780">
            <v>311598</v>
          </cell>
          <cell r="G780" t="str">
            <v>Erick Antonio Perez Perez</v>
          </cell>
          <cell r="H780">
            <v>0</v>
          </cell>
        </row>
        <row r="781">
          <cell r="F781">
            <v>90048448</v>
          </cell>
          <cell r="G781" t="str">
            <v>Erick Cecilio Salvatierra García</v>
          </cell>
          <cell r="H781">
            <v>0</v>
          </cell>
        </row>
        <row r="782">
          <cell r="F782">
            <v>313451</v>
          </cell>
          <cell r="G782" t="str">
            <v>Erick Dionicio Alvarez Flores</v>
          </cell>
          <cell r="H782">
            <v>0</v>
          </cell>
        </row>
        <row r="783">
          <cell r="F783">
            <v>311742</v>
          </cell>
          <cell r="G783" t="str">
            <v>Erick Estuardo Morales Samayoa</v>
          </cell>
          <cell r="H783">
            <v>0</v>
          </cell>
        </row>
        <row r="784">
          <cell r="F784">
            <v>308758</v>
          </cell>
          <cell r="G784" t="str">
            <v>Erick Gamaliel Pineda Mendez</v>
          </cell>
          <cell r="H784">
            <v>0</v>
          </cell>
        </row>
        <row r="785">
          <cell r="F785">
            <v>90025143</v>
          </cell>
          <cell r="G785" t="str">
            <v>Erick Geovani Pineda Curiales</v>
          </cell>
          <cell r="H785">
            <v>0</v>
          </cell>
        </row>
        <row r="786">
          <cell r="F786">
            <v>90015672</v>
          </cell>
          <cell r="G786" t="str">
            <v>Erick Geovanny Castellanos Perez</v>
          </cell>
          <cell r="H786">
            <v>0</v>
          </cell>
        </row>
        <row r="787">
          <cell r="F787">
            <v>314371</v>
          </cell>
          <cell r="G787" t="str">
            <v>Erick Guillermo Sierra Escobar</v>
          </cell>
          <cell r="H787">
            <v>0</v>
          </cell>
        </row>
        <row r="788">
          <cell r="F788">
            <v>90014082</v>
          </cell>
          <cell r="G788" t="str">
            <v>Erick Jacob Estrada Barrios</v>
          </cell>
          <cell r="H788">
            <v>0</v>
          </cell>
        </row>
        <row r="789">
          <cell r="F789">
            <v>314095</v>
          </cell>
          <cell r="G789" t="str">
            <v>Erick Joel Diaz Barrera</v>
          </cell>
          <cell r="H789">
            <v>0</v>
          </cell>
        </row>
        <row r="790">
          <cell r="F790">
            <v>314408</v>
          </cell>
          <cell r="G790" t="str">
            <v>Erick Josue Martinez Pineda</v>
          </cell>
          <cell r="H790">
            <v>0</v>
          </cell>
        </row>
        <row r="791">
          <cell r="F791">
            <v>315868</v>
          </cell>
          <cell r="G791" t="str">
            <v>Erick Josue Paredes Mejia</v>
          </cell>
          <cell r="H791">
            <v>0</v>
          </cell>
        </row>
        <row r="792">
          <cell r="F792">
            <v>315890</v>
          </cell>
          <cell r="G792" t="str">
            <v>Erick Josue Pineda Caceros</v>
          </cell>
          <cell r="H792">
            <v>0</v>
          </cell>
        </row>
        <row r="793">
          <cell r="F793">
            <v>312434</v>
          </cell>
          <cell r="G793" t="str">
            <v>Erick Manuel Umul Quiej</v>
          </cell>
          <cell r="H793">
            <v>0</v>
          </cell>
        </row>
        <row r="794">
          <cell r="F794">
            <v>202410</v>
          </cell>
          <cell r="G794" t="str">
            <v>Erick Oswaldo Aguilar Santiago</v>
          </cell>
          <cell r="H794">
            <v>0</v>
          </cell>
        </row>
        <row r="795">
          <cell r="F795">
            <v>90046396</v>
          </cell>
          <cell r="G795" t="str">
            <v>Erick Oswaldo Sierra Vasquez</v>
          </cell>
          <cell r="H795">
            <v>0</v>
          </cell>
        </row>
        <row r="796">
          <cell r="F796">
            <v>310750</v>
          </cell>
          <cell r="G796" t="str">
            <v>Erick Uriel Sandoval Herrera</v>
          </cell>
          <cell r="H796">
            <v>0</v>
          </cell>
        </row>
        <row r="797">
          <cell r="F797">
            <v>304557</v>
          </cell>
          <cell r="G797" t="str">
            <v>Ericka Arceli Gonzalez Astorga</v>
          </cell>
          <cell r="H797">
            <v>0</v>
          </cell>
        </row>
        <row r="798">
          <cell r="F798">
            <v>308593</v>
          </cell>
          <cell r="G798" t="str">
            <v>Ericka Beatriz Tiu Arriola</v>
          </cell>
          <cell r="H798">
            <v>0</v>
          </cell>
        </row>
        <row r="799">
          <cell r="F799">
            <v>90040440</v>
          </cell>
          <cell r="G799" t="str">
            <v>Ericka Carolina Diaz Hernandez</v>
          </cell>
          <cell r="H799">
            <v>0</v>
          </cell>
        </row>
        <row r="800">
          <cell r="F800">
            <v>90024632</v>
          </cell>
          <cell r="G800" t="str">
            <v>Ericka Esperanza Sandoval Hernandez</v>
          </cell>
          <cell r="H800">
            <v>0</v>
          </cell>
        </row>
        <row r="801">
          <cell r="F801">
            <v>310893</v>
          </cell>
          <cell r="G801" t="str">
            <v>Ericka Florentina Hernandez Bermudes Gonzalez</v>
          </cell>
          <cell r="H801">
            <v>0</v>
          </cell>
        </row>
        <row r="802">
          <cell r="F802">
            <v>310845</v>
          </cell>
          <cell r="G802" t="str">
            <v>Ericka Gricelda Calderon Lopez</v>
          </cell>
          <cell r="H802">
            <v>0</v>
          </cell>
        </row>
        <row r="803">
          <cell r="F803">
            <v>316018</v>
          </cell>
          <cell r="G803" t="str">
            <v>Ericka Irene</v>
          </cell>
          <cell r="H803">
            <v>0</v>
          </cell>
        </row>
        <row r="804">
          <cell r="F804">
            <v>313654</v>
          </cell>
          <cell r="G804" t="str">
            <v>Ericka Mabel Choc Vasquez De Boch</v>
          </cell>
          <cell r="H804">
            <v>0</v>
          </cell>
        </row>
        <row r="805">
          <cell r="F805">
            <v>308152</v>
          </cell>
          <cell r="G805" t="str">
            <v>Ericka Nathali Huitz Ortega</v>
          </cell>
          <cell r="H805">
            <v>0</v>
          </cell>
        </row>
        <row r="806">
          <cell r="F806">
            <v>313812</v>
          </cell>
          <cell r="G806" t="str">
            <v>Erickson Amilcar Vasquez Garrido</v>
          </cell>
          <cell r="H806">
            <v>0</v>
          </cell>
        </row>
        <row r="807">
          <cell r="F807">
            <v>315652</v>
          </cell>
          <cell r="G807" t="str">
            <v>Erickson Eliezer Matzar Cululen   </v>
          </cell>
          <cell r="H807">
            <v>0</v>
          </cell>
        </row>
        <row r="808">
          <cell r="F808">
            <v>90019931</v>
          </cell>
          <cell r="G808" t="str">
            <v>Erik Alexander Quezada De Leon</v>
          </cell>
          <cell r="H808">
            <v>0</v>
          </cell>
        </row>
        <row r="809">
          <cell r="F809">
            <v>90039750</v>
          </cell>
          <cell r="G809" t="str">
            <v>Erik Baudilio Beteta</v>
          </cell>
          <cell r="H809">
            <v>0</v>
          </cell>
        </row>
        <row r="810">
          <cell r="F810">
            <v>314467</v>
          </cell>
          <cell r="G810" t="str">
            <v>Erik Geovani Quina Chocoj</v>
          </cell>
          <cell r="H810">
            <v>0</v>
          </cell>
        </row>
        <row r="811">
          <cell r="F811">
            <v>303616</v>
          </cell>
          <cell r="G811" t="str">
            <v>Erik Leonel Alva</v>
          </cell>
          <cell r="H811">
            <v>0</v>
          </cell>
        </row>
        <row r="812">
          <cell r="F812">
            <v>310011</v>
          </cell>
          <cell r="G812" t="str">
            <v>Erika Alejandra Hernandez Vega</v>
          </cell>
          <cell r="H812">
            <v>0</v>
          </cell>
        </row>
        <row r="813">
          <cell r="F813">
            <v>314808</v>
          </cell>
          <cell r="G813" t="str">
            <v>Erika Carolina Lopez Chiroy</v>
          </cell>
          <cell r="H813">
            <v>0</v>
          </cell>
        </row>
        <row r="814">
          <cell r="F814">
            <v>306497</v>
          </cell>
          <cell r="G814" t="str">
            <v>Erika Ixtan Canil</v>
          </cell>
          <cell r="H814">
            <v>0</v>
          </cell>
        </row>
        <row r="815">
          <cell r="F815">
            <v>90024786</v>
          </cell>
          <cell r="G815" t="str">
            <v xml:space="preserve">Erika Yessenia Ramirez Chutan                  </v>
          </cell>
          <cell r="H815">
            <v>0</v>
          </cell>
        </row>
        <row r="816">
          <cell r="F816">
            <v>90028608</v>
          </cell>
          <cell r="G816" t="str">
            <v>Erlin Roberto Xec Angulo</v>
          </cell>
          <cell r="H816">
            <v>0</v>
          </cell>
        </row>
        <row r="817">
          <cell r="F817">
            <v>314703</v>
          </cell>
          <cell r="G817" t="str">
            <v>Erlinda Elizabeth Cabrera</v>
          </cell>
          <cell r="H817">
            <v>0</v>
          </cell>
        </row>
        <row r="818">
          <cell r="F818">
            <v>315330</v>
          </cell>
          <cell r="G818" t="str">
            <v>Erlyn Araely De Leon Macario</v>
          </cell>
          <cell r="H818">
            <v>0</v>
          </cell>
        </row>
        <row r="819">
          <cell r="F819">
            <v>315947</v>
          </cell>
          <cell r="G819" t="str">
            <v>Ernesto David Dominguez Clemente</v>
          </cell>
          <cell r="H819">
            <v>0</v>
          </cell>
        </row>
        <row r="820">
          <cell r="F820">
            <v>90024069</v>
          </cell>
          <cell r="G820" t="str">
            <v xml:space="preserve">Ervin Geovany Macz Cu </v>
          </cell>
          <cell r="H820">
            <v>0</v>
          </cell>
        </row>
        <row r="821">
          <cell r="F821">
            <v>313727</v>
          </cell>
          <cell r="G821" t="str">
            <v>Erwin Antonio Lorenzo Zamora</v>
          </cell>
          <cell r="H821">
            <v>0</v>
          </cell>
        </row>
        <row r="822">
          <cell r="F822">
            <v>313685</v>
          </cell>
          <cell r="G822" t="str">
            <v>Erwin Daniel Augusto Quezada Catalan</v>
          </cell>
          <cell r="H822">
            <v>0</v>
          </cell>
        </row>
        <row r="823">
          <cell r="F823">
            <v>314684</v>
          </cell>
          <cell r="G823" t="str">
            <v>Escarlet Liliana Molina Herrera De Bolaños</v>
          </cell>
          <cell r="H823">
            <v>0</v>
          </cell>
        </row>
        <row r="824">
          <cell r="F824">
            <v>315123</v>
          </cell>
          <cell r="G824" t="str">
            <v>Esdras Daniel Pablo Solis</v>
          </cell>
          <cell r="H824">
            <v>0</v>
          </cell>
        </row>
        <row r="825">
          <cell r="F825">
            <v>315491</v>
          </cell>
          <cell r="G825" t="str">
            <v>Esdras Hernandez</v>
          </cell>
          <cell r="H825">
            <v>0</v>
          </cell>
        </row>
        <row r="826">
          <cell r="F826">
            <v>314068</v>
          </cell>
          <cell r="G826" t="str">
            <v>Esdras Manases Vasquez Vasquez</v>
          </cell>
          <cell r="H826">
            <v>0</v>
          </cell>
        </row>
        <row r="827">
          <cell r="F827">
            <v>313871</v>
          </cell>
          <cell r="G827" t="str">
            <v>Eskarleth Julieta Coloma Camey</v>
          </cell>
          <cell r="H827">
            <v>0</v>
          </cell>
        </row>
        <row r="828">
          <cell r="F828">
            <v>312554</v>
          </cell>
          <cell r="G828" t="str">
            <v>Esmaylin Alexis Melchor Lopez</v>
          </cell>
          <cell r="H828">
            <v>0</v>
          </cell>
        </row>
        <row r="829">
          <cell r="F829">
            <v>313410</v>
          </cell>
          <cell r="G829" t="str">
            <v>Esmeralda Claribel Velasquez Hernandez</v>
          </cell>
          <cell r="H829">
            <v>0</v>
          </cell>
        </row>
        <row r="830">
          <cell r="F830">
            <v>315510</v>
          </cell>
          <cell r="G830" t="str">
            <v xml:space="preserve">Esteban Alfonzzo Gonzalez Ossuna </v>
          </cell>
          <cell r="H830">
            <v>0</v>
          </cell>
        </row>
        <row r="831">
          <cell r="F831">
            <v>90041423</v>
          </cell>
          <cell r="G831" t="str">
            <v>Esteban Francisco Esteban Virbes</v>
          </cell>
          <cell r="H831">
            <v>0</v>
          </cell>
        </row>
        <row r="832">
          <cell r="F832">
            <v>90045666</v>
          </cell>
          <cell r="G832" t="str">
            <v>Estefani Elizabeth Ambrocio Hernandez</v>
          </cell>
          <cell r="H832">
            <v>0</v>
          </cell>
        </row>
        <row r="833">
          <cell r="F833">
            <v>313644</v>
          </cell>
          <cell r="G833" t="str">
            <v>Estefani Elizabeth Tzul Macario</v>
          </cell>
          <cell r="H833">
            <v>0</v>
          </cell>
        </row>
        <row r="834">
          <cell r="F834">
            <v>312323</v>
          </cell>
          <cell r="G834" t="str">
            <v>Estefani Mishel Carpio Alvarado</v>
          </cell>
          <cell r="H834">
            <v>0</v>
          </cell>
        </row>
        <row r="835">
          <cell r="F835">
            <v>313428</v>
          </cell>
          <cell r="G835" t="str">
            <v>Estefany Catalina Suazo Garcia</v>
          </cell>
          <cell r="H835">
            <v>0</v>
          </cell>
        </row>
        <row r="836">
          <cell r="F836">
            <v>90034152</v>
          </cell>
          <cell r="G836" t="str">
            <v>Estefany Clara Azucena Lopez Ruiz</v>
          </cell>
          <cell r="H836">
            <v>0</v>
          </cell>
        </row>
        <row r="837">
          <cell r="F837">
            <v>90033763</v>
          </cell>
          <cell r="G837" t="str">
            <v xml:space="preserve">Estefany Melissa Gutierrez Franco </v>
          </cell>
          <cell r="H837">
            <v>0</v>
          </cell>
        </row>
        <row r="838">
          <cell r="F838">
            <v>311094</v>
          </cell>
          <cell r="G838" t="str">
            <v>Estefany Virginia Perez Leiva</v>
          </cell>
          <cell r="H838">
            <v>0</v>
          </cell>
        </row>
        <row r="839">
          <cell r="F839">
            <v>313151</v>
          </cell>
          <cell r="G839" t="str">
            <v>Ester Yulissa Salazar Sanches</v>
          </cell>
          <cell r="H839">
            <v>0</v>
          </cell>
        </row>
        <row r="840">
          <cell r="F840">
            <v>90048474</v>
          </cell>
          <cell r="G840" t="str">
            <v>Esther Eugenia De Leon Aquino</v>
          </cell>
          <cell r="H840">
            <v>0</v>
          </cell>
        </row>
        <row r="841">
          <cell r="F841">
            <v>315682</v>
          </cell>
          <cell r="G841" t="str">
            <v>Estrella Guadalupe Aguilar Godoy</v>
          </cell>
          <cell r="H841">
            <v>0</v>
          </cell>
        </row>
        <row r="842">
          <cell r="F842">
            <v>308702</v>
          </cell>
          <cell r="G842" t="str">
            <v>Estuardo Alejandro Us Chanchavac</v>
          </cell>
          <cell r="H842">
            <v>0</v>
          </cell>
        </row>
        <row r="843">
          <cell r="F843">
            <v>306313</v>
          </cell>
          <cell r="G843" t="str">
            <v>Estuardo Alexander Castillo Portillo</v>
          </cell>
          <cell r="H843">
            <v>0</v>
          </cell>
        </row>
        <row r="844">
          <cell r="F844">
            <v>315646</v>
          </cell>
          <cell r="G844" t="str">
            <v>Estuardo Eliseo Guzman Gomez</v>
          </cell>
          <cell r="H844">
            <v>0</v>
          </cell>
        </row>
        <row r="845">
          <cell r="F845">
            <v>315249</v>
          </cell>
          <cell r="G845" t="str">
            <v>Estuardo Rocael Chivalan Caal</v>
          </cell>
          <cell r="H845">
            <v>0</v>
          </cell>
        </row>
        <row r="846">
          <cell r="F846">
            <v>315056</v>
          </cell>
          <cell r="G846" t="str">
            <v>Esvin David De Jesus Calanche</v>
          </cell>
          <cell r="H846">
            <v>0</v>
          </cell>
        </row>
        <row r="847">
          <cell r="F847">
            <v>314285</v>
          </cell>
          <cell r="G847" t="str">
            <v>Eswin Antonio Carrillo Barrera</v>
          </cell>
          <cell r="H847">
            <v>0</v>
          </cell>
        </row>
        <row r="848">
          <cell r="F848">
            <v>311882</v>
          </cell>
          <cell r="G848" t="str">
            <v>Eswin Aroldo Ordoñez Robles</v>
          </cell>
          <cell r="H848">
            <v>0</v>
          </cell>
        </row>
        <row r="849">
          <cell r="F849">
            <v>314750</v>
          </cell>
          <cell r="G849" t="str">
            <v>Eswin Leonel Fernandez Diaz</v>
          </cell>
          <cell r="H849">
            <v>0</v>
          </cell>
        </row>
        <row r="850">
          <cell r="F850">
            <v>315596</v>
          </cell>
          <cell r="G850" t="str">
            <v>Etson Eduardo Hernandez Campos</v>
          </cell>
          <cell r="H850">
            <v>0</v>
          </cell>
        </row>
        <row r="851">
          <cell r="F851">
            <v>315176</v>
          </cell>
          <cell r="G851" t="str">
            <v xml:space="preserve">Etson Samuel Villatoro Saballos </v>
          </cell>
          <cell r="H851">
            <v>0</v>
          </cell>
        </row>
        <row r="852">
          <cell r="F852">
            <v>315041</v>
          </cell>
          <cell r="G852" t="str">
            <v>Eugenia Azucely Lopez De De Aguirre</v>
          </cell>
          <cell r="H852">
            <v>0</v>
          </cell>
        </row>
        <row r="853">
          <cell r="F853">
            <v>313219</v>
          </cell>
          <cell r="G853" t="str">
            <v>Eunice Alejandrina Simon Gonzalez</v>
          </cell>
          <cell r="H853">
            <v>0</v>
          </cell>
        </row>
        <row r="854">
          <cell r="F854">
            <v>314553</v>
          </cell>
          <cell r="G854" t="str">
            <v>Eva Argentina Ramirez Perez</v>
          </cell>
          <cell r="H854">
            <v>0</v>
          </cell>
        </row>
        <row r="855">
          <cell r="F855">
            <v>90040156</v>
          </cell>
          <cell r="G855" t="str">
            <v>Eva Isabel Lopez Gutierrez</v>
          </cell>
          <cell r="H855">
            <v>0</v>
          </cell>
        </row>
        <row r="856">
          <cell r="F856">
            <v>313803</v>
          </cell>
          <cell r="G856" t="str">
            <v>Eva Yustinia Lopez Zuñiga</v>
          </cell>
          <cell r="H856">
            <v>0</v>
          </cell>
        </row>
        <row r="857">
          <cell r="F857">
            <v>90034562</v>
          </cell>
          <cell r="G857" t="str">
            <v>Evelin Carolina Poroj Vicente</v>
          </cell>
          <cell r="H857">
            <v>0</v>
          </cell>
        </row>
        <row r="858">
          <cell r="F858">
            <v>307154</v>
          </cell>
          <cell r="G858" t="str">
            <v>Evelin Gicela Burgos Franco</v>
          </cell>
          <cell r="H858">
            <v>0</v>
          </cell>
        </row>
        <row r="859">
          <cell r="F859">
            <v>314445</v>
          </cell>
          <cell r="G859" t="str">
            <v>Evelin Lorena Noguera García</v>
          </cell>
          <cell r="H859">
            <v>0</v>
          </cell>
        </row>
        <row r="860">
          <cell r="F860">
            <v>314320</v>
          </cell>
          <cell r="G860" t="str">
            <v>Evelin Maria Padilla Garcia</v>
          </cell>
          <cell r="H860">
            <v>0</v>
          </cell>
        </row>
        <row r="861">
          <cell r="F861">
            <v>90024829</v>
          </cell>
          <cell r="G861" t="str">
            <v>Evelin Michel Salazar Chun</v>
          </cell>
          <cell r="H861">
            <v>0</v>
          </cell>
        </row>
        <row r="862">
          <cell r="F862">
            <v>90049264</v>
          </cell>
          <cell r="G862" t="str">
            <v xml:space="preserve">Evelin Yadira Batz Choc </v>
          </cell>
          <cell r="H862">
            <v>0</v>
          </cell>
        </row>
        <row r="863">
          <cell r="F863">
            <v>90045957</v>
          </cell>
          <cell r="G863" t="str">
            <v>Evelin Yadira Batz Choc    </v>
          </cell>
          <cell r="H863">
            <v>0</v>
          </cell>
        </row>
        <row r="864">
          <cell r="F864">
            <v>313699</v>
          </cell>
          <cell r="G864" t="str">
            <v>Evelin Yulissa Lopez Villar</v>
          </cell>
          <cell r="H864">
            <v>0</v>
          </cell>
        </row>
        <row r="865">
          <cell r="F865">
            <v>307498</v>
          </cell>
          <cell r="G865" t="str">
            <v>Evelyn Julieta Lopez Peralta</v>
          </cell>
          <cell r="H865">
            <v>0</v>
          </cell>
        </row>
        <row r="866">
          <cell r="F866">
            <v>313108</v>
          </cell>
          <cell r="G866" t="str">
            <v>Evelyn Karina Lorenzana Gomez</v>
          </cell>
          <cell r="H866">
            <v>0</v>
          </cell>
        </row>
        <row r="867">
          <cell r="F867">
            <v>315762</v>
          </cell>
          <cell r="G867" t="str">
            <v>Evelyn Lux</v>
          </cell>
          <cell r="H867">
            <v>0</v>
          </cell>
        </row>
        <row r="868">
          <cell r="F868">
            <v>312811</v>
          </cell>
          <cell r="G868" t="str">
            <v>Evelyn Maritza Chumil Monroy</v>
          </cell>
          <cell r="H868">
            <v>0</v>
          </cell>
        </row>
        <row r="869">
          <cell r="F869">
            <v>313353</v>
          </cell>
          <cell r="G869" t="str">
            <v>Evelyn Marleny Rosales Cutz</v>
          </cell>
          <cell r="H869">
            <v>0</v>
          </cell>
        </row>
        <row r="870">
          <cell r="F870">
            <v>313264</v>
          </cell>
          <cell r="G870" t="str">
            <v>Evelyn Mishell Catalan Pixtun</v>
          </cell>
          <cell r="H870">
            <v>0</v>
          </cell>
        </row>
        <row r="871">
          <cell r="F871">
            <v>314528</v>
          </cell>
          <cell r="G871" t="str">
            <v>Evelyn Nohemi Morales Lopez</v>
          </cell>
          <cell r="H871">
            <v>0</v>
          </cell>
        </row>
        <row r="872">
          <cell r="F872">
            <v>307008</v>
          </cell>
          <cell r="G872" t="str">
            <v>Evelyn Rebeca Lopez Socoy</v>
          </cell>
          <cell r="H872">
            <v>0</v>
          </cell>
        </row>
        <row r="873">
          <cell r="F873">
            <v>311933</v>
          </cell>
          <cell r="G873" t="str">
            <v>Evelyn Rocio Chiquival Piquic</v>
          </cell>
          <cell r="H873">
            <v>0</v>
          </cell>
        </row>
        <row r="874">
          <cell r="F874">
            <v>90033666</v>
          </cell>
          <cell r="G874" t="str">
            <v>Evelyn Sarai Martinez Jeronimo</v>
          </cell>
          <cell r="H874">
            <v>0</v>
          </cell>
        </row>
        <row r="875">
          <cell r="F875">
            <v>315213</v>
          </cell>
          <cell r="G875" t="str">
            <v>Evelyn Susana Hernandez Ambrosio</v>
          </cell>
          <cell r="H875">
            <v>0</v>
          </cell>
        </row>
        <row r="876">
          <cell r="F876">
            <v>311721</v>
          </cell>
          <cell r="G876" t="str">
            <v>Evelyn Yaneth Aceituno Lara</v>
          </cell>
          <cell r="H876">
            <v>0</v>
          </cell>
        </row>
        <row r="877">
          <cell r="F877">
            <v>90039532</v>
          </cell>
          <cell r="G877" t="str">
            <v xml:space="preserve">Evelyn Yojana Galindo Ramos          </v>
          </cell>
          <cell r="H877">
            <v>0</v>
          </cell>
        </row>
        <row r="878">
          <cell r="F878">
            <v>90025140</v>
          </cell>
          <cell r="G878" t="str">
            <v xml:space="preserve">Evelyn Yojana Martinez Reyes </v>
          </cell>
          <cell r="H878">
            <v>0</v>
          </cell>
        </row>
        <row r="879">
          <cell r="F879">
            <v>313016</v>
          </cell>
          <cell r="G879" t="str">
            <v>Ever Josue Del Valle Rivera</v>
          </cell>
          <cell r="H879">
            <v>0</v>
          </cell>
        </row>
        <row r="880">
          <cell r="F880">
            <v>313552</v>
          </cell>
          <cell r="G880" t="str">
            <v>Everilda Choc Caal</v>
          </cell>
          <cell r="H880">
            <v>0</v>
          </cell>
        </row>
        <row r="881">
          <cell r="F881">
            <v>313091</v>
          </cell>
          <cell r="G881" t="str">
            <v>Fabian De Jesus Ramirez Icute</v>
          </cell>
          <cell r="H881">
            <v>0</v>
          </cell>
        </row>
        <row r="882">
          <cell r="F882">
            <v>312169</v>
          </cell>
          <cell r="G882" t="str">
            <v>Fabiola Hernandez Bartolon</v>
          </cell>
          <cell r="H882">
            <v>0</v>
          </cell>
        </row>
        <row r="883">
          <cell r="F883">
            <v>308284</v>
          </cell>
          <cell r="G883" t="str">
            <v>Fabiola Ninett Beteta Barillas</v>
          </cell>
          <cell r="H883">
            <v>0</v>
          </cell>
        </row>
        <row r="884">
          <cell r="F884">
            <v>312293</v>
          </cell>
          <cell r="G884" t="str">
            <v>Fabricio Daniel Cajas Cifuentes</v>
          </cell>
          <cell r="H884">
            <v>0</v>
          </cell>
        </row>
        <row r="885">
          <cell r="F885">
            <v>315582</v>
          </cell>
          <cell r="G885" t="str">
            <v>Fatima Mercedes Montes Quezada</v>
          </cell>
          <cell r="H885">
            <v>0</v>
          </cell>
        </row>
        <row r="886">
          <cell r="F886">
            <v>314664</v>
          </cell>
          <cell r="G886" t="str">
            <v>Favio Juan Manuel Citalan Gomez</v>
          </cell>
          <cell r="H886">
            <v>0</v>
          </cell>
        </row>
        <row r="887">
          <cell r="F887">
            <v>316273</v>
          </cell>
          <cell r="G887" t="str">
            <v>Federico Antonio Coc Choc</v>
          </cell>
          <cell r="H887">
            <v>0</v>
          </cell>
        </row>
        <row r="888">
          <cell r="F888">
            <v>314263</v>
          </cell>
          <cell r="G888" t="str">
            <v>Feliciana Isabel Ramirez Raymundo</v>
          </cell>
          <cell r="H888">
            <v>0</v>
          </cell>
        </row>
        <row r="889">
          <cell r="F889">
            <v>314012</v>
          </cell>
          <cell r="G889" t="str">
            <v>Felix Rodolfo Alvarado Jimenez</v>
          </cell>
          <cell r="H889">
            <v>0</v>
          </cell>
        </row>
        <row r="890">
          <cell r="F890">
            <v>314349</v>
          </cell>
          <cell r="G890" t="str">
            <v>Fernanda Lucia Lopez Estrada</v>
          </cell>
          <cell r="H890">
            <v>0</v>
          </cell>
        </row>
        <row r="891">
          <cell r="F891">
            <v>312409</v>
          </cell>
          <cell r="G891" t="str">
            <v>Fernanda Rene Villatoro Guarcas</v>
          </cell>
          <cell r="H891">
            <v>0</v>
          </cell>
        </row>
        <row r="892">
          <cell r="F892">
            <v>316145</v>
          </cell>
          <cell r="G892" t="str">
            <v>Fernando Jose Castillo Ordoñez</v>
          </cell>
          <cell r="H892">
            <v>0</v>
          </cell>
        </row>
        <row r="893">
          <cell r="F893">
            <v>314934</v>
          </cell>
          <cell r="G893" t="str">
            <v>Fernando Jose Monzon Castañeda</v>
          </cell>
          <cell r="H893">
            <v>0</v>
          </cell>
        </row>
        <row r="894">
          <cell r="F894">
            <v>90046185</v>
          </cell>
          <cell r="G894" t="str">
            <v>Fernando Jose Sintuj Monroy</v>
          </cell>
          <cell r="H894">
            <v>0</v>
          </cell>
        </row>
        <row r="895">
          <cell r="F895">
            <v>90023868</v>
          </cell>
          <cell r="G895" t="str">
            <v xml:space="preserve">Fernando René Gil De León                      </v>
          </cell>
          <cell r="H895">
            <v>0</v>
          </cell>
        </row>
        <row r="896">
          <cell r="F896">
            <v>315303</v>
          </cell>
          <cell r="G896" t="str">
            <v>Flavio Ernesto Monzón Rummler</v>
          </cell>
          <cell r="H896">
            <v>0</v>
          </cell>
        </row>
        <row r="897">
          <cell r="F897">
            <v>315309</v>
          </cell>
          <cell r="G897" t="str">
            <v>Flor De Maria Lopez</v>
          </cell>
          <cell r="H897">
            <v>0</v>
          </cell>
        </row>
        <row r="898">
          <cell r="F898">
            <v>307917</v>
          </cell>
          <cell r="G898" t="str">
            <v>Flor De Maria Mux Ramos</v>
          </cell>
          <cell r="H898">
            <v>0</v>
          </cell>
        </row>
        <row r="899">
          <cell r="F899">
            <v>90049037</v>
          </cell>
          <cell r="G899" t="str">
            <v>Flor Estefany Cun Lopez</v>
          </cell>
          <cell r="H899">
            <v>0</v>
          </cell>
        </row>
        <row r="900">
          <cell r="F900">
            <v>315038</v>
          </cell>
          <cell r="G900" t="str">
            <v>Flor Sylvestre Orellana Gonzalez</v>
          </cell>
          <cell r="H900">
            <v>0</v>
          </cell>
        </row>
        <row r="901">
          <cell r="F901">
            <v>315593</v>
          </cell>
          <cell r="G901" t="str">
            <v>Flora Anabella Yaxcal Fernandez</v>
          </cell>
          <cell r="H901">
            <v>0</v>
          </cell>
        </row>
        <row r="902">
          <cell r="F902">
            <v>303509</v>
          </cell>
          <cell r="G902" t="str">
            <v>Florencia Vanessa Enriquez Galvez</v>
          </cell>
          <cell r="H902">
            <v>0</v>
          </cell>
        </row>
        <row r="903">
          <cell r="F903">
            <v>101729</v>
          </cell>
          <cell r="G903" t="str">
            <v>Florencio Monterroso Estrada</v>
          </cell>
          <cell r="H903">
            <v>0</v>
          </cell>
        </row>
        <row r="904">
          <cell r="F904">
            <v>314230</v>
          </cell>
          <cell r="G904" t="str">
            <v>Floridalma Leticia Lopez Ramirez</v>
          </cell>
          <cell r="H904">
            <v>0</v>
          </cell>
        </row>
        <row r="905">
          <cell r="F905">
            <v>314093</v>
          </cell>
          <cell r="G905" t="str">
            <v>Floridalma Nicolas Yos</v>
          </cell>
          <cell r="H905">
            <v>0</v>
          </cell>
        </row>
        <row r="906">
          <cell r="F906">
            <v>312717</v>
          </cell>
          <cell r="G906" t="str">
            <v>Florita Reyes Roblero Morales</v>
          </cell>
          <cell r="H906">
            <v>0</v>
          </cell>
        </row>
        <row r="907">
          <cell r="F907">
            <v>314785</v>
          </cell>
          <cell r="G907" t="str">
            <v>Flory Azucena De Leon Ventura</v>
          </cell>
          <cell r="H907">
            <v>0</v>
          </cell>
        </row>
        <row r="908">
          <cell r="F908">
            <v>305673</v>
          </cell>
          <cell r="G908" t="str">
            <v>Frances Christina Salles Peña</v>
          </cell>
          <cell r="H908">
            <v>0</v>
          </cell>
        </row>
        <row r="909">
          <cell r="F909">
            <v>90040629</v>
          </cell>
          <cell r="G909" t="str">
            <v>Francis Josue Tomas Escalante</v>
          </cell>
          <cell r="H909">
            <v>0</v>
          </cell>
        </row>
        <row r="910">
          <cell r="F910">
            <v>314524</v>
          </cell>
          <cell r="G910" t="str">
            <v>Francisco Antonio Davila Morales</v>
          </cell>
          <cell r="H910">
            <v>0</v>
          </cell>
        </row>
        <row r="911">
          <cell r="F911">
            <v>315987</v>
          </cell>
          <cell r="G911" t="str">
            <v>Francisco Daniel Argueta Ramirez</v>
          </cell>
          <cell r="H911">
            <v>0</v>
          </cell>
        </row>
        <row r="912">
          <cell r="F912">
            <v>310144</v>
          </cell>
          <cell r="G912" t="str">
            <v>Francisco Javier Diaz Avila</v>
          </cell>
          <cell r="H912">
            <v>0</v>
          </cell>
        </row>
        <row r="913">
          <cell r="F913">
            <v>315457</v>
          </cell>
          <cell r="G913" t="str">
            <v>Francisco Joel Gomez Rodriguez</v>
          </cell>
          <cell r="H913">
            <v>0</v>
          </cell>
        </row>
        <row r="914">
          <cell r="F914">
            <v>90027823</v>
          </cell>
          <cell r="G914" t="str">
            <v>Francisco Miguel Jordan Lopez</v>
          </cell>
          <cell r="H914">
            <v>0</v>
          </cell>
        </row>
        <row r="915">
          <cell r="F915">
            <v>313313</v>
          </cell>
          <cell r="G915" t="str">
            <v>Francisco Roberto Contreras Bernardino</v>
          </cell>
          <cell r="H915">
            <v>0</v>
          </cell>
        </row>
        <row r="916">
          <cell r="F916">
            <v>313497</v>
          </cell>
          <cell r="G916" t="str">
            <v>Francisco Roman Aceytuno Ramos</v>
          </cell>
          <cell r="H916">
            <v>0</v>
          </cell>
        </row>
        <row r="917">
          <cell r="F917">
            <v>90027915</v>
          </cell>
          <cell r="G917" t="str">
            <v>Frandi Emerson Mazariegos Hernandez</v>
          </cell>
          <cell r="H917">
            <v>0</v>
          </cell>
        </row>
        <row r="918">
          <cell r="F918">
            <v>90040153</v>
          </cell>
          <cell r="G918" t="str">
            <v>Franklin Alexander Gomez Urizar</v>
          </cell>
          <cell r="H918">
            <v>0</v>
          </cell>
        </row>
        <row r="919">
          <cell r="F919">
            <v>311612</v>
          </cell>
          <cell r="G919" t="str">
            <v>Franklin Alexander Perez Paiz</v>
          </cell>
          <cell r="H919">
            <v>0</v>
          </cell>
        </row>
        <row r="920">
          <cell r="F920">
            <v>90009231</v>
          </cell>
          <cell r="G920" t="str">
            <v>Franklin Daniel Herrera Perez</v>
          </cell>
          <cell r="H920">
            <v>0</v>
          </cell>
        </row>
        <row r="921">
          <cell r="F921">
            <v>310557</v>
          </cell>
          <cell r="G921" t="str">
            <v>Franz Helmut Hernandez Cos</v>
          </cell>
          <cell r="H921">
            <v>0</v>
          </cell>
        </row>
        <row r="922">
          <cell r="F922">
            <v>90024340</v>
          </cell>
          <cell r="G922" t="str">
            <v>Frayan Roberto Merida Escobedo</v>
          </cell>
          <cell r="H922">
            <v>0</v>
          </cell>
        </row>
        <row r="923">
          <cell r="F923">
            <v>314748</v>
          </cell>
          <cell r="G923" t="str">
            <v>Freddy Reynaldo Velarde Valenzuela</v>
          </cell>
          <cell r="H923">
            <v>0</v>
          </cell>
        </row>
        <row r="924">
          <cell r="F924">
            <v>314329</v>
          </cell>
          <cell r="G924" t="str">
            <v>Fredy Joel Lopez Santiago</v>
          </cell>
          <cell r="H924">
            <v>0</v>
          </cell>
        </row>
        <row r="925">
          <cell r="F925">
            <v>90039301</v>
          </cell>
          <cell r="G925" t="str">
            <v xml:space="preserve">Gabby Mariett Bautista Bautista           </v>
          </cell>
          <cell r="H925">
            <v>0</v>
          </cell>
        </row>
        <row r="926">
          <cell r="F926">
            <v>314753</v>
          </cell>
          <cell r="G926" t="str">
            <v>Gabriel Antonio Mucur Arriaga</v>
          </cell>
          <cell r="H926">
            <v>0</v>
          </cell>
        </row>
        <row r="927">
          <cell r="F927">
            <v>315204</v>
          </cell>
          <cell r="G927" t="str">
            <v>Gabriel Antonio Rodas Domingo</v>
          </cell>
          <cell r="H927">
            <v>0</v>
          </cell>
        </row>
        <row r="928">
          <cell r="F928">
            <v>90009507</v>
          </cell>
          <cell r="G928" t="str">
            <v xml:space="preserve">Gabriel Izquierdo Rodriguez </v>
          </cell>
          <cell r="H928">
            <v>0</v>
          </cell>
        </row>
        <row r="929">
          <cell r="F929">
            <v>315584</v>
          </cell>
          <cell r="G929" t="str">
            <v>Gabriela Abigail Rodriguez Taracena</v>
          </cell>
          <cell r="H929">
            <v>0</v>
          </cell>
        </row>
        <row r="930">
          <cell r="F930">
            <v>311548</v>
          </cell>
          <cell r="G930" t="str">
            <v>Gabriela Alejandra Estrada Aroche</v>
          </cell>
          <cell r="H930">
            <v>0</v>
          </cell>
        </row>
        <row r="931">
          <cell r="F931">
            <v>314815</v>
          </cell>
          <cell r="G931" t="str">
            <v>Gabriela Elizabeth Alvarez Mix</v>
          </cell>
          <cell r="H931">
            <v>0</v>
          </cell>
        </row>
        <row r="932">
          <cell r="F932">
            <v>306667</v>
          </cell>
          <cell r="G932" t="str">
            <v>Gabriela Elizabeth Flores Santos</v>
          </cell>
          <cell r="H932">
            <v>0</v>
          </cell>
        </row>
        <row r="933">
          <cell r="F933">
            <v>90024328</v>
          </cell>
          <cell r="G933" t="str">
            <v xml:space="preserve">Gabriela Fernanda Ruiz Cervantes </v>
          </cell>
          <cell r="H933">
            <v>0</v>
          </cell>
        </row>
        <row r="934">
          <cell r="F934">
            <v>316322</v>
          </cell>
          <cell r="G934" t="str">
            <v xml:space="preserve">Gabriela Janet Crisostomo Xuya </v>
          </cell>
          <cell r="H934">
            <v>0</v>
          </cell>
        </row>
        <row r="935">
          <cell r="F935">
            <v>90019276</v>
          </cell>
          <cell r="G935" t="str">
            <v>Gabriela Janneth Alvarez Garcia</v>
          </cell>
          <cell r="H935">
            <v>0</v>
          </cell>
        </row>
        <row r="936">
          <cell r="F936">
            <v>314533</v>
          </cell>
          <cell r="G936" t="str">
            <v>Gabriela Liseth Perez Monzon</v>
          </cell>
          <cell r="H936">
            <v>0</v>
          </cell>
        </row>
        <row r="937">
          <cell r="F937">
            <v>315318</v>
          </cell>
          <cell r="G937" t="str">
            <v>Gabriela Melissa Arias Ovando</v>
          </cell>
          <cell r="H937">
            <v>0</v>
          </cell>
        </row>
        <row r="938">
          <cell r="F938">
            <v>311817</v>
          </cell>
          <cell r="G938" t="str">
            <v>Gabriela Paola Macario Lopez</v>
          </cell>
          <cell r="H938">
            <v>0</v>
          </cell>
        </row>
        <row r="939">
          <cell r="F939">
            <v>301309</v>
          </cell>
          <cell r="G939" t="str">
            <v>Gabriela Pelaez Gonzalez</v>
          </cell>
          <cell r="H939">
            <v>0</v>
          </cell>
        </row>
        <row r="940">
          <cell r="F940">
            <v>315530</v>
          </cell>
          <cell r="G940" t="str">
            <v>Gabriela Raquel Pixtun Trujillo</v>
          </cell>
          <cell r="H940">
            <v>0</v>
          </cell>
        </row>
        <row r="941">
          <cell r="F941">
            <v>315343</v>
          </cell>
          <cell r="G941" t="str">
            <v>Gabriela Valeska Lemus Cotuc</v>
          </cell>
          <cell r="H941">
            <v>0</v>
          </cell>
        </row>
        <row r="942">
          <cell r="F942">
            <v>309911</v>
          </cell>
          <cell r="G942" t="str">
            <v>Gaby Beatriz Lopez Lopez</v>
          </cell>
          <cell r="H942">
            <v>0</v>
          </cell>
        </row>
        <row r="943">
          <cell r="F943">
            <v>90035164</v>
          </cell>
          <cell r="G943" t="str">
            <v>Gelver Valentin Gonzalez Bravo</v>
          </cell>
          <cell r="H943">
            <v>0</v>
          </cell>
        </row>
        <row r="944">
          <cell r="F944">
            <v>90046848</v>
          </cell>
          <cell r="G944" t="str">
            <v>Genesis Galilea Canizales Guzman</v>
          </cell>
          <cell r="H944">
            <v>0</v>
          </cell>
        </row>
        <row r="945">
          <cell r="F945">
            <v>90040516</v>
          </cell>
          <cell r="G945" t="str">
            <v>Georgina Pamela Galiano Hernandez</v>
          </cell>
          <cell r="H945">
            <v>0</v>
          </cell>
        </row>
        <row r="946">
          <cell r="F946">
            <v>90046366</v>
          </cell>
          <cell r="G946" t="str">
            <v>Geovany Eleazar Garcia Mateo</v>
          </cell>
          <cell r="H946">
            <v>0</v>
          </cell>
        </row>
        <row r="947">
          <cell r="F947">
            <v>315485</v>
          </cell>
          <cell r="G947" t="str">
            <v>Geraldy Daleska Cuyan Giron</v>
          </cell>
          <cell r="H947">
            <v>0</v>
          </cell>
        </row>
        <row r="948">
          <cell r="F948">
            <v>90027918</v>
          </cell>
          <cell r="G948" t="str">
            <v>Gerber Alexander Saguache Benito</v>
          </cell>
          <cell r="H948">
            <v>0</v>
          </cell>
        </row>
        <row r="949">
          <cell r="F949">
            <v>307104</v>
          </cell>
          <cell r="G949" t="str">
            <v>Gerber Ariel De Leon Elias</v>
          </cell>
          <cell r="H949">
            <v>0</v>
          </cell>
        </row>
        <row r="950">
          <cell r="F950">
            <v>90050198</v>
          </cell>
          <cell r="G950" t="str">
            <v>Gerber Hermenegildo Mo Bac  </v>
          </cell>
          <cell r="H950">
            <v>0</v>
          </cell>
        </row>
        <row r="951">
          <cell r="F951">
            <v>312975</v>
          </cell>
          <cell r="G951" t="str">
            <v>Gerberth Aridmendi Arevalo Zepeda</v>
          </cell>
          <cell r="H951">
            <v>0</v>
          </cell>
        </row>
        <row r="952">
          <cell r="F952">
            <v>90041270</v>
          </cell>
          <cell r="G952" t="str">
            <v>German Oliverio Ical Rax</v>
          </cell>
          <cell r="H952">
            <v>0</v>
          </cell>
        </row>
        <row r="953">
          <cell r="F953">
            <v>306654</v>
          </cell>
          <cell r="G953" t="str">
            <v>Gerson Arcadio Hernandez Barrios</v>
          </cell>
          <cell r="H953">
            <v>0</v>
          </cell>
        </row>
        <row r="954">
          <cell r="F954">
            <v>315035</v>
          </cell>
          <cell r="G954" t="str">
            <v>Gerson David Ortega Soto</v>
          </cell>
          <cell r="H954">
            <v>0</v>
          </cell>
        </row>
        <row r="955">
          <cell r="F955">
            <v>308638</v>
          </cell>
          <cell r="G955" t="str">
            <v>Gerson Eduardo Bor Jordan</v>
          </cell>
          <cell r="H955">
            <v>0</v>
          </cell>
        </row>
        <row r="956">
          <cell r="F956">
            <v>90038360</v>
          </cell>
          <cell r="G956" t="str">
            <v>Gerson Emmanuel Lopez Azanon</v>
          </cell>
          <cell r="H956">
            <v>0</v>
          </cell>
        </row>
        <row r="957">
          <cell r="F957">
            <v>315255</v>
          </cell>
          <cell r="G957" t="str">
            <v>Gerson Rene Galicia Alvarez</v>
          </cell>
          <cell r="H957">
            <v>0</v>
          </cell>
        </row>
        <row r="958">
          <cell r="F958">
            <v>313730</v>
          </cell>
          <cell r="G958" t="str">
            <v>Gerson Rolando Alcantara Gonzalez</v>
          </cell>
          <cell r="H958">
            <v>0</v>
          </cell>
        </row>
        <row r="959">
          <cell r="F959">
            <v>316025</v>
          </cell>
          <cell r="G959" t="str">
            <v>Gerver Rivas Hernandez</v>
          </cell>
          <cell r="H959">
            <v>0</v>
          </cell>
        </row>
        <row r="960">
          <cell r="F960">
            <v>90012459</v>
          </cell>
          <cell r="G960" t="str">
            <v>Gewerson Josias Caal Coc</v>
          </cell>
          <cell r="H960">
            <v>0</v>
          </cell>
        </row>
        <row r="961">
          <cell r="F961">
            <v>313757</v>
          </cell>
          <cell r="G961" t="str">
            <v>Geydi Yanira Roque Esquivel</v>
          </cell>
          <cell r="H961">
            <v>0</v>
          </cell>
        </row>
        <row r="962">
          <cell r="F962">
            <v>314118</v>
          </cell>
          <cell r="G962" t="str">
            <v>Ginni Andrea Gramajo Lucas</v>
          </cell>
          <cell r="H962">
            <v>0</v>
          </cell>
        </row>
        <row r="963">
          <cell r="F963">
            <v>309429</v>
          </cell>
          <cell r="G963" t="str">
            <v>Gladis Mishel Aguilar Garcia</v>
          </cell>
          <cell r="H963">
            <v>0</v>
          </cell>
        </row>
        <row r="964">
          <cell r="F964">
            <v>315421</v>
          </cell>
          <cell r="G964" t="str">
            <v xml:space="preserve">Gladis Morales Cutzal </v>
          </cell>
          <cell r="H964">
            <v>0</v>
          </cell>
        </row>
        <row r="965">
          <cell r="F965">
            <v>315265</v>
          </cell>
          <cell r="G965" t="str">
            <v>Gladis Nohemi Noj Hernandez De De Leon</v>
          </cell>
          <cell r="H965">
            <v>0</v>
          </cell>
        </row>
        <row r="966">
          <cell r="F966">
            <v>90047632</v>
          </cell>
          <cell r="G966" t="str">
            <v>Gladis Yesenia Cute  </v>
          </cell>
          <cell r="H966">
            <v>0</v>
          </cell>
        </row>
        <row r="967">
          <cell r="F967">
            <v>301514</v>
          </cell>
          <cell r="G967" t="str">
            <v>Gladiz Maricela Guamuch Caracun Lopez</v>
          </cell>
          <cell r="H967">
            <v>0</v>
          </cell>
        </row>
        <row r="968">
          <cell r="F968">
            <v>90018835</v>
          </cell>
          <cell r="G968" t="str">
            <v>Gladys Eugenia Vicente Tizol</v>
          </cell>
          <cell r="H968">
            <v>0</v>
          </cell>
        </row>
        <row r="969">
          <cell r="F969">
            <v>315273</v>
          </cell>
          <cell r="G969" t="str">
            <v>Gladys Guadalupe Tuyuc Ramirez</v>
          </cell>
          <cell r="H969">
            <v>0</v>
          </cell>
        </row>
        <row r="970">
          <cell r="F970">
            <v>309950</v>
          </cell>
          <cell r="G970" t="str">
            <v>Gladys Maribel Chamale Cotzajay</v>
          </cell>
          <cell r="H970">
            <v>0</v>
          </cell>
        </row>
        <row r="971">
          <cell r="F971">
            <v>315349</v>
          </cell>
          <cell r="G971" t="str">
            <v>Gladys Marleny Rodriguez Tzoc</v>
          </cell>
          <cell r="H971">
            <v>0</v>
          </cell>
        </row>
        <row r="972">
          <cell r="F972">
            <v>306248</v>
          </cell>
          <cell r="G972" t="str">
            <v>Gladys Susana Marin De Leon</v>
          </cell>
          <cell r="H972">
            <v>0</v>
          </cell>
        </row>
        <row r="973">
          <cell r="F973">
            <v>310719</v>
          </cell>
          <cell r="G973" t="str">
            <v>Gladyz Ninett Sanchez Perez</v>
          </cell>
          <cell r="H973">
            <v>0</v>
          </cell>
        </row>
        <row r="974">
          <cell r="F974">
            <v>90039872</v>
          </cell>
          <cell r="G974" t="str">
            <v>Glenda De Jesus Mejia Ramirez</v>
          </cell>
          <cell r="H974">
            <v>0</v>
          </cell>
        </row>
        <row r="975">
          <cell r="F975">
            <v>309945</v>
          </cell>
          <cell r="G975" t="str">
            <v>Glenda Flor Caal</v>
          </cell>
          <cell r="H975">
            <v>0</v>
          </cell>
        </row>
        <row r="976">
          <cell r="F976">
            <v>314619</v>
          </cell>
          <cell r="G976" t="str">
            <v>Glenda Isabel Perez Velasquez</v>
          </cell>
          <cell r="H976">
            <v>0</v>
          </cell>
        </row>
        <row r="977">
          <cell r="F977">
            <v>311200</v>
          </cell>
          <cell r="G977" t="str">
            <v>Glenda Maria Alvarado Perez</v>
          </cell>
          <cell r="H977">
            <v>0</v>
          </cell>
        </row>
        <row r="978">
          <cell r="F978">
            <v>90009509</v>
          </cell>
          <cell r="G978" t="str">
            <v>Glenda Mariela Ruiz Aguilar</v>
          </cell>
          <cell r="H978">
            <v>0</v>
          </cell>
        </row>
        <row r="979">
          <cell r="F979">
            <v>315263</v>
          </cell>
          <cell r="G979" t="str">
            <v>Glendy Aracely Arevalo Estrada</v>
          </cell>
          <cell r="H979">
            <v>0</v>
          </cell>
        </row>
        <row r="980">
          <cell r="F980">
            <v>312140</v>
          </cell>
          <cell r="G980" t="str">
            <v>Glendy Elizabeth Aspuac Xunux</v>
          </cell>
          <cell r="H980">
            <v>0</v>
          </cell>
        </row>
        <row r="981">
          <cell r="F981">
            <v>304949</v>
          </cell>
          <cell r="G981" t="str">
            <v>Glendy Modesta Orellana Sanabria</v>
          </cell>
          <cell r="H981">
            <v>0</v>
          </cell>
        </row>
        <row r="982">
          <cell r="F982">
            <v>314189</v>
          </cell>
          <cell r="G982" t="str">
            <v>Gloria Angelica Torres Franco</v>
          </cell>
          <cell r="H982">
            <v>0</v>
          </cell>
        </row>
        <row r="983">
          <cell r="F983">
            <v>304943</v>
          </cell>
          <cell r="G983" t="str">
            <v>Gloria Hernandez Reyes</v>
          </cell>
          <cell r="H983">
            <v>0</v>
          </cell>
        </row>
        <row r="984">
          <cell r="F984">
            <v>314566</v>
          </cell>
          <cell r="G984" t="str">
            <v>Gonzalez Orellana De De Maria Jose Iquite</v>
          </cell>
          <cell r="H984">
            <v>0</v>
          </cell>
        </row>
        <row r="985">
          <cell r="F985">
            <v>314569</v>
          </cell>
          <cell r="G985" t="str">
            <v>Gonzalo Danilo Castillo Miche</v>
          </cell>
          <cell r="H985">
            <v>0</v>
          </cell>
        </row>
        <row r="986">
          <cell r="F986">
            <v>316320</v>
          </cell>
          <cell r="G986" t="str">
            <v>Gonzalo Perez Miguel</v>
          </cell>
          <cell r="H986">
            <v>0</v>
          </cell>
        </row>
        <row r="987">
          <cell r="F987">
            <v>309122</v>
          </cell>
          <cell r="G987" t="str">
            <v>Greyci Yulissa Aliñado Rodriguez</v>
          </cell>
          <cell r="H987">
            <v>0</v>
          </cell>
        </row>
        <row r="988">
          <cell r="F988">
            <v>90024339</v>
          </cell>
          <cell r="G988" t="str">
            <v>Griselda Lorena Cardona Estrada</v>
          </cell>
          <cell r="H988">
            <v>0</v>
          </cell>
        </row>
        <row r="989">
          <cell r="F989">
            <v>310114</v>
          </cell>
          <cell r="G989" t="str">
            <v>Guadalupe Marroquin Mayen</v>
          </cell>
          <cell r="H989">
            <v>0</v>
          </cell>
        </row>
        <row r="990">
          <cell r="F990">
            <v>315699</v>
          </cell>
          <cell r="G990" t="str">
            <v>Gualfer Orlando Dieguez Ibanez</v>
          </cell>
          <cell r="H990">
            <v>0</v>
          </cell>
        </row>
        <row r="991">
          <cell r="F991">
            <v>90046225</v>
          </cell>
          <cell r="G991" t="str">
            <v>Gudiel Gonzalo Cac Xo</v>
          </cell>
          <cell r="H991">
            <v>0</v>
          </cell>
        </row>
        <row r="992">
          <cell r="F992">
            <v>315411</v>
          </cell>
          <cell r="G992" t="str">
            <v>Guerra Jacinto, Julio Alberto</v>
          </cell>
          <cell r="H992">
            <v>0</v>
          </cell>
        </row>
        <row r="993">
          <cell r="F993">
            <v>313242</v>
          </cell>
          <cell r="G993" t="str">
            <v>Guillermo Alejandro Pirir</v>
          </cell>
          <cell r="H993">
            <v>0</v>
          </cell>
        </row>
        <row r="994">
          <cell r="F994">
            <v>313710</v>
          </cell>
          <cell r="G994" t="str">
            <v>Gustavo Adolfo Mixtun Sunun</v>
          </cell>
          <cell r="H994">
            <v>0</v>
          </cell>
        </row>
        <row r="995">
          <cell r="F995">
            <v>314795</v>
          </cell>
          <cell r="G995" t="str">
            <v>Gustavo Ernesto Altan Gonzalez</v>
          </cell>
          <cell r="H995">
            <v>0</v>
          </cell>
        </row>
        <row r="996">
          <cell r="F996">
            <v>314863</v>
          </cell>
          <cell r="G996" t="str">
            <v>Gustavo Manuel Cifuentes De Mata</v>
          </cell>
          <cell r="H996">
            <v>0</v>
          </cell>
        </row>
        <row r="997">
          <cell r="F997">
            <v>313780</v>
          </cell>
          <cell r="G997" t="str">
            <v>Habraham Cesar Torres Alfaro</v>
          </cell>
          <cell r="H997">
            <v>0</v>
          </cell>
        </row>
        <row r="998">
          <cell r="F998">
            <v>315412</v>
          </cell>
          <cell r="G998" t="str">
            <v>Hairo Andre Contreras Paz</v>
          </cell>
          <cell r="H998">
            <v>0</v>
          </cell>
        </row>
        <row r="999">
          <cell r="F999">
            <v>311419</v>
          </cell>
          <cell r="G999" t="str">
            <v>Hallari Michel Orozco Chapen</v>
          </cell>
          <cell r="H999">
            <v>0</v>
          </cell>
        </row>
        <row r="1000">
          <cell r="F1000">
            <v>312961</v>
          </cell>
          <cell r="G1000" t="str">
            <v>Hans Estuard Milian Alarcon</v>
          </cell>
          <cell r="H1000">
            <v>0</v>
          </cell>
        </row>
        <row r="1001">
          <cell r="F1001">
            <v>90040743</v>
          </cell>
          <cell r="G1001" t="str">
            <v>Haysa Karina Fuentes Salazar</v>
          </cell>
          <cell r="H1001">
            <v>0</v>
          </cell>
        </row>
        <row r="1002">
          <cell r="F1002">
            <v>314362</v>
          </cell>
          <cell r="G1002" t="str">
            <v>Heber Adiel Dardon Batres</v>
          </cell>
          <cell r="H1002">
            <v>0</v>
          </cell>
        </row>
        <row r="1003">
          <cell r="F1003">
            <v>315569</v>
          </cell>
          <cell r="G1003" t="str">
            <v>Heber Benjamin Gomez Ramirez</v>
          </cell>
          <cell r="H1003">
            <v>0</v>
          </cell>
        </row>
        <row r="1004">
          <cell r="F1004">
            <v>315175</v>
          </cell>
          <cell r="G1004" t="str">
            <v>Heber Nehemias Velasquez Lorenzo</v>
          </cell>
          <cell r="H1004">
            <v>0</v>
          </cell>
        </row>
        <row r="1005">
          <cell r="F1005">
            <v>315576</v>
          </cell>
          <cell r="G1005" t="str">
            <v>Heber Uziel Ruiz Escobar</v>
          </cell>
          <cell r="H1005">
            <v>0</v>
          </cell>
        </row>
        <row r="1006">
          <cell r="F1006">
            <v>90012232</v>
          </cell>
          <cell r="G1006" t="str">
            <v>Hector Arnoldo Gamaliel Garcia Beteta</v>
          </cell>
          <cell r="H1006">
            <v>0</v>
          </cell>
        </row>
        <row r="1007">
          <cell r="F1007">
            <v>315154</v>
          </cell>
          <cell r="G1007" t="str">
            <v>Hector Estuardo Velasquez Carvajal</v>
          </cell>
          <cell r="H1007">
            <v>0</v>
          </cell>
        </row>
        <row r="1008">
          <cell r="F1008">
            <v>315721</v>
          </cell>
          <cell r="G1008" t="str">
            <v>Hector Leonel Mejicanos Cruz</v>
          </cell>
          <cell r="H1008">
            <v>0</v>
          </cell>
        </row>
        <row r="1009">
          <cell r="F1009">
            <v>312588</v>
          </cell>
          <cell r="G1009" t="str">
            <v>Hector Manuel Pojoy Berduo</v>
          </cell>
          <cell r="H1009">
            <v>0</v>
          </cell>
        </row>
        <row r="1010">
          <cell r="F1010">
            <v>309925</v>
          </cell>
          <cell r="G1010" t="str">
            <v>Hector Marco Tulio Torres Garcia</v>
          </cell>
          <cell r="H1010">
            <v>0</v>
          </cell>
        </row>
        <row r="1011">
          <cell r="F1011">
            <v>306393</v>
          </cell>
          <cell r="G1011" t="str">
            <v>Hector Milciades Medina Chen</v>
          </cell>
          <cell r="H1011">
            <v>0</v>
          </cell>
        </row>
        <row r="1012">
          <cell r="F1012">
            <v>312114</v>
          </cell>
          <cell r="G1012" t="str">
            <v>Hegner Aquino Mateo Recinos</v>
          </cell>
          <cell r="H1012">
            <v>0</v>
          </cell>
        </row>
        <row r="1013">
          <cell r="F1013">
            <v>310241</v>
          </cell>
          <cell r="G1013" t="str">
            <v>Heidi Marleny Fajardo Ortiz De Cojon</v>
          </cell>
          <cell r="H1013">
            <v>0</v>
          </cell>
        </row>
        <row r="1014">
          <cell r="F1014">
            <v>314629</v>
          </cell>
          <cell r="G1014" t="str">
            <v>Heidy Azucena Martinez Garcia</v>
          </cell>
          <cell r="H1014">
            <v>0</v>
          </cell>
        </row>
        <row r="1015">
          <cell r="F1015">
            <v>90039431</v>
          </cell>
          <cell r="G1015" t="str">
            <v>Heidy Azucena Zelon Calel</v>
          </cell>
          <cell r="H1015">
            <v>0</v>
          </cell>
        </row>
        <row r="1016">
          <cell r="F1016">
            <v>310694</v>
          </cell>
          <cell r="G1016" t="str">
            <v>Heidy Carolina Monterroso Monterroso</v>
          </cell>
          <cell r="H1016">
            <v>0</v>
          </cell>
        </row>
        <row r="1017">
          <cell r="F1017">
            <v>309956</v>
          </cell>
          <cell r="G1017" t="str">
            <v>Heidy Celeste San Jose Diaz</v>
          </cell>
          <cell r="H1017">
            <v>0</v>
          </cell>
        </row>
        <row r="1018">
          <cell r="F1018">
            <v>315300</v>
          </cell>
          <cell r="G1018" t="str">
            <v>Heidy Karina Gil Quinti</v>
          </cell>
          <cell r="H1018">
            <v>0</v>
          </cell>
        </row>
        <row r="1019">
          <cell r="F1019">
            <v>90040350</v>
          </cell>
          <cell r="G1019" t="str">
            <v>Heidy Maria Pamela Barrientos Melgar</v>
          </cell>
          <cell r="H1019">
            <v>0</v>
          </cell>
        </row>
        <row r="1020">
          <cell r="F1020">
            <v>90038942</v>
          </cell>
          <cell r="G1020" t="str">
            <v>Heidy Maribel Chavez Soch</v>
          </cell>
          <cell r="H1020">
            <v>0</v>
          </cell>
        </row>
        <row r="1021">
          <cell r="F1021">
            <v>314029</v>
          </cell>
          <cell r="G1021" t="str">
            <v>Heidy Noely Yupe Hernandez</v>
          </cell>
          <cell r="H1021">
            <v>0</v>
          </cell>
        </row>
        <row r="1022">
          <cell r="F1022">
            <v>313510</v>
          </cell>
          <cell r="G1022" t="str">
            <v>Heidy Patricia Santizo López</v>
          </cell>
          <cell r="H1022">
            <v>0</v>
          </cell>
        </row>
        <row r="1023">
          <cell r="F1023">
            <v>308951</v>
          </cell>
          <cell r="G1023" t="str">
            <v>Heidy Sucely Boc Monroy</v>
          </cell>
          <cell r="H1023">
            <v>0</v>
          </cell>
        </row>
        <row r="1024">
          <cell r="F1024">
            <v>301847</v>
          </cell>
          <cell r="G1024" t="str">
            <v>Heidy Yanet Reyes Presencin</v>
          </cell>
          <cell r="H1024">
            <v>0</v>
          </cell>
        </row>
        <row r="1025">
          <cell r="F1025">
            <v>314009</v>
          </cell>
          <cell r="G1025" t="str">
            <v>Heily Marie Taracena Diaz</v>
          </cell>
          <cell r="H1025">
            <v>0</v>
          </cell>
        </row>
        <row r="1026">
          <cell r="F1026">
            <v>316218</v>
          </cell>
          <cell r="G1026" t="str">
            <v>Heilyn Eunice Ramirez Florian</v>
          </cell>
          <cell r="H1026">
            <v>0</v>
          </cell>
        </row>
        <row r="1027">
          <cell r="F1027">
            <v>303959</v>
          </cell>
          <cell r="G1027" t="str">
            <v>Helen Editt Solorzano Estrada</v>
          </cell>
          <cell r="H1027">
            <v>0</v>
          </cell>
        </row>
        <row r="1028">
          <cell r="F1028">
            <v>308028</v>
          </cell>
          <cell r="G1028" t="str">
            <v>Helen Eunice Hernandez Recinos</v>
          </cell>
          <cell r="H1028">
            <v>0</v>
          </cell>
        </row>
        <row r="1029">
          <cell r="F1029">
            <v>90024419</v>
          </cell>
          <cell r="G1029" t="str">
            <v xml:space="preserve">Helen Jassmin Reyes Palacios      </v>
          </cell>
          <cell r="H1029">
            <v>0</v>
          </cell>
        </row>
        <row r="1030">
          <cell r="F1030">
            <v>302479</v>
          </cell>
          <cell r="G1030" t="str">
            <v>Helen Xiomara Roldan Sagastume</v>
          </cell>
          <cell r="H1030">
            <v>0</v>
          </cell>
        </row>
        <row r="1031">
          <cell r="F1031">
            <v>90019689</v>
          </cell>
          <cell r="G1031" t="str">
            <v xml:space="preserve">Helen Yadira De Leon Quiñonez </v>
          </cell>
          <cell r="H1031">
            <v>0</v>
          </cell>
        </row>
        <row r="1032">
          <cell r="F1032">
            <v>90040078</v>
          </cell>
          <cell r="G1032" t="str">
            <v xml:space="preserve">Hellen Andrea Orozco Martin </v>
          </cell>
          <cell r="H1032">
            <v>0</v>
          </cell>
        </row>
        <row r="1033">
          <cell r="F1033">
            <v>313041</v>
          </cell>
          <cell r="G1033" t="str">
            <v>Hellen Marisol Velasquez Ciprian</v>
          </cell>
          <cell r="H1033">
            <v>0</v>
          </cell>
        </row>
        <row r="1034">
          <cell r="F1034">
            <v>313729</v>
          </cell>
          <cell r="G1034" t="str">
            <v>Henry David Lopez Perez</v>
          </cell>
          <cell r="H1034">
            <v>0</v>
          </cell>
        </row>
        <row r="1035">
          <cell r="F1035">
            <v>314858</v>
          </cell>
          <cell r="G1035" t="str">
            <v>Henry De Jesus Mujo Garcia</v>
          </cell>
          <cell r="H1035">
            <v>0</v>
          </cell>
        </row>
        <row r="1036">
          <cell r="F1036">
            <v>307713</v>
          </cell>
          <cell r="G1036" t="str">
            <v>Henry Donaldo Rodriguez Perez</v>
          </cell>
          <cell r="H1036">
            <v>0</v>
          </cell>
        </row>
        <row r="1037">
          <cell r="F1037">
            <v>315304</v>
          </cell>
          <cell r="G1037" t="str">
            <v>Henry Gabriel Morales Chinchilla</v>
          </cell>
          <cell r="H1037">
            <v>0</v>
          </cell>
        </row>
        <row r="1038">
          <cell r="F1038">
            <v>314305</v>
          </cell>
          <cell r="G1038" t="str">
            <v>Henry Gustavo Vasquez Robledo</v>
          </cell>
          <cell r="H1038">
            <v>0</v>
          </cell>
        </row>
        <row r="1039">
          <cell r="F1039">
            <v>90016061</v>
          </cell>
          <cell r="G1039" t="str">
            <v>Henry Jose Figueroa Figueroa</v>
          </cell>
          <cell r="H1039">
            <v>0</v>
          </cell>
        </row>
        <row r="1040">
          <cell r="F1040">
            <v>314630</v>
          </cell>
          <cell r="G1040" t="str">
            <v>Henry Misael Serech Ramon</v>
          </cell>
          <cell r="H1040">
            <v>0</v>
          </cell>
        </row>
        <row r="1041">
          <cell r="F1041">
            <v>90034942</v>
          </cell>
          <cell r="G1041" t="str">
            <v>Henry Wilfredo Ixcaquic Xum</v>
          </cell>
          <cell r="H1041">
            <v>0</v>
          </cell>
        </row>
        <row r="1042">
          <cell r="F1042">
            <v>312139</v>
          </cell>
          <cell r="G1042" t="str">
            <v>Herber Ardany Lucho Samayoa</v>
          </cell>
          <cell r="H1042">
            <v>0</v>
          </cell>
        </row>
        <row r="1043">
          <cell r="F1043">
            <v>310725</v>
          </cell>
          <cell r="G1043" t="str">
            <v>Herber Humberto Cax Gonzales</v>
          </cell>
          <cell r="H1043">
            <v>0</v>
          </cell>
        </row>
        <row r="1044">
          <cell r="F1044">
            <v>309034</v>
          </cell>
          <cell r="G1044" t="str">
            <v>Herbert Josue Mucia Garcia</v>
          </cell>
          <cell r="H1044">
            <v>0</v>
          </cell>
        </row>
        <row r="1045">
          <cell r="F1045">
            <v>314794</v>
          </cell>
          <cell r="G1045" t="str">
            <v>Herbert Wellington Rodriguez Ramirez</v>
          </cell>
          <cell r="H1045">
            <v>0</v>
          </cell>
        </row>
        <row r="1046">
          <cell r="F1046">
            <v>315218</v>
          </cell>
          <cell r="G1046" t="str">
            <v>Herberth Alberto Barrios Perez</v>
          </cell>
          <cell r="H1046">
            <v>0</v>
          </cell>
        </row>
        <row r="1047">
          <cell r="F1047">
            <v>313049</v>
          </cell>
          <cell r="G1047" t="str">
            <v>Herberth Ivan Garcia Davila</v>
          </cell>
          <cell r="H1047">
            <v>0</v>
          </cell>
        </row>
        <row r="1048">
          <cell r="F1048">
            <v>315050</v>
          </cell>
          <cell r="G1048" t="str">
            <v>Hercy Dayana Hidalgo Romero</v>
          </cell>
          <cell r="H1048">
            <v>0</v>
          </cell>
        </row>
        <row r="1049">
          <cell r="F1049">
            <v>315913</v>
          </cell>
          <cell r="G1049" t="str">
            <v>Herly Sarai Gonzalez Velasquez</v>
          </cell>
          <cell r="H1049">
            <v>0</v>
          </cell>
        </row>
        <row r="1050">
          <cell r="F1050">
            <v>314170</v>
          </cell>
          <cell r="G1050" t="str">
            <v>Herman Gabriel Mendez Castellanos</v>
          </cell>
          <cell r="H1050">
            <v>0</v>
          </cell>
        </row>
        <row r="1051">
          <cell r="F1051">
            <v>315164</v>
          </cell>
          <cell r="G1051" t="str">
            <v>Hernan Antonio Castro Guzman</v>
          </cell>
          <cell r="H1051">
            <v>0</v>
          </cell>
        </row>
        <row r="1052">
          <cell r="F1052">
            <v>312162</v>
          </cell>
          <cell r="G1052" t="str">
            <v xml:space="preserve">Hernandez Andrea Yoselin Cristina </v>
          </cell>
          <cell r="H1052">
            <v>0</v>
          </cell>
        </row>
        <row r="1053">
          <cell r="F1053">
            <v>314439</v>
          </cell>
          <cell r="G1053" t="str">
            <v>Hersson Eduardo Leal Garcia</v>
          </cell>
          <cell r="H1053">
            <v>0</v>
          </cell>
        </row>
        <row r="1054">
          <cell r="F1054">
            <v>312377</v>
          </cell>
          <cell r="G1054" t="str">
            <v>Hesler Jonathan Quevedo De La Cruz</v>
          </cell>
          <cell r="H1054">
            <v>0</v>
          </cell>
        </row>
        <row r="1055">
          <cell r="F1055">
            <v>315495</v>
          </cell>
          <cell r="G1055" t="str">
            <v>Heydee Johana Marisol Cho Del Valle</v>
          </cell>
          <cell r="H1055">
            <v>0</v>
          </cell>
        </row>
        <row r="1056">
          <cell r="F1056">
            <v>302285</v>
          </cell>
          <cell r="G1056" t="str">
            <v>Heydi Yaneth Sales Mazariegos</v>
          </cell>
          <cell r="H1056">
            <v>0</v>
          </cell>
        </row>
        <row r="1057">
          <cell r="F1057">
            <v>309528</v>
          </cell>
          <cell r="G1057" t="str">
            <v>Heydi Zuleyma Gue Cac</v>
          </cell>
          <cell r="H1057">
            <v>0</v>
          </cell>
        </row>
        <row r="1058">
          <cell r="F1058">
            <v>310612</v>
          </cell>
          <cell r="G1058" t="str">
            <v>Heydy Mariela Santiago Armas</v>
          </cell>
          <cell r="H1058">
            <v>0</v>
          </cell>
        </row>
        <row r="1059">
          <cell r="F1059">
            <v>90040151</v>
          </cell>
          <cell r="G1059" t="str">
            <v>Hilary Gabriela Solis Gaitan</v>
          </cell>
          <cell r="H1059">
            <v>0</v>
          </cell>
        </row>
        <row r="1060">
          <cell r="F1060">
            <v>313576</v>
          </cell>
          <cell r="G1060" t="str">
            <v>Hilda Janina Diaz</v>
          </cell>
          <cell r="H1060">
            <v>0</v>
          </cell>
        </row>
        <row r="1061">
          <cell r="F1061">
            <v>90046423</v>
          </cell>
          <cell r="G1061" t="str">
            <v>Hilda Maria Gonzalez Aguilar</v>
          </cell>
          <cell r="H1061">
            <v>0</v>
          </cell>
        </row>
        <row r="1062">
          <cell r="F1062">
            <v>301649</v>
          </cell>
          <cell r="G1062" t="str">
            <v>Hilda Paola Lopez Cano</v>
          </cell>
          <cell r="H1062">
            <v>0</v>
          </cell>
        </row>
        <row r="1063">
          <cell r="F1063">
            <v>315080</v>
          </cell>
          <cell r="G1063" t="str">
            <v>Horacio Rafael Molina Avila</v>
          </cell>
          <cell r="H1063">
            <v>0</v>
          </cell>
        </row>
        <row r="1064">
          <cell r="F1064">
            <v>90016106</v>
          </cell>
          <cell r="G1064" t="str">
            <v>Huber Randolfo Alay Y Alay</v>
          </cell>
          <cell r="H1064">
            <v>0</v>
          </cell>
        </row>
        <row r="1065">
          <cell r="F1065">
            <v>311962</v>
          </cell>
          <cell r="G1065" t="str">
            <v>Hugo David Monroy Pichola</v>
          </cell>
          <cell r="H1065">
            <v>0</v>
          </cell>
        </row>
        <row r="1066">
          <cell r="F1066">
            <v>315657</v>
          </cell>
          <cell r="G1066" t="str">
            <v>Hugo Ezequiel Guevara Gomez</v>
          </cell>
          <cell r="H1066">
            <v>0</v>
          </cell>
        </row>
        <row r="1067">
          <cell r="F1067">
            <v>306404</v>
          </cell>
          <cell r="G1067" t="str">
            <v>Hugo Leonel Tahual Ramos</v>
          </cell>
          <cell r="H1067">
            <v>0</v>
          </cell>
        </row>
        <row r="1068">
          <cell r="F1068">
            <v>313743</v>
          </cell>
          <cell r="G1068" t="str">
            <v>Hugo Rolando Ruiz Alquijay</v>
          </cell>
          <cell r="H1068">
            <v>0</v>
          </cell>
        </row>
        <row r="1069">
          <cell r="F1069">
            <v>310888</v>
          </cell>
          <cell r="G1069" t="str">
            <v>Hugo Vinicio Chavez Barrios</v>
          </cell>
          <cell r="H1069">
            <v>0</v>
          </cell>
        </row>
        <row r="1070">
          <cell r="F1070">
            <v>302261</v>
          </cell>
          <cell r="G1070" t="str">
            <v>Idalia Ester Espino Lopez</v>
          </cell>
          <cell r="H1070">
            <v>0</v>
          </cell>
        </row>
        <row r="1071">
          <cell r="F1071">
            <v>304392</v>
          </cell>
          <cell r="G1071" t="str">
            <v>Ilda Gricelda Garcia Zacarias</v>
          </cell>
          <cell r="H1071">
            <v>0</v>
          </cell>
        </row>
        <row r="1072">
          <cell r="F1072">
            <v>313703</v>
          </cell>
          <cell r="G1072" t="str">
            <v>Ilda Magnolia Lopez Ramirez</v>
          </cell>
          <cell r="H1072">
            <v>0</v>
          </cell>
        </row>
        <row r="1073">
          <cell r="F1073">
            <v>310432</v>
          </cell>
          <cell r="G1073" t="str">
            <v>Ilda Merary Calachij Mendez</v>
          </cell>
          <cell r="H1073">
            <v>0</v>
          </cell>
        </row>
        <row r="1074">
          <cell r="F1074">
            <v>90040711</v>
          </cell>
          <cell r="G1074" t="str">
            <v>Ilder Denilson Galicia Tobar</v>
          </cell>
          <cell r="H1074">
            <v>0</v>
          </cell>
        </row>
        <row r="1075">
          <cell r="F1075">
            <v>309389</v>
          </cell>
          <cell r="G1075" t="str">
            <v>Ilsy Meliza Matzir Lebon</v>
          </cell>
          <cell r="H1075">
            <v>0</v>
          </cell>
        </row>
        <row r="1076">
          <cell r="F1076">
            <v>303674</v>
          </cell>
          <cell r="G1076" t="str">
            <v>Imelda Elizabeth Castro Rodas De Quiroa</v>
          </cell>
          <cell r="H1076">
            <v>0</v>
          </cell>
        </row>
        <row r="1077">
          <cell r="F1077">
            <v>301644</v>
          </cell>
          <cell r="G1077" t="str">
            <v>Imelda Eugenia Recinos Martinez</v>
          </cell>
          <cell r="H1077">
            <v>0</v>
          </cell>
        </row>
        <row r="1078">
          <cell r="F1078">
            <v>307030</v>
          </cell>
          <cell r="G1078" t="str">
            <v>Ingrid Alejandra Juarez Yanes</v>
          </cell>
          <cell r="H1078">
            <v>0</v>
          </cell>
        </row>
        <row r="1079">
          <cell r="F1079">
            <v>312398</v>
          </cell>
          <cell r="G1079" t="str">
            <v>Ingrid Esteffany Salazar Sosa</v>
          </cell>
          <cell r="H1079">
            <v>0</v>
          </cell>
        </row>
        <row r="1080">
          <cell r="F1080">
            <v>301199</v>
          </cell>
          <cell r="G1080" t="str">
            <v>Ingrid Haydee Minchez Monzon</v>
          </cell>
          <cell r="H1080">
            <v>0</v>
          </cell>
        </row>
        <row r="1081">
          <cell r="F1081">
            <v>90028655</v>
          </cell>
          <cell r="G1081" t="str">
            <v>Ingrid Jenifer Recinos Ramirez</v>
          </cell>
          <cell r="H1081">
            <v>0</v>
          </cell>
        </row>
        <row r="1082">
          <cell r="F1082">
            <v>304317</v>
          </cell>
          <cell r="G1082" t="str">
            <v>Ingrid Johana Muñoz Choc</v>
          </cell>
          <cell r="H1082">
            <v>0</v>
          </cell>
        </row>
        <row r="1083">
          <cell r="F1083">
            <v>313692</v>
          </cell>
          <cell r="G1083" t="str">
            <v xml:space="preserve">Ingrid Leticia Paredes Pulido    </v>
          </cell>
          <cell r="H1083">
            <v>0</v>
          </cell>
        </row>
        <row r="1084">
          <cell r="F1084">
            <v>311286</v>
          </cell>
          <cell r="G1084" t="str">
            <v>Ingrid Lorena Anleu Morales</v>
          </cell>
          <cell r="H1084">
            <v>0</v>
          </cell>
        </row>
        <row r="1085">
          <cell r="F1085">
            <v>311133</v>
          </cell>
          <cell r="G1085" t="str">
            <v>Ingrid Mariela Maldonado Tubac</v>
          </cell>
          <cell r="H1085">
            <v>0</v>
          </cell>
        </row>
        <row r="1086">
          <cell r="F1086">
            <v>90034570</v>
          </cell>
          <cell r="G1086" t="str">
            <v>Ingrid Marleny Salazar Santay</v>
          </cell>
          <cell r="H1086">
            <v>0</v>
          </cell>
        </row>
        <row r="1087">
          <cell r="F1087">
            <v>313304</v>
          </cell>
          <cell r="G1087" t="str">
            <v>Ingrid Yojana Ramos Sacalxot</v>
          </cell>
          <cell r="H1087">
            <v>0</v>
          </cell>
        </row>
        <row r="1088">
          <cell r="F1088">
            <v>315148</v>
          </cell>
          <cell r="G1088" t="str">
            <v>Irene Beatriz Pena Orellana</v>
          </cell>
          <cell r="H1088">
            <v>0</v>
          </cell>
        </row>
        <row r="1089">
          <cell r="F1089">
            <v>311997</v>
          </cell>
          <cell r="G1089" t="str">
            <v>Irene Lizbeth Rodas Cuc</v>
          </cell>
          <cell r="H1089">
            <v>0</v>
          </cell>
        </row>
        <row r="1090">
          <cell r="F1090">
            <v>313128</v>
          </cell>
          <cell r="G1090" t="str">
            <v>Iris Elizabeth Cardona Gonzalez</v>
          </cell>
          <cell r="H1090">
            <v>0</v>
          </cell>
        </row>
        <row r="1091">
          <cell r="F1091">
            <v>315706</v>
          </cell>
          <cell r="G1091" t="str">
            <v>Iris Joandris Morales Calderon</v>
          </cell>
          <cell r="H1091">
            <v>0</v>
          </cell>
        </row>
        <row r="1092">
          <cell r="F1092">
            <v>306578</v>
          </cell>
          <cell r="G1092" t="str">
            <v>Iris Mariela Alacan Lemus</v>
          </cell>
          <cell r="H1092">
            <v>0</v>
          </cell>
        </row>
        <row r="1093">
          <cell r="F1093">
            <v>311524</v>
          </cell>
          <cell r="G1093" t="str">
            <v>Iris Marleny Alvarado Barrios</v>
          </cell>
          <cell r="H1093">
            <v>0</v>
          </cell>
        </row>
        <row r="1094">
          <cell r="F1094">
            <v>314232</v>
          </cell>
          <cell r="G1094" t="str">
            <v>Iris Yulisa Camposeco Funes</v>
          </cell>
          <cell r="H1094">
            <v>0</v>
          </cell>
        </row>
        <row r="1095">
          <cell r="F1095">
            <v>312920</v>
          </cell>
          <cell r="G1095" t="str">
            <v>Irma Leticia Raquec Yos</v>
          </cell>
          <cell r="H1095">
            <v>0</v>
          </cell>
        </row>
        <row r="1096">
          <cell r="F1096">
            <v>316360</v>
          </cell>
          <cell r="G1096" t="str">
            <v>Irma Michel Tobar Najarro</v>
          </cell>
          <cell r="H1096">
            <v>0</v>
          </cell>
        </row>
        <row r="1097">
          <cell r="F1097">
            <v>314676</v>
          </cell>
          <cell r="G1097" t="str">
            <v>Irvin Lizardo Miranda Guzman</v>
          </cell>
          <cell r="H1097">
            <v>0</v>
          </cell>
        </row>
        <row r="1098">
          <cell r="F1098">
            <v>314336</v>
          </cell>
          <cell r="G1098" t="str">
            <v>Isaac David Ismael Calderon Socop</v>
          </cell>
          <cell r="H1098">
            <v>0</v>
          </cell>
        </row>
        <row r="1099">
          <cell r="F1099">
            <v>314680</v>
          </cell>
          <cell r="G1099" t="str">
            <v>Isabel Lewin Obiols</v>
          </cell>
          <cell r="H1099">
            <v>0</v>
          </cell>
        </row>
        <row r="1100">
          <cell r="F1100">
            <v>315186</v>
          </cell>
          <cell r="G1100" t="str">
            <v>Isabelita Retana Zepeda</v>
          </cell>
          <cell r="H1100">
            <v>0</v>
          </cell>
        </row>
        <row r="1101">
          <cell r="F1101">
            <v>311913</v>
          </cell>
          <cell r="G1101" t="str">
            <v>Isai Bernabe Quiroa Alvarez</v>
          </cell>
          <cell r="H1101">
            <v>0</v>
          </cell>
        </row>
        <row r="1102">
          <cell r="F1102">
            <v>315302</v>
          </cell>
          <cell r="G1102" t="str">
            <v>Isai De Jesus Cabrera Tirado</v>
          </cell>
          <cell r="H1102">
            <v>0</v>
          </cell>
        </row>
        <row r="1103">
          <cell r="F1103">
            <v>314983</v>
          </cell>
          <cell r="G1103" t="str">
            <v>Ismael Josafat Barrios</v>
          </cell>
          <cell r="H1103">
            <v>0</v>
          </cell>
        </row>
        <row r="1104">
          <cell r="F1104">
            <v>313569</v>
          </cell>
          <cell r="G1104" t="str">
            <v>Ismar Manfredo Gomez Batres</v>
          </cell>
          <cell r="H1104">
            <v>0</v>
          </cell>
        </row>
        <row r="1105">
          <cell r="F1105">
            <v>315034</v>
          </cell>
          <cell r="G1105" t="str">
            <v>Jackeline Andrea Yancor Wilhelm</v>
          </cell>
          <cell r="H1105">
            <v>0</v>
          </cell>
        </row>
        <row r="1106">
          <cell r="F1106">
            <v>315352</v>
          </cell>
          <cell r="G1106" t="str">
            <v>Jackeline Ester Vasquez Pernillo</v>
          </cell>
          <cell r="H1106">
            <v>0</v>
          </cell>
        </row>
        <row r="1107">
          <cell r="F1107">
            <v>316334</v>
          </cell>
          <cell r="G1107" t="str">
            <v>Jackeline Fernanda Perez Juarez</v>
          </cell>
          <cell r="H1107">
            <v>0</v>
          </cell>
        </row>
        <row r="1108">
          <cell r="F1108">
            <v>100717</v>
          </cell>
          <cell r="G1108" t="str">
            <v>Jackeline Larisa De Leon Roldan</v>
          </cell>
          <cell r="H1108">
            <v>0</v>
          </cell>
        </row>
        <row r="1109">
          <cell r="F1109">
            <v>315744</v>
          </cell>
          <cell r="G1109" t="str">
            <v>Jackeline Susana Herrarte Boche</v>
          </cell>
          <cell r="H1109">
            <v>0</v>
          </cell>
        </row>
        <row r="1110">
          <cell r="F1110">
            <v>313656</v>
          </cell>
          <cell r="G1110" t="str">
            <v>Jackelinne Judith Paz Morales</v>
          </cell>
          <cell r="H1110">
            <v>0</v>
          </cell>
        </row>
        <row r="1111">
          <cell r="F1111">
            <v>315765</v>
          </cell>
          <cell r="G1111" t="str">
            <v>Jacqueline Ester Patzan Tzunun</v>
          </cell>
          <cell r="H1111">
            <v>0</v>
          </cell>
        </row>
        <row r="1112">
          <cell r="F1112">
            <v>312255</v>
          </cell>
          <cell r="G1112" t="str">
            <v>Jacqueline Mercedes Portuguez Simaj</v>
          </cell>
          <cell r="H1112">
            <v>0</v>
          </cell>
        </row>
        <row r="1113">
          <cell r="F1113">
            <v>314780</v>
          </cell>
          <cell r="G1113" t="str">
            <v>Jacqueline Michell Arroyo Mendoza</v>
          </cell>
          <cell r="H1113">
            <v>0</v>
          </cell>
        </row>
        <row r="1114">
          <cell r="F1114">
            <v>315687</v>
          </cell>
          <cell r="G1114" t="str">
            <v>Jacqueline Michelle Lopez Barrera</v>
          </cell>
          <cell r="H1114">
            <v>0</v>
          </cell>
        </row>
        <row r="1115">
          <cell r="F1115">
            <v>314760</v>
          </cell>
          <cell r="G1115" t="str">
            <v>Jadurani Devi Dasi Archila Lool</v>
          </cell>
          <cell r="H1115">
            <v>0</v>
          </cell>
        </row>
        <row r="1116">
          <cell r="F1116">
            <v>301265</v>
          </cell>
          <cell r="G1116" t="str">
            <v>Jaime Estuardo Gonzalez Lopez</v>
          </cell>
          <cell r="H1116">
            <v>0</v>
          </cell>
        </row>
        <row r="1117">
          <cell r="F1117">
            <v>314552</v>
          </cell>
          <cell r="G1117" t="str">
            <v>Jaime Ottoniel Del Aguila Pineda</v>
          </cell>
          <cell r="H1117">
            <v>0</v>
          </cell>
        </row>
        <row r="1118">
          <cell r="F1118">
            <v>301608</v>
          </cell>
          <cell r="G1118" t="str">
            <v>Jaime Rene Guzman Muy</v>
          </cell>
          <cell r="H1118">
            <v>0</v>
          </cell>
        </row>
        <row r="1119">
          <cell r="F1119">
            <v>315691</v>
          </cell>
          <cell r="G1119" t="str">
            <v>Jaime Rene Juarez Sanchez</v>
          </cell>
          <cell r="H1119">
            <v>0</v>
          </cell>
        </row>
        <row r="1120">
          <cell r="F1120">
            <v>314866</v>
          </cell>
          <cell r="G1120" t="str">
            <v>Jaime Wilfredo Chub Coc</v>
          </cell>
          <cell r="H1120">
            <v>0</v>
          </cell>
        </row>
        <row r="1121">
          <cell r="F1121">
            <v>90040241</v>
          </cell>
          <cell r="G1121" t="str">
            <v>Jairo Alessandro Urbina Santiago</v>
          </cell>
          <cell r="H1121">
            <v>0</v>
          </cell>
        </row>
        <row r="1122">
          <cell r="F1122">
            <v>314935</v>
          </cell>
          <cell r="G1122" t="str">
            <v>Jairo Anibal Veliz Carrera</v>
          </cell>
          <cell r="H1122">
            <v>0</v>
          </cell>
        </row>
        <row r="1123">
          <cell r="F1123">
            <v>314500</v>
          </cell>
          <cell r="G1123" t="str">
            <v xml:space="preserve">Jairo Noel Linarez Gomez </v>
          </cell>
          <cell r="H1123">
            <v>0</v>
          </cell>
        </row>
        <row r="1124">
          <cell r="F1124">
            <v>90040278</v>
          </cell>
          <cell r="G1124" t="str">
            <v>Jairo Noel Ordoñez Ciprian</v>
          </cell>
          <cell r="H1124">
            <v>0</v>
          </cell>
        </row>
        <row r="1125">
          <cell r="F1125">
            <v>315998</v>
          </cell>
          <cell r="G1125" t="str">
            <v>Jairo Omar Flores Chitay</v>
          </cell>
          <cell r="H1125">
            <v>0</v>
          </cell>
        </row>
        <row r="1126">
          <cell r="F1126">
            <v>313086</v>
          </cell>
          <cell r="G1126" t="str">
            <v>Jairo Onesimo Aguilar Cabrera</v>
          </cell>
          <cell r="H1126">
            <v>0</v>
          </cell>
        </row>
        <row r="1127">
          <cell r="F1127">
            <v>314146</v>
          </cell>
          <cell r="G1127" t="str">
            <v>Jairo Saul Lopez Quinteros</v>
          </cell>
          <cell r="H1127">
            <v>0</v>
          </cell>
        </row>
        <row r="1128">
          <cell r="F1128">
            <v>315130</v>
          </cell>
          <cell r="G1128" t="str">
            <v>Jakelyn Estrella Erazo Asencio</v>
          </cell>
          <cell r="H1128">
            <v>0</v>
          </cell>
        </row>
        <row r="1129">
          <cell r="F1129">
            <v>315546</v>
          </cell>
          <cell r="G1129" t="str">
            <v>James Alexander Marquez Salazar</v>
          </cell>
          <cell r="H1129">
            <v>0</v>
          </cell>
        </row>
        <row r="1130">
          <cell r="F1130">
            <v>315590</v>
          </cell>
          <cell r="G1130" t="str">
            <v>Jamileth Andreina Arreaga Quin</v>
          </cell>
          <cell r="H1130">
            <v>0</v>
          </cell>
        </row>
        <row r="1131">
          <cell r="F1131">
            <v>314261</v>
          </cell>
          <cell r="G1131" t="str">
            <v>Jannely Darlene Telon Giron</v>
          </cell>
          <cell r="H1131">
            <v>0</v>
          </cell>
        </row>
        <row r="1132">
          <cell r="F1132">
            <v>313187</v>
          </cell>
          <cell r="G1132" t="str">
            <v>Janyer Violeta Aguirre Alvarez</v>
          </cell>
          <cell r="H1132">
            <v>0</v>
          </cell>
        </row>
        <row r="1133">
          <cell r="F1133">
            <v>311082</v>
          </cell>
          <cell r="G1133" t="str">
            <v>Janz Vincent Tunche</v>
          </cell>
          <cell r="H1133">
            <v>0</v>
          </cell>
        </row>
        <row r="1134">
          <cell r="F1134">
            <v>90041269</v>
          </cell>
          <cell r="G1134" t="str">
            <v>Jaquelin Gabriela Huertas Juc</v>
          </cell>
          <cell r="H1134">
            <v>0</v>
          </cell>
        </row>
        <row r="1135">
          <cell r="F1135">
            <v>308525</v>
          </cell>
          <cell r="G1135" t="str">
            <v>Jaquelin Paola Lopez Bocel</v>
          </cell>
          <cell r="H1135">
            <v>0</v>
          </cell>
        </row>
        <row r="1136">
          <cell r="F1136">
            <v>308189</v>
          </cell>
          <cell r="G1136" t="str">
            <v>Jaquelin Rocxana Cantey De Leon</v>
          </cell>
          <cell r="H1136">
            <v>0</v>
          </cell>
        </row>
        <row r="1137">
          <cell r="F1137">
            <v>90039956</v>
          </cell>
          <cell r="G1137" t="str">
            <v>Jaqueline Adriana Diaz Monterroso</v>
          </cell>
          <cell r="H1137">
            <v>0</v>
          </cell>
        </row>
        <row r="1138">
          <cell r="F1138">
            <v>90009257</v>
          </cell>
          <cell r="G1138" t="str">
            <v>Jaqueline Andrea Del Cid Salazar</v>
          </cell>
          <cell r="H1138">
            <v>0</v>
          </cell>
        </row>
        <row r="1139">
          <cell r="F1139">
            <v>90018829</v>
          </cell>
          <cell r="G1139" t="str">
            <v>Jaqueline Fernanda Valdez Maldonado De Alonzo</v>
          </cell>
          <cell r="H1139">
            <v>0</v>
          </cell>
        </row>
        <row r="1140">
          <cell r="F1140">
            <v>312758</v>
          </cell>
          <cell r="G1140" t="str">
            <v>Jaqueline Gabriela Vasquez Icute De Padilla</v>
          </cell>
          <cell r="H1140">
            <v>0</v>
          </cell>
        </row>
        <row r="1141">
          <cell r="F1141">
            <v>301462</v>
          </cell>
          <cell r="G1141" t="str">
            <v>Jaqueline Johana Hernandez Masaya</v>
          </cell>
          <cell r="H1141">
            <v>0</v>
          </cell>
        </row>
        <row r="1142">
          <cell r="F1142">
            <v>310027</v>
          </cell>
          <cell r="G1142" t="str">
            <v>Jaqueline Mishel Zetino Culan</v>
          </cell>
          <cell r="H1142">
            <v>0</v>
          </cell>
        </row>
        <row r="1143">
          <cell r="F1143">
            <v>313663</v>
          </cell>
          <cell r="G1143" t="str">
            <v>Jaqueline Mishell Perez Sanic</v>
          </cell>
          <cell r="H1143">
            <v>0</v>
          </cell>
        </row>
        <row r="1144">
          <cell r="F1144">
            <v>316225</v>
          </cell>
          <cell r="G1144" t="str">
            <v>Jaqueline Nayeli Miguel Diaz</v>
          </cell>
          <cell r="H1144">
            <v>0</v>
          </cell>
        </row>
        <row r="1145">
          <cell r="F1145">
            <v>314697</v>
          </cell>
          <cell r="G1145" t="str">
            <v>Jaqueline Noemi Cojon Franco</v>
          </cell>
          <cell r="H1145">
            <v>0</v>
          </cell>
        </row>
        <row r="1146">
          <cell r="F1146">
            <v>315595</v>
          </cell>
          <cell r="G1146" t="str">
            <v xml:space="preserve">Jaqueline Paola Santizo Roman </v>
          </cell>
          <cell r="H1146">
            <v>0</v>
          </cell>
        </row>
        <row r="1147">
          <cell r="F1147">
            <v>314526</v>
          </cell>
          <cell r="G1147" t="str">
            <v>Jaqueline Sarai Reynoso Perez</v>
          </cell>
          <cell r="H1147">
            <v>0</v>
          </cell>
        </row>
        <row r="1148">
          <cell r="F1148">
            <v>314952</v>
          </cell>
          <cell r="G1148" t="str">
            <v>Jaqueline Stephanie Espinoza Espinoza</v>
          </cell>
          <cell r="H1148">
            <v>0</v>
          </cell>
        </row>
        <row r="1149">
          <cell r="F1149">
            <v>315467</v>
          </cell>
          <cell r="G1149" t="str">
            <v>Jaqueline Vanessa Cardona Del Cid</v>
          </cell>
          <cell r="H1149">
            <v>0</v>
          </cell>
        </row>
        <row r="1150">
          <cell r="F1150">
            <v>314066</v>
          </cell>
          <cell r="G1150" t="str">
            <v>Jaquelyn Marleny Fernandez</v>
          </cell>
          <cell r="H1150">
            <v>0</v>
          </cell>
        </row>
        <row r="1151">
          <cell r="F1151">
            <v>314639</v>
          </cell>
          <cell r="G1151" t="str">
            <v>Jarod Emanuel Prado Sanchez</v>
          </cell>
          <cell r="H1151">
            <v>0</v>
          </cell>
        </row>
        <row r="1152">
          <cell r="F1152">
            <v>311320</v>
          </cell>
          <cell r="G1152" t="str">
            <v>Jasly Elisama Escobar Mayen</v>
          </cell>
          <cell r="H1152">
            <v>0</v>
          </cell>
        </row>
        <row r="1153">
          <cell r="F1153">
            <v>304531</v>
          </cell>
          <cell r="G1153" t="str">
            <v>Jasmin Cristabel Rosales</v>
          </cell>
          <cell r="H1153">
            <v>0</v>
          </cell>
        </row>
        <row r="1154">
          <cell r="F1154">
            <v>313884</v>
          </cell>
          <cell r="G1154" t="str">
            <v>Jasminia Sarai Cotzajay Peñate</v>
          </cell>
          <cell r="H1154">
            <v>0</v>
          </cell>
        </row>
        <row r="1155">
          <cell r="F1155">
            <v>90024235</v>
          </cell>
          <cell r="G1155" t="str">
            <v>Jason Alberto Bolaños Gutiérrez</v>
          </cell>
          <cell r="H1155">
            <v>0</v>
          </cell>
        </row>
        <row r="1156">
          <cell r="F1156">
            <v>315383</v>
          </cell>
          <cell r="G1156" t="str">
            <v>Javier Estuardo Calderon Caceres</v>
          </cell>
          <cell r="H1156">
            <v>0</v>
          </cell>
        </row>
        <row r="1157">
          <cell r="F1157">
            <v>307598</v>
          </cell>
          <cell r="G1157" t="str">
            <v>Javier Ignacio Monzon Leon</v>
          </cell>
          <cell r="H1157">
            <v>0</v>
          </cell>
        </row>
        <row r="1158">
          <cell r="F1158">
            <v>312743</v>
          </cell>
          <cell r="G1158" t="str">
            <v>Jayro Vinicio Alvarado Rodriguez</v>
          </cell>
          <cell r="H1158">
            <v>0</v>
          </cell>
        </row>
        <row r="1159">
          <cell r="F1159">
            <v>90024878</v>
          </cell>
          <cell r="G1159" t="str">
            <v>Jazmin Beatriz Bixcul Bocel</v>
          </cell>
          <cell r="H1159">
            <v>0</v>
          </cell>
        </row>
        <row r="1160">
          <cell r="F1160">
            <v>90024495</v>
          </cell>
          <cell r="G1160" t="str">
            <v>Jazmin Estefanie Rios Flores</v>
          </cell>
          <cell r="H1160">
            <v>0</v>
          </cell>
        </row>
        <row r="1161">
          <cell r="F1161">
            <v>90023918</v>
          </cell>
          <cell r="G1161" t="str">
            <v>Jefferson Alexander Oliva Cotzojay</v>
          </cell>
          <cell r="H1161">
            <v>0</v>
          </cell>
        </row>
        <row r="1162">
          <cell r="F1162">
            <v>315665</v>
          </cell>
          <cell r="G1162" t="str">
            <v>Jefferson Jose Interiano Solis</v>
          </cell>
          <cell r="H1162">
            <v>0</v>
          </cell>
        </row>
        <row r="1163">
          <cell r="F1163">
            <v>313435</v>
          </cell>
          <cell r="G1163" t="str">
            <v>Jefferson Marvin Baudilio Aldana Lozano</v>
          </cell>
          <cell r="H1163">
            <v>0</v>
          </cell>
        </row>
        <row r="1164">
          <cell r="F1164">
            <v>310987</v>
          </cell>
          <cell r="G1164" t="str">
            <v>Jeffrey Donely Alvarez Garcia</v>
          </cell>
          <cell r="H1164">
            <v>0</v>
          </cell>
        </row>
        <row r="1165">
          <cell r="F1165">
            <v>90023523</v>
          </cell>
          <cell r="G1165" t="str">
            <v xml:space="preserve">Jefresson Jimenez </v>
          </cell>
          <cell r="H1165">
            <v>0</v>
          </cell>
        </row>
        <row r="1166">
          <cell r="F1166">
            <v>315307</v>
          </cell>
          <cell r="G1166" t="str">
            <v>Jeicob Manrique Argueta Ovalle</v>
          </cell>
          <cell r="H1166">
            <v>0</v>
          </cell>
        </row>
        <row r="1167">
          <cell r="F1167">
            <v>90015631</v>
          </cell>
          <cell r="G1167" t="str">
            <v xml:space="preserve">Jeissy Dariela Castellanos Hernandez     </v>
          </cell>
          <cell r="H1167">
            <v>0</v>
          </cell>
        </row>
        <row r="1168">
          <cell r="F1168">
            <v>313167</v>
          </cell>
          <cell r="G1168" t="str">
            <v>Jency Julissa Chavarria Garcia</v>
          </cell>
          <cell r="H1168">
            <v>0</v>
          </cell>
        </row>
        <row r="1169">
          <cell r="F1169">
            <v>314783</v>
          </cell>
          <cell r="G1169" t="str">
            <v>Jency Noeli Estrada Paredes</v>
          </cell>
          <cell r="H1169">
            <v>0</v>
          </cell>
        </row>
        <row r="1170">
          <cell r="F1170">
            <v>302981</v>
          </cell>
          <cell r="G1170" t="str">
            <v>Jenifer Elizabeth Pelaez Marroquin</v>
          </cell>
          <cell r="H1170">
            <v>0</v>
          </cell>
        </row>
        <row r="1171">
          <cell r="F1171">
            <v>309592</v>
          </cell>
          <cell r="G1171" t="str">
            <v>Jenifer Estrella Alvarez Cruz</v>
          </cell>
          <cell r="H1171">
            <v>0</v>
          </cell>
        </row>
        <row r="1172">
          <cell r="F1172">
            <v>308871</v>
          </cell>
          <cell r="G1172" t="str">
            <v>Jenifer Lisset Chicol Solis</v>
          </cell>
          <cell r="H1172">
            <v>0</v>
          </cell>
        </row>
        <row r="1173">
          <cell r="F1173">
            <v>314838</v>
          </cell>
          <cell r="G1173" t="str">
            <v>Jenifer Lucerito Sique Mayorga</v>
          </cell>
          <cell r="H1173">
            <v>0</v>
          </cell>
        </row>
        <row r="1174">
          <cell r="F1174">
            <v>310744</v>
          </cell>
          <cell r="G1174" t="str">
            <v>Jenifer Lucrecia Herrera Gonzalez</v>
          </cell>
          <cell r="H1174">
            <v>0</v>
          </cell>
        </row>
        <row r="1175">
          <cell r="F1175">
            <v>312022</v>
          </cell>
          <cell r="G1175" t="str">
            <v>Jenifer Maria Lopez Jimenez</v>
          </cell>
          <cell r="H1175">
            <v>0</v>
          </cell>
        </row>
        <row r="1176">
          <cell r="F1176">
            <v>311998</v>
          </cell>
          <cell r="G1176" t="str">
            <v>Jenifer Patricia Ruano Camo</v>
          </cell>
          <cell r="H1176">
            <v>0</v>
          </cell>
        </row>
        <row r="1177">
          <cell r="F1177">
            <v>314393</v>
          </cell>
          <cell r="G1177" t="str">
            <v>Jeniffer Yadaris Villegas Montepeque</v>
          </cell>
          <cell r="H1177">
            <v>0</v>
          </cell>
        </row>
        <row r="1178">
          <cell r="F1178">
            <v>312144</v>
          </cell>
          <cell r="G1178" t="str">
            <v>Jennie Beatriz Aguilar Gonzalez</v>
          </cell>
          <cell r="H1178">
            <v>0</v>
          </cell>
        </row>
        <row r="1179">
          <cell r="F1179">
            <v>90048446</v>
          </cell>
          <cell r="G1179" t="str">
            <v>Jennie Juliecita Gonzalez Sanchez</v>
          </cell>
          <cell r="H1179">
            <v>0</v>
          </cell>
        </row>
        <row r="1180">
          <cell r="F1180">
            <v>310751</v>
          </cell>
          <cell r="G1180" t="str">
            <v>Jennifer Alejandra Escobar De Leon</v>
          </cell>
          <cell r="H1180">
            <v>0</v>
          </cell>
        </row>
        <row r="1181">
          <cell r="F1181">
            <v>311804</v>
          </cell>
          <cell r="G1181" t="str">
            <v>Jennifer Carolina Xitimul Aguilar</v>
          </cell>
          <cell r="H1181">
            <v>0</v>
          </cell>
        </row>
        <row r="1182">
          <cell r="F1182">
            <v>315962</v>
          </cell>
          <cell r="G1182" t="str">
            <v>Jennifer Celeste Delgado Garcia</v>
          </cell>
          <cell r="H1182">
            <v>0</v>
          </cell>
        </row>
        <row r="1183">
          <cell r="F1183">
            <v>90035015</v>
          </cell>
          <cell r="G1183" t="str">
            <v>Jennifer Dallana Lezana Raxon</v>
          </cell>
          <cell r="H1183">
            <v>0</v>
          </cell>
        </row>
        <row r="1184">
          <cell r="F1184">
            <v>315185</v>
          </cell>
          <cell r="G1184" t="str">
            <v>Jennifer Estefany Argueta De Leon</v>
          </cell>
          <cell r="H1184">
            <v>0</v>
          </cell>
        </row>
        <row r="1185">
          <cell r="F1185">
            <v>312983</v>
          </cell>
          <cell r="G1185" t="str">
            <v>Jennifer Jeaneth Patzan Urizar</v>
          </cell>
          <cell r="H1185">
            <v>0</v>
          </cell>
        </row>
        <row r="1186">
          <cell r="F1186">
            <v>315149</v>
          </cell>
          <cell r="G1186" t="str">
            <v>Jennifer Karla Maria De Leon Yoc</v>
          </cell>
          <cell r="H1186">
            <v>0</v>
          </cell>
        </row>
        <row r="1187">
          <cell r="F1187">
            <v>310822</v>
          </cell>
          <cell r="G1187" t="str">
            <v>Jennifer Leticia Gonzalez Pineda Corado</v>
          </cell>
          <cell r="H1187">
            <v>0</v>
          </cell>
        </row>
        <row r="1188">
          <cell r="F1188">
            <v>313611</v>
          </cell>
          <cell r="G1188" t="str">
            <v>Jennifer Mishel Reyes Solis</v>
          </cell>
          <cell r="H1188">
            <v>0</v>
          </cell>
        </row>
        <row r="1189">
          <cell r="F1189">
            <v>314306</v>
          </cell>
          <cell r="G1189" t="str">
            <v>Jennifer Noemi Soch Castro</v>
          </cell>
          <cell r="H1189">
            <v>0</v>
          </cell>
        </row>
        <row r="1190">
          <cell r="F1190">
            <v>312876</v>
          </cell>
          <cell r="G1190" t="str">
            <v>Jennifer Pahola Calderon Lopez</v>
          </cell>
          <cell r="H1190">
            <v>0</v>
          </cell>
        </row>
        <row r="1191">
          <cell r="F1191">
            <v>90040426</v>
          </cell>
          <cell r="G1191" t="str">
            <v>Jennifer Paola Chiroy Julajuj</v>
          </cell>
          <cell r="H1191">
            <v>0</v>
          </cell>
        </row>
        <row r="1192">
          <cell r="F1192">
            <v>311421</v>
          </cell>
          <cell r="G1192" t="str">
            <v>Jennifer Scarlett Garcia Perez</v>
          </cell>
          <cell r="H1192">
            <v>0</v>
          </cell>
        </row>
        <row r="1193">
          <cell r="F1193">
            <v>312270</v>
          </cell>
          <cell r="G1193" t="str">
            <v>Jennifer Vanessa Rodriguez Hernandez</v>
          </cell>
          <cell r="H1193">
            <v>0</v>
          </cell>
        </row>
        <row r="1194">
          <cell r="F1194">
            <v>315065</v>
          </cell>
          <cell r="G1194" t="str">
            <v>Jennifer Veronica Flores Pineda</v>
          </cell>
          <cell r="H1194">
            <v>0</v>
          </cell>
        </row>
        <row r="1195">
          <cell r="F1195">
            <v>313387</v>
          </cell>
          <cell r="G1195" t="str">
            <v>Jennifer Waleska Arévalo Barrios</v>
          </cell>
          <cell r="H1195">
            <v>0</v>
          </cell>
        </row>
        <row r="1196">
          <cell r="F1196">
            <v>315843</v>
          </cell>
          <cell r="G1196" t="str">
            <v xml:space="preserve">Jennifer Yessenia Perez Morales </v>
          </cell>
          <cell r="H1196">
            <v>0</v>
          </cell>
        </row>
        <row r="1197">
          <cell r="F1197">
            <v>312117</v>
          </cell>
          <cell r="G1197" t="str">
            <v>Jenniffer Jazmin Ramos Madriles</v>
          </cell>
          <cell r="H1197">
            <v>0</v>
          </cell>
        </row>
        <row r="1198">
          <cell r="F1198">
            <v>310238</v>
          </cell>
          <cell r="G1198" t="str">
            <v>Jennyfer Cristina Zamora Rosales</v>
          </cell>
          <cell r="H1198">
            <v>0</v>
          </cell>
        </row>
        <row r="1199">
          <cell r="F1199">
            <v>90025711</v>
          </cell>
          <cell r="G1199" t="str">
            <v xml:space="preserve">Jeremy Moshe Gonzalez Marroquin       </v>
          </cell>
          <cell r="H1199">
            <v>0</v>
          </cell>
        </row>
        <row r="1200">
          <cell r="F1200">
            <v>312732</v>
          </cell>
          <cell r="G1200" t="str">
            <v>Jerson Herminio Melchor Vasquez</v>
          </cell>
          <cell r="H1200">
            <v>0</v>
          </cell>
        </row>
        <row r="1201">
          <cell r="F1201">
            <v>314962</v>
          </cell>
          <cell r="G1201" t="str">
            <v>Jessica Alejandra Castillo Alvarado</v>
          </cell>
          <cell r="H1201">
            <v>0</v>
          </cell>
        </row>
        <row r="1202">
          <cell r="F1202">
            <v>90034453</v>
          </cell>
          <cell r="G1202" t="str">
            <v>Jessica Andrea Leal Reyes</v>
          </cell>
          <cell r="H1202">
            <v>0</v>
          </cell>
        </row>
        <row r="1203">
          <cell r="F1203">
            <v>316188</v>
          </cell>
          <cell r="G1203" t="str">
            <v>Jessica Dayan Ponce Barrios</v>
          </cell>
          <cell r="H1203">
            <v>0</v>
          </cell>
        </row>
        <row r="1204">
          <cell r="F1204">
            <v>314100</v>
          </cell>
          <cell r="G1204" t="str">
            <v>Jessica Elizabeth Perez Noriega</v>
          </cell>
          <cell r="H1204">
            <v>0</v>
          </cell>
        </row>
        <row r="1205">
          <cell r="F1205">
            <v>311601</v>
          </cell>
          <cell r="G1205" t="str">
            <v>Jessica Haydee Garcia Cuyuche</v>
          </cell>
          <cell r="H1205">
            <v>0</v>
          </cell>
        </row>
        <row r="1206">
          <cell r="F1206">
            <v>314620</v>
          </cell>
          <cell r="G1206" t="str">
            <v>Jessica Jasmin Baltazar Fuentes</v>
          </cell>
          <cell r="H1206">
            <v>0</v>
          </cell>
        </row>
        <row r="1207">
          <cell r="F1207">
            <v>302841</v>
          </cell>
          <cell r="G1207" t="str">
            <v>Jessica Maria Jose Santizo Guzman</v>
          </cell>
          <cell r="H1207">
            <v>0</v>
          </cell>
        </row>
        <row r="1208">
          <cell r="F1208">
            <v>311298</v>
          </cell>
          <cell r="G1208" t="str">
            <v>Jessica Meliza Jacobo Carias</v>
          </cell>
          <cell r="H1208">
            <v>0</v>
          </cell>
        </row>
        <row r="1209">
          <cell r="F1209">
            <v>306420</v>
          </cell>
          <cell r="G1209" t="str">
            <v>Jessica Paola Espinoza Solares</v>
          </cell>
          <cell r="H1209">
            <v>0</v>
          </cell>
        </row>
        <row r="1210">
          <cell r="F1210">
            <v>90039498</v>
          </cell>
          <cell r="G1210" t="str">
            <v>Jesus Alberto Lima Diaz</v>
          </cell>
          <cell r="H1210">
            <v>0</v>
          </cell>
        </row>
        <row r="1211">
          <cell r="F1211">
            <v>313826</v>
          </cell>
          <cell r="G1211" t="str">
            <v>Jesus Alberto Vasquez</v>
          </cell>
          <cell r="H1211">
            <v>0</v>
          </cell>
        </row>
        <row r="1212">
          <cell r="F1212">
            <v>314641</v>
          </cell>
          <cell r="G1212" t="str">
            <v>Jesus Emanuel Ramos Perez</v>
          </cell>
          <cell r="H1212">
            <v>0</v>
          </cell>
        </row>
        <row r="1213">
          <cell r="F1213">
            <v>314554</v>
          </cell>
          <cell r="G1213" t="str">
            <v>Jhonatan Alexis Ramos Tecun</v>
          </cell>
          <cell r="H1213">
            <v>0</v>
          </cell>
        </row>
        <row r="1214">
          <cell r="F1214">
            <v>314360</v>
          </cell>
          <cell r="G1214" t="str">
            <v>Jhonatan Fernando Rodriguez Giron</v>
          </cell>
          <cell r="H1214">
            <v>0</v>
          </cell>
        </row>
        <row r="1215">
          <cell r="F1215">
            <v>309115</v>
          </cell>
          <cell r="G1215" t="str">
            <v>Jhony Ivan Perez Castillo</v>
          </cell>
          <cell r="H1215">
            <v>0</v>
          </cell>
        </row>
        <row r="1216">
          <cell r="F1216">
            <v>314978</v>
          </cell>
          <cell r="G1216" t="str">
            <v>Jhoseline Esmeralda Medina Rivas</v>
          </cell>
          <cell r="H1216">
            <v>0</v>
          </cell>
        </row>
        <row r="1217">
          <cell r="F1217">
            <v>90049325</v>
          </cell>
          <cell r="G1217" t="str">
            <v>Jhoselyn Abichel Lool Guox</v>
          </cell>
          <cell r="H1217">
            <v>0</v>
          </cell>
        </row>
        <row r="1218">
          <cell r="F1218">
            <v>311171</v>
          </cell>
          <cell r="G1218" t="str">
            <v>Jhoselyn Guadalupe Aquino Maldonado</v>
          </cell>
          <cell r="H1218">
            <v>0</v>
          </cell>
        </row>
        <row r="1219">
          <cell r="F1219">
            <v>311987</v>
          </cell>
          <cell r="G1219" t="str">
            <v>Jhosseline Stefanie Zermeño Ayala</v>
          </cell>
          <cell r="H1219">
            <v>0</v>
          </cell>
        </row>
        <row r="1220">
          <cell r="F1220">
            <v>315817</v>
          </cell>
          <cell r="G1220" t="str">
            <v>Jhostin Antonio Lopez Aguilar</v>
          </cell>
          <cell r="H1220">
            <v>0</v>
          </cell>
        </row>
        <row r="1221">
          <cell r="F1221">
            <v>314797</v>
          </cell>
          <cell r="G1221" t="str">
            <v>Jimmy Alfredo Coronado Cabrera</v>
          </cell>
          <cell r="H1221">
            <v>0</v>
          </cell>
        </row>
        <row r="1222">
          <cell r="F1222">
            <v>313539</v>
          </cell>
          <cell r="G1222" t="str">
            <v>Joaquin Alonso Murillo Perez</v>
          </cell>
          <cell r="H1222">
            <v>0</v>
          </cell>
        </row>
        <row r="1223">
          <cell r="F1223">
            <v>315116</v>
          </cell>
          <cell r="G1223" t="str">
            <v>Jocelyn Fabiola Negro Vasquez</v>
          </cell>
          <cell r="H1223">
            <v>0</v>
          </cell>
        </row>
        <row r="1224">
          <cell r="F1224">
            <v>314644</v>
          </cell>
          <cell r="G1224" t="str">
            <v>Joel Bernardino Pu Vicente</v>
          </cell>
          <cell r="H1224">
            <v>0</v>
          </cell>
        </row>
        <row r="1225">
          <cell r="F1225">
            <v>311012</v>
          </cell>
          <cell r="G1225" t="str">
            <v>Johan Rodolfo Valencia Bran</v>
          </cell>
          <cell r="H1225">
            <v>0</v>
          </cell>
        </row>
        <row r="1226">
          <cell r="F1226">
            <v>314790</v>
          </cell>
          <cell r="G1226" t="str">
            <v>Johana Vidalia Chach Ixcoy</v>
          </cell>
          <cell r="H1226">
            <v>0</v>
          </cell>
        </row>
        <row r="1227">
          <cell r="F1227">
            <v>314082</v>
          </cell>
          <cell r="G1227" t="str">
            <v>Johanna Amarilis Hernandez Perez</v>
          </cell>
          <cell r="H1227">
            <v>0</v>
          </cell>
        </row>
        <row r="1228">
          <cell r="F1228">
            <v>314368</v>
          </cell>
          <cell r="G1228" t="str">
            <v>Johanna Cecilia Hernandez Ixtecoc</v>
          </cell>
          <cell r="H1228">
            <v>0</v>
          </cell>
        </row>
        <row r="1229">
          <cell r="F1229">
            <v>314339</v>
          </cell>
          <cell r="G1229" t="str">
            <v>Jonatan Estuardo Lopez Gonzalez</v>
          </cell>
          <cell r="H1229">
            <v>0</v>
          </cell>
        </row>
        <row r="1230">
          <cell r="F1230">
            <v>313157</v>
          </cell>
          <cell r="G1230" t="str">
            <v>Jonatan Guillermo Soto Urbina</v>
          </cell>
          <cell r="H1230">
            <v>0</v>
          </cell>
        </row>
        <row r="1231">
          <cell r="F1231">
            <v>90028954</v>
          </cell>
          <cell r="G1231" t="str">
            <v>Jonatan Marel Guerra Guerra</v>
          </cell>
          <cell r="H1231">
            <v>0</v>
          </cell>
        </row>
        <row r="1232">
          <cell r="F1232">
            <v>315777</v>
          </cell>
          <cell r="G1232" t="str">
            <v>Jonatan Mauricio Padilla Marroquin</v>
          </cell>
          <cell r="H1232">
            <v>0</v>
          </cell>
        </row>
        <row r="1233">
          <cell r="F1233">
            <v>315896</v>
          </cell>
          <cell r="G1233" t="str">
            <v>Jonathan Anelka Sac Sandoval</v>
          </cell>
          <cell r="H1233">
            <v>0</v>
          </cell>
        </row>
        <row r="1234">
          <cell r="F1234">
            <v>315492</v>
          </cell>
          <cell r="G1234" t="str">
            <v>Jonathan Daniel Perez Marroquin</v>
          </cell>
          <cell r="H1234">
            <v>0</v>
          </cell>
        </row>
        <row r="1235">
          <cell r="F1235">
            <v>315156</v>
          </cell>
          <cell r="G1235" t="str">
            <v>Jonathan Donely Sandoval Soch</v>
          </cell>
          <cell r="H1235">
            <v>0</v>
          </cell>
        </row>
        <row r="1236">
          <cell r="F1236">
            <v>315451</v>
          </cell>
          <cell r="G1236" t="str">
            <v>Jonathan Estuardo Boteo Hernandez</v>
          </cell>
          <cell r="H1236">
            <v>0</v>
          </cell>
        </row>
        <row r="1237">
          <cell r="F1237">
            <v>90040461</v>
          </cell>
          <cell r="G1237" t="str">
            <v xml:space="preserve">Jonathan Fernando Gomez Villatoro          </v>
          </cell>
          <cell r="H1237">
            <v>0</v>
          </cell>
        </row>
        <row r="1238">
          <cell r="F1238">
            <v>90033814</v>
          </cell>
          <cell r="G1238" t="str">
            <v>Jonathan Mairon Bolaños Zepeda</v>
          </cell>
          <cell r="H1238">
            <v>0</v>
          </cell>
        </row>
        <row r="1239">
          <cell r="F1239">
            <v>313003</v>
          </cell>
          <cell r="G1239" t="str">
            <v>Jonathan Renato Chete Urias</v>
          </cell>
          <cell r="H1239">
            <v>0</v>
          </cell>
        </row>
        <row r="1240">
          <cell r="F1240">
            <v>309852</v>
          </cell>
          <cell r="G1240" t="str">
            <v>Jonathan Rene Villavicencio Soto</v>
          </cell>
          <cell r="H1240">
            <v>0</v>
          </cell>
        </row>
        <row r="1241">
          <cell r="F1241">
            <v>314846</v>
          </cell>
          <cell r="G1241" t="str">
            <v>Jonnathan Josue Rodas Florian</v>
          </cell>
          <cell r="H1241">
            <v>0</v>
          </cell>
        </row>
        <row r="1242">
          <cell r="F1242">
            <v>310126</v>
          </cell>
          <cell r="G1242" t="str">
            <v>Jony Estuardo Gamarro Chinchilla</v>
          </cell>
          <cell r="H1242">
            <v>0</v>
          </cell>
        </row>
        <row r="1243">
          <cell r="F1243">
            <v>314228</v>
          </cell>
          <cell r="G1243" t="str">
            <v>Jordi Alexander Yuman Ramos</v>
          </cell>
          <cell r="H1243">
            <v>0</v>
          </cell>
        </row>
        <row r="1244">
          <cell r="F1244">
            <v>311075</v>
          </cell>
          <cell r="G1244" t="str">
            <v>Jorge Alberto Buch Patzan</v>
          </cell>
          <cell r="H1244">
            <v>0</v>
          </cell>
        </row>
        <row r="1245">
          <cell r="F1245">
            <v>311299</v>
          </cell>
          <cell r="G1245" t="str">
            <v>Jorge Alexander Herrera Chinchilla</v>
          </cell>
          <cell r="H1245">
            <v>0</v>
          </cell>
        </row>
        <row r="1246">
          <cell r="F1246">
            <v>312709</v>
          </cell>
          <cell r="G1246" t="str">
            <v>Jorge Alfonso Hernandez Chinchilla</v>
          </cell>
          <cell r="H1246">
            <v>0</v>
          </cell>
        </row>
        <row r="1247">
          <cell r="F1247">
            <v>305955</v>
          </cell>
          <cell r="G1247" t="str">
            <v>Jorge Alfredo Gutierrez Rodriguez</v>
          </cell>
          <cell r="H1247">
            <v>0</v>
          </cell>
        </row>
        <row r="1248">
          <cell r="F1248">
            <v>309695</v>
          </cell>
          <cell r="G1248" t="str">
            <v>Jorge Andres Sunum Sacul</v>
          </cell>
          <cell r="H1248">
            <v>0</v>
          </cell>
        </row>
        <row r="1249">
          <cell r="F1249">
            <v>310641</v>
          </cell>
          <cell r="G1249" t="str">
            <v>Jorge Antonio Ramirez Sicay</v>
          </cell>
          <cell r="H1249">
            <v>0</v>
          </cell>
        </row>
        <row r="1250">
          <cell r="F1250">
            <v>300150</v>
          </cell>
          <cell r="G1250" t="str">
            <v>Jorge Ckristian Murga</v>
          </cell>
          <cell r="H1250">
            <v>0</v>
          </cell>
        </row>
        <row r="1251">
          <cell r="F1251">
            <v>90033656</v>
          </cell>
          <cell r="G1251" t="str">
            <v>Jorge Daniel Nerio Reyes</v>
          </cell>
          <cell r="H1251">
            <v>0</v>
          </cell>
        </row>
        <row r="1252">
          <cell r="F1252">
            <v>314761</v>
          </cell>
          <cell r="G1252" t="str">
            <v>Jorge Eduardo Fonseca Palacios</v>
          </cell>
          <cell r="H1252">
            <v>0</v>
          </cell>
        </row>
        <row r="1253">
          <cell r="F1253">
            <v>315114</v>
          </cell>
          <cell r="G1253" t="str">
            <v>Jorge Enrique Tzic Cruz</v>
          </cell>
          <cell r="H1253">
            <v>0</v>
          </cell>
        </row>
        <row r="1254">
          <cell r="F1254">
            <v>314436</v>
          </cell>
          <cell r="G1254" t="str">
            <v xml:space="preserve">Jorge Francisco Saban Lopez </v>
          </cell>
          <cell r="H1254">
            <v>0</v>
          </cell>
        </row>
        <row r="1255">
          <cell r="F1255">
            <v>300590</v>
          </cell>
          <cell r="G1255" t="str">
            <v>Jorge Luis Hernandez Corado</v>
          </cell>
          <cell r="H1255">
            <v>0</v>
          </cell>
        </row>
        <row r="1256">
          <cell r="F1256">
            <v>312369</v>
          </cell>
          <cell r="G1256" t="str">
            <v>Jorge Luis Hernandez Juarez</v>
          </cell>
          <cell r="H1256">
            <v>0</v>
          </cell>
        </row>
        <row r="1257">
          <cell r="F1257">
            <v>90039661</v>
          </cell>
          <cell r="G1257" t="str">
            <v>Jorge Luis Medrano Ramírez</v>
          </cell>
          <cell r="H1257">
            <v>0</v>
          </cell>
        </row>
        <row r="1258">
          <cell r="F1258">
            <v>315173</v>
          </cell>
          <cell r="G1258" t="str">
            <v>Jorge Luis Morales Lopez</v>
          </cell>
          <cell r="H1258">
            <v>0</v>
          </cell>
        </row>
        <row r="1259">
          <cell r="F1259">
            <v>315067</v>
          </cell>
          <cell r="G1259" t="str">
            <v>Jorge Luis Rizo Melgar</v>
          </cell>
          <cell r="H1259">
            <v>0</v>
          </cell>
        </row>
        <row r="1260">
          <cell r="F1260">
            <v>316285</v>
          </cell>
          <cell r="G1260" t="str">
            <v>Jorge Mario Castañeda Ramos</v>
          </cell>
          <cell r="H1260">
            <v>0</v>
          </cell>
        </row>
        <row r="1261">
          <cell r="F1261">
            <v>315784</v>
          </cell>
          <cell r="G1261" t="str">
            <v xml:space="preserve">Jorge Mario Sic </v>
          </cell>
          <cell r="H1261">
            <v>0</v>
          </cell>
        </row>
        <row r="1262">
          <cell r="F1262">
            <v>309498</v>
          </cell>
          <cell r="G1262" t="str">
            <v>Jorge Ramiro Ixpec Tinti</v>
          </cell>
          <cell r="H1262">
            <v>0</v>
          </cell>
        </row>
        <row r="1263">
          <cell r="F1263">
            <v>313405</v>
          </cell>
          <cell r="G1263" t="str">
            <v>Josabet Anai Paz Lobos</v>
          </cell>
          <cell r="H1263">
            <v>0</v>
          </cell>
        </row>
        <row r="1264">
          <cell r="F1264">
            <v>90039186</v>
          </cell>
          <cell r="G1264" t="str">
            <v>Jose Adelso Lem Sun</v>
          </cell>
          <cell r="H1264">
            <v>0</v>
          </cell>
        </row>
        <row r="1265">
          <cell r="F1265">
            <v>315268</v>
          </cell>
          <cell r="G1265" t="str">
            <v>Jose Alberto Alveno Chacon</v>
          </cell>
          <cell r="H1265">
            <v>0</v>
          </cell>
        </row>
        <row r="1266">
          <cell r="F1266">
            <v>312319</v>
          </cell>
          <cell r="G1266" t="str">
            <v>Jose Alberto Sosa</v>
          </cell>
          <cell r="H1266">
            <v>0</v>
          </cell>
        </row>
        <row r="1267">
          <cell r="F1267">
            <v>313114</v>
          </cell>
          <cell r="G1267" t="str">
            <v xml:space="preserve">Jose Albino Albeño Galicia </v>
          </cell>
          <cell r="H1267">
            <v>0</v>
          </cell>
        </row>
        <row r="1268">
          <cell r="F1268">
            <v>314171</v>
          </cell>
          <cell r="G1268" t="str">
            <v>Jose Alejandro Carrera Tecun</v>
          </cell>
          <cell r="H1268">
            <v>0</v>
          </cell>
        </row>
        <row r="1269">
          <cell r="F1269">
            <v>90012193</v>
          </cell>
          <cell r="G1269" t="str">
            <v xml:space="preserve">Jose Alejandro Coronado Galindo </v>
          </cell>
          <cell r="H1269">
            <v>0</v>
          </cell>
        </row>
        <row r="1270">
          <cell r="F1270">
            <v>315039</v>
          </cell>
          <cell r="G1270" t="str">
            <v>Jose Alejandro Hernandez Escobar</v>
          </cell>
          <cell r="H1270">
            <v>0</v>
          </cell>
        </row>
        <row r="1271">
          <cell r="F1271">
            <v>90041208</v>
          </cell>
          <cell r="G1271" t="str">
            <v>Jose Andres Merida Jimenez</v>
          </cell>
          <cell r="H1271">
            <v>0</v>
          </cell>
        </row>
        <row r="1272">
          <cell r="F1272">
            <v>90034730</v>
          </cell>
          <cell r="G1272" t="str">
            <v>Jose Angel Choguix Peren</v>
          </cell>
          <cell r="H1272">
            <v>0</v>
          </cell>
        </row>
        <row r="1273">
          <cell r="F1273">
            <v>313983</v>
          </cell>
          <cell r="G1273" t="str">
            <v>Jose Anibal Reyes Sandoval</v>
          </cell>
          <cell r="H1273">
            <v>0</v>
          </cell>
        </row>
        <row r="1274">
          <cell r="F1274">
            <v>90033458</v>
          </cell>
          <cell r="G1274" t="str">
            <v>Jose Antonio Simaj Castro</v>
          </cell>
          <cell r="H1274">
            <v>0</v>
          </cell>
        </row>
        <row r="1275">
          <cell r="F1275">
            <v>310674</v>
          </cell>
          <cell r="G1275" t="str">
            <v>Jose Armando Bamaca De Leon</v>
          </cell>
          <cell r="H1275">
            <v>0</v>
          </cell>
        </row>
        <row r="1276">
          <cell r="F1276">
            <v>314911</v>
          </cell>
          <cell r="G1276" t="str">
            <v>Jose Armando Valdez Juarez</v>
          </cell>
          <cell r="H1276">
            <v>0</v>
          </cell>
        </row>
        <row r="1277">
          <cell r="F1277">
            <v>305979</v>
          </cell>
          <cell r="G1277" t="str">
            <v>Jose Arturo Gonzalez Garcia</v>
          </cell>
          <cell r="H1277">
            <v>0</v>
          </cell>
        </row>
        <row r="1278">
          <cell r="F1278">
            <v>313612</v>
          </cell>
          <cell r="G1278" t="str">
            <v>Jose Baldemar Galicia Muñoz</v>
          </cell>
          <cell r="H1278">
            <v>0</v>
          </cell>
        </row>
        <row r="1279">
          <cell r="F1279">
            <v>314216</v>
          </cell>
          <cell r="G1279" t="str">
            <v>Jose Bernardo Yax Pop</v>
          </cell>
          <cell r="H1279">
            <v>0</v>
          </cell>
        </row>
        <row r="1280">
          <cell r="F1280">
            <v>314504</v>
          </cell>
          <cell r="G1280" t="str">
            <v>Jose Carlos Lopez Santisteban</v>
          </cell>
          <cell r="H1280">
            <v>0</v>
          </cell>
        </row>
        <row r="1281">
          <cell r="F1281">
            <v>315390</v>
          </cell>
          <cell r="G1281" t="str">
            <v>Jose Carlos Morales</v>
          </cell>
          <cell r="H1281">
            <v>0</v>
          </cell>
        </row>
        <row r="1282">
          <cell r="F1282">
            <v>310673</v>
          </cell>
          <cell r="G1282" t="str">
            <v>Jose Carlos Orozco Lopez</v>
          </cell>
          <cell r="H1282">
            <v>0</v>
          </cell>
        </row>
        <row r="1283">
          <cell r="F1283">
            <v>314301</v>
          </cell>
          <cell r="G1283" t="str">
            <v>Jose Carlos Puluc</v>
          </cell>
          <cell r="H1283">
            <v>0</v>
          </cell>
        </row>
        <row r="1284">
          <cell r="F1284">
            <v>308982</v>
          </cell>
          <cell r="G1284" t="str">
            <v>Jose Daniel Sosa Torres</v>
          </cell>
          <cell r="H1284">
            <v>0</v>
          </cell>
        </row>
        <row r="1285">
          <cell r="F1285">
            <v>314898</v>
          </cell>
          <cell r="G1285" t="str">
            <v>Jose Danilo Chacar Saguach</v>
          </cell>
          <cell r="H1285">
            <v>0</v>
          </cell>
        </row>
        <row r="1286">
          <cell r="F1286">
            <v>315939</v>
          </cell>
          <cell r="G1286" t="str">
            <v>Jose David Bamaca Salazar</v>
          </cell>
          <cell r="H1286">
            <v>0</v>
          </cell>
        </row>
        <row r="1287">
          <cell r="F1287">
            <v>314510</v>
          </cell>
          <cell r="G1287" t="str">
            <v>Jose David Flores Enriquez</v>
          </cell>
          <cell r="H1287">
            <v>0</v>
          </cell>
        </row>
        <row r="1288">
          <cell r="F1288">
            <v>315692</v>
          </cell>
          <cell r="G1288" t="str">
            <v>Jose David Jimenez Valle</v>
          </cell>
          <cell r="H1288">
            <v>0</v>
          </cell>
        </row>
        <row r="1289">
          <cell r="F1289">
            <v>90039941</v>
          </cell>
          <cell r="G1289" t="str">
            <v xml:space="preserve">Jose Domingo Chub Cao </v>
          </cell>
          <cell r="H1289">
            <v>0</v>
          </cell>
        </row>
        <row r="1290">
          <cell r="F1290">
            <v>308558</v>
          </cell>
          <cell r="G1290" t="str">
            <v>Jose Emilio Yuman Roche</v>
          </cell>
          <cell r="H1290">
            <v>0</v>
          </cell>
        </row>
        <row r="1291">
          <cell r="F1291">
            <v>315261</v>
          </cell>
          <cell r="G1291" t="str">
            <v>Jose Emmanuel Ixcajo Higueros</v>
          </cell>
          <cell r="H1291">
            <v>0</v>
          </cell>
        </row>
        <row r="1292">
          <cell r="F1292">
            <v>316177</v>
          </cell>
          <cell r="G1292" t="str">
            <v>Jose Fernando Chivalan</v>
          </cell>
          <cell r="H1292">
            <v>0</v>
          </cell>
        </row>
        <row r="1293">
          <cell r="F1293">
            <v>90049488</v>
          </cell>
          <cell r="G1293" t="str">
            <v>Jose Fernando Hernandez Elias</v>
          </cell>
          <cell r="H1293">
            <v>0</v>
          </cell>
        </row>
        <row r="1294">
          <cell r="F1294">
            <v>313766</v>
          </cell>
          <cell r="G1294" t="str">
            <v>Jose Francisco Aquino Monterroso</v>
          </cell>
          <cell r="H1294">
            <v>0</v>
          </cell>
        </row>
        <row r="1295">
          <cell r="F1295">
            <v>314907</v>
          </cell>
          <cell r="G1295" t="str">
            <v>Jose Gabriel Armas Sandoval</v>
          </cell>
          <cell r="H1295">
            <v>0</v>
          </cell>
        </row>
        <row r="1296">
          <cell r="F1296">
            <v>314842</v>
          </cell>
          <cell r="G1296" t="str">
            <v>Jose Geovanni Castañeda Galindo</v>
          </cell>
          <cell r="H1296">
            <v>0</v>
          </cell>
        </row>
        <row r="1297">
          <cell r="F1297">
            <v>313008</v>
          </cell>
          <cell r="G1297" t="str">
            <v>Jose Guillermo Ixen Queche</v>
          </cell>
          <cell r="H1297">
            <v>0</v>
          </cell>
        </row>
        <row r="1298">
          <cell r="F1298">
            <v>315415</v>
          </cell>
          <cell r="G1298" t="str">
            <v>Jose Guillermo Marroquin Alvarado</v>
          </cell>
          <cell r="H1298">
            <v>0</v>
          </cell>
        </row>
        <row r="1299">
          <cell r="F1299">
            <v>90040627</v>
          </cell>
          <cell r="G1299" t="str">
            <v>Jose Leon Choguaj Tojin</v>
          </cell>
          <cell r="H1299">
            <v>0</v>
          </cell>
        </row>
        <row r="1300">
          <cell r="F1300">
            <v>90025190</v>
          </cell>
          <cell r="G1300" t="str">
            <v>Jose Leonel Abac Orellana</v>
          </cell>
          <cell r="H1300">
            <v>0</v>
          </cell>
        </row>
        <row r="1301">
          <cell r="F1301">
            <v>305181</v>
          </cell>
          <cell r="G1301" t="str">
            <v>Jose Luis Chay Machic</v>
          </cell>
          <cell r="H1301">
            <v>0</v>
          </cell>
        </row>
        <row r="1302">
          <cell r="F1302">
            <v>306915</v>
          </cell>
          <cell r="G1302" t="str">
            <v>Jose Luis Chinchilla</v>
          </cell>
          <cell r="H1302">
            <v>0</v>
          </cell>
        </row>
        <row r="1303">
          <cell r="F1303">
            <v>313642</v>
          </cell>
          <cell r="G1303" t="str">
            <v>Jose Luis Landaverry Arana</v>
          </cell>
          <cell r="H1303">
            <v>0</v>
          </cell>
        </row>
        <row r="1304">
          <cell r="F1304">
            <v>314746</v>
          </cell>
          <cell r="G1304" t="str">
            <v>Jose Luis Quisquinay Inay</v>
          </cell>
          <cell r="H1304">
            <v>0</v>
          </cell>
        </row>
        <row r="1305">
          <cell r="F1305">
            <v>309765</v>
          </cell>
          <cell r="G1305" t="str">
            <v>Jose Luis Velasquez Miche</v>
          </cell>
          <cell r="H1305">
            <v>0</v>
          </cell>
        </row>
        <row r="1306">
          <cell r="F1306">
            <v>314262</v>
          </cell>
          <cell r="G1306" t="str">
            <v>Jose Manuel Carreto Lopez</v>
          </cell>
          <cell r="H1306">
            <v>0</v>
          </cell>
        </row>
        <row r="1307">
          <cell r="F1307">
            <v>316190</v>
          </cell>
          <cell r="G1307" t="str">
            <v>Jose Manuel Mellado Esquibel</v>
          </cell>
          <cell r="H1307">
            <v>0</v>
          </cell>
        </row>
        <row r="1308">
          <cell r="F1308">
            <v>315073</v>
          </cell>
          <cell r="G1308" t="str">
            <v xml:space="preserve">Jose Manuel Molina Gaitan </v>
          </cell>
          <cell r="H1308">
            <v>0</v>
          </cell>
        </row>
        <row r="1309">
          <cell r="F1309">
            <v>315487</v>
          </cell>
          <cell r="G1309" t="str">
            <v>Jose Manuel Vasquez Osoy</v>
          </cell>
          <cell r="H1309">
            <v>0</v>
          </cell>
        </row>
        <row r="1310">
          <cell r="F1310">
            <v>304892</v>
          </cell>
          <cell r="G1310" t="str">
            <v>Jose Mario Alberto Ordoñez Quiñonez</v>
          </cell>
          <cell r="H1310">
            <v>0</v>
          </cell>
        </row>
        <row r="1311">
          <cell r="F1311">
            <v>313023</v>
          </cell>
          <cell r="G1311" t="str">
            <v>Jose Miguel Angel Noj Aguilar</v>
          </cell>
          <cell r="H1311">
            <v>0</v>
          </cell>
        </row>
        <row r="1312">
          <cell r="F1312">
            <v>312573</v>
          </cell>
          <cell r="G1312" t="str">
            <v>Jose Miguel Santos Roca</v>
          </cell>
          <cell r="H1312">
            <v>0</v>
          </cell>
        </row>
        <row r="1313">
          <cell r="F1313">
            <v>313233</v>
          </cell>
          <cell r="G1313" t="str">
            <v>Jose Miguel Silva Contreras</v>
          </cell>
          <cell r="H1313">
            <v>0</v>
          </cell>
        </row>
        <row r="1314">
          <cell r="F1314">
            <v>314013</v>
          </cell>
          <cell r="G1314" t="str">
            <v>Jose Orlando Lopez Matzar</v>
          </cell>
          <cell r="H1314">
            <v>0</v>
          </cell>
        </row>
        <row r="1315">
          <cell r="F1315">
            <v>313996</v>
          </cell>
          <cell r="G1315" t="str">
            <v>Jose Oscar Antonio Morales</v>
          </cell>
          <cell r="H1315">
            <v>0</v>
          </cell>
        </row>
        <row r="1316">
          <cell r="F1316">
            <v>90028739</v>
          </cell>
          <cell r="G1316" t="str">
            <v xml:space="preserve">Jose Rene Salas Macal </v>
          </cell>
          <cell r="H1316">
            <v>0</v>
          </cell>
        </row>
        <row r="1317">
          <cell r="F1317">
            <v>311802</v>
          </cell>
          <cell r="G1317" t="str">
            <v>Jose Roberto Samayoa Bernal</v>
          </cell>
          <cell r="H1317">
            <v>0</v>
          </cell>
        </row>
        <row r="1318">
          <cell r="F1318">
            <v>314614</v>
          </cell>
          <cell r="G1318" t="str">
            <v>Jose Rodrigo Choc Turcios</v>
          </cell>
          <cell r="H1318">
            <v>0</v>
          </cell>
        </row>
        <row r="1319">
          <cell r="F1319">
            <v>90040333</v>
          </cell>
          <cell r="G1319" t="str">
            <v xml:space="preserve">Joselin Carolina Matzir Perez </v>
          </cell>
          <cell r="H1319">
            <v>0</v>
          </cell>
        </row>
        <row r="1320">
          <cell r="F1320">
            <v>90040767</v>
          </cell>
          <cell r="G1320" t="str">
            <v>Joselin Gabriela Vasquez Vivas</v>
          </cell>
          <cell r="H1320">
            <v>0</v>
          </cell>
        </row>
        <row r="1321">
          <cell r="F1321">
            <v>314729</v>
          </cell>
          <cell r="G1321" t="str">
            <v>Joselin Rocio Galicia Mendez</v>
          </cell>
          <cell r="H1321">
            <v>0</v>
          </cell>
        </row>
        <row r="1322">
          <cell r="F1322">
            <v>315641</v>
          </cell>
          <cell r="G1322" t="str">
            <v>Joseline Beatriz Martinez Vasquez</v>
          </cell>
          <cell r="H1322">
            <v>0</v>
          </cell>
        </row>
        <row r="1323">
          <cell r="F1323">
            <v>315496</v>
          </cell>
          <cell r="G1323" t="str">
            <v>Joseline Otilia Lorenzana Obando</v>
          </cell>
          <cell r="H1323">
            <v>0</v>
          </cell>
        </row>
        <row r="1324">
          <cell r="F1324">
            <v>90034559</v>
          </cell>
          <cell r="G1324" t="str">
            <v xml:space="preserve">Joseline Paola Morales Tan </v>
          </cell>
          <cell r="H1324">
            <v>0</v>
          </cell>
        </row>
        <row r="1325">
          <cell r="F1325">
            <v>90028184</v>
          </cell>
          <cell r="G1325" t="str">
            <v>Joseline Yolanda Lopez Visioni</v>
          </cell>
          <cell r="H1325">
            <v>0</v>
          </cell>
        </row>
        <row r="1326">
          <cell r="F1326">
            <v>90032911</v>
          </cell>
          <cell r="G1326" t="str">
            <v>Joselinne Indira Montufar Garcia</v>
          </cell>
          <cell r="H1326">
            <v>0</v>
          </cell>
        </row>
        <row r="1327">
          <cell r="F1327">
            <v>310302</v>
          </cell>
          <cell r="G1327" t="str">
            <v>Joselyn Amparo Jolon Arenas</v>
          </cell>
          <cell r="H1327">
            <v>0</v>
          </cell>
        </row>
        <row r="1328">
          <cell r="F1328">
            <v>90033870</v>
          </cell>
          <cell r="G1328" t="str">
            <v>Joselyn Fabiola Lucero Vanegas</v>
          </cell>
          <cell r="H1328">
            <v>0</v>
          </cell>
        </row>
        <row r="1329">
          <cell r="F1329">
            <v>308875</v>
          </cell>
          <cell r="G1329" t="str">
            <v>Joselyn Manuela Sandoval De Leon</v>
          </cell>
          <cell r="H1329">
            <v>0</v>
          </cell>
        </row>
        <row r="1330">
          <cell r="F1330">
            <v>90034560</v>
          </cell>
          <cell r="G1330" t="str">
            <v>Joselyn Rossmery Bailon García</v>
          </cell>
          <cell r="H1330">
            <v>0</v>
          </cell>
        </row>
        <row r="1331">
          <cell r="F1331">
            <v>313361</v>
          </cell>
          <cell r="G1331" t="str">
            <v>Joselyne Elizabeth Sanchez Rodriguez</v>
          </cell>
          <cell r="H1331">
            <v>0</v>
          </cell>
        </row>
        <row r="1332">
          <cell r="F1332">
            <v>309870</v>
          </cell>
          <cell r="G1332" t="str">
            <v>Joselyne Gabriela Ruiz Serra</v>
          </cell>
          <cell r="H1332">
            <v>0</v>
          </cell>
        </row>
        <row r="1333">
          <cell r="F1333">
            <v>316122</v>
          </cell>
          <cell r="G1333" t="str">
            <v>Josh Esdras Manuel Baiza Herrera</v>
          </cell>
          <cell r="H1333">
            <v>0</v>
          </cell>
        </row>
        <row r="1334">
          <cell r="F1334">
            <v>311407</v>
          </cell>
          <cell r="G1334" t="str">
            <v>Joshelyn Andrea Ozuna Rosales</v>
          </cell>
          <cell r="H1334">
            <v>0</v>
          </cell>
        </row>
        <row r="1335">
          <cell r="F1335">
            <v>315066</v>
          </cell>
          <cell r="G1335" t="str">
            <v>Joshua Leonel Pardo Carrera</v>
          </cell>
          <cell r="H1335">
            <v>0</v>
          </cell>
        </row>
        <row r="1336">
          <cell r="F1336">
            <v>314433</v>
          </cell>
          <cell r="G1336" t="str">
            <v>Josselin Azucena Cortez Hernandez</v>
          </cell>
          <cell r="H1336">
            <v>0</v>
          </cell>
        </row>
        <row r="1337">
          <cell r="F1337">
            <v>90046186</v>
          </cell>
          <cell r="G1337" t="str">
            <v>Josseline Lorena Hernandez Hurtado</v>
          </cell>
          <cell r="H1337">
            <v>0</v>
          </cell>
        </row>
        <row r="1338">
          <cell r="F1338">
            <v>315560</v>
          </cell>
          <cell r="G1338" t="str">
            <v>Josseline Maribel Sarceno Guerra</v>
          </cell>
          <cell r="H1338">
            <v>0</v>
          </cell>
        </row>
        <row r="1339">
          <cell r="F1339">
            <v>314268</v>
          </cell>
          <cell r="G1339" t="str">
            <v>Josseline Mishel Flores Baren</v>
          </cell>
          <cell r="H1339">
            <v>0</v>
          </cell>
        </row>
        <row r="1340">
          <cell r="F1340">
            <v>309110</v>
          </cell>
          <cell r="G1340" t="str">
            <v>Josselyn Fabiola Xunic Taquiej</v>
          </cell>
          <cell r="H1340">
            <v>0</v>
          </cell>
        </row>
        <row r="1341">
          <cell r="F1341">
            <v>309102</v>
          </cell>
          <cell r="G1341" t="str">
            <v>Josselyn Jasmin Asencio Revolorio De Lopez</v>
          </cell>
          <cell r="H1341">
            <v>0</v>
          </cell>
        </row>
        <row r="1342">
          <cell r="F1342">
            <v>313034</v>
          </cell>
          <cell r="G1342" t="str">
            <v>Josselyn Raab Morales Arana</v>
          </cell>
          <cell r="H1342">
            <v>0</v>
          </cell>
        </row>
        <row r="1343">
          <cell r="F1343">
            <v>315925</v>
          </cell>
          <cell r="G1343" t="str">
            <v>Josthyn Raul Pardo Obregon</v>
          </cell>
          <cell r="H1343">
            <v>0</v>
          </cell>
        </row>
        <row r="1344">
          <cell r="F1344">
            <v>314989</v>
          </cell>
          <cell r="G1344" t="str">
            <v>Josue Adrian Gutierrez Garcia</v>
          </cell>
          <cell r="H1344">
            <v>0</v>
          </cell>
        </row>
        <row r="1345">
          <cell r="F1345">
            <v>90045911</v>
          </cell>
          <cell r="G1345" t="str">
            <v>Josue Antonio Avila Cuxe</v>
          </cell>
          <cell r="H1345">
            <v>0</v>
          </cell>
        </row>
        <row r="1346">
          <cell r="F1346">
            <v>315812</v>
          </cell>
          <cell r="G1346" t="str">
            <v>Josue Felipe Lopez Tojin</v>
          </cell>
          <cell r="H1346">
            <v>0</v>
          </cell>
        </row>
        <row r="1347">
          <cell r="F1347">
            <v>308461</v>
          </cell>
          <cell r="G1347" t="str">
            <v>Josue Gamaliel Rivera</v>
          </cell>
          <cell r="H1347">
            <v>0</v>
          </cell>
        </row>
        <row r="1348">
          <cell r="F1348">
            <v>315155</v>
          </cell>
          <cell r="G1348" t="str">
            <v>Josue Helaman Delgado Rivera</v>
          </cell>
          <cell r="H1348">
            <v>0</v>
          </cell>
        </row>
        <row r="1349">
          <cell r="F1349">
            <v>90040296</v>
          </cell>
          <cell r="G1349" t="str">
            <v>Josue Isaias Gomez Braco</v>
          </cell>
          <cell r="H1349">
            <v>0</v>
          </cell>
        </row>
        <row r="1350">
          <cell r="F1350">
            <v>315011</v>
          </cell>
          <cell r="G1350" t="str">
            <v>Josue Ivan Escobar De Leon</v>
          </cell>
          <cell r="H1350">
            <v>0</v>
          </cell>
        </row>
        <row r="1351">
          <cell r="F1351">
            <v>313389</v>
          </cell>
          <cell r="G1351" t="str">
            <v>Josue Leonel Hernandez Diaz</v>
          </cell>
          <cell r="H1351">
            <v>0</v>
          </cell>
        </row>
        <row r="1352">
          <cell r="F1352">
            <v>90039317</v>
          </cell>
          <cell r="G1352" t="str">
            <v>Josue Miguel Perez Donis</v>
          </cell>
          <cell r="H1352">
            <v>0</v>
          </cell>
        </row>
        <row r="1353">
          <cell r="F1353">
            <v>314490</v>
          </cell>
          <cell r="G1353" t="str">
            <v xml:space="preserve">Josue Omar Rosas Vasquez </v>
          </cell>
          <cell r="H1353">
            <v>0</v>
          </cell>
        </row>
        <row r="1354">
          <cell r="F1354">
            <v>316250</v>
          </cell>
          <cell r="G1354" t="str">
            <v>Josue Orlando Lopez Gonzalez</v>
          </cell>
          <cell r="H1354">
            <v>0</v>
          </cell>
        </row>
        <row r="1355">
          <cell r="F1355">
            <v>301059</v>
          </cell>
          <cell r="G1355" t="str">
            <v>Jovita Vasquez Cuestas</v>
          </cell>
          <cell r="H1355">
            <v>0</v>
          </cell>
        </row>
        <row r="1356">
          <cell r="F1356">
            <v>314492</v>
          </cell>
          <cell r="G1356" t="str">
            <v>Juan Antonio Alvarez Paniagua</v>
          </cell>
          <cell r="H1356">
            <v>0</v>
          </cell>
        </row>
        <row r="1357">
          <cell r="F1357">
            <v>311662</v>
          </cell>
          <cell r="G1357" t="str">
            <v>Juan Antonio Juarez Recinos</v>
          </cell>
          <cell r="H1357">
            <v>0</v>
          </cell>
        </row>
        <row r="1358">
          <cell r="F1358">
            <v>308405</v>
          </cell>
          <cell r="G1358" t="str">
            <v>Juan Aquino Rac</v>
          </cell>
          <cell r="H1358">
            <v>0</v>
          </cell>
        </row>
        <row r="1359">
          <cell r="F1359">
            <v>315983</v>
          </cell>
          <cell r="G1359" t="str">
            <v>Juan Carlos Alvarez Chinchilla</v>
          </cell>
          <cell r="H1359">
            <v>0</v>
          </cell>
        </row>
        <row r="1360">
          <cell r="F1360">
            <v>316359</v>
          </cell>
          <cell r="G1360" t="str">
            <v>Juan Carlos Diaz Esteban</v>
          </cell>
          <cell r="H1360">
            <v>0</v>
          </cell>
        </row>
        <row r="1361">
          <cell r="F1361">
            <v>316423</v>
          </cell>
          <cell r="G1361" t="str">
            <v xml:space="preserve">Juan Carlos Emmanuel Cruz Co </v>
          </cell>
          <cell r="H1361">
            <v>0</v>
          </cell>
        </row>
        <row r="1362">
          <cell r="F1362">
            <v>314452</v>
          </cell>
          <cell r="G1362" t="str">
            <v>Juan Carlos Ivan Garcia Garcia</v>
          </cell>
          <cell r="H1362">
            <v>0</v>
          </cell>
        </row>
        <row r="1363">
          <cell r="F1363">
            <v>316056</v>
          </cell>
          <cell r="G1363" t="str">
            <v>Juan Carlos Lucas Lucas</v>
          </cell>
          <cell r="H1363">
            <v>0</v>
          </cell>
        </row>
        <row r="1364">
          <cell r="F1364">
            <v>313594</v>
          </cell>
          <cell r="G1364" t="str">
            <v>Juan Carlos Molina Ramirez</v>
          </cell>
          <cell r="H1364">
            <v>0</v>
          </cell>
        </row>
        <row r="1365">
          <cell r="F1365">
            <v>307279</v>
          </cell>
          <cell r="G1365" t="str">
            <v>Juan Carlos Perez Cahueque</v>
          </cell>
          <cell r="H1365">
            <v>0</v>
          </cell>
        </row>
        <row r="1366">
          <cell r="F1366">
            <v>90029257</v>
          </cell>
          <cell r="G1366" t="str">
            <v>Juan Carlos Salazar Medina</v>
          </cell>
          <cell r="H1366">
            <v>0</v>
          </cell>
        </row>
        <row r="1367">
          <cell r="F1367">
            <v>315455</v>
          </cell>
          <cell r="G1367" t="str">
            <v>Juan Daniel Davila Juarez</v>
          </cell>
          <cell r="H1367">
            <v>0</v>
          </cell>
        </row>
        <row r="1368">
          <cell r="F1368">
            <v>90039013</v>
          </cell>
          <cell r="G1368" t="str">
            <v>Juan Daniel Molina Alvarado</v>
          </cell>
          <cell r="H1368">
            <v>0</v>
          </cell>
        </row>
        <row r="1369">
          <cell r="F1369">
            <v>312318</v>
          </cell>
          <cell r="G1369" t="str">
            <v>Juan Enrique Garcia</v>
          </cell>
          <cell r="H1369">
            <v>0</v>
          </cell>
        </row>
        <row r="1370">
          <cell r="F1370">
            <v>314669</v>
          </cell>
          <cell r="G1370" t="str">
            <v>Juan Enrique Jul Coc</v>
          </cell>
          <cell r="H1370">
            <v>0</v>
          </cell>
        </row>
        <row r="1371">
          <cell r="F1371">
            <v>315231</v>
          </cell>
          <cell r="G1371" t="str">
            <v>Juan Fernando Alvarez Argueta</v>
          </cell>
          <cell r="H1371">
            <v>0</v>
          </cell>
        </row>
        <row r="1372">
          <cell r="F1372">
            <v>311223</v>
          </cell>
          <cell r="G1372" t="str">
            <v>Juan Francisco Gudiel Castillo</v>
          </cell>
          <cell r="H1372">
            <v>0</v>
          </cell>
        </row>
        <row r="1373">
          <cell r="F1373">
            <v>313343</v>
          </cell>
          <cell r="G1373" t="str">
            <v>Juan Francisco Lopez Salic</v>
          </cell>
          <cell r="H1373">
            <v>0</v>
          </cell>
        </row>
        <row r="1374">
          <cell r="F1374">
            <v>90046476</v>
          </cell>
          <cell r="G1374" t="str">
            <v xml:space="preserve">Juan Francisco Quej Cuc </v>
          </cell>
          <cell r="H1374">
            <v>0</v>
          </cell>
        </row>
        <row r="1375">
          <cell r="F1375">
            <v>300401</v>
          </cell>
          <cell r="G1375" t="str">
            <v>Juan Gabriel Mendoza Alvarez</v>
          </cell>
          <cell r="H1375">
            <v>0</v>
          </cell>
        </row>
        <row r="1376">
          <cell r="F1376">
            <v>314039</v>
          </cell>
          <cell r="G1376" t="str">
            <v>Juan Humberto Barrios Escobar</v>
          </cell>
          <cell r="H1376">
            <v>0</v>
          </cell>
        </row>
        <row r="1377">
          <cell r="F1377">
            <v>312848</v>
          </cell>
          <cell r="G1377" t="str">
            <v>Juan Humberto Castillo Garcia</v>
          </cell>
          <cell r="H1377">
            <v>0</v>
          </cell>
        </row>
        <row r="1378">
          <cell r="F1378">
            <v>315598</v>
          </cell>
          <cell r="G1378" t="str">
            <v>Juan Ignacio Vela Estrada</v>
          </cell>
          <cell r="H1378">
            <v>0</v>
          </cell>
        </row>
        <row r="1379">
          <cell r="F1379">
            <v>313617</v>
          </cell>
          <cell r="G1379" t="str">
            <v>Juan Isael Amador</v>
          </cell>
          <cell r="H1379">
            <v>0</v>
          </cell>
        </row>
        <row r="1380">
          <cell r="F1380">
            <v>314961</v>
          </cell>
          <cell r="G1380" t="str">
            <v>Juan Jose Cifuentes Chavez</v>
          </cell>
          <cell r="H1380">
            <v>0</v>
          </cell>
        </row>
        <row r="1381">
          <cell r="F1381">
            <v>314663</v>
          </cell>
          <cell r="G1381" t="str">
            <v>Juan Jose Mancilla Zimmermann</v>
          </cell>
          <cell r="H1381">
            <v>0</v>
          </cell>
        </row>
        <row r="1382">
          <cell r="F1382">
            <v>300919</v>
          </cell>
          <cell r="G1382" t="str">
            <v>Juan Jose Rodriguez Catu</v>
          </cell>
          <cell r="H1382">
            <v>0</v>
          </cell>
        </row>
        <row r="1383">
          <cell r="F1383">
            <v>312615</v>
          </cell>
          <cell r="G1383" t="str">
            <v>Juan Jose Sarceño Siquiej</v>
          </cell>
          <cell r="H1383">
            <v>0</v>
          </cell>
        </row>
        <row r="1384">
          <cell r="F1384">
            <v>316278</v>
          </cell>
          <cell r="G1384" t="str">
            <v>Juan Jose Zelada Vega</v>
          </cell>
          <cell r="H1384">
            <v>0</v>
          </cell>
        </row>
        <row r="1385">
          <cell r="F1385">
            <v>313044</v>
          </cell>
          <cell r="G1385" t="str">
            <v>Juan Luis Ajcet Xicay</v>
          </cell>
          <cell r="H1385">
            <v>0</v>
          </cell>
        </row>
        <row r="1386">
          <cell r="F1386">
            <v>315586</v>
          </cell>
          <cell r="G1386" t="str">
            <v>Juan Luis Citalan Rodriguez</v>
          </cell>
          <cell r="H1386">
            <v>0</v>
          </cell>
        </row>
        <row r="1387">
          <cell r="F1387">
            <v>313262</v>
          </cell>
          <cell r="G1387" t="str">
            <v>Juan Luis Soyos Tzoy</v>
          </cell>
          <cell r="H1387">
            <v>0</v>
          </cell>
        </row>
        <row r="1388">
          <cell r="F1388">
            <v>314756</v>
          </cell>
          <cell r="G1388" t="str">
            <v>Juan Manuel Gomez Sampuel</v>
          </cell>
          <cell r="H1388">
            <v>0</v>
          </cell>
        </row>
        <row r="1389">
          <cell r="F1389">
            <v>314665</v>
          </cell>
          <cell r="G1389" t="str">
            <v>Juan Manuel Lopez Hernandez</v>
          </cell>
          <cell r="H1389">
            <v>0</v>
          </cell>
        </row>
        <row r="1390">
          <cell r="F1390">
            <v>313540</v>
          </cell>
          <cell r="G1390" t="str">
            <v xml:space="preserve">Juan Manuel Macario Reyna </v>
          </cell>
          <cell r="H1390">
            <v>0</v>
          </cell>
        </row>
        <row r="1391">
          <cell r="F1391">
            <v>312858</v>
          </cell>
          <cell r="G1391" t="str">
            <v>Juan Pablo Marroquin Franco</v>
          </cell>
          <cell r="H1391">
            <v>0</v>
          </cell>
        </row>
        <row r="1392">
          <cell r="F1392">
            <v>314906</v>
          </cell>
          <cell r="G1392" t="str">
            <v>Juan Pedro Tiney Cax</v>
          </cell>
          <cell r="H1392">
            <v>0</v>
          </cell>
        </row>
        <row r="1393">
          <cell r="F1393">
            <v>312485</v>
          </cell>
          <cell r="G1393" t="str">
            <v>Juan Ramon Guerra Martinez</v>
          </cell>
          <cell r="H1393">
            <v>0</v>
          </cell>
        </row>
        <row r="1394">
          <cell r="F1394">
            <v>316120</v>
          </cell>
          <cell r="G1394" t="str">
            <v>Juana Candelaria Lorenzo Matero De Bartolo</v>
          </cell>
          <cell r="H1394">
            <v>0</v>
          </cell>
        </row>
        <row r="1395">
          <cell r="F1395">
            <v>315275</v>
          </cell>
          <cell r="G1395" t="str">
            <v>Juana Del Carmen Arias Lopez</v>
          </cell>
          <cell r="H1395">
            <v>0</v>
          </cell>
        </row>
        <row r="1396">
          <cell r="F1396">
            <v>314557</v>
          </cell>
          <cell r="G1396" t="str">
            <v>Juana Ester Alvarez Tuluxan</v>
          </cell>
          <cell r="H1396">
            <v>0</v>
          </cell>
        </row>
        <row r="1397">
          <cell r="F1397">
            <v>315575</v>
          </cell>
          <cell r="G1397" t="str">
            <v>Judith Sarai Medrano Orellana</v>
          </cell>
          <cell r="H1397">
            <v>0</v>
          </cell>
        </row>
        <row r="1398">
          <cell r="F1398">
            <v>313604</v>
          </cell>
          <cell r="G1398" t="str">
            <v>Julia Damaris Raquel Ramirez Torres</v>
          </cell>
          <cell r="H1398">
            <v>0</v>
          </cell>
        </row>
        <row r="1399">
          <cell r="F1399">
            <v>315600</v>
          </cell>
          <cell r="G1399" t="str">
            <v>Julia Lizeth Valdez De Leon</v>
          </cell>
          <cell r="H1399">
            <v>0</v>
          </cell>
        </row>
        <row r="1400">
          <cell r="F1400">
            <v>316092</v>
          </cell>
          <cell r="G1400" t="str">
            <v xml:space="preserve">Julieta Oneida Moreales Toledo </v>
          </cell>
          <cell r="H1400">
            <v>0</v>
          </cell>
        </row>
        <row r="1401">
          <cell r="F1401">
            <v>306242</v>
          </cell>
          <cell r="G1401" t="str">
            <v>Julio Amilcar Oswaldo Ico Rey</v>
          </cell>
          <cell r="H1401">
            <v>0</v>
          </cell>
        </row>
        <row r="1402">
          <cell r="F1402">
            <v>310693</v>
          </cell>
          <cell r="G1402" t="str">
            <v>Julio Antonio Gonzalez Izaguirre</v>
          </cell>
          <cell r="H1402">
            <v>0</v>
          </cell>
        </row>
        <row r="1403">
          <cell r="F1403">
            <v>302559</v>
          </cell>
          <cell r="G1403" t="str">
            <v>Julio Belarmino Mendez Camey</v>
          </cell>
          <cell r="H1403">
            <v>0</v>
          </cell>
        </row>
        <row r="1404">
          <cell r="F1404">
            <v>90048808</v>
          </cell>
          <cell r="G1404" t="str">
            <v xml:space="preserve">Julio Cesar Caceros </v>
          </cell>
          <cell r="H1404">
            <v>0</v>
          </cell>
        </row>
        <row r="1405">
          <cell r="F1405">
            <v>314740</v>
          </cell>
          <cell r="G1405" t="str">
            <v>Julio Cesar Cuellar Revolorio</v>
          </cell>
          <cell r="H1405">
            <v>0</v>
          </cell>
        </row>
        <row r="1406">
          <cell r="F1406">
            <v>308266</v>
          </cell>
          <cell r="G1406" t="str">
            <v>Julio Cesar De Leon Huinac</v>
          </cell>
          <cell r="H1406">
            <v>0</v>
          </cell>
        </row>
        <row r="1407">
          <cell r="F1407">
            <v>90035163</v>
          </cell>
          <cell r="G1407" t="str">
            <v xml:space="preserve">Julio Cesar Lopez Lopez </v>
          </cell>
          <cell r="H1407">
            <v>0</v>
          </cell>
        </row>
        <row r="1408">
          <cell r="F1408">
            <v>311388</v>
          </cell>
          <cell r="G1408" t="str">
            <v>Julio David Ambrosio Hernandez</v>
          </cell>
          <cell r="H1408">
            <v>0</v>
          </cell>
        </row>
        <row r="1409">
          <cell r="F1409">
            <v>304232</v>
          </cell>
          <cell r="G1409" t="str">
            <v>Julio Enrique Mejia Cabrera</v>
          </cell>
          <cell r="H1409">
            <v>0</v>
          </cell>
        </row>
        <row r="1410">
          <cell r="F1410">
            <v>315192</v>
          </cell>
          <cell r="G1410" t="str">
            <v>Julio Francisco Ajcu Paz</v>
          </cell>
          <cell r="H1410">
            <v>0</v>
          </cell>
        </row>
        <row r="1411">
          <cell r="F1411">
            <v>313493</v>
          </cell>
          <cell r="G1411" t="str">
            <v>Julio Rene Medina Mendez</v>
          </cell>
          <cell r="H1411">
            <v>0</v>
          </cell>
        </row>
        <row r="1412">
          <cell r="F1412">
            <v>90038605</v>
          </cell>
          <cell r="G1412" t="str">
            <v>Julio Sebastian Chicaj Chich</v>
          </cell>
          <cell r="H1412">
            <v>0</v>
          </cell>
        </row>
        <row r="1413">
          <cell r="F1413">
            <v>90028292</v>
          </cell>
          <cell r="G1413" t="str">
            <v>Julissa Cristiany Escobar Aceituno</v>
          </cell>
          <cell r="H1413">
            <v>0</v>
          </cell>
        </row>
        <row r="1414">
          <cell r="F1414">
            <v>314194</v>
          </cell>
          <cell r="G1414" t="str">
            <v>Junior Stiven Gonzalez Fuentes</v>
          </cell>
          <cell r="H1414">
            <v>0</v>
          </cell>
        </row>
        <row r="1415">
          <cell r="F1415">
            <v>90016466</v>
          </cell>
          <cell r="G1415" t="str">
            <v>Justin Imanol Ramos Barillas</v>
          </cell>
          <cell r="H1415">
            <v>0</v>
          </cell>
        </row>
        <row r="1416">
          <cell r="F1416">
            <v>308411</v>
          </cell>
          <cell r="G1416" t="str">
            <v>Karen Alejandra Cotoc Valdes</v>
          </cell>
          <cell r="H1416">
            <v>0</v>
          </cell>
        </row>
        <row r="1417">
          <cell r="F1417">
            <v>315697</v>
          </cell>
          <cell r="G1417" t="str">
            <v>Karen Dayana Xiquin Sanchez Garcia</v>
          </cell>
          <cell r="H1417">
            <v>0</v>
          </cell>
        </row>
        <row r="1418">
          <cell r="F1418">
            <v>313225</v>
          </cell>
          <cell r="G1418" t="str">
            <v>Karen Deniss Lucas Chavez</v>
          </cell>
          <cell r="H1418">
            <v>0</v>
          </cell>
        </row>
        <row r="1419">
          <cell r="F1419">
            <v>311553</v>
          </cell>
          <cell r="G1419" t="str">
            <v>Karen Elizabeth Racancoj Tin</v>
          </cell>
          <cell r="H1419">
            <v>0</v>
          </cell>
        </row>
        <row r="1420">
          <cell r="F1420">
            <v>302674</v>
          </cell>
          <cell r="G1420" t="str">
            <v>Karen Elizabeth Roman Castellanos</v>
          </cell>
          <cell r="H1420">
            <v>0</v>
          </cell>
        </row>
        <row r="1421">
          <cell r="F1421">
            <v>312029</v>
          </cell>
          <cell r="G1421" t="str">
            <v>Karen Faviola Lutin Sanchez</v>
          </cell>
          <cell r="H1421">
            <v>0</v>
          </cell>
        </row>
        <row r="1422">
          <cell r="F1422">
            <v>311573</v>
          </cell>
          <cell r="G1422" t="str">
            <v>Karen Gabriela Uz Shalix</v>
          </cell>
          <cell r="H1422">
            <v>0</v>
          </cell>
        </row>
        <row r="1423">
          <cell r="F1423">
            <v>315966</v>
          </cell>
          <cell r="G1423" t="str">
            <v>Karen Guadalupe Valle Paredes</v>
          </cell>
          <cell r="H1423">
            <v>0</v>
          </cell>
        </row>
        <row r="1424">
          <cell r="F1424">
            <v>313240</v>
          </cell>
          <cell r="G1424" t="str">
            <v>Karen Jamara Luna Menendez</v>
          </cell>
          <cell r="H1424">
            <v>0</v>
          </cell>
        </row>
        <row r="1425">
          <cell r="F1425">
            <v>90040102</v>
          </cell>
          <cell r="G1425" t="str">
            <v>Karen Jasmin Perez Coronado</v>
          </cell>
          <cell r="H1425">
            <v>0</v>
          </cell>
        </row>
        <row r="1426">
          <cell r="F1426">
            <v>314954</v>
          </cell>
          <cell r="G1426" t="str">
            <v>Karen Jeanet Pacheco Gomez</v>
          </cell>
          <cell r="H1426">
            <v>0</v>
          </cell>
        </row>
        <row r="1427">
          <cell r="F1427">
            <v>305618</v>
          </cell>
          <cell r="G1427" t="str">
            <v>Karen Julisa Fernandez Vides</v>
          </cell>
          <cell r="H1427">
            <v>0</v>
          </cell>
        </row>
        <row r="1428">
          <cell r="F1428">
            <v>308561</v>
          </cell>
          <cell r="G1428" t="str">
            <v>Karen Leticia Vasquez Castañeda</v>
          </cell>
          <cell r="H1428">
            <v>0</v>
          </cell>
        </row>
        <row r="1429">
          <cell r="F1429">
            <v>313722</v>
          </cell>
          <cell r="G1429" t="str">
            <v>Karen Marilu Chavez Suchite</v>
          </cell>
          <cell r="H1429">
            <v>0</v>
          </cell>
        </row>
        <row r="1430">
          <cell r="F1430">
            <v>315110</v>
          </cell>
          <cell r="G1430" t="str">
            <v>Karen Marleny Perez Fuentes</v>
          </cell>
          <cell r="H1430">
            <v>0</v>
          </cell>
        </row>
        <row r="1431">
          <cell r="F1431">
            <v>315306</v>
          </cell>
          <cell r="G1431" t="str">
            <v>Karen Melissa Munoz Guevara</v>
          </cell>
          <cell r="H1431">
            <v>0</v>
          </cell>
        </row>
        <row r="1432">
          <cell r="F1432">
            <v>311616</v>
          </cell>
          <cell r="G1432" t="str">
            <v>Karen Meliza Saavedra Morataya</v>
          </cell>
          <cell r="H1432">
            <v>0</v>
          </cell>
        </row>
        <row r="1433">
          <cell r="F1433">
            <v>316198</v>
          </cell>
          <cell r="G1433" t="str">
            <v xml:space="preserve">Karen Mishel Gomez Meda </v>
          </cell>
          <cell r="H1433">
            <v>0</v>
          </cell>
        </row>
        <row r="1434">
          <cell r="F1434">
            <v>316312</v>
          </cell>
          <cell r="G1434" t="str">
            <v xml:space="preserve">Karen Mishell Aceituno Benito </v>
          </cell>
          <cell r="H1434">
            <v>0</v>
          </cell>
        </row>
        <row r="1435">
          <cell r="F1435">
            <v>309014</v>
          </cell>
          <cell r="G1435" t="str">
            <v>Karen Mishelle Chavez Segura</v>
          </cell>
          <cell r="H1435">
            <v>0</v>
          </cell>
        </row>
        <row r="1436">
          <cell r="F1436">
            <v>314217</v>
          </cell>
          <cell r="G1436" t="str">
            <v>Karen Nohemi Perez Santos</v>
          </cell>
          <cell r="H1436">
            <v>0</v>
          </cell>
        </row>
        <row r="1437">
          <cell r="F1437">
            <v>315274</v>
          </cell>
          <cell r="G1437" t="str">
            <v>Karen Rubi Perez Calderon</v>
          </cell>
          <cell r="H1437">
            <v>0</v>
          </cell>
        </row>
        <row r="1438">
          <cell r="F1438">
            <v>308426</v>
          </cell>
          <cell r="G1438" t="str">
            <v>Karen Susana Marcos Yupe</v>
          </cell>
          <cell r="H1438">
            <v>0</v>
          </cell>
        </row>
        <row r="1439">
          <cell r="F1439">
            <v>311722</v>
          </cell>
          <cell r="G1439" t="str">
            <v>Karen Verali Sagastume Oliveros</v>
          </cell>
          <cell r="H1439">
            <v>0</v>
          </cell>
        </row>
        <row r="1440">
          <cell r="F1440">
            <v>308244</v>
          </cell>
          <cell r="G1440" t="str">
            <v>Karen Yamileth Rosales Alarcon</v>
          </cell>
          <cell r="H1440">
            <v>0</v>
          </cell>
        </row>
        <row r="1441">
          <cell r="F1441">
            <v>313022</v>
          </cell>
          <cell r="G1441" t="str">
            <v>Karim Yaneth Mendez Hidalgo</v>
          </cell>
          <cell r="H1441">
            <v>0</v>
          </cell>
        </row>
        <row r="1442">
          <cell r="F1442">
            <v>312215</v>
          </cell>
          <cell r="G1442" t="str">
            <v>Karin Liseth Son Chonay</v>
          </cell>
          <cell r="H1442">
            <v>0</v>
          </cell>
        </row>
        <row r="1443">
          <cell r="F1443">
            <v>301583</v>
          </cell>
          <cell r="G1443" t="str">
            <v>Karin Yesenia Nova Posadas</v>
          </cell>
          <cell r="H1443">
            <v>0</v>
          </cell>
        </row>
        <row r="1444">
          <cell r="F1444">
            <v>315147</v>
          </cell>
          <cell r="G1444" t="str">
            <v>Karin Zulema Molina Fonseca</v>
          </cell>
          <cell r="H1444">
            <v>0</v>
          </cell>
        </row>
        <row r="1445">
          <cell r="F1445">
            <v>313918</v>
          </cell>
          <cell r="G1445" t="str">
            <v>Karina Lizeth Pineda Ortiz</v>
          </cell>
          <cell r="H1445">
            <v>0</v>
          </cell>
        </row>
        <row r="1446">
          <cell r="F1446">
            <v>90009403</v>
          </cell>
          <cell r="G1446" t="str">
            <v>Karina Yesenia Fuentes Marroquin</v>
          </cell>
          <cell r="H1446">
            <v>0</v>
          </cell>
        </row>
        <row r="1447">
          <cell r="F1447">
            <v>316098</v>
          </cell>
          <cell r="G1447" t="str">
            <v>Karla Alejandra Chavez Peña</v>
          </cell>
          <cell r="H1447">
            <v>0</v>
          </cell>
        </row>
        <row r="1448">
          <cell r="F1448">
            <v>315772</v>
          </cell>
          <cell r="G1448" t="str">
            <v>Karla Daniela Vielman Giron</v>
          </cell>
          <cell r="H1448">
            <v>0</v>
          </cell>
        </row>
        <row r="1449">
          <cell r="F1449">
            <v>312403</v>
          </cell>
          <cell r="G1449" t="str">
            <v>Karla Elizabeth Lopez Tupul</v>
          </cell>
          <cell r="H1449">
            <v>0</v>
          </cell>
        </row>
        <row r="1450">
          <cell r="F1450">
            <v>304664</v>
          </cell>
          <cell r="G1450" t="str">
            <v>Karla Eunice Godinez Mendoza</v>
          </cell>
          <cell r="H1450">
            <v>0</v>
          </cell>
        </row>
        <row r="1451">
          <cell r="F1451">
            <v>90048506</v>
          </cell>
          <cell r="G1451" t="str">
            <v>Karla Gabriela Brenes Gudiel</v>
          </cell>
          <cell r="H1451">
            <v>0</v>
          </cell>
        </row>
        <row r="1452">
          <cell r="F1452">
            <v>90029106</v>
          </cell>
          <cell r="G1452" t="str">
            <v>Karla Hidania Cardenas Flores</v>
          </cell>
          <cell r="H1452">
            <v>0</v>
          </cell>
        </row>
        <row r="1453">
          <cell r="F1453">
            <v>315490</v>
          </cell>
          <cell r="G1453" t="str">
            <v>Karla Jasmin Pelen Rafael</v>
          </cell>
          <cell r="H1453">
            <v>0</v>
          </cell>
        </row>
        <row r="1454">
          <cell r="F1454">
            <v>315862</v>
          </cell>
          <cell r="G1454" t="str">
            <v>Karla Lisbett Reyes Perez</v>
          </cell>
          <cell r="H1454">
            <v>0</v>
          </cell>
        </row>
        <row r="1455">
          <cell r="F1455">
            <v>314673</v>
          </cell>
          <cell r="G1455" t="str">
            <v>Karla Maria Montejo Martinez</v>
          </cell>
          <cell r="H1455">
            <v>0</v>
          </cell>
        </row>
        <row r="1456">
          <cell r="F1456">
            <v>313079</v>
          </cell>
          <cell r="G1456" t="str">
            <v>Karla Mariela Lopez Salguero</v>
          </cell>
          <cell r="H1456">
            <v>0</v>
          </cell>
        </row>
        <row r="1457">
          <cell r="F1457">
            <v>314464</v>
          </cell>
          <cell r="G1457" t="str">
            <v>Karla Melisa Trejo Lopez</v>
          </cell>
          <cell r="H1457">
            <v>0</v>
          </cell>
        </row>
        <row r="1458">
          <cell r="F1458">
            <v>314206</v>
          </cell>
          <cell r="G1458" t="str">
            <v>Karla Nineth Guzman Carrera De Velasquez</v>
          </cell>
          <cell r="H1458">
            <v>0</v>
          </cell>
        </row>
        <row r="1459">
          <cell r="F1459">
            <v>301374</v>
          </cell>
          <cell r="G1459" t="str">
            <v>Karla Paola Martinez Salazar</v>
          </cell>
          <cell r="H1459">
            <v>0</v>
          </cell>
        </row>
        <row r="1460">
          <cell r="F1460">
            <v>314831</v>
          </cell>
          <cell r="G1460" t="str">
            <v>Karla Paola Solorzano Monroy</v>
          </cell>
          <cell r="H1460">
            <v>0</v>
          </cell>
        </row>
        <row r="1461">
          <cell r="F1461">
            <v>309789</v>
          </cell>
          <cell r="G1461" t="str">
            <v>Karla Patricia Minera Alvarado</v>
          </cell>
          <cell r="H1461">
            <v>0</v>
          </cell>
        </row>
        <row r="1462">
          <cell r="F1462">
            <v>90013944</v>
          </cell>
          <cell r="G1462" t="str">
            <v>Karla Rosario Martinez Soto</v>
          </cell>
          <cell r="H1462">
            <v>0</v>
          </cell>
        </row>
        <row r="1463">
          <cell r="F1463">
            <v>316291</v>
          </cell>
          <cell r="G1463" t="str">
            <v>Karla Sofia Estacuy Osorio</v>
          </cell>
          <cell r="H1463">
            <v>0</v>
          </cell>
        </row>
        <row r="1464">
          <cell r="F1464">
            <v>309957</v>
          </cell>
          <cell r="G1464" t="str">
            <v>Karla Veronica Zepeda Moran</v>
          </cell>
          <cell r="H1464">
            <v>0</v>
          </cell>
        </row>
        <row r="1465">
          <cell r="F1465">
            <v>310487</v>
          </cell>
          <cell r="G1465" t="str">
            <v>Karla Yaneth Vasquez Gomez</v>
          </cell>
          <cell r="H1465">
            <v>0</v>
          </cell>
        </row>
        <row r="1466">
          <cell r="F1466">
            <v>314444</v>
          </cell>
          <cell r="G1466" t="str">
            <v>Karla Yanira Francisco Morales</v>
          </cell>
          <cell r="H1466">
            <v>0</v>
          </cell>
        </row>
        <row r="1467">
          <cell r="F1467">
            <v>305608</v>
          </cell>
          <cell r="G1467" t="str">
            <v>Karla Yanira Franco Perez</v>
          </cell>
          <cell r="H1467">
            <v>0</v>
          </cell>
        </row>
        <row r="1468">
          <cell r="F1468">
            <v>312982</v>
          </cell>
          <cell r="G1468" t="str">
            <v>Karla Yessenia Garcia Lopez</v>
          </cell>
          <cell r="H1468">
            <v>0</v>
          </cell>
        </row>
        <row r="1469">
          <cell r="F1469">
            <v>90040566</v>
          </cell>
          <cell r="G1469" t="str">
            <v>Karla Yoleth Tomas Chacaj</v>
          </cell>
          <cell r="H1469">
            <v>0</v>
          </cell>
        </row>
        <row r="1470">
          <cell r="F1470">
            <v>314044</v>
          </cell>
          <cell r="G1470" t="str">
            <v>Karol Liset Reyes Alvarez</v>
          </cell>
          <cell r="H1470">
            <v>0</v>
          </cell>
        </row>
        <row r="1471">
          <cell r="F1471">
            <v>90012196</v>
          </cell>
          <cell r="G1471" t="str">
            <v>Karol Stephany Maritza Lopez Tista</v>
          </cell>
          <cell r="H1471">
            <v>0</v>
          </cell>
        </row>
        <row r="1472">
          <cell r="F1472">
            <v>311039</v>
          </cell>
          <cell r="G1472" t="str">
            <v>Karolyn Gisselle Palma Ramirez</v>
          </cell>
          <cell r="H1472">
            <v>0</v>
          </cell>
        </row>
        <row r="1473">
          <cell r="F1473">
            <v>90040298</v>
          </cell>
          <cell r="G1473" t="str">
            <v>Kasey Alexandre Moreno Sajche</v>
          </cell>
          <cell r="H1473">
            <v>0</v>
          </cell>
        </row>
        <row r="1474">
          <cell r="F1474">
            <v>309255</v>
          </cell>
          <cell r="G1474" t="str">
            <v>Katerin Mariela Miranda Perez</v>
          </cell>
          <cell r="H1474">
            <v>0</v>
          </cell>
        </row>
        <row r="1475">
          <cell r="F1475">
            <v>308909</v>
          </cell>
          <cell r="G1475" t="str">
            <v>Katerine Andrea Mansilla Vasquez</v>
          </cell>
          <cell r="H1475">
            <v>0</v>
          </cell>
        </row>
        <row r="1476">
          <cell r="F1476">
            <v>90045960</v>
          </cell>
          <cell r="G1476" t="str">
            <v>Katerine Fabiola Jimenez Cruz</v>
          </cell>
          <cell r="H1476">
            <v>0</v>
          </cell>
        </row>
        <row r="1477">
          <cell r="F1477">
            <v>90046220</v>
          </cell>
          <cell r="G1477" t="str">
            <v>Katherin Jazmin Lemus Marcos</v>
          </cell>
          <cell r="H1477">
            <v>0</v>
          </cell>
        </row>
        <row r="1478">
          <cell r="F1478">
            <v>314344</v>
          </cell>
          <cell r="G1478" t="str">
            <v>Katherin Maria Curiales Catalan</v>
          </cell>
          <cell r="H1478">
            <v>0</v>
          </cell>
        </row>
        <row r="1479">
          <cell r="F1479">
            <v>316124</v>
          </cell>
          <cell r="G1479" t="str">
            <v>Katherin Melissa Molina Santa Cruz De Alvarado</v>
          </cell>
          <cell r="H1479">
            <v>0</v>
          </cell>
        </row>
        <row r="1480">
          <cell r="F1480">
            <v>308761</v>
          </cell>
          <cell r="G1480" t="str">
            <v>Katherin Valeria Chete Zelada</v>
          </cell>
          <cell r="H1480">
            <v>0</v>
          </cell>
        </row>
        <row r="1481">
          <cell r="F1481">
            <v>311930</v>
          </cell>
          <cell r="G1481" t="str">
            <v>Katherine Andreina Rodriguez Flores</v>
          </cell>
          <cell r="H1481">
            <v>0</v>
          </cell>
        </row>
        <row r="1482">
          <cell r="F1482">
            <v>314987</v>
          </cell>
          <cell r="G1482" t="str">
            <v>Katherine Dayana Sinay Colindres</v>
          </cell>
          <cell r="H1482">
            <v>0</v>
          </cell>
        </row>
        <row r="1483">
          <cell r="F1483">
            <v>313018</v>
          </cell>
          <cell r="G1483" t="str">
            <v>Katherine Guissele Camey Gonzalez</v>
          </cell>
          <cell r="H1483">
            <v>0</v>
          </cell>
        </row>
        <row r="1484">
          <cell r="F1484">
            <v>312838</v>
          </cell>
          <cell r="G1484" t="str">
            <v>Katherine Lucia Carranza Ortega</v>
          </cell>
          <cell r="H1484">
            <v>0</v>
          </cell>
        </row>
        <row r="1485">
          <cell r="F1485">
            <v>315314</v>
          </cell>
          <cell r="G1485" t="str">
            <v>Katherine Maria Pereira Estacuy</v>
          </cell>
          <cell r="H1485">
            <v>0</v>
          </cell>
        </row>
        <row r="1486">
          <cell r="F1486">
            <v>305303</v>
          </cell>
          <cell r="G1486" t="str">
            <v>Katherine Stephani Cazanga Giron</v>
          </cell>
          <cell r="H1486">
            <v>0</v>
          </cell>
        </row>
        <row r="1487">
          <cell r="F1487">
            <v>90009513</v>
          </cell>
          <cell r="G1487" t="str">
            <v>Katherine Yessenia Echeverria Juarez</v>
          </cell>
          <cell r="H1487">
            <v>0</v>
          </cell>
        </row>
        <row r="1488">
          <cell r="F1488">
            <v>310764</v>
          </cell>
          <cell r="G1488" t="str">
            <v>Katherine Yorleny Montepeque Echeverria</v>
          </cell>
          <cell r="H1488">
            <v>0</v>
          </cell>
        </row>
        <row r="1489">
          <cell r="F1489">
            <v>312313</v>
          </cell>
          <cell r="G1489" t="str">
            <v>Katherinne Marleny Ruano Vasquez</v>
          </cell>
          <cell r="H1489">
            <v>0</v>
          </cell>
        </row>
        <row r="1490">
          <cell r="F1490">
            <v>90046797</v>
          </cell>
          <cell r="G1490" t="str">
            <v>Katheryn Beatriz Alvarez Monroy</v>
          </cell>
          <cell r="H1490">
            <v>0</v>
          </cell>
        </row>
        <row r="1491">
          <cell r="F1491">
            <v>90048444</v>
          </cell>
          <cell r="G1491" t="str">
            <v>Katheryn Elizabeth Blanco Echeverria </v>
          </cell>
          <cell r="H1491">
            <v>0</v>
          </cell>
        </row>
        <row r="1492">
          <cell r="F1492">
            <v>312966</v>
          </cell>
          <cell r="G1492" t="str">
            <v>Katheryn Nohemi Pineda Sun</v>
          </cell>
          <cell r="H1492">
            <v>0</v>
          </cell>
        </row>
        <row r="1493">
          <cell r="F1493">
            <v>314949</v>
          </cell>
          <cell r="G1493" t="str">
            <v>Kathleen Yadira Martinez Salazar</v>
          </cell>
          <cell r="H1493">
            <v>0</v>
          </cell>
        </row>
        <row r="1494">
          <cell r="F1494">
            <v>316192</v>
          </cell>
          <cell r="G1494" t="str">
            <v>Katteryne Mishell Samayoa</v>
          </cell>
          <cell r="H1494">
            <v>0</v>
          </cell>
        </row>
        <row r="1495">
          <cell r="F1495">
            <v>307014</v>
          </cell>
          <cell r="G1495" t="str">
            <v>Keila Abigail Lopez Argueta</v>
          </cell>
          <cell r="H1495">
            <v>0</v>
          </cell>
        </row>
        <row r="1496">
          <cell r="F1496">
            <v>316427</v>
          </cell>
          <cell r="G1496" t="str">
            <v>Keila Ephsiba Morales Montenegro</v>
          </cell>
          <cell r="H1496">
            <v>0</v>
          </cell>
        </row>
        <row r="1497">
          <cell r="F1497">
            <v>90040677</v>
          </cell>
          <cell r="G1497" t="str">
            <v>Keila Judit Franco Torres</v>
          </cell>
          <cell r="H1497">
            <v>0</v>
          </cell>
        </row>
        <row r="1498">
          <cell r="F1498">
            <v>315750</v>
          </cell>
          <cell r="G1498" t="str">
            <v>Keila Paola Calderon Lopez</v>
          </cell>
          <cell r="H1498">
            <v>0</v>
          </cell>
        </row>
        <row r="1499">
          <cell r="F1499">
            <v>90012192</v>
          </cell>
          <cell r="G1499" t="str">
            <v xml:space="preserve">Keili Pablo </v>
          </cell>
          <cell r="H1499">
            <v>0</v>
          </cell>
        </row>
        <row r="1500">
          <cell r="F1500">
            <v>315062</v>
          </cell>
          <cell r="G1500" t="str">
            <v>Keili Yanira Arceno Solano</v>
          </cell>
          <cell r="H1500">
            <v>0</v>
          </cell>
        </row>
        <row r="1501">
          <cell r="F1501">
            <v>313013</v>
          </cell>
          <cell r="G1501" t="str">
            <v>Keilla Estefanie Lopez Ramirez</v>
          </cell>
          <cell r="H1501">
            <v>0</v>
          </cell>
        </row>
        <row r="1502">
          <cell r="F1502">
            <v>315177</v>
          </cell>
          <cell r="G1502" t="str">
            <v xml:space="preserve">Keitlin Anahi Martinez Castillo </v>
          </cell>
          <cell r="H1502">
            <v>0</v>
          </cell>
        </row>
        <row r="1503">
          <cell r="F1503">
            <v>314165</v>
          </cell>
          <cell r="G1503" t="str">
            <v>Kelly Dayanna Patzan Giron</v>
          </cell>
          <cell r="H1503">
            <v>0</v>
          </cell>
        </row>
        <row r="1504">
          <cell r="F1504">
            <v>315986</v>
          </cell>
          <cell r="G1504" t="str">
            <v>Kelvin Americo Sosa Ochoa</v>
          </cell>
          <cell r="H1504">
            <v>0</v>
          </cell>
        </row>
        <row r="1505">
          <cell r="F1505">
            <v>314804</v>
          </cell>
          <cell r="G1505" t="str">
            <v>Kendy Daniela Ramirez Lopez</v>
          </cell>
          <cell r="H1505">
            <v>0</v>
          </cell>
        </row>
        <row r="1506">
          <cell r="F1506">
            <v>313433</v>
          </cell>
          <cell r="G1506" t="str">
            <v>Kenia Estefania Mateo Castro</v>
          </cell>
          <cell r="H1506">
            <v>0</v>
          </cell>
        </row>
        <row r="1507">
          <cell r="F1507">
            <v>90020251</v>
          </cell>
          <cell r="G1507" t="str">
            <v xml:space="preserve">Kenny Elizabeth Cifuentes Aguilar </v>
          </cell>
          <cell r="H1507">
            <v>0</v>
          </cell>
        </row>
        <row r="1508">
          <cell r="F1508">
            <v>314991</v>
          </cell>
          <cell r="G1508" t="str">
            <v>Kevin Alberto Castillo Matias</v>
          </cell>
          <cell r="H1508">
            <v>0</v>
          </cell>
        </row>
        <row r="1509">
          <cell r="F1509">
            <v>314026</v>
          </cell>
          <cell r="G1509" t="str">
            <v>Kevin Alberto Lopez Ortiz</v>
          </cell>
          <cell r="H1509">
            <v>0</v>
          </cell>
        </row>
        <row r="1510">
          <cell r="F1510">
            <v>315246</v>
          </cell>
          <cell r="G1510" t="str">
            <v>Kevin Alexander Escobar Cante</v>
          </cell>
          <cell r="H1510">
            <v>0</v>
          </cell>
        </row>
        <row r="1511">
          <cell r="F1511">
            <v>312218</v>
          </cell>
          <cell r="G1511" t="str">
            <v>Kevin Amilcar Cor Guzman</v>
          </cell>
          <cell r="H1511">
            <v>0</v>
          </cell>
        </row>
        <row r="1512">
          <cell r="F1512">
            <v>316292</v>
          </cell>
          <cell r="G1512" t="str">
            <v>Kevin Antonio Orozco Ramirez</v>
          </cell>
          <cell r="H1512">
            <v>0</v>
          </cell>
        </row>
        <row r="1513">
          <cell r="F1513">
            <v>311369</v>
          </cell>
          <cell r="G1513" t="str">
            <v>Kevin Antonio Perez Gonzalez</v>
          </cell>
          <cell r="H1513">
            <v>0</v>
          </cell>
        </row>
        <row r="1514">
          <cell r="F1514">
            <v>314627</v>
          </cell>
          <cell r="G1514" t="str">
            <v>Kevin Daniel Chonay Perez</v>
          </cell>
          <cell r="H1514">
            <v>0</v>
          </cell>
        </row>
        <row r="1515">
          <cell r="F1515">
            <v>316157</v>
          </cell>
          <cell r="G1515" t="str">
            <v>Kevin Danilo Merida Acajabon</v>
          </cell>
          <cell r="H1515">
            <v>0</v>
          </cell>
        </row>
        <row r="1516">
          <cell r="F1516">
            <v>311228</v>
          </cell>
          <cell r="G1516" t="str">
            <v>Kevin Doley Alexander Gomez Lopez</v>
          </cell>
          <cell r="H1516">
            <v>0</v>
          </cell>
        </row>
        <row r="1517">
          <cell r="F1517">
            <v>90034293</v>
          </cell>
          <cell r="G1517" t="str">
            <v>Kevin Eduardo Paxtor De León</v>
          </cell>
          <cell r="H1517">
            <v>0</v>
          </cell>
        </row>
        <row r="1518">
          <cell r="F1518">
            <v>90051228</v>
          </cell>
          <cell r="G1518" t="str">
            <v xml:space="preserve">Kevin Emanuel Orellana Barrientos </v>
          </cell>
          <cell r="H1518">
            <v>0</v>
          </cell>
        </row>
        <row r="1519">
          <cell r="F1519">
            <v>90045671</v>
          </cell>
          <cell r="G1519" t="str">
            <v>Kevin Estuardo Ramirez España</v>
          </cell>
          <cell r="H1519">
            <v>0</v>
          </cell>
        </row>
        <row r="1520">
          <cell r="F1520">
            <v>309148</v>
          </cell>
          <cell r="G1520" t="str">
            <v>Kevin Estuardo Yac Garcia</v>
          </cell>
          <cell r="H1520">
            <v>0</v>
          </cell>
        </row>
        <row r="1521">
          <cell r="F1521">
            <v>90033850</v>
          </cell>
          <cell r="G1521" t="str">
            <v>Kevin Geovani Coyoy Lopez</v>
          </cell>
          <cell r="H1521">
            <v>0</v>
          </cell>
        </row>
        <row r="1522">
          <cell r="F1522">
            <v>303626</v>
          </cell>
          <cell r="G1522" t="str">
            <v>Kevin Geovani Martinez Merida</v>
          </cell>
          <cell r="H1522">
            <v>0</v>
          </cell>
        </row>
        <row r="1523">
          <cell r="F1523">
            <v>311643</v>
          </cell>
          <cell r="G1523" t="str">
            <v>Kevin Javier Ortiz Gonzalez</v>
          </cell>
          <cell r="H1523">
            <v>0</v>
          </cell>
        </row>
        <row r="1524">
          <cell r="F1524">
            <v>311034</v>
          </cell>
          <cell r="G1524" t="str">
            <v>Kevin Jordano Barrios Chin</v>
          </cell>
          <cell r="H1524">
            <v>0</v>
          </cell>
        </row>
        <row r="1525">
          <cell r="F1525">
            <v>314011</v>
          </cell>
          <cell r="G1525" t="str">
            <v>Kevin Jose Mijangos Vasquez</v>
          </cell>
          <cell r="H1525">
            <v>0</v>
          </cell>
        </row>
        <row r="1526">
          <cell r="F1526">
            <v>307812</v>
          </cell>
          <cell r="G1526" t="str">
            <v>Kevin Josue Moscoso Espino</v>
          </cell>
          <cell r="H1526">
            <v>0</v>
          </cell>
        </row>
        <row r="1527">
          <cell r="F1527">
            <v>314743</v>
          </cell>
          <cell r="G1527" t="str">
            <v>Kevin Josue Sevilla Nieto</v>
          </cell>
          <cell r="H1527">
            <v>0</v>
          </cell>
        </row>
        <row r="1528">
          <cell r="F1528">
            <v>316011</v>
          </cell>
          <cell r="G1528" t="str">
            <v>Kevin Manuel Perez Orozco</v>
          </cell>
          <cell r="H1528">
            <v>0</v>
          </cell>
        </row>
        <row r="1529">
          <cell r="F1529">
            <v>311639</v>
          </cell>
          <cell r="G1529" t="str">
            <v>Kevin Omar Ortiz Contreras</v>
          </cell>
          <cell r="H1529">
            <v>0</v>
          </cell>
        </row>
        <row r="1530">
          <cell r="F1530">
            <v>310538</v>
          </cell>
          <cell r="G1530" t="str">
            <v>Kevin Orlando Ventura Lopez</v>
          </cell>
          <cell r="H1530">
            <v>0</v>
          </cell>
        </row>
        <row r="1531">
          <cell r="F1531">
            <v>311932</v>
          </cell>
          <cell r="G1531" t="str">
            <v>Kevin Rene Medrano Sarceño</v>
          </cell>
          <cell r="H1531">
            <v>0</v>
          </cell>
        </row>
        <row r="1532">
          <cell r="F1532">
            <v>308269</v>
          </cell>
          <cell r="G1532" t="str">
            <v>Kevin Ruben Perez Lopez</v>
          </cell>
          <cell r="H1532">
            <v>0</v>
          </cell>
        </row>
        <row r="1533">
          <cell r="F1533">
            <v>314355</v>
          </cell>
          <cell r="G1533" t="str">
            <v>Kevin Samuel Guamuch Guardado</v>
          </cell>
          <cell r="H1533">
            <v>0</v>
          </cell>
        </row>
        <row r="1534">
          <cell r="F1534">
            <v>313566</v>
          </cell>
          <cell r="G1534" t="str">
            <v>Kevin Saul Rodriguez Vasquez</v>
          </cell>
          <cell r="H1534">
            <v>0</v>
          </cell>
        </row>
        <row r="1535">
          <cell r="F1535">
            <v>316054</v>
          </cell>
          <cell r="G1535" t="str">
            <v>Kevin Steve Barrera Galicia</v>
          </cell>
          <cell r="H1535">
            <v>0</v>
          </cell>
        </row>
        <row r="1536">
          <cell r="F1536">
            <v>313520</v>
          </cell>
          <cell r="G1536" t="str">
            <v>Kevin Winston Chavez Alvarez</v>
          </cell>
          <cell r="H1536">
            <v>0</v>
          </cell>
        </row>
        <row r="1537">
          <cell r="F1537">
            <v>312178</v>
          </cell>
          <cell r="G1537" t="str">
            <v>Keyla Cristy Dubon Pernillo</v>
          </cell>
          <cell r="H1537">
            <v>0</v>
          </cell>
        </row>
        <row r="1538">
          <cell r="F1538">
            <v>90012312</v>
          </cell>
          <cell r="G1538" t="str">
            <v>Keyly Maeli Roblero Chile</v>
          </cell>
          <cell r="H1538">
            <v>0</v>
          </cell>
        </row>
        <row r="1539">
          <cell r="F1539">
            <v>305666</v>
          </cell>
          <cell r="G1539" t="str">
            <v>Kezmi Romani Garcia Mendez</v>
          </cell>
          <cell r="H1539">
            <v>0</v>
          </cell>
        </row>
        <row r="1540">
          <cell r="F1540">
            <v>314754</v>
          </cell>
          <cell r="G1540" t="str">
            <v>Kimberly Anayanci Tello Morales</v>
          </cell>
          <cell r="H1540">
            <v>0</v>
          </cell>
        </row>
        <row r="1541">
          <cell r="F1541">
            <v>314051</v>
          </cell>
          <cell r="G1541" t="str">
            <v>Kimberly Dayanna Herrera Marroquin</v>
          </cell>
          <cell r="H1541">
            <v>0</v>
          </cell>
        </row>
        <row r="1542">
          <cell r="F1542">
            <v>313302</v>
          </cell>
          <cell r="G1542" t="str">
            <v>Kimberly Guadalupe Mulul Pelico</v>
          </cell>
          <cell r="H1542">
            <v>0</v>
          </cell>
        </row>
        <row r="1543">
          <cell r="F1543">
            <v>314218</v>
          </cell>
          <cell r="G1543" t="str">
            <v>Kimberly Guadalupe Soto</v>
          </cell>
          <cell r="H1543">
            <v>0</v>
          </cell>
        </row>
        <row r="1544">
          <cell r="F1544">
            <v>305285</v>
          </cell>
          <cell r="G1544" t="str">
            <v>Kimberly Judith Lopez Amaya</v>
          </cell>
          <cell r="H1544">
            <v>0</v>
          </cell>
        </row>
        <row r="1545">
          <cell r="F1545">
            <v>309753</v>
          </cell>
          <cell r="G1545" t="str">
            <v>Kimberly Melissa Juarez Ramirez</v>
          </cell>
          <cell r="H1545">
            <v>0</v>
          </cell>
        </row>
        <row r="1546">
          <cell r="F1546">
            <v>312174</v>
          </cell>
          <cell r="G1546" t="str">
            <v>Kimberly Mishel Merida Cortez</v>
          </cell>
          <cell r="H1546">
            <v>0</v>
          </cell>
        </row>
        <row r="1547">
          <cell r="F1547">
            <v>310926</v>
          </cell>
          <cell r="G1547" t="str">
            <v>Kimberly Nohemi Alvarado Toj</v>
          </cell>
          <cell r="H1547">
            <v>0</v>
          </cell>
        </row>
        <row r="1548">
          <cell r="F1548">
            <v>315095</v>
          </cell>
          <cell r="G1548" t="str">
            <v>Kimberly Suseli Ibarra Barahona</v>
          </cell>
          <cell r="H1548">
            <v>0</v>
          </cell>
        </row>
        <row r="1549">
          <cell r="F1549">
            <v>313601</v>
          </cell>
          <cell r="G1549" t="str">
            <v>Kimberly Yasmin Alvarado Veliz</v>
          </cell>
          <cell r="H1549">
            <v>0</v>
          </cell>
        </row>
        <row r="1550">
          <cell r="F1550">
            <v>90041204</v>
          </cell>
          <cell r="G1550" t="str">
            <v>Kimberly Yasmin Leiva Herrera</v>
          </cell>
          <cell r="H1550">
            <v>0</v>
          </cell>
        </row>
        <row r="1551">
          <cell r="F1551">
            <v>315640</v>
          </cell>
          <cell r="G1551" t="str">
            <v>Kimberly Zussette Hernandez Puac</v>
          </cell>
          <cell r="H1551">
            <v>0</v>
          </cell>
        </row>
        <row r="1552">
          <cell r="F1552">
            <v>90040594</v>
          </cell>
          <cell r="G1552" t="str">
            <v>Kirsten Jordana Santandrea Montenegro</v>
          </cell>
          <cell r="H1552">
            <v>0</v>
          </cell>
        </row>
        <row r="1553">
          <cell r="F1553">
            <v>310820</v>
          </cell>
          <cell r="G1553" t="str">
            <v>Kleidy Smaily Lopez Lopez De Vicente</v>
          </cell>
          <cell r="H1553">
            <v>0</v>
          </cell>
        </row>
        <row r="1554">
          <cell r="F1554">
            <v>315345</v>
          </cell>
          <cell r="G1554" t="str">
            <v>Klisman Julio Rolando Lopez Garcia</v>
          </cell>
          <cell r="H1554">
            <v>0</v>
          </cell>
        </row>
        <row r="1555">
          <cell r="F1555">
            <v>315369</v>
          </cell>
          <cell r="G1555" t="str">
            <v>Krisla Mayte Madrigales Palencia</v>
          </cell>
          <cell r="H1555">
            <v>0</v>
          </cell>
        </row>
        <row r="1556">
          <cell r="F1556">
            <v>314417</v>
          </cell>
          <cell r="G1556" t="str">
            <v>Krisley Mary Dayana Mazariegos Vega</v>
          </cell>
          <cell r="H1556">
            <v>0</v>
          </cell>
        </row>
        <row r="1557">
          <cell r="F1557">
            <v>90034151</v>
          </cell>
          <cell r="G1557" t="str">
            <v>Kristel Michelle Erazo Payes</v>
          </cell>
          <cell r="H1557">
            <v>0</v>
          </cell>
        </row>
        <row r="1558">
          <cell r="F1558">
            <v>313583</v>
          </cell>
          <cell r="G1558" t="str">
            <v>Laiza Marleny Gomez Garcia De Gomez</v>
          </cell>
          <cell r="H1558">
            <v>0</v>
          </cell>
        </row>
        <row r="1559">
          <cell r="F1559">
            <v>311096</v>
          </cell>
          <cell r="G1559" t="str">
            <v>Larry Noel Gomez Cuellar</v>
          </cell>
          <cell r="H1559">
            <v>0</v>
          </cell>
        </row>
        <row r="1560">
          <cell r="F1560">
            <v>90028606</v>
          </cell>
          <cell r="G1560" t="str">
            <v>Laura Angelica Lux Tzunun</v>
          </cell>
          <cell r="H1560">
            <v>0</v>
          </cell>
        </row>
        <row r="1561">
          <cell r="F1561">
            <v>315400</v>
          </cell>
          <cell r="G1561" t="str">
            <v>Laura Cecilia De Leon Zapeta</v>
          </cell>
          <cell r="H1561">
            <v>0</v>
          </cell>
        </row>
        <row r="1562">
          <cell r="F1562">
            <v>312722</v>
          </cell>
          <cell r="G1562" t="str">
            <v>Laura Dairis Analy Zeceña Minera</v>
          </cell>
          <cell r="H1562">
            <v>0</v>
          </cell>
        </row>
        <row r="1563">
          <cell r="F1563">
            <v>314274</v>
          </cell>
          <cell r="G1563" t="str">
            <v>Laura Estefania Cardona Mateo</v>
          </cell>
          <cell r="H1563">
            <v>0</v>
          </cell>
        </row>
        <row r="1564">
          <cell r="F1564">
            <v>309643</v>
          </cell>
          <cell r="G1564" t="str">
            <v>Laura Gabriela Hernandez Merida</v>
          </cell>
          <cell r="H1564">
            <v>0</v>
          </cell>
        </row>
        <row r="1565">
          <cell r="F1565">
            <v>312253</v>
          </cell>
          <cell r="G1565" t="str">
            <v>Laura Jajairy Ramirez Veron</v>
          </cell>
          <cell r="H1565">
            <v>0</v>
          </cell>
        </row>
        <row r="1566">
          <cell r="F1566">
            <v>315183</v>
          </cell>
          <cell r="G1566" t="str">
            <v>Laura Lisbeth Gonzalez Ajin</v>
          </cell>
          <cell r="H1566">
            <v>0</v>
          </cell>
        </row>
        <row r="1567">
          <cell r="F1567">
            <v>90009270</v>
          </cell>
          <cell r="G1567" t="str">
            <v xml:space="preserve">Laura Yessenia Trabanino Interiano </v>
          </cell>
          <cell r="H1567">
            <v>0</v>
          </cell>
        </row>
        <row r="1568">
          <cell r="F1568">
            <v>315144</v>
          </cell>
          <cell r="G1568" t="str">
            <v>Lazaro Castro Cajanti</v>
          </cell>
          <cell r="H1568">
            <v>0</v>
          </cell>
        </row>
        <row r="1569">
          <cell r="F1569">
            <v>314220</v>
          </cell>
          <cell r="G1569" t="str">
            <v>Lea Maria Lopez Agustin</v>
          </cell>
          <cell r="H1569">
            <v>0</v>
          </cell>
        </row>
        <row r="1570">
          <cell r="F1570">
            <v>303284</v>
          </cell>
          <cell r="G1570" t="str">
            <v>Legbi Evangelina Martinez Vicente</v>
          </cell>
          <cell r="H1570">
            <v>0</v>
          </cell>
        </row>
        <row r="1571">
          <cell r="F1571">
            <v>304200</v>
          </cell>
          <cell r="G1571" t="str">
            <v>Legna Magali Juarez Aroche Cardoza</v>
          </cell>
          <cell r="H1571">
            <v>0</v>
          </cell>
        </row>
        <row r="1572">
          <cell r="F1572">
            <v>310692</v>
          </cell>
          <cell r="G1572" t="str">
            <v>Leidy Ana Macz Valey</v>
          </cell>
          <cell r="H1572">
            <v>0</v>
          </cell>
        </row>
        <row r="1573">
          <cell r="F1573">
            <v>303971</v>
          </cell>
          <cell r="G1573" t="str">
            <v>Leidy Marisol Perez Arias</v>
          </cell>
          <cell r="H1573">
            <v>0</v>
          </cell>
        </row>
        <row r="1574">
          <cell r="F1574">
            <v>312969</v>
          </cell>
          <cell r="G1574" t="str">
            <v>Lely Herrera Molina</v>
          </cell>
          <cell r="H1574">
            <v>0</v>
          </cell>
        </row>
        <row r="1575">
          <cell r="F1575">
            <v>315278</v>
          </cell>
          <cell r="G1575" t="str">
            <v>Leon Vicente Estuardo Ical Chub</v>
          </cell>
          <cell r="H1575">
            <v>0</v>
          </cell>
        </row>
        <row r="1576">
          <cell r="F1576">
            <v>306895</v>
          </cell>
          <cell r="G1576" t="str">
            <v>Leonardo Bocel Lopez</v>
          </cell>
          <cell r="H1576">
            <v>0</v>
          </cell>
        </row>
        <row r="1577">
          <cell r="F1577">
            <v>315841</v>
          </cell>
          <cell r="G1577" t="str">
            <v>Lesbia Roxana Rojas Castro</v>
          </cell>
          <cell r="H1577">
            <v>0</v>
          </cell>
        </row>
        <row r="1578">
          <cell r="F1578">
            <v>315257</v>
          </cell>
          <cell r="G1578" t="str">
            <v>Lesli Carolina Iquique Chamale</v>
          </cell>
          <cell r="H1578">
            <v>0</v>
          </cell>
        </row>
        <row r="1579">
          <cell r="F1579">
            <v>310605</v>
          </cell>
          <cell r="G1579" t="str">
            <v>Lesli Paola Mendez Palencia</v>
          </cell>
          <cell r="H1579">
            <v>0</v>
          </cell>
        </row>
        <row r="1580">
          <cell r="F1580">
            <v>307367</v>
          </cell>
          <cell r="G1580" t="str">
            <v>Lesli Paola Vasquez Villalta</v>
          </cell>
          <cell r="H1580">
            <v>0</v>
          </cell>
        </row>
        <row r="1581">
          <cell r="F1581">
            <v>314870</v>
          </cell>
          <cell r="G1581" t="str">
            <v>Leslie Karina Peliz Garcia</v>
          </cell>
          <cell r="H1581">
            <v>0</v>
          </cell>
        </row>
        <row r="1582">
          <cell r="F1582">
            <v>316113</v>
          </cell>
          <cell r="G1582" t="str">
            <v>Leslie Saray Munoz Iturrios</v>
          </cell>
          <cell r="H1582">
            <v>0</v>
          </cell>
        </row>
        <row r="1583">
          <cell r="F1583">
            <v>314382</v>
          </cell>
          <cell r="G1583" t="str">
            <v>Leslie Veronica Varela Echeverria</v>
          </cell>
          <cell r="H1583">
            <v>0</v>
          </cell>
        </row>
        <row r="1584">
          <cell r="F1584">
            <v>310067</v>
          </cell>
          <cell r="G1584" t="str">
            <v>Lesly Alejandra Estrada Chacon</v>
          </cell>
          <cell r="H1584">
            <v>0</v>
          </cell>
        </row>
        <row r="1585">
          <cell r="F1585">
            <v>90012428</v>
          </cell>
          <cell r="G1585" t="str">
            <v>Lesly Alejandra Urbina Chojolan</v>
          </cell>
          <cell r="H1585">
            <v>0</v>
          </cell>
        </row>
        <row r="1586">
          <cell r="F1586">
            <v>90038829</v>
          </cell>
          <cell r="G1586" t="str">
            <v>Lesly Alejandra Zeto Perez</v>
          </cell>
          <cell r="H1586">
            <v>0</v>
          </cell>
        </row>
        <row r="1587">
          <cell r="F1587">
            <v>307352</v>
          </cell>
          <cell r="G1587" t="str">
            <v>Lesly Anali Monterroso Ramirez</v>
          </cell>
          <cell r="H1587">
            <v>0</v>
          </cell>
        </row>
        <row r="1588">
          <cell r="F1588">
            <v>312944</v>
          </cell>
          <cell r="G1588" t="str">
            <v>Lesly Araceli Mendez Gonzalez</v>
          </cell>
          <cell r="H1588">
            <v>0</v>
          </cell>
        </row>
        <row r="1589">
          <cell r="F1589">
            <v>310143</v>
          </cell>
          <cell r="G1589" t="str">
            <v>Lesly Aurora Hernandez Godoy</v>
          </cell>
          <cell r="H1589">
            <v>0</v>
          </cell>
        </row>
        <row r="1590">
          <cell r="F1590">
            <v>312833</v>
          </cell>
          <cell r="G1590" t="str">
            <v>Lesly Fabiola Solorzano Garcia</v>
          </cell>
          <cell r="H1590">
            <v>0</v>
          </cell>
        </row>
        <row r="1591">
          <cell r="F1591">
            <v>90048221</v>
          </cell>
          <cell r="G1591" t="str">
            <v xml:space="preserve">Lesly Gabriela Caal Pineda </v>
          </cell>
          <cell r="H1591">
            <v>0</v>
          </cell>
        </row>
        <row r="1592">
          <cell r="F1592">
            <v>90034859</v>
          </cell>
          <cell r="G1592" t="str">
            <v xml:space="preserve">Lesly Julis Cordon Mujo </v>
          </cell>
          <cell r="H1592">
            <v>0</v>
          </cell>
        </row>
        <row r="1593">
          <cell r="F1593">
            <v>900344859</v>
          </cell>
          <cell r="G1593" t="str">
            <v>Lesly Julisa Cordon Mujo</v>
          </cell>
          <cell r="H1593">
            <v>0</v>
          </cell>
        </row>
        <row r="1594">
          <cell r="F1594">
            <v>315132</v>
          </cell>
          <cell r="G1594" t="str">
            <v>Lesly Lisseth Ligorria Torres</v>
          </cell>
          <cell r="H1594">
            <v>0</v>
          </cell>
        </row>
        <row r="1595">
          <cell r="F1595">
            <v>309366</v>
          </cell>
          <cell r="G1595" t="str">
            <v>Lesly Maribel Hidalgo Barrios</v>
          </cell>
          <cell r="H1595">
            <v>0</v>
          </cell>
        </row>
        <row r="1596">
          <cell r="F1596">
            <v>314328</v>
          </cell>
          <cell r="G1596" t="str">
            <v>Lesly Marileny De Leon De Leon</v>
          </cell>
          <cell r="H1596">
            <v>0</v>
          </cell>
        </row>
        <row r="1597">
          <cell r="F1597">
            <v>90028127</v>
          </cell>
          <cell r="G1597" t="str">
            <v xml:space="preserve">Lesly Mishel Herrera Maldonado </v>
          </cell>
          <cell r="H1597">
            <v>0</v>
          </cell>
        </row>
        <row r="1598">
          <cell r="F1598">
            <v>315317</v>
          </cell>
          <cell r="G1598" t="str">
            <v>Lesly Nereyda Ixquiac Vidaurre</v>
          </cell>
          <cell r="H1598">
            <v>0</v>
          </cell>
        </row>
        <row r="1599">
          <cell r="F1599">
            <v>313889</v>
          </cell>
          <cell r="G1599" t="str">
            <v>Lesly Noemi Morales Molina</v>
          </cell>
          <cell r="H1599">
            <v>0</v>
          </cell>
        </row>
        <row r="1600">
          <cell r="F1600">
            <v>304926</v>
          </cell>
          <cell r="G1600" t="str">
            <v>Lesly Rocio Castillo Sandoval</v>
          </cell>
          <cell r="H1600">
            <v>0</v>
          </cell>
        </row>
        <row r="1601">
          <cell r="F1601">
            <v>310261</v>
          </cell>
          <cell r="G1601" t="str">
            <v>Lesly Rosibel Asencio Estrada</v>
          </cell>
          <cell r="H1601">
            <v>0</v>
          </cell>
        </row>
        <row r="1602">
          <cell r="F1602">
            <v>313031</v>
          </cell>
          <cell r="G1602" t="str">
            <v>Lesly Sucely Ramirez Maxin</v>
          </cell>
          <cell r="H1602">
            <v>0</v>
          </cell>
        </row>
        <row r="1603">
          <cell r="F1603">
            <v>311985</v>
          </cell>
          <cell r="G1603" t="str">
            <v>Lesly Vanessa Jerez Herrera</v>
          </cell>
          <cell r="H1603">
            <v>0</v>
          </cell>
        </row>
        <row r="1604">
          <cell r="F1604">
            <v>307718</v>
          </cell>
          <cell r="G1604" t="str">
            <v>Lesly Yohanna Ramirez Sarceño</v>
          </cell>
          <cell r="H1604">
            <v>0</v>
          </cell>
        </row>
        <row r="1605">
          <cell r="F1605">
            <v>90041342</v>
          </cell>
          <cell r="G1605" t="str">
            <v>Lester Aaron Lopez Orantes</v>
          </cell>
          <cell r="H1605">
            <v>0</v>
          </cell>
        </row>
        <row r="1606">
          <cell r="F1606">
            <v>307269</v>
          </cell>
          <cell r="G1606" t="str">
            <v>Lester Alexander Rodriguez Arevalo</v>
          </cell>
          <cell r="H1606">
            <v>0</v>
          </cell>
        </row>
        <row r="1607">
          <cell r="F1607">
            <v>315599</v>
          </cell>
          <cell r="G1607" t="str">
            <v>Lester Daniel Gil Mayen</v>
          </cell>
          <cell r="H1607">
            <v>0</v>
          </cell>
        </row>
        <row r="1608">
          <cell r="F1608">
            <v>102070</v>
          </cell>
          <cell r="G1608" t="str">
            <v>Lester Giovanni Barrios Gonzalez</v>
          </cell>
          <cell r="H1608">
            <v>0</v>
          </cell>
        </row>
        <row r="1609">
          <cell r="F1609">
            <v>315322</v>
          </cell>
          <cell r="G1609" t="str">
            <v>Lester Juan Jose Arevalo Reynoso</v>
          </cell>
          <cell r="H1609">
            <v>0</v>
          </cell>
        </row>
        <row r="1610">
          <cell r="F1610">
            <v>90009437</v>
          </cell>
          <cell r="G1610" t="str">
            <v>Lester Manfredo Gonzalez De Paz</v>
          </cell>
          <cell r="H1610">
            <v>0</v>
          </cell>
        </row>
        <row r="1611">
          <cell r="F1611">
            <v>315617</v>
          </cell>
          <cell r="G1611" t="str">
            <v>Lester Mauricio Perez Martinez</v>
          </cell>
          <cell r="H1611">
            <v>0</v>
          </cell>
        </row>
        <row r="1612">
          <cell r="F1612">
            <v>313739</v>
          </cell>
          <cell r="G1612" t="str">
            <v>Lester Onelio Lopez Rosales</v>
          </cell>
          <cell r="H1612">
            <v>0</v>
          </cell>
        </row>
        <row r="1613">
          <cell r="F1613">
            <v>313030</v>
          </cell>
          <cell r="G1613" t="str">
            <v>Lester Ottoniel Martinez Gonzalez</v>
          </cell>
          <cell r="H1613">
            <v>0</v>
          </cell>
        </row>
        <row r="1614">
          <cell r="F1614">
            <v>316020</v>
          </cell>
          <cell r="G1614" t="str">
            <v>Lester Ottoniel Martinez Gonzalez</v>
          </cell>
          <cell r="H1614">
            <v>0</v>
          </cell>
        </row>
        <row r="1615">
          <cell r="F1615">
            <v>314628</v>
          </cell>
          <cell r="G1615" t="str">
            <v>Levy Jhafreth Molina Castellanos</v>
          </cell>
          <cell r="H1615">
            <v>0</v>
          </cell>
        </row>
        <row r="1616">
          <cell r="F1616">
            <v>316208</v>
          </cell>
          <cell r="G1616" t="str">
            <v>Leycer Ulices Cana Andrade</v>
          </cell>
          <cell r="H1616">
            <v>0</v>
          </cell>
        </row>
        <row r="1617">
          <cell r="F1617">
            <v>90034379</v>
          </cell>
          <cell r="G1617" t="str">
            <v>Leysi Lissett Ramirez Figueroa</v>
          </cell>
          <cell r="H1617">
            <v>0</v>
          </cell>
        </row>
        <row r="1618">
          <cell r="F1618">
            <v>315184</v>
          </cell>
          <cell r="G1618" t="str">
            <v>Leysly Rubi Panchoy Rivera</v>
          </cell>
          <cell r="H1618">
            <v>0</v>
          </cell>
        </row>
        <row r="1619">
          <cell r="F1619">
            <v>314652</v>
          </cell>
          <cell r="G1619" t="str">
            <v>Leyvi Diana Morales Garrido</v>
          </cell>
          <cell r="H1619">
            <v>0</v>
          </cell>
        </row>
        <row r="1620">
          <cell r="F1620">
            <v>315074</v>
          </cell>
          <cell r="G1620" t="str">
            <v>Leyvis Anihela Melendez Garcia</v>
          </cell>
          <cell r="H1620">
            <v>0</v>
          </cell>
        </row>
        <row r="1621">
          <cell r="F1621">
            <v>90039328</v>
          </cell>
          <cell r="G1621" t="str">
            <v xml:space="preserve">Libni Madai Lopez </v>
          </cell>
          <cell r="H1621">
            <v>0</v>
          </cell>
        </row>
        <row r="1622">
          <cell r="F1622">
            <v>310347</v>
          </cell>
          <cell r="G1622" t="str">
            <v>Lidia Sarahi Rodriguez Zamora</v>
          </cell>
          <cell r="H1622">
            <v>0</v>
          </cell>
        </row>
        <row r="1623">
          <cell r="F1623">
            <v>309786</v>
          </cell>
          <cell r="G1623" t="str">
            <v>Ligia Carolina Marroquin Flores</v>
          </cell>
          <cell r="H1623">
            <v>0</v>
          </cell>
        </row>
        <row r="1624">
          <cell r="F1624">
            <v>313802</v>
          </cell>
          <cell r="G1624" t="str">
            <v>Ligia Delfina Caal Coy</v>
          </cell>
          <cell r="H1624">
            <v>0</v>
          </cell>
        </row>
        <row r="1625">
          <cell r="F1625">
            <v>303594</v>
          </cell>
          <cell r="G1625" t="str">
            <v>Ligia Iveth Marroquin Lechuga</v>
          </cell>
          <cell r="H1625">
            <v>0</v>
          </cell>
        </row>
        <row r="1626">
          <cell r="F1626">
            <v>311440</v>
          </cell>
          <cell r="G1626" t="str">
            <v>Lili Azucena Perez Yantuch</v>
          </cell>
          <cell r="H1626">
            <v>0</v>
          </cell>
        </row>
        <row r="1627">
          <cell r="F1627">
            <v>303552</v>
          </cell>
          <cell r="G1627" t="str">
            <v>Liliam Lisseth Santizo Mejia De Cordova</v>
          </cell>
          <cell r="H1627">
            <v>0</v>
          </cell>
        </row>
        <row r="1628">
          <cell r="F1628">
            <v>310148</v>
          </cell>
          <cell r="G1628" t="str">
            <v>Lilian Carolina Quiñonez Garcia</v>
          </cell>
          <cell r="H1628">
            <v>0</v>
          </cell>
        </row>
        <row r="1629">
          <cell r="F1629">
            <v>300280</v>
          </cell>
          <cell r="G1629" t="str">
            <v>Lilian Del Carmen Franco Curin</v>
          </cell>
          <cell r="H1629">
            <v>0</v>
          </cell>
        </row>
        <row r="1630">
          <cell r="F1630">
            <v>306962</v>
          </cell>
          <cell r="G1630" t="str">
            <v>Lilian Elizabeth Diaz Rivera</v>
          </cell>
          <cell r="H1630">
            <v>0</v>
          </cell>
        </row>
        <row r="1631">
          <cell r="F1631">
            <v>314279</v>
          </cell>
          <cell r="G1631" t="str">
            <v>Lilian Evelyn Sajbochol Garcia</v>
          </cell>
          <cell r="H1631">
            <v>0</v>
          </cell>
        </row>
        <row r="1632">
          <cell r="F1632">
            <v>305064</v>
          </cell>
          <cell r="G1632" t="str">
            <v>Lilian Jose Lopez Quevedo</v>
          </cell>
          <cell r="H1632">
            <v>0</v>
          </cell>
        </row>
        <row r="1633">
          <cell r="F1633">
            <v>90035281</v>
          </cell>
          <cell r="G1633" t="str">
            <v>Lilian Maria Navas Gonzalez</v>
          </cell>
          <cell r="H1633">
            <v>0</v>
          </cell>
        </row>
        <row r="1634">
          <cell r="F1634">
            <v>305035</v>
          </cell>
          <cell r="G1634" t="str">
            <v>Lilian Nohemi Santos Bailon</v>
          </cell>
          <cell r="H1634">
            <v>0</v>
          </cell>
        </row>
        <row r="1635">
          <cell r="F1635">
            <v>314899</v>
          </cell>
          <cell r="G1635" t="str">
            <v>Lilian Vanessa Tezó Monterroso</v>
          </cell>
          <cell r="H1635">
            <v>0</v>
          </cell>
        </row>
        <row r="1636">
          <cell r="F1636">
            <v>314728</v>
          </cell>
          <cell r="G1636" t="str">
            <v>Lilian Yomara Perez Ajxup</v>
          </cell>
          <cell r="H1636">
            <v>0</v>
          </cell>
        </row>
        <row r="1637">
          <cell r="F1637">
            <v>313768</v>
          </cell>
          <cell r="G1637" t="str">
            <v>Liliana Marisela Chamorro Tax</v>
          </cell>
          <cell r="H1637">
            <v>0</v>
          </cell>
        </row>
        <row r="1638">
          <cell r="F1638">
            <v>309495</v>
          </cell>
          <cell r="G1638" t="str">
            <v>Lilibette Alejandra Tezcucano De La Cruz</v>
          </cell>
          <cell r="H1638">
            <v>0</v>
          </cell>
        </row>
        <row r="1639">
          <cell r="F1639">
            <v>315498</v>
          </cell>
          <cell r="G1639" t="str">
            <v>Lima Contreras, Carolina Azucena</v>
          </cell>
          <cell r="H1639">
            <v>0</v>
          </cell>
        </row>
        <row r="1640">
          <cell r="F1640">
            <v>315573</v>
          </cell>
          <cell r="G1640" t="str">
            <v>Lima Hernandez, Joselyn Marilu</v>
          </cell>
          <cell r="H1640">
            <v>0</v>
          </cell>
        </row>
        <row r="1641">
          <cell r="F1641">
            <v>316385</v>
          </cell>
          <cell r="G1641" t="str">
            <v>Linda Aracely Garcia Beteta</v>
          </cell>
          <cell r="H1641">
            <v>0</v>
          </cell>
        </row>
        <row r="1642">
          <cell r="F1642">
            <v>90045667</v>
          </cell>
          <cell r="G1642" t="str">
            <v xml:space="preserve">Linda Esperanza Male Carrera </v>
          </cell>
          <cell r="H1642">
            <v>0</v>
          </cell>
        </row>
        <row r="1643">
          <cell r="F1643">
            <v>316257</v>
          </cell>
          <cell r="G1643" t="str">
            <v>Linda Esperanza Monges Torres</v>
          </cell>
          <cell r="H1643">
            <v>0</v>
          </cell>
        </row>
        <row r="1644">
          <cell r="F1644">
            <v>315357</v>
          </cell>
          <cell r="G1644" t="str">
            <v>Linda Garcia          </v>
          </cell>
          <cell r="H1644">
            <v>0</v>
          </cell>
        </row>
        <row r="1645">
          <cell r="F1645">
            <v>314091</v>
          </cell>
          <cell r="G1645" t="str">
            <v>Linda Gineli Segura Perez</v>
          </cell>
          <cell r="H1645">
            <v>0</v>
          </cell>
        </row>
        <row r="1646">
          <cell r="F1646">
            <v>315961</v>
          </cell>
          <cell r="G1646" t="str">
            <v>Linda Llusely Sarat Cordova</v>
          </cell>
          <cell r="H1646">
            <v>0</v>
          </cell>
        </row>
        <row r="1647">
          <cell r="F1647">
            <v>310198</v>
          </cell>
          <cell r="G1647" t="str">
            <v>Linsi Mishell Batz Marroquin</v>
          </cell>
          <cell r="H1647">
            <v>0</v>
          </cell>
        </row>
        <row r="1648">
          <cell r="F1648">
            <v>90034703</v>
          </cell>
          <cell r="G1648" t="str">
            <v>Lisber Melisa Zacarias Lopez</v>
          </cell>
          <cell r="H1648">
            <v>0</v>
          </cell>
        </row>
        <row r="1649">
          <cell r="F1649">
            <v>309262</v>
          </cell>
          <cell r="G1649" t="str">
            <v>Lisbeth Carolina Hernandez Urrutia</v>
          </cell>
          <cell r="H1649">
            <v>0</v>
          </cell>
        </row>
        <row r="1650">
          <cell r="F1650">
            <v>315486</v>
          </cell>
          <cell r="G1650" t="str">
            <v>Lisbeth Jeaneth Sucup</v>
          </cell>
          <cell r="H1650">
            <v>0</v>
          </cell>
        </row>
        <row r="1651">
          <cell r="F1651">
            <v>303704</v>
          </cell>
          <cell r="G1651" t="str">
            <v>Lisbeth Noemi Hernandez Giron</v>
          </cell>
          <cell r="H1651">
            <v>0</v>
          </cell>
        </row>
        <row r="1652">
          <cell r="F1652">
            <v>309417</v>
          </cell>
          <cell r="G1652" t="str">
            <v>Lisbeth Sarai Gutierrez Oscal</v>
          </cell>
          <cell r="H1652">
            <v>0</v>
          </cell>
        </row>
        <row r="1653">
          <cell r="F1653">
            <v>315992</v>
          </cell>
          <cell r="G1653" t="str">
            <v>Lisbeth Victoria Garcia</v>
          </cell>
          <cell r="H1653">
            <v>0</v>
          </cell>
        </row>
        <row r="1654">
          <cell r="F1654">
            <v>311492</v>
          </cell>
          <cell r="G1654" t="str">
            <v>Liseth Aldai De La Cruz Lopez</v>
          </cell>
          <cell r="H1654">
            <v>0</v>
          </cell>
        </row>
        <row r="1655">
          <cell r="F1655">
            <v>90034375</v>
          </cell>
          <cell r="G1655" t="str">
            <v>Liza Aracely Ramirez Rodas</v>
          </cell>
          <cell r="H1655">
            <v>0</v>
          </cell>
        </row>
        <row r="1656">
          <cell r="F1656">
            <v>315403</v>
          </cell>
          <cell r="G1656" t="str">
            <v>Lizbeth Liliana Peren Velasquez</v>
          </cell>
          <cell r="H1656">
            <v>0</v>
          </cell>
        </row>
        <row r="1657">
          <cell r="F1657">
            <v>312792</v>
          </cell>
          <cell r="G1657" t="str">
            <v>Llori Eriselda Zuñiga Gomez</v>
          </cell>
          <cell r="H1657">
            <v>0</v>
          </cell>
        </row>
        <row r="1658">
          <cell r="F1658">
            <v>314774</v>
          </cell>
          <cell r="G1658" t="str">
            <v>Loida Eunice Celada Panjoj De Polanco</v>
          </cell>
          <cell r="H1658">
            <v>0</v>
          </cell>
        </row>
        <row r="1659">
          <cell r="F1659">
            <v>310872</v>
          </cell>
          <cell r="G1659" t="str">
            <v>Loida Raquel Juarez Ixpata</v>
          </cell>
          <cell r="H1659">
            <v>0</v>
          </cell>
        </row>
        <row r="1660">
          <cell r="F1660">
            <v>312765</v>
          </cell>
          <cell r="G1660" t="str">
            <v>Londy Yazmin Gonzalez Ramirez</v>
          </cell>
          <cell r="H1660">
            <v>0</v>
          </cell>
        </row>
        <row r="1661">
          <cell r="F1661">
            <v>314299</v>
          </cell>
          <cell r="G1661" t="str">
            <v>Lopez Morales, Andrea Lucia</v>
          </cell>
          <cell r="H1661">
            <v>0</v>
          </cell>
        </row>
        <row r="1662">
          <cell r="F1662">
            <v>303967</v>
          </cell>
          <cell r="G1662" t="str">
            <v>Loren Alejandra Gutierrez Perez</v>
          </cell>
          <cell r="H1662">
            <v>0</v>
          </cell>
        </row>
        <row r="1663">
          <cell r="F1663">
            <v>311367</v>
          </cell>
          <cell r="G1663" t="str">
            <v>Lorena Elisbeth Gomez Ajanel</v>
          </cell>
          <cell r="H1663">
            <v>0</v>
          </cell>
        </row>
        <row r="1664">
          <cell r="F1664">
            <v>90012315</v>
          </cell>
          <cell r="G1664" t="str">
            <v>Lorenzo Antonio Herrera Tobar</v>
          </cell>
          <cell r="H1664">
            <v>0</v>
          </cell>
        </row>
        <row r="1665">
          <cell r="F1665">
            <v>310502</v>
          </cell>
          <cell r="G1665" t="str">
            <v>Lourdes Cristina Flores Tahuite</v>
          </cell>
          <cell r="H1665">
            <v>0</v>
          </cell>
        </row>
        <row r="1666">
          <cell r="F1666">
            <v>315124</v>
          </cell>
          <cell r="G1666" t="str">
            <v>Lourdes Guadalupe Solorzano Herrera</v>
          </cell>
          <cell r="H1666">
            <v>0</v>
          </cell>
        </row>
        <row r="1667">
          <cell r="F1667">
            <v>316379</v>
          </cell>
          <cell r="G1667" t="str">
            <v>Lourdes Mayari Ramirez Ramirez</v>
          </cell>
          <cell r="H1667">
            <v>0</v>
          </cell>
        </row>
        <row r="1668">
          <cell r="F1668">
            <v>312039</v>
          </cell>
          <cell r="G1668" t="str">
            <v>Lourdes Yamileth Escobar Recinos</v>
          </cell>
          <cell r="H1668">
            <v>0</v>
          </cell>
        </row>
        <row r="1669">
          <cell r="F1669">
            <v>313529</v>
          </cell>
          <cell r="G1669" t="str">
            <v>Lucia Adali Alvarado Juarez</v>
          </cell>
          <cell r="H1669">
            <v>0</v>
          </cell>
        </row>
        <row r="1670">
          <cell r="F1670">
            <v>300644</v>
          </cell>
          <cell r="G1670" t="str">
            <v>Luciana Emilia Gonzalez Samayoa</v>
          </cell>
          <cell r="H1670">
            <v>0</v>
          </cell>
        </row>
        <row r="1671">
          <cell r="F1671">
            <v>314022</v>
          </cell>
          <cell r="G1671" t="str">
            <v>Lucinda Nova Garcia</v>
          </cell>
          <cell r="H1671">
            <v>0</v>
          </cell>
        </row>
        <row r="1672">
          <cell r="F1672">
            <v>316293</v>
          </cell>
          <cell r="G1672" t="str">
            <v>Lucio Omar Chavez Chavez</v>
          </cell>
          <cell r="H1672">
            <v>0</v>
          </cell>
        </row>
        <row r="1673">
          <cell r="F1673">
            <v>309348</v>
          </cell>
          <cell r="G1673" t="str">
            <v>Ludbind Alexander Noriega Chavez</v>
          </cell>
          <cell r="H1673">
            <v>0</v>
          </cell>
        </row>
        <row r="1674">
          <cell r="F1674">
            <v>309747</v>
          </cell>
          <cell r="G1674" t="str">
            <v>Ludwin Enrique Pineda Soto</v>
          </cell>
          <cell r="H1674">
            <v>0</v>
          </cell>
        </row>
        <row r="1675">
          <cell r="F1675">
            <v>315328</v>
          </cell>
          <cell r="G1675" t="str">
            <v xml:space="preserve">Ludwin Oscar David Chavez </v>
          </cell>
          <cell r="H1675">
            <v>0</v>
          </cell>
        </row>
        <row r="1676">
          <cell r="F1676">
            <v>315489</v>
          </cell>
          <cell r="G1676" t="str">
            <v>Ludwyn Alejandro Estrada Giron</v>
          </cell>
          <cell r="H1676">
            <v>0</v>
          </cell>
        </row>
        <row r="1677">
          <cell r="F1677">
            <v>313595</v>
          </cell>
          <cell r="G1677" t="str">
            <v>Luis Alan Caceros Chub</v>
          </cell>
          <cell r="H1677">
            <v>0</v>
          </cell>
        </row>
        <row r="1678">
          <cell r="F1678">
            <v>311207</v>
          </cell>
          <cell r="G1678" t="str">
            <v>Luis Alberto Figueroa Vasquez</v>
          </cell>
          <cell r="H1678">
            <v>0</v>
          </cell>
        </row>
        <row r="1679">
          <cell r="F1679">
            <v>304473</v>
          </cell>
          <cell r="G1679" t="str">
            <v>Luis Alberto Najera Solis</v>
          </cell>
          <cell r="H1679">
            <v>0</v>
          </cell>
        </row>
        <row r="1680">
          <cell r="F1680">
            <v>308754</v>
          </cell>
          <cell r="G1680" t="str">
            <v>Luis Alberto Perez Barrios</v>
          </cell>
          <cell r="H1680">
            <v>0</v>
          </cell>
        </row>
        <row r="1681">
          <cell r="F1681">
            <v>314440</v>
          </cell>
          <cell r="G1681" t="str">
            <v>Luis Alexsander Barco Ramirez</v>
          </cell>
          <cell r="H1681">
            <v>0</v>
          </cell>
        </row>
        <row r="1682">
          <cell r="F1682">
            <v>314083</v>
          </cell>
          <cell r="G1682" t="str">
            <v>Luis Alfredo Ruben Castillo Mejia</v>
          </cell>
          <cell r="H1682">
            <v>0</v>
          </cell>
        </row>
        <row r="1683">
          <cell r="F1683">
            <v>313825</v>
          </cell>
          <cell r="G1683" t="str">
            <v>Luis Angel Galvez Morales</v>
          </cell>
          <cell r="H1683">
            <v>0</v>
          </cell>
        </row>
        <row r="1684">
          <cell r="F1684">
            <v>316488</v>
          </cell>
          <cell r="G1684" t="str">
            <v>Luis Angel Peñalonzo Muños</v>
          </cell>
          <cell r="H1684">
            <v>0</v>
          </cell>
        </row>
        <row r="1685">
          <cell r="F1685">
            <v>314202</v>
          </cell>
          <cell r="G1685" t="str">
            <v>Luis Antonio Cotzajay Quelex</v>
          </cell>
          <cell r="H1685">
            <v>0</v>
          </cell>
        </row>
        <row r="1686">
          <cell r="F1686">
            <v>302484</v>
          </cell>
          <cell r="G1686" t="str">
            <v>Luis Armando Ramirez De Leon</v>
          </cell>
          <cell r="H1686">
            <v>0</v>
          </cell>
        </row>
        <row r="1687">
          <cell r="F1687">
            <v>314752</v>
          </cell>
          <cell r="G1687" t="str">
            <v>Luis Arturo Fuentes Jerez</v>
          </cell>
          <cell r="H1687">
            <v>0</v>
          </cell>
        </row>
        <row r="1688">
          <cell r="F1688">
            <v>90028638</v>
          </cell>
          <cell r="G1688" t="str">
            <v>Luis Carlos Morales Lopez</v>
          </cell>
          <cell r="H1688">
            <v>0</v>
          </cell>
        </row>
        <row r="1689">
          <cell r="F1689">
            <v>308614</v>
          </cell>
          <cell r="G1689" t="str">
            <v>Luis De Jesus Julian Lopez</v>
          </cell>
          <cell r="H1689">
            <v>0</v>
          </cell>
        </row>
        <row r="1690">
          <cell r="F1690">
            <v>315222</v>
          </cell>
          <cell r="G1690" t="str">
            <v>Luis Diego Figueroa Coronado</v>
          </cell>
          <cell r="H1690">
            <v>0</v>
          </cell>
        </row>
        <row r="1691">
          <cell r="F1691">
            <v>315771</v>
          </cell>
          <cell r="G1691" t="str">
            <v>Luis Eduardo Carranza Guzman</v>
          </cell>
          <cell r="H1691">
            <v>0</v>
          </cell>
        </row>
        <row r="1692">
          <cell r="F1692">
            <v>306213</v>
          </cell>
          <cell r="G1692" t="str">
            <v>Luis Eduardo Corado Lara</v>
          </cell>
          <cell r="H1692">
            <v>0</v>
          </cell>
        </row>
        <row r="1693">
          <cell r="F1693">
            <v>315363</v>
          </cell>
          <cell r="G1693" t="str">
            <v>Luis Eduardo Fuentes Flores</v>
          </cell>
          <cell r="H1693">
            <v>0</v>
          </cell>
        </row>
        <row r="1694">
          <cell r="F1694">
            <v>314162</v>
          </cell>
          <cell r="G1694" t="str">
            <v>Luis Eduardo Gonzalez Arriaza</v>
          </cell>
          <cell r="H1694">
            <v>0</v>
          </cell>
        </row>
        <row r="1695">
          <cell r="F1695">
            <v>311975</v>
          </cell>
          <cell r="G1695" t="str">
            <v>Luis Eduardo Ramirez Arriaza</v>
          </cell>
          <cell r="H1695">
            <v>0</v>
          </cell>
        </row>
        <row r="1696">
          <cell r="F1696">
            <v>315897</v>
          </cell>
          <cell r="G1696" t="str">
            <v xml:space="preserve">Luis Emanuel Duque Rustrian </v>
          </cell>
          <cell r="H1696">
            <v>0</v>
          </cell>
        </row>
        <row r="1697">
          <cell r="F1697">
            <v>300922</v>
          </cell>
          <cell r="G1697" t="str">
            <v>Luis Ernesto Medrano Chajon</v>
          </cell>
          <cell r="H1697">
            <v>0</v>
          </cell>
        </row>
        <row r="1698">
          <cell r="F1698">
            <v>308519</v>
          </cell>
          <cell r="G1698" t="str">
            <v>Luis Felipe Cuzal Gomez</v>
          </cell>
          <cell r="H1698">
            <v>0</v>
          </cell>
        </row>
        <row r="1699">
          <cell r="F1699">
            <v>314812</v>
          </cell>
          <cell r="G1699" t="str">
            <v>Luis Fernando Alvarado Tocay</v>
          </cell>
          <cell r="H1699">
            <v>0</v>
          </cell>
        </row>
        <row r="1700">
          <cell r="F1700">
            <v>313834</v>
          </cell>
          <cell r="G1700" t="str">
            <v>Luis Fernando Cuque Marquez</v>
          </cell>
          <cell r="H1700">
            <v>0</v>
          </cell>
        </row>
        <row r="1701">
          <cell r="F1701">
            <v>90045743</v>
          </cell>
          <cell r="G1701" t="str">
            <v>Luis Fernando Ixen Fuentes</v>
          </cell>
          <cell r="H1701">
            <v>0</v>
          </cell>
        </row>
        <row r="1702">
          <cell r="F1702">
            <v>304509</v>
          </cell>
          <cell r="G1702" t="str">
            <v>Luis Fernando Jerez Perez</v>
          </cell>
          <cell r="H1702">
            <v>0</v>
          </cell>
        </row>
        <row r="1703">
          <cell r="F1703">
            <v>313479</v>
          </cell>
          <cell r="G1703" t="str">
            <v>Luis Fernando Lopez Lopez</v>
          </cell>
          <cell r="H1703">
            <v>0</v>
          </cell>
        </row>
        <row r="1704">
          <cell r="F1704">
            <v>316263</v>
          </cell>
          <cell r="G1704" t="str">
            <v xml:space="preserve">Luis Fernando Lopez Vasquez </v>
          </cell>
          <cell r="H1704">
            <v>0</v>
          </cell>
        </row>
        <row r="1705">
          <cell r="F1705">
            <v>307904</v>
          </cell>
          <cell r="G1705" t="str">
            <v>Luis Fernando Martin Mateo</v>
          </cell>
          <cell r="H1705">
            <v>0</v>
          </cell>
        </row>
        <row r="1706">
          <cell r="F1706">
            <v>312303</v>
          </cell>
          <cell r="G1706" t="str">
            <v>Luis Fernando Morales Chocoy</v>
          </cell>
          <cell r="H1706">
            <v>0</v>
          </cell>
        </row>
        <row r="1707">
          <cell r="F1707">
            <v>314124</v>
          </cell>
          <cell r="G1707" t="str">
            <v>Luis Fernando Perez Torres</v>
          </cell>
          <cell r="H1707">
            <v>0</v>
          </cell>
        </row>
        <row r="1708">
          <cell r="F1708">
            <v>315187</v>
          </cell>
          <cell r="G1708" t="str">
            <v>Luis Fernando Ramos Reynoso</v>
          </cell>
          <cell r="H1708">
            <v>0</v>
          </cell>
        </row>
        <row r="1709">
          <cell r="F1709">
            <v>315361</v>
          </cell>
          <cell r="G1709" t="str">
            <v>Luis Fernando Roche Valenzuela</v>
          </cell>
          <cell r="H1709">
            <v>0</v>
          </cell>
        </row>
        <row r="1710">
          <cell r="F1710">
            <v>314527</v>
          </cell>
          <cell r="G1710" t="str">
            <v>Luis Fernando Rodas Pineda</v>
          </cell>
          <cell r="H1710">
            <v>0</v>
          </cell>
        </row>
        <row r="1711">
          <cell r="F1711">
            <v>306713</v>
          </cell>
          <cell r="G1711" t="str">
            <v>Luis Fernando Santos Aguilar</v>
          </cell>
          <cell r="H1711">
            <v>0</v>
          </cell>
        </row>
        <row r="1712">
          <cell r="F1712">
            <v>315342</v>
          </cell>
          <cell r="G1712" t="str">
            <v>Luis Fernando Valle Cuyun</v>
          </cell>
          <cell r="H1712">
            <v>0</v>
          </cell>
        </row>
        <row r="1713">
          <cell r="F1713">
            <v>312257</v>
          </cell>
          <cell r="G1713" t="str">
            <v>Luis Giovanni Coronado Vasquez</v>
          </cell>
          <cell r="H1713">
            <v>0</v>
          </cell>
        </row>
        <row r="1714">
          <cell r="F1714">
            <v>314043</v>
          </cell>
          <cell r="G1714" t="str">
            <v>Luis Miguel Camaja Recinos</v>
          </cell>
          <cell r="H1714">
            <v>0</v>
          </cell>
        </row>
        <row r="1715">
          <cell r="F1715">
            <v>90028232</v>
          </cell>
          <cell r="G1715" t="str">
            <v>Luis Miguel Lopez Vasquez</v>
          </cell>
          <cell r="H1715">
            <v>0</v>
          </cell>
        </row>
        <row r="1716">
          <cell r="F1716">
            <v>307113</v>
          </cell>
          <cell r="G1716" t="str">
            <v>Luis Pedro Herrera España</v>
          </cell>
          <cell r="H1716">
            <v>0</v>
          </cell>
        </row>
        <row r="1717">
          <cell r="F1717">
            <v>303961</v>
          </cell>
          <cell r="G1717" t="str">
            <v>Luis Rene Morales Lopez</v>
          </cell>
          <cell r="H1717">
            <v>0</v>
          </cell>
        </row>
        <row r="1718">
          <cell r="F1718">
            <v>315299</v>
          </cell>
          <cell r="G1718" t="str">
            <v>Luis Rodrigo Polanco Marroquin</v>
          </cell>
          <cell r="H1718">
            <v>0</v>
          </cell>
        </row>
        <row r="1719">
          <cell r="F1719">
            <v>308796</v>
          </cell>
          <cell r="G1719" t="str">
            <v>Luis Tito Rene Esquivel Yancor</v>
          </cell>
          <cell r="H1719">
            <v>0</v>
          </cell>
        </row>
        <row r="1720">
          <cell r="F1720">
            <v>307862</v>
          </cell>
          <cell r="G1720" t="str">
            <v>Luisa Fernanda Castro Garcia</v>
          </cell>
          <cell r="H1720">
            <v>0</v>
          </cell>
        </row>
        <row r="1721">
          <cell r="F1721">
            <v>314103</v>
          </cell>
          <cell r="G1721" t="str">
            <v>Luisa Fernanda Marroquin Tiguila</v>
          </cell>
          <cell r="H1721">
            <v>0</v>
          </cell>
        </row>
        <row r="1722">
          <cell r="F1722">
            <v>310734</v>
          </cell>
          <cell r="G1722" t="str">
            <v>Lupita Genesis Granados Valenzuela</v>
          </cell>
          <cell r="H1722">
            <v>0</v>
          </cell>
        </row>
        <row r="1723">
          <cell r="F1723">
            <v>309761</v>
          </cell>
          <cell r="G1723" t="str">
            <v>Lusi Angelica Coyoy Hernandez</v>
          </cell>
          <cell r="H1723">
            <v>0</v>
          </cell>
        </row>
        <row r="1724">
          <cell r="F1724">
            <v>90014269</v>
          </cell>
          <cell r="G1724" t="str">
            <v>Lusvin Ariel Villacinda Flores</v>
          </cell>
          <cell r="H1724">
            <v>0</v>
          </cell>
        </row>
        <row r="1725">
          <cell r="F1725">
            <v>313396</v>
          </cell>
          <cell r="G1725" t="str">
            <v>Luz Mariela Donis Gonzalez</v>
          </cell>
          <cell r="H1725">
            <v>0</v>
          </cell>
        </row>
        <row r="1726">
          <cell r="F1726">
            <v>90023803</v>
          </cell>
          <cell r="G1726" t="str">
            <v>Luzwing Adelso Gonzalez Ramirez     </v>
          </cell>
          <cell r="H1726">
            <v>0</v>
          </cell>
        </row>
        <row r="1727">
          <cell r="F1727">
            <v>90039514</v>
          </cell>
          <cell r="G1727" t="str">
            <v>Madelin Ibett Chacon Yat</v>
          </cell>
          <cell r="H1727">
            <v>0</v>
          </cell>
        </row>
        <row r="1728">
          <cell r="F1728">
            <v>310867</v>
          </cell>
          <cell r="G1728" t="str">
            <v>Madelin Raquel Garcia Punay</v>
          </cell>
          <cell r="H1728">
            <v>0</v>
          </cell>
        </row>
        <row r="1729">
          <cell r="F1729">
            <v>315760</v>
          </cell>
          <cell r="G1729" t="str">
            <v>Madelin Yamiled Martinez Vasquez</v>
          </cell>
          <cell r="H1729">
            <v>0</v>
          </cell>
        </row>
        <row r="1730">
          <cell r="F1730">
            <v>310796</v>
          </cell>
          <cell r="G1730" t="str">
            <v>Madelyn Estefany Vega Velasquez</v>
          </cell>
          <cell r="H1730">
            <v>0</v>
          </cell>
        </row>
        <row r="1731">
          <cell r="F1731">
            <v>314563</v>
          </cell>
          <cell r="G1731" t="str">
            <v>Madelyn Siomara Mazul De Leon</v>
          </cell>
          <cell r="H1731">
            <v>0</v>
          </cell>
        </row>
        <row r="1732">
          <cell r="F1732">
            <v>304658</v>
          </cell>
          <cell r="G1732" t="str">
            <v>Madelyn Virginia Lopez Ortega</v>
          </cell>
          <cell r="H1732">
            <v>0</v>
          </cell>
        </row>
        <row r="1733">
          <cell r="F1733">
            <v>315181</v>
          </cell>
          <cell r="G1733" t="str">
            <v>Magda Beatriz Galvez Fernandez</v>
          </cell>
          <cell r="H1733">
            <v>0</v>
          </cell>
        </row>
        <row r="1734">
          <cell r="F1734">
            <v>311615</v>
          </cell>
          <cell r="G1734" t="str">
            <v>Magda Corina Gutierrez Yool</v>
          </cell>
          <cell r="H1734">
            <v>0</v>
          </cell>
        </row>
        <row r="1735">
          <cell r="F1735">
            <v>312044</v>
          </cell>
          <cell r="G1735" t="str">
            <v>Magda Danira Catalan Paz</v>
          </cell>
          <cell r="H1735">
            <v>0</v>
          </cell>
        </row>
        <row r="1736">
          <cell r="F1736">
            <v>313342</v>
          </cell>
          <cell r="G1736" t="str">
            <v>Magda Karina Mendoza Hernandez</v>
          </cell>
          <cell r="H1736">
            <v>0</v>
          </cell>
        </row>
        <row r="1737">
          <cell r="F1737">
            <v>315810</v>
          </cell>
          <cell r="G1737" t="str">
            <v>Magda Nohemi Mo Yalibat</v>
          </cell>
          <cell r="H1737">
            <v>0</v>
          </cell>
        </row>
        <row r="1738">
          <cell r="F1738">
            <v>312481</v>
          </cell>
          <cell r="G1738" t="str">
            <v>Magdalena Noemi Leonardo Ventura</v>
          </cell>
          <cell r="H1738">
            <v>0</v>
          </cell>
        </row>
        <row r="1739">
          <cell r="F1739">
            <v>307582</v>
          </cell>
          <cell r="G1739" t="str">
            <v>Mahely Elva Maria Franco Gualim</v>
          </cell>
          <cell r="H1739">
            <v>0</v>
          </cell>
        </row>
        <row r="1740">
          <cell r="F1740">
            <v>316125</v>
          </cell>
          <cell r="G1740" t="str">
            <v>Malcky Jasmin Herrera Hernandez</v>
          </cell>
          <cell r="H1740">
            <v>0</v>
          </cell>
        </row>
        <row r="1741">
          <cell r="F1741">
            <v>90024373</v>
          </cell>
          <cell r="G1741" t="str">
            <v xml:space="preserve">Mandi Jannette Huinac López </v>
          </cell>
          <cell r="H1741">
            <v>0</v>
          </cell>
        </row>
        <row r="1742">
          <cell r="F1742">
            <v>301669</v>
          </cell>
          <cell r="G1742" t="str">
            <v>Manfredo Alexander Castillo Quex</v>
          </cell>
          <cell r="H1742">
            <v>0</v>
          </cell>
        </row>
        <row r="1743">
          <cell r="F1743">
            <v>309811</v>
          </cell>
          <cell r="G1743" t="str">
            <v>Manfredo Isaias Orozco Perez</v>
          </cell>
          <cell r="H1743">
            <v>0</v>
          </cell>
        </row>
        <row r="1744">
          <cell r="F1744">
            <v>314136</v>
          </cell>
          <cell r="G1744" t="str">
            <v>Manlio Alcides Godinez Yanez</v>
          </cell>
          <cell r="H1744">
            <v>0</v>
          </cell>
        </row>
        <row r="1745">
          <cell r="F1745">
            <v>315946</v>
          </cell>
          <cell r="G1745" t="str">
            <v>Manuel Adan Suruy Jimenez</v>
          </cell>
          <cell r="H1745">
            <v>0</v>
          </cell>
        </row>
        <row r="1746">
          <cell r="F1746">
            <v>314358</v>
          </cell>
          <cell r="G1746" t="str">
            <v>Manuel Eduardo Garcia Diaz</v>
          </cell>
          <cell r="H1746">
            <v>0</v>
          </cell>
        </row>
        <row r="1747">
          <cell r="F1747">
            <v>315094</v>
          </cell>
          <cell r="G1747" t="str">
            <v>Manuel Enrique Espinoza Cermeño</v>
          </cell>
          <cell r="H1747">
            <v>0</v>
          </cell>
        </row>
        <row r="1748">
          <cell r="F1748">
            <v>312835</v>
          </cell>
          <cell r="G1748" t="str">
            <v>Manuel Estuardo Arriaga Garcia</v>
          </cell>
          <cell r="H1748">
            <v>0</v>
          </cell>
        </row>
        <row r="1749">
          <cell r="F1749">
            <v>90024021</v>
          </cell>
          <cell r="G1749" t="str">
            <v xml:space="preserve">Manuel Estuardo Mejia Ayerdi </v>
          </cell>
          <cell r="H1749">
            <v>0</v>
          </cell>
        </row>
        <row r="1750">
          <cell r="F1750">
            <v>90040633</v>
          </cell>
          <cell r="G1750" t="str">
            <v>Manuela Lucrecia Salvador Sical</v>
          </cell>
          <cell r="H1750">
            <v>0</v>
          </cell>
        </row>
        <row r="1751">
          <cell r="F1751">
            <v>314608</v>
          </cell>
          <cell r="G1751" t="str">
            <v>Marbin Yobani Calderon Vicente</v>
          </cell>
          <cell r="H1751">
            <v>0</v>
          </cell>
        </row>
        <row r="1752">
          <cell r="F1752">
            <v>314041</v>
          </cell>
          <cell r="G1752" t="str">
            <v>Marcela Isabel Medrano Ajquiy</v>
          </cell>
          <cell r="H1752">
            <v>0</v>
          </cell>
        </row>
        <row r="1753">
          <cell r="F1753">
            <v>90050230</v>
          </cell>
          <cell r="G1753" t="str">
            <v xml:space="preserve">Marcia Nicte Delgado Sánchez </v>
          </cell>
          <cell r="H1753">
            <v>0</v>
          </cell>
        </row>
        <row r="1754">
          <cell r="F1754">
            <v>90039148</v>
          </cell>
          <cell r="G1754" t="str">
            <v>Marco Antonio Gonzalez Palma</v>
          </cell>
          <cell r="H1754">
            <v>0</v>
          </cell>
        </row>
        <row r="1755">
          <cell r="F1755">
            <v>313680</v>
          </cell>
          <cell r="G1755" t="str">
            <v>Marco Antonio Salazar Alinzo</v>
          </cell>
          <cell r="H1755">
            <v>0</v>
          </cell>
        </row>
        <row r="1756">
          <cell r="F1756">
            <v>308478</v>
          </cell>
          <cell r="G1756" t="str">
            <v>Marco Antonio Tejada Herrera</v>
          </cell>
          <cell r="H1756">
            <v>0</v>
          </cell>
        </row>
        <row r="1757">
          <cell r="F1757">
            <v>90034745</v>
          </cell>
          <cell r="G1757" t="str">
            <v>Marco Tulio Godoy Garcia</v>
          </cell>
          <cell r="H1757">
            <v>0</v>
          </cell>
        </row>
        <row r="1758">
          <cell r="F1758">
            <v>316256</v>
          </cell>
          <cell r="G1758" t="str">
            <v>Marco Vinicio Gil De La Cruz</v>
          </cell>
          <cell r="H1758">
            <v>0</v>
          </cell>
        </row>
        <row r="1759">
          <cell r="F1759">
            <v>315216</v>
          </cell>
          <cell r="G1759" t="str">
            <v>Marcos Avilio Santizo Roman</v>
          </cell>
          <cell r="H1759">
            <v>0</v>
          </cell>
        </row>
        <row r="1760">
          <cell r="F1760">
            <v>312919</v>
          </cell>
          <cell r="G1760" t="str">
            <v>Marcos Daniel Miranda Ordoñez</v>
          </cell>
          <cell r="H1760">
            <v>0</v>
          </cell>
        </row>
        <row r="1761">
          <cell r="F1761">
            <v>90012221</v>
          </cell>
          <cell r="G1761" t="str">
            <v>Marcos Emmanuel Ramirez Alvizures</v>
          </cell>
          <cell r="H1761">
            <v>0</v>
          </cell>
        </row>
        <row r="1762">
          <cell r="F1762">
            <v>306192</v>
          </cell>
          <cell r="G1762" t="str">
            <v>Marenda Mishel Galeano Lopez</v>
          </cell>
          <cell r="H1762">
            <v>0</v>
          </cell>
        </row>
        <row r="1763">
          <cell r="F1763">
            <v>311597</v>
          </cell>
          <cell r="G1763" t="str">
            <v>Maria Alejandra Estrada Morales</v>
          </cell>
          <cell r="H1763">
            <v>0</v>
          </cell>
        </row>
        <row r="1764">
          <cell r="F1764">
            <v>315916</v>
          </cell>
          <cell r="G1764" t="str">
            <v xml:space="preserve">Maria Alejandra Garcia Lara </v>
          </cell>
          <cell r="H1764">
            <v>0</v>
          </cell>
        </row>
        <row r="1765">
          <cell r="F1765">
            <v>315488</v>
          </cell>
          <cell r="G1765" t="str">
            <v>Maria Alejandra Lanuza Pérez</v>
          </cell>
          <cell r="H1765">
            <v>0</v>
          </cell>
        </row>
        <row r="1766">
          <cell r="F1766">
            <v>315464</v>
          </cell>
          <cell r="G1766" t="str">
            <v>Maria Alejandra Mazariegos</v>
          </cell>
          <cell r="H1766">
            <v>0</v>
          </cell>
        </row>
        <row r="1767">
          <cell r="F1767">
            <v>315414</v>
          </cell>
          <cell r="G1767" t="str">
            <v>Maria Alejandra Perez Martinez</v>
          </cell>
          <cell r="H1767">
            <v>0</v>
          </cell>
        </row>
        <row r="1768">
          <cell r="F1768">
            <v>308315</v>
          </cell>
          <cell r="G1768" t="str">
            <v>Maria Andrea Estupe Monterroso Guillermo</v>
          </cell>
          <cell r="H1768">
            <v>0</v>
          </cell>
        </row>
        <row r="1769">
          <cell r="F1769">
            <v>306330</v>
          </cell>
          <cell r="G1769" t="str">
            <v>Maria Andree Gonzalez</v>
          </cell>
          <cell r="H1769">
            <v>0</v>
          </cell>
        </row>
        <row r="1770">
          <cell r="F1770">
            <v>316023</v>
          </cell>
          <cell r="G1770" t="str">
            <v xml:space="preserve">María Angelica Trujillo Coronado            </v>
          </cell>
          <cell r="H1770">
            <v>0</v>
          </cell>
        </row>
        <row r="1771">
          <cell r="F1771">
            <v>90046433</v>
          </cell>
          <cell r="G1771" t="str">
            <v>Maria Celeste Marroquin De Leon</v>
          </cell>
          <cell r="H1771">
            <v>0</v>
          </cell>
        </row>
        <row r="1772">
          <cell r="F1772">
            <v>90024787</v>
          </cell>
          <cell r="G1772" t="str">
            <v>María Clareth Diaz Rangel</v>
          </cell>
          <cell r="H1772">
            <v>0</v>
          </cell>
        </row>
        <row r="1773">
          <cell r="F1773">
            <v>315046</v>
          </cell>
          <cell r="G1773" t="str">
            <v>Maria Damaris Noemi Asig Cu</v>
          </cell>
          <cell r="H1773">
            <v>0</v>
          </cell>
        </row>
        <row r="1774">
          <cell r="F1774">
            <v>314383</v>
          </cell>
          <cell r="G1774" t="str">
            <v>Maria De La Luz Masaya Moreno</v>
          </cell>
          <cell r="H1774">
            <v>0</v>
          </cell>
        </row>
        <row r="1775">
          <cell r="F1775">
            <v>90050463</v>
          </cell>
          <cell r="G1775" t="str">
            <v>Maria De Los Angeles Flores Huertas</v>
          </cell>
          <cell r="H1775">
            <v>0</v>
          </cell>
        </row>
        <row r="1776">
          <cell r="F1776">
            <v>314419</v>
          </cell>
          <cell r="G1776" t="str">
            <v>Maria De Los Angeles Hernandez Oliva</v>
          </cell>
          <cell r="H1776">
            <v>0</v>
          </cell>
        </row>
        <row r="1777">
          <cell r="F1777">
            <v>315833</v>
          </cell>
          <cell r="G1777" t="str">
            <v>Maria De Los Angeles Muralles Muralles</v>
          </cell>
          <cell r="H1777">
            <v>0</v>
          </cell>
        </row>
        <row r="1778">
          <cell r="F1778">
            <v>316193</v>
          </cell>
          <cell r="G1778" t="str">
            <v>Maria De Lourdes Leb Nij</v>
          </cell>
          <cell r="H1778">
            <v>0</v>
          </cell>
        </row>
        <row r="1779">
          <cell r="F1779">
            <v>90050627</v>
          </cell>
          <cell r="G1779" t="str">
            <v>Maria Del Carmen Arias Perez</v>
          </cell>
          <cell r="H1779">
            <v>0</v>
          </cell>
        </row>
        <row r="1780">
          <cell r="F1780">
            <v>90028367</v>
          </cell>
          <cell r="G1780" t="str">
            <v>Maria Del Carmen Ical Putul</v>
          </cell>
          <cell r="H1780">
            <v>0</v>
          </cell>
        </row>
        <row r="1781">
          <cell r="F1781">
            <v>90023915</v>
          </cell>
          <cell r="G1781" t="str">
            <v xml:space="preserve">Maria Del Carmen Milian Quishtan </v>
          </cell>
          <cell r="H1781">
            <v>0</v>
          </cell>
        </row>
        <row r="1782">
          <cell r="F1782">
            <v>309455</v>
          </cell>
          <cell r="G1782" t="str">
            <v>Maria Del Rosario De Leon Puac</v>
          </cell>
          <cell r="H1782">
            <v>0</v>
          </cell>
        </row>
        <row r="1783">
          <cell r="F1783">
            <v>316237</v>
          </cell>
          <cell r="G1783" t="str">
            <v>Maria Del Rosario Espinoza Cruz</v>
          </cell>
          <cell r="H1783">
            <v>0</v>
          </cell>
        </row>
        <row r="1784">
          <cell r="F1784">
            <v>310240</v>
          </cell>
          <cell r="G1784" t="str">
            <v>Maria Del Rosario Sion Calel Ramos</v>
          </cell>
          <cell r="H1784">
            <v>0</v>
          </cell>
        </row>
        <row r="1785">
          <cell r="F1785">
            <v>309792</v>
          </cell>
          <cell r="G1785" t="str">
            <v>Maria Dolores Ibargüen Bretschneider</v>
          </cell>
          <cell r="H1785">
            <v>0</v>
          </cell>
        </row>
        <row r="1786">
          <cell r="F1786">
            <v>311583</v>
          </cell>
          <cell r="G1786" t="str">
            <v>Maria Elizabeth Recinos Villagran</v>
          </cell>
          <cell r="H1786">
            <v>0</v>
          </cell>
        </row>
        <row r="1787">
          <cell r="F1787">
            <v>315128</v>
          </cell>
          <cell r="G1787" t="str">
            <v>Maria Eugenia Alvarez Lopez</v>
          </cell>
          <cell r="H1787">
            <v>0</v>
          </cell>
        </row>
        <row r="1788">
          <cell r="F1788">
            <v>315944</v>
          </cell>
          <cell r="G1788" t="str">
            <v>Maria Eulissa Xutuc Villatoro</v>
          </cell>
          <cell r="H1788">
            <v>0</v>
          </cell>
        </row>
        <row r="1789">
          <cell r="F1789">
            <v>309571</v>
          </cell>
          <cell r="G1789" t="str">
            <v>Maria Fernanda Aldana Fernandez</v>
          </cell>
          <cell r="H1789">
            <v>0</v>
          </cell>
        </row>
        <row r="1790">
          <cell r="F1790">
            <v>314990</v>
          </cell>
          <cell r="G1790" t="str">
            <v>Maria Fernanda Ambrocio Reyes</v>
          </cell>
          <cell r="H1790">
            <v>0</v>
          </cell>
        </row>
        <row r="1791">
          <cell r="F1791">
            <v>90019623</v>
          </cell>
          <cell r="G1791" t="str">
            <v xml:space="preserve">Maria Fernanda Cruz Martinez </v>
          </cell>
          <cell r="H1791">
            <v>0</v>
          </cell>
        </row>
        <row r="1792">
          <cell r="F1792">
            <v>90049041</v>
          </cell>
          <cell r="G1792" t="str">
            <v>Maria Fernanda De Leon Valenzuela</v>
          </cell>
          <cell r="H1792">
            <v>0</v>
          </cell>
        </row>
        <row r="1793">
          <cell r="F1793">
            <v>311233</v>
          </cell>
          <cell r="G1793" t="str">
            <v>Maria Fernanda Del Rosario Orellana Lima De Orellana</v>
          </cell>
          <cell r="H1793">
            <v>0</v>
          </cell>
        </row>
        <row r="1794">
          <cell r="F1794">
            <v>305630</v>
          </cell>
          <cell r="G1794" t="str">
            <v>Maria Fernanda Duran Barrera Leon</v>
          </cell>
          <cell r="H1794">
            <v>0</v>
          </cell>
        </row>
        <row r="1795">
          <cell r="F1795">
            <v>315848</v>
          </cell>
          <cell r="G1795" t="str">
            <v>Maria Fernanda Galvez Mansilla</v>
          </cell>
          <cell r="H1795">
            <v>0</v>
          </cell>
        </row>
        <row r="1796">
          <cell r="F1796">
            <v>315325</v>
          </cell>
          <cell r="G1796" t="str">
            <v>Maria Fernanda García Patzán</v>
          </cell>
          <cell r="H1796">
            <v>0</v>
          </cell>
        </row>
        <row r="1797">
          <cell r="F1797">
            <v>316306</v>
          </cell>
          <cell r="G1797" t="str">
            <v xml:space="preserve">Maria Fernanda Obregon Secaida </v>
          </cell>
          <cell r="H1797">
            <v>0</v>
          </cell>
        </row>
        <row r="1798">
          <cell r="F1798">
            <v>313196</v>
          </cell>
          <cell r="G1798" t="str">
            <v>Maria Fernanda Palencia Campo</v>
          </cell>
          <cell r="H1798">
            <v>0</v>
          </cell>
        </row>
        <row r="1799">
          <cell r="F1799">
            <v>315310</v>
          </cell>
          <cell r="G1799" t="str">
            <v>Maria Fernanda Reyes Trinidad</v>
          </cell>
          <cell r="H1799">
            <v>0</v>
          </cell>
        </row>
        <row r="1800">
          <cell r="F1800">
            <v>314265</v>
          </cell>
          <cell r="G1800" t="str">
            <v>Maria Fernanda Sanches Yoc</v>
          </cell>
          <cell r="H1800">
            <v>0</v>
          </cell>
        </row>
        <row r="1801">
          <cell r="F1801">
            <v>313724</v>
          </cell>
          <cell r="G1801" t="str">
            <v>Maria Fernanda Tomas</v>
          </cell>
          <cell r="H1801">
            <v>0</v>
          </cell>
        </row>
        <row r="1802">
          <cell r="F1802">
            <v>315406</v>
          </cell>
          <cell r="G1802" t="str">
            <v>Maria Fernandez Perez Rangel</v>
          </cell>
          <cell r="H1802">
            <v>0</v>
          </cell>
        </row>
        <row r="1803">
          <cell r="F1803">
            <v>307198</v>
          </cell>
          <cell r="G1803" t="str">
            <v>Maria Gabriela Coloma Morales</v>
          </cell>
          <cell r="H1803">
            <v>0</v>
          </cell>
        </row>
        <row r="1804">
          <cell r="F1804">
            <v>315252</v>
          </cell>
          <cell r="G1804" t="str">
            <v>Maria Gabriela Giron De Leon</v>
          </cell>
          <cell r="H1804">
            <v>0</v>
          </cell>
        </row>
        <row r="1805">
          <cell r="F1805">
            <v>313732</v>
          </cell>
          <cell r="G1805" t="str">
            <v xml:space="preserve">Maria Isabel Martinez </v>
          </cell>
          <cell r="H1805">
            <v>0</v>
          </cell>
        </row>
        <row r="1806">
          <cell r="F1806">
            <v>314027</v>
          </cell>
          <cell r="G1806" t="str">
            <v>Maria Isabel Reyes Aguirre</v>
          </cell>
          <cell r="H1806">
            <v>0</v>
          </cell>
        </row>
        <row r="1807">
          <cell r="F1807">
            <v>90009508</v>
          </cell>
          <cell r="G1807" t="str">
            <v>Maria Isabel Ruiz Hernandez</v>
          </cell>
          <cell r="H1807">
            <v>0</v>
          </cell>
        </row>
        <row r="1808">
          <cell r="F1808">
            <v>301129</v>
          </cell>
          <cell r="G1808" t="str">
            <v>Maria Jimena Gutierrez Ogarrio</v>
          </cell>
          <cell r="H1808">
            <v>0</v>
          </cell>
        </row>
        <row r="1809">
          <cell r="F1809">
            <v>90040610</v>
          </cell>
          <cell r="G1809" t="str">
            <v>Maria Jimena Mazariegos Morales</v>
          </cell>
          <cell r="H1809">
            <v>0</v>
          </cell>
        </row>
        <row r="1810">
          <cell r="F1810">
            <v>311474</v>
          </cell>
          <cell r="G1810" t="str">
            <v>Maria Jose Alvarado Lopez Barrientos</v>
          </cell>
          <cell r="H1810">
            <v>0</v>
          </cell>
        </row>
        <row r="1811">
          <cell r="F1811">
            <v>300296</v>
          </cell>
          <cell r="G1811" t="str">
            <v>Maria Jose Arriola Ortiz Moreno</v>
          </cell>
          <cell r="H1811">
            <v>0</v>
          </cell>
        </row>
        <row r="1812">
          <cell r="F1812">
            <v>90012077</v>
          </cell>
          <cell r="G1812" t="str">
            <v>Maria Jose Barrios Razuleu</v>
          </cell>
          <cell r="H1812">
            <v>0</v>
          </cell>
        </row>
        <row r="1813">
          <cell r="F1813">
            <v>312356</v>
          </cell>
          <cell r="G1813" t="str">
            <v>Maria Jose Fernandez Melendez</v>
          </cell>
          <cell r="H1813">
            <v>0</v>
          </cell>
        </row>
        <row r="1814">
          <cell r="F1814">
            <v>313800</v>
          </cell>
          <cell r="G1814" t="str">
            <v>Maria Jose Flores Alvarez</v>
          </cell>
          <cell r="H1814">
            <v>0</v>
          </cell>
        </row>
        <row r="1815">
          <cell r="F1815">
            <v>311569</v>
          </cell>
          <cell r="G1815" t="str">
            <v>Maria Jose Gramajo Garcia De Monzon</v>
          </cell>
          <cell r="H1815">
            <v>0</v>
          </cell>
        </row>
        <row r="1816">
          <cell r="F1816">
            <v>313095</v>
          </cell>
          <cell r="G1816" t="str">
            <v>Maria Jose Meza De Leon</v>
          </cell>
          <cell r="H1816">
            <v>0</v>
          </cell>
        </row>
        <row r="1817">
          <cell r="F1817">
            <v>300191</v>
          </cell>
          <cell r="G1817" t="str">
            <v>Maria Jose Salazar Rueda</v>
          </cell>
          <cell r="H1817">
            <v>0</v>
          </cell>
        </row>
        <row r="1818">
          <cell r="F1818">
            <v>314226</v>
          </cell>
          <cell r="G1818" t="str">
            <v>Maria Josee Morales Vaides</v>
          </cell>
          <cell r="H1818">
            <v>0</v>
          </cell>
        </row>
        <row r="1819">
          <cell r="F1819">
            <v>90020674</v>
          </cell>
          <cell r="G1819" t="str">
            <v>Maria Josse Ortiz Rendon</v>
          </cell>
          <cell r="H1819">
            <v>0</v>
          </cell>
        </row>
        <row r="1820">
          <cell r="F1820">
            <v>315362</v>
          </cell>
          <cell r="G1820" t="str">
            <v>Maria Lourdes Ajpuz Julajuj</v>
          </cell>
          <cell r="H1820">
            <v>0</v>
          </cell>
        </row>
        <row r="1821">
          <cell r="F1821">
            <v>306697</v>
          </cell>
          <cell r="G1821" t="str">
            <v>Maria Luisa Ramos Lopez</v>
          </cell>
          <cell r="H1821">
            <v>0</v>
          </cell>
        </row>
        <row r="1822">
          <cell r="F1822">
            <v>302866</v>
          </cell>
          <cell r="G1822" t="str">
            <v>Maria Magdalena Solis Carrera</v>
          </cell>
          <cell r="H1822">
            <v>0</v>
          </cell>
        </row>
        <row r="1823">
          <cell r="F1823">
            <v>309515</v>
          </cell>
          <cell r="G1823" t="str">
            <v>Maria Marroquin Camargo</v>
          </cell>
          <cell r="H1823">
            <v>0</v>
          </cell>
        </row>
        <row r="1824">
          <cell r="F1824">
            <v>314180</v>
          </cell>
          <cell r="G1824" t="str">
            <v>Maria Ruby Tzamol Pacay</v>
          </cell>
          <cell r="H1824">
            <v>0</v>
          </cell>
        </row>
        <row r="1825">
          <cell r="F1825">
            <v>314734</v>
          </cell>
          <cell r="G1825" t="str">
            <v>Maria Teresa Barrientos Perdomo</v>
          </cell>
          <cell r="H1825">
            <v>0</v>
          </cell>
        </row>
        <row r="1826">
          <cell r="F1826">
            <v>309750</v>
          </cell>
          <cell r="G1826" t="str">
            <v>Maria Teresa Hom Guit</v>
          </cell>
          <cell r="H1826">
            <v>0</v>
          </cell>
        </row>
        <row r="1827">
          <cell r="F1827">
            <v>311686</v>
          </cell>
          <cell r="G1827" t="str">
            <v>Maria Teresa Recinos Estrada</v>
          </cell>
          <cell r="H1827">
            <v>0</v>
          </cell>
        </row>
        <row r="1828">
          <cell r="F1828">
            <v>315351</v>
          </cell>
          <cell r="G1828" t="str">
            <v>Maria Vicenta Lopez Mancilla De De Del Valle</v>
          </cell>
          <cell r="H1828">
            <v>0</v>
          </cell>
        </row>
        <row r="1829">
          <cell r="F1829">
            <v>90034563</v>
          </cell>
          <cell r="G1829" t="str">
            <v>Maria Victoria Montenegro Sarpec</v>
          </cell>
          <cell r="H1829">
            <v>0</v>
          </cell>
        </row>
        <row r="1830">
          <cell r="F1830">
            <v>90029079</v>
          </cell>
          <cell r="G1830" t="str">
            <v>Mariamna Reene Jimenez Montenegro</v>
          </cell>
          <cell r="H1830">
            <v>0</v>
          </cell>
        </row>
        <row r="1831">
          <cell r="F1831">
            <v>311755</v>
          </cell>
          <cell r="G1831" t="str">
            <v>Marian Rebeca Gallardo Alvarez</v>
          </cell>
          <cell r="H1831">
            <v>0</v>
          </cell>
        </row>
        <row r="1832">
          <cell r="F1832">
            <v>313660</v>
          </cell>
          <cell r="G1832" t="str">
            <v>Mariana Del Rosario Escobar Sanchez</v>
          </cell>
          <cell r="H1832">
            <v>0</v>
          </cell>
        </row>
        <row r="1833">
          <cell r="F1833">
            <v>314169</v>
          </cell>
          <cell r="G1833" t="str">
            <v>Mariano Jose Lopez Cojon</v>
          </cell>
          <cell r="H1833">
            <v>0</v>
          </cell>
        </row>
        <row r="1834">
          <cell r="F1834">
            <v>314341</v>
          </cell>
          <cell r="G1834" t="str">
            <v>Mariano Jose Trujillo Baldizon</v>
          </cell>
          <cell r="H1834">
            <v>0</v>
          </cell>
        </row>
        <row r="1835">
          <cell r="F1835">
            <v>90040424</v>
          </cell>
          <cell r="G1835" t="str">
            <v>Maricruz Abigail Socop Melgar</v>
          </cell>
          <cell r="H1835">
            <v>0</v>
          </cell>
        </row>
        <row r="1836">
          <cell r="F1836">
            <v>314050</v>
          </cell>
          <cell r="G1836" t="str">
            <v>Mariela Alejandra Batz De Leon</v>
          </cell>
          <cell r="H1836">
            <v>0</v>
          </cell>
        </row>
        <row r="1837">
          <cell r="F1837">
            <v>90034450</v>
          </cell>
          <cell r="G1837" t="str">
            <v>Marielena Muñoz López</v>
          </cell>
          <cell r="H1837">
            <v>0</v>
          </cell>
        </row>
        <row r="1838">
          <cell r="F1838">
            <v>311273</v>
          </cell>
          <cell r="G1838" t="str">
            <v>Marili Cecilia Ramirez Cardona</v>
          </cell>
          <cell r="H1838">
            <v>0</v>
          </cell>
        </row>
        <row r="1839">
          <cell r="F1839">
            <v>90028724</v>
          </cell>
          <cell r="G1839" t="str">
            <v>Marilin Ameli Cu Quib</v>
          </cell>
          <cell r="H1839">
            <v>0</v>
          </cell>
        </row>
        <row r="1840">
          <cell r="F1840">
            <v>312576</v>
          </cell>
          <cell r="G1840" t="str">
            <v>Marilin Melisa Lopez Yoc</v>
          </cell>
          <cell r="H1840">
            <v>0</v>
          </cell>
        </row>
        <row r="1841">
          <cell r="F1841">
            <v>90024370</v>
          </cell>
          <cell r="G1841" t="str">
            <v>Marilin Yasmin Godoy Morataya</v>
          </cell>
          <cell r="H1841">
            <v>0</v>
          </cell>
        </row>
        <row r="1842">
          <cell r="F1842">
            <v>314530</v>
          </cell>
          <cell r="G1842" t="str">
            <v>Marilyn Alexandra Davila Chavez</v>
          </cell>
          <cell r="H1842">
            <v>0</v>
          </cell>
        </row>
        <row r="1843">
          <cell r="F1843">
            <v>90034868</v>
          </cell>
          <cell r="G1843" t="str">
            <v>Marilyn Anayanci Gonzalez James</v>
          </cell>
          <cell r="H1843">
            <v>0</v>
          </cell>
        </row>
        <row r="1844">
          <cell r="F1844">
            <v>315099</v>
          </cell>
          <cell r="G1844" t="str">
            <v>Marilyn Yulissa Alvarez Toscano</v>
          </cell>
          <cell r="H1844">
            <v>0</v>
          </cell>
        </row>
        <row r="1845">
          <cell r="F1845">
            <v>311405</v>
          </cell>
          <cell r="G1845" t="str">
            <v>Marina Elena Giron Roldan</v>
          </cell>
          <cell r="H1845">
            <v>0</v>
          </cell>
        </row>
        <row r="1846">
          <cell r="F1846">
            <v>314803</v>
          </cell>
          <cell r="G1846" t="str">
            <v>Mario David Quilo Hernandez</v>
          </cell>
          <cell r="H1846">
            <v>0</v>
          </cell>
        </row>
        <row r="1847">
          <cell r="F1847">
            <v>315370</v>
          </cell>
          <cell r="G1847" t="str">
            <v>Mario Eduardo Reyes Argueta</v>
          </cell>
          <cell r="H1847">
            <v>0</v>
          </cell>
        </row>
        <row r="1848">
          <cell r="F1848">
            <v>90014281</v>
          </cell>
          <cell r="G1848" t="str">
            <v>Mario Emanuel Mendoza Virula</v>
          </cell>
          <cell r="H1848">
            <v>0</v>
          </cell>
        </row>
        <row r="1849">
          <cell r="F1849">
            <v>315366</v>
          </cell>
          <cell r="G1849" t="str">
            <v xml:space="preserve">Mario Enrique Morales Escobar </v>
          </cell>
          <cell r="H1849">
            <v>0</v>
          </cell>
        </row>
        <row r="1850">
          <cell r="F1850">
            <v>314762</v>
          </cell>
          <cell r="G1850" t="str">
            <v>Mario Ernesto Alvarado Molina</v>
          </cell>
          <cell r="H1850">
            <v>0</v>
          </cell>
        </row>
        <row r="1851">
          <cell r="F1851">
            <v>306487</v>
          </cell>
          <cell r="G1851" t="str">
            <v>Mario Estuardo Chavez Zelada</v>
          </cell>
          <cell r="H1851">
            <v>0</v>
          </cell>
        </row>
        <row r="1852">
          <cell r="F1852">
            <v>315445</v>
          </cell>
          <cell r="G1852" t="str">
            <v>Mario Guberlindo Gonzalez Velasquez</v>
          </cell>
          <cell r="H1852">
            <v>0</v>
          </cell>
        </row>
        <row r="1853">
          <cell r="F1853">
            <v>312708</v>
          </cell>
          <cell r="G1853" t="str">
            <v>Mario Joel Pineda Perez</v>
          </cell>
          <cell r="H1853">
            <v>0</v>
          </cell>
        </row>
        <row r="1854">
          <cell r="F1854">
            <v>313661</v>
          </cell>
          <cell r="G1854" t="str">
            <v>Mario Jose Herrera De Leon</v>
          </cell>
          <cell r="H1854">
            <v>0</v>
          </cell>
        </row>
        <row r="1855">
          <cell r="F1855">
            <v>313107</v>
          </cell>
          <cell r="G1855" t="str">
            <v>Mario José Mejía Escobar</v>
          </cell>
          <cell r="H1855">
            <v>0</v>
          </cell>
        </row>
        <row r="1856">
          <cell r="F1856">
            <v>311902</v>
          </cell>
          <cell r="G1856" t="str">
            <v>Mario Raul Monroy Monroy</v>
          </cell>
          <cell r="H1856">
            <v>0</v>
          </cell>
        </row>
        <row r="1857">
          <cell r="F1857">
            <v>314302</v>
          </cell>
          <cell r="G1857" t="str">
            <v>Mario Rene Garcia Paredes</v>
          </cell>
          <cell r="H1857">
            <v>0</v>
          </cell>
        </row>
        <row r="1858">
          <cell r="F1858">
            <v>314737</v>
          </cell>
          <cell r="G1858" t="str">
            <v>Mario Rene Lopez Gudiel</v>
          </cell>
          <cell r="H1858">
            <v>0</v>
          </cell>
        </row>
        <row r="1859">
          <cell r="F1859">
            <v>313251</v>
          </cell>
          <cell r="G1859" t="str">
            <v>Mario Ricardo Gabriel Monterroso</v>
          </cell>
          <cell r="H1859">
            <v>0</v>
          </cell>
        </row>
        <row r="1860">
          <cell r="F1860">
            <v>90024489</v>
          </cell>
          <cell r="G1860" t="str">
            <v>Mario Roberto Yoc De Leon</v>
          </cell>
          <cell r="H1860">
            <v>0</v>
          </cell>
        </row>
        <row r="1861">
          <cell r="F1861">
            <v>102171</v>
          </cell>
          <cell r="G1861" t="str">
            <v>Maritza Isabel Hernandez Cruz</v>
          </cell>
          <cell r="H1861">
            <v>0</v>
          </cell>
        </row>
        <row r="1862">
          <cell r="F1862">
            <v>309842</v>
          </cell>
          <cell r="G1862" t="str">
            <v>Maritza Morales Tzoc</v>
          </cell>
          <cell r="H1862">
            <v>0</v>
          </cell>
        </row>
        <row r="1863">
          <cell r="F1863">
            <v>312996</v>
          </cell>
          <cell r="G1863" t="str">
            <v>Marlen Aida Pelaez Ramirez</v>
          </cell>
          <cell r="H1863">
            <v>0</v>
          </cell>
        </row>
        <row r="1864">
          <cell r="F1864">
            <v>310203</v>
          </cell>
          <cell r="G1864" t="str">
            <v>Marlen Brigitt Rosales De Leon</v>
          </cell>
          <cell r="H1864">
            <v>0</v>
          </cell>
        </row>
        <row r="1865">
          <cell r="F1865">
            <v>316083</v>
          </cell>
          <cell r="G1865" t="str">
            <v>Marlen Erendida Rivas Gonzalez</v>
          </cell>
          <cell r="H1865">
            <v>0</v>
          </cell>
        </row>
        <row r="1866">
          <cell r="F1866">
            <v>90039140</v>
          </cell>
          <cell r="G1866" t="str">
            <v>Marlen Viviana Rixtun Perez</v>
          </cell>
          <cell r="H1866">
            <v>0</v>
          </cell>
        </row>
        <row r="1867">
          <cell r="F1867">
            <v>90033335</v>
          </cell>
          <cell r="G1867" t="str">
            <v>Marlene Ruby Sierra Gonzalez  </v>
          </cell>
          <cell r="H1867">
            <v>0</v>
          </cell>
        </row>
        <row r="1868">
          <cell r="F1868">
            <v>314966</v>
          </cell>
          <cell r="G1868" t="str">
            <v>Marlin Argelia Herrera Claveria</v>
          </cell>
          <cell r="H1868">
            <v>0</v>
          </cell>
        </row>
        <row r="1869">
          <cell r="F1869">
            <v>314089</v>
          </cell>
          <cell r="G1869" t="str">
            <v>Marlin Yesenia Chacon Garcia</v>
          </cell>
          <cell r="H1869">
            <v>0</v>
          </cell>
        </row>
        <row r="1870">
          <cell r="F1870">
            <v>312489</v>
          </cell>
          <cell r="G1870" t="str">
            <v>Marliz Irene Bonifaz Lopez</v>
          </cell>
          <cell r="H1870">
            <v>0</v>
          </cell>
        </row>
        <row r="1871">
          <cell r="F1871">
            <v>314054</v>
          </cell>
          <cell r="G1871" t="str">
            <v>Marlon Eduardo Arreaga Escobar</v>
          </cell>
          <cell r="H1871">
            <v>0</v>
          </cell>
        </row>
        <row r="1872">
          <cell r="F1872">
            <v>315505</v>
          </cell>
          <cell r="G1872" t="str">
            <v>Marlon Eduardo Medrano Sandoval</v>
          </cell>
          <cell r="H1872">
            <v>0</v>
          </cell>
        </row>
        <row r="1873">
          <cell r="F1873">
            <v>315368</v>
          </cell>
          <cell r="G1873" t="str">
            <v>Marlon Enrique Del Cid Roque</v>
          </cell>
          <cell r="H1873">
            <v>0</v>
          </cell>
        </row>
        <row r="1874">
          <cell r="F1874">
            <v>314811</v>
          </cell>
          <cell r="G1874" t="str">
            <v>Marlon Estuardo Hernandez Moreira</v>
          </cell>
          <cell r="H1874">
            <v>0</v>
          </cell>
        </row>
        <row r="1875">
          <cell r="F1875">
            <v>310727</v>
          </cell>
          <cell r="G1875" t="str">
            <v>Marlon Ivan Dardon Hernandez</v>
          </cell>
          <cell r="H1875">
            <v>0</v>
          </cell>
        </row>
        <row r="1876">
          <cell r="F1876">
            <v>315341</v>
          </cell>
          <cell r="G1876" t="str">
            <v>Marlon Miguelangel Morales Jerez</v>
          </cell>
          <cell r="H1876">
            <v>0</v>
          </cell>
        </row>
        <row r="1877">
          <cell r="F1877">
            <v>316000</v>
          </cell>
          <cell r="G1877" t="str">
            <v>Marlon Saul Caal Giron</v>
          </cell>
          <cell r="H1877">
            <v>0</v>
          </cell>
        </row>
        <row r="1878">
          <cell r="F1878">
            <v>312564</v>
          </cell>
          <cell r="G1878" t="str">
            <v xml:space="preserve">Marlyn Carolina Hernandez Escobar De Dubon </v>
          </cell>
          <cell r="H1878">
            <v>0</v>
          </cell>
        </row>
        <row r="1879">
          <cell r="F1879">
            <v>90040172</v>
          </cell>
          <cell r="G1879" t="str">
            <v>Marlyn Yoana Santos Olivares</v>
          </cell>
          <cell r="H1879">
            <v>0</v>
          </cell>
        </row>
        <row r="1880">
          <cell r="F1880">
            <v>311604</v>
          </cell>
          <cell r="G1880" t="str">
            <v>Marolet Patricia Palacios Argueta</v>
          </cell>
          <cell r="H1880">
            <v>0</v>
          </cell>
        </row>
        <row r="1881">
          <cell r="F1881">
            <v>310466</v>
          </cell>
          <cell r="G1881" t="str">
            <v>Marta Emilia Moran Lopez</v>
          </cell>
          <cell r="H1881">
            <v>0</v>
          </cell>
        </row>
        <row r="1882">
          <cell r="F1882">
            <v>90035084</v>
          </cell>
          <cell r="G1882" t="str">
            <v xml:space="preserve">Marta Esperanza Lopez Cortez </v>
          </cell>
          <cell r="H1882">
            <v>0</v>
          </cell>
        </row>
        <row r="1883">
          <cell r="F1883">
            <v>314611</v>
          </cell>
          <cell r="G1883" t="str">
            <v>Marta Iris Martinez Sete</v>
          </cell>
          <cell r="H1883">
            <v>0</v>
          </cell>
        </row>
        <row r="1884">
          <cell r="F1884">
            <v>312359</v>
          </cell>
          <cell r="G1884" t="str">
            <v>Martha Jasmin Rivera Perdomo</v>
          </cell>
          <cell r="H1884">
            <v>0</v>
          </cell>
        </row>
        <row r="1885">
          <cell r="F1885">
            <v>312109</v>
          </cell>
          <cell r="G1885" t="str">
            <v>Martha Julia Shar Velasquez</v>
          </cell>
          <cell r="H1885">
            <v>0</v>
          </cell>
        </row>
        <row r="1886">
          <cell r="F1886">
            <v>315103</v>
          </cell>
          <cell r="G1886" t="str">
            <v>Martin Aroldo Lorenzana Flores</v>
          </cell>
          <cell r="H1886">
            <v>0</v>
          </cell>
        </row>
        <row r="1887">
          <cell r="F1887">
            <v>90018946</v>
          </cell>
          <cell r="G1887" t="str">
            <v>Marveli Beberlin Lopez Perez De Vasquez</v>
          </cell>
          <cell r="H1887">
            <v>0</v>
          </cell>
        </row>
        <row r="1888">
          <cell r="F1888">
            <v>313203</v>
          </cell>
          <cell r="G1888" t="str">
            <v>Marvin Alejandro Lopez Solis</v>
          </cell>
          <cell r="H1888">
            <v>0</v>
          </cell>
        </row>
        <row r="1889">
          <cell r="F1889">
            <v>315481</v>
          </cell>
          <cell r="G1889" t="str">
            <v>Marvin Alejandro Puac Mulul</v>
          </cell>
          <cell r="H1889">
            <v>0</v>
          </cell>
        </row>
        <row r="1890">
          <cell r="F1890">
            <v>306655</v>
          </cell>
          <cell r="G1890" t="str">
            <v>Marvin Alexander Choguix Chex</v>
          </cell>
          <cell r="H1890">
            <v>0</v>
          </cell>
        </row>
        <row r="1891">
          <cell r="F1891">
            <v>307786</v>
          </cell>
          <cell r="G1891" t="str">
            <v>Marvin Alfredo Asturias Mendez</v>
          </cell>
          <cell r="H1891">
            <v>0</v>
          </cell>
        </row>
        <row r="1892">
          <cell r="F1892">
            <v>311176</v>
          </cell>
          <cell r="G1892" t="str">
            <v>Marvin Andolfo Garcia De Leon</v>
          </cell>
          <cell r="H1892">
            <v>0</v>
          </cell>
        </row>
        <row r="1893">
          <cell r="F1893">
            <v>90033260</v>
          </cell>
          <cell r="G1893" t="str">
            <v>Marvin Danilo Castillo Castillo</v>
          </cell>
          <cell r="H1893">
            <v>0</v>
          </cell>
        </row>
        <row r="1894">
          <cell r="F1894">
            <v>315475</v>
          </cell>
          <cell r="G1894" t="str">
            <v>Marvin Eduardo Coxaj Sanic</v>
          </cell>
          <cell r="H1894">
            <v>0</v>
          </cell>
        </row>
        <row r="1895">
          <cell r="F1895">
            <v>312374</v>
          </cell>
          <cell r="G1895" t="str">
            <v>Marvin Eleazar Sunun Acuta</v>
          </cell>
          <cell r="H1895">
            <v>0</v>
          </cell>
        </row>
        <row r="1896">
          <cell r="F1896">
            <v>90045954</v>
          </cell>
          <cell r="G1896" t="str">
            <v>Marvin Estuardo Diaz Roman</v>
          </cell>
          <cell r="H1896">
            <v>0</v>
          </cell>
        </row>
        <row r="1897">
          <cell r="F1897">
            <v>310680</v>
          </cell>
          <cell r="G1897" t="str">
            <v>Marvin Estuardo Xiloj De Leon</v>
          </cell>
          <cell r="H1897">
            <v>0</v>
          </cell>
        </row>
        <row r="1898">
          <cell r="F1898">
            <v>315460</v>
          </cell>
          <cell r="G1898" t="str">
            <v>Marvin Leonel Hernandez Alvarez</v>
          </cell>
          <cell r="H1898">
            <v>0</v>
          </cell>
        </row>
        <row r="1899">
          <cell r="F1899">
            <v>307409</v>
          </cell>
          <cell r="G1899" t="str">
            <v>Marvin Rodolfo Santizo Rosales</v>
          </cell>
          <cell r="H1899">
            <v>0</v>
          </cell>
        </row>
        <row r="1900">
          <cell r="F1900">
            <v>90049421</v>
          </cell>
          <cell r="G1900" t="str">
            <v>Marvin Rolando Fuentes Aguilar</v>
          </cell>
          <cell r="H1900">
            <v>0</v>
          </cell>
        </row>
        <row r="1901">
          <cell r="F1901">
            <v>313194</v>
          </cell>
          <cell r="G1901" t="str">
            <v>Mary Isabel Xiloj Tajiboy</v>
          </cell>
          <cell r="H1901">
            <v>0</v>
          </cell>
        </row>
        <row r="1902">
          <cell r="F1902">
            <v>90040149</v>
          </cell>
          <cell r="G1902" t="str">
            <v>Mary Maricel Caal Chun</v>
          </cell>
          <cell r="H1902">
            <v>0</v>
          </cell>
        </row>
        <row r="1903">
          <cell r="F1903">
            <v>314092</v>
          </cell>
          <cell r="G1903" t="str">
            <v>Maryory Marilu Ramos Reyes</v>
          </cell>
          <cell r="H1903">
            <v>0</v>
          </cell>
        </row>
        <row r="1904">
          <cell r="F1904">
            <v>315574</v>
          </cell>
          <cell r="G1904" t="str">
            <v>Maryury De Los Angeles Garcia Romero</v>
          </cell>
          <cell r="H1904">
            <v>0</v>
          </cell>
        </row>
        <row r="1905">
          <cell r="F1905">
            <v>314207</v>
          </cell>
          <cell r="G1905" t="str">
            <v>Maryury Yasmin Suret Mejia</v>
          </cell>
          <cell r="H1905">
            <v>0</v>
          </cell>
        </row>
        <row r="1906">
          <cell r="F1906">
            <v>90015630</v>
          </cell>
          <cell r="G1906" t="str">
            <v xml:space="preserve">Mauricio León Ruano                                </v>
          </cell>
          <cell r="H1906">
            <v>0</v>
          </cell>
        </row>
        <row r="1907">
          <cell r="F1907">
            <v>314618</v>
          </cell>
          <cell r="G1907" t="str">
            <v>Mauro Gilberto Rax Suc</v>
          </cell>
          <cell r="H1907">
            <v>0</v>
          </cell>
        </row>
        <row r="1908">
          <cell r="F1908">
            <v>304166</v>
          </cell>
          <cell r="G1908" t="str">
            <v>Maviela Bibianeth Castillo Avila Villatoro</v>
          </cell>
          <cell r="H1908">
            <v>0</v>
          </cell>
        </row>
        <row r="1909">
          <cell r="F1909">
            <v>309285</v>
          </cell>
          <cell r="G1909" t="str">
            <v>Mavilin Griselda Jacome Molina</v>
          </cell>
          <cell r="H1909">
            <v>0</v>
          </cell>
        </row>
        <row r="1910">
          <cell r="F1910">
            <v>314430</v>
          </cell>
          <cell r="G1910" t="str">
            <v>Maximiliano Batres Ramirez</v>
          </cell>
          <cell r="H1910">
            <v>0</v>
          </cell>
        </row>
        <row r="1911">
          <cell r="F1911">
            <v>315881</v>
          </cell>
          <cell r="G1911" t="str">
            <v>Maybeli Marili Ordonez</v>
          </cell>
          <cell r="H1911">
            <v>0</v>
          </cell>
        </row>
        <row r="1912">
          <cell r="F1912">
            <v>315042</v>
          </cell>
          <cell r="G1912" t="str">
            <v>Mayki Waleska Alvarez Guzman</v>
          </cell>
          <cell r="H1912">
            <v>0</v>
          </cell>
        </row>
        <row r="1913">
          <cell r="F1913">
            <v>314691</v>
          </cell>
          <cell r="G1913" t="str">
            <v>Maylin Fernanda Cifuentes Guevara</v>
          </cell>
          <cell r="H1913">
            <v>0</v>
          </cell>
        </row>
        <row r="1914">
          <cell r="F1914">
            <v>90033665</v>
          </cell>
          <cell r="G1914" t="str">
            <v xml:space="preserve">Maylin Julissa Guerra Cerin </v>
          </cell>
          <cell r="H1914">
            <v>0</v>
          </cell>
        </row>
        <row r="1915">
          <cell r="F1915">
            <v>314857</v>
          </cell>
          <cell r="G1915" t="str">
            <v>Maynor Alexander Chen Franco</v>
          </cell>
          <cell r="H1915">
            <v>0</v>
          </cell>
        </row>
        <row r="1916">
          <cell r="F1916">
            <v>314359</v>
          </cell>
          <cell r="G1916" t="str">
            <v>Maynor Alexander Perez Surque</v>
          </cell>
          <cell r="H1916">
            <v>0</v>
          </cell>
        </row>
        <row r="1917">
          <cell r="F1917">
            <v>315320</v>
          </cell>
          <cell r="G1917" t="str">
            <v>Maynor David Montufar De La Cruz</v>
          </cell>
          <cell r="H1917">
            <v>0</v>
          </cell>
        </row>
        <row r="1918">
          <cell r="F1918">
            <v>90033072</v>
          </cell>
          <cell r="G1918" t="str">
            <v>Maynor Natanael Solis Delgado</v>
          </cell>
          <cell r="H1918">
            <v>0</v>
          </cell>
        </row>
        <row r="1919">
          <cell r="F1919">
            <v>90039908</v>
          </cell>
          <cell r="G1919" t="str">
            <v>Mayra Alejandra Carreto Bonilla</v>
          </cell>
          <cell r="H1919">
            <v>0</v>
          </cell>
        </row>
        <row r="1920">
          <cell r="F1920">
            <v>314784</v>
          </cell>
          <cell r="G1920" t="str">
            <v>Mayra Alejandra Perez Cordero</v>
          </cell>
          <cell r="H1920">
            <v>0</v>
          </cell>
        </row>
        <row r="1921">
          <cell r="F1921">
            <v>314747</v>
          </cell>
          <cell r="G1921" t="str">
            <v>Mayra Azucena Perez Guzman</v>
          </cell>
          <cell r="H1921">
            <v>0</v>
          </cell>
        </row>
        <row r="1922">
          <cell r="F1922">
            <v>307616</v>
          </cell>
          <cell r="G1922" t="str">
            <v>Mayra Ester Lopez Gonzalez</v>
          </cell>
        </row>
        <row r="1923">
          <cell r="F1923">
            <v>304234</v>
          </cell>
          <cell r="G1923" t="str">
            <v>Mayra Julieta Sincal Coy</v>
          </cell>
        </row>
        <row r="1924">
          <cell r="F1924">
            <v>314324</v>
          </cell>
          <cell r="G1924" t="str">
            <v>Mayra Karina Soc Ovalle</v>
          </cell>
        </row>
        <row r="1925">
          <cell r="F1925">
            <v>313516</v>
          </cell>
          <cell r="G1925" t="str">
            <v>Mayra Leticia Diaz Armas</v>
          </cell>
        </row>
        <row r="1926">
          <cell r="F1926">
            <v>313096</v>
          </cell>
          <cell r="G1926" t="str">
            <v>Mayra Noemi Godoy Carrera</v>
          </cell>
        </row>
        <row r="1927">
          <cell r="F1927">
            <v>90050501</v>
          </cell>
          <cell r="G1927" t="str">
            <v>Mayra Pahola Xiquin Terraza</v>
          </cell>
        </row>
        <row r="1928">
          <cell r="F1928">
            <v>315251</v>
          </cell>
          <cell r="G1928" t="str">
            <v>Mayra Susana Perez Galdamez</v>
          </cell>
        </row>
        <row r="1929">
          <cell r="F1929">
            <v>90046771</v>
          </cell>
          <cell r="G1929" t="str">
            <v>Megly Karina Lopez De Leon</v>
          </cell>
        </row>
        <row r="1930">
          <cell r="F1930">
            <v>90013833</v>
          </cell>
          <cell r="G1930" t="str">
            <v>Melane Alejandra Contreras Sicajan</v>
          </cell>
        </row>
        <row r="1931">
          <cell r="F1931">
            <v>313758</v>
          </cell>
          <cell r="G1931" t="str">
            <v>Melani Andrea Salcedo Acevedo</v>
          </cell>
        </row>
        <row r="1932">
          <cell r="F1932">
            <v>309332</v>
          </cell>
          <cell r="G1932" t="str">
            <v>Melani Mishell Vasquez Castillo</v>
          </cell>
        </row>
        <row r="1933">
          <cell r="F1933">
            <v>315528</v>
          </cell>
          <cell r="G1933" t="str">
            <v>Melanie Azucena Choc Garcia</v>
          </cell>
        </row>
        <row r="1934">
          <cell r="F1934">
            <v>309903</v>
          </cell>
          <cell r="G1934" t="str">
            <v>Melanie Vanessa Chacon Godoy</v>
          </cell>
        </row>
        <row r="1935">
          <cell r="F1935">
            <v>90033071</v>
          </cell>
          <cell r="G1935" t="str">
            <v xml:space="preserve">Melany Celeste Monzon Brenes                    </v>
          </cell>
        </row>
        <row r="1936">
          <cell r="F1936">
            <v>90045956</v>
          </cell>
          <cell r="G1936" t="str">
            <v>Melany Lorena Pac Monterroso</v>
          </cell>
        </row>
        <row r="1937">
          <cell r="F1937">
            <v>315178</v>
          </cell>
          <cell r="G1937" t="str">
            <v>Melany Nohemi Velasquez Solorzano</v>
          </cell>
        </row>
        <row r="1938">
          <cell r="F1938">
            <v>90040423</v>
          </cell>
          <cell r="G1938" t="str">
            <v>Melany Valeska Juarez Carpio</v>
          </cell>
        </row>
        <row r="1939">
          <cell r="F1939">
            <v>316151</v>
          </cell>
          <cell r="G1939" t="str">
            <v>Melina Monterroso Martin</v>
          </cell>
        </row>
        <row r="1940">
          <cell r="F1940">
            <v>301165</v>
          </cell>
          <cell r="G1940" t="str">
            <v>Melissa Lissette Recinos Massella</v>
          </cell>
        </row>
        <row r="1941">
          <cell r="F1941">
            <v>314782</v>
          </cell>
          <cell r="G1941" t="str">
            <v>Melissandra Ruiz Ramirez</v>
          </cell>
        </row>
        <row r="1942">
          <cell r="F1942">
            <v>314053</v>
          </cell>
          <cell r="G1942" t="str">
            <v>Melody Arelis Elvira Monterroso</v>
          </cell>
        </row>
        <row r="1943">
          <cell r="F1943">
            <v>90045955</v>
          </cell>
          <cell r="G1943" t="str">
            <v>Melvin Adelson Pet Santos</v>
          </cell>
        </row>
        <row r="1944">
          <cell r="F1944">
            <v>314777</v>
          </cell>
          <cell r="G1944" t="str">
            <v>Melvin Antonio Hernandez Gutierrez</v>
          </cell>
        </row>
        <row r="1945">
          <cell r="F1945">
            <v>315508</v>
          </cell>
          <cell r="G1945" t="str">
            <v>Mendoza Pineda, Keila Betsaida</v>
          </cell>
        </row>
        <row r="1946">
          <cell r="F1946">
            <v>315107</v>
          </cell>
          <cell r="G1946" t="str">
            <v>Merari Abigail Orantes Gonzalez</v>
          </cell>
        </row>
        <row r="1947">
          <cell r="F1947">
            <v>304528</v>
          </cell>
          <cell r="G1947" t="str">
            <v>Merari Abigail Veliz Samayoa</v>
          </cell>
        </row>
        <row r="1948">
          <cell r="F1948">
            <v>311310</v>
          </cell>
          <cell r="G1948" t="str">
            <v>Merari Madai Arana Erazo De Morales</v>
          </cell>
        </row>
        <row r="1949">
          <cell r="F1949">
            <v>314447</v>
          </cell>
          <cell r="G1949" t="str">
            <v>Mercy Roxana Galvez Canales</v>
          </cell>
        </row>
        <row r="1950">
          <cell r="F1950">
            <v>90027821</v>
          </cell>
          <cell r="G1950" t="str">
            <v>Merlin Areli Gomez Sagastume</v>
          </cell>
        </row>
        <row r="1951">
          <cell r="F1951">
            <v>314610</v>
          </cell>
          <cell r="G1951" t="str">
            <v>Merly Carolina Lopez Laynez</v>
          </cell>
        </row>
        <row r="1952">
          <cell r="F1952">
            <v>315172</v>
          </cell>
          <cell r="G1952" t="str">
            <v>Merlyn Esther Pérez Girón</v>
          </cell>
        </row>
        <row r="1953">
          <cell r="F1953">
            <v>90045663</v>
          </cell>
          <cell r="G1953" t="str">
            <v>Michelle Jamileth Martinez Garcia</v>
          </cell>
        </row>
        <row r="1954">
          <cell r="F1954">
            <v>90034564</v>
          </cell>
          <cell r="G1954" t="str">
            <v xml:space="preserve">Michelle Jeffreidy  Ordoñez Rios </v>
          </cell>
        </row>
        <row r="1955">
          <cell r="F1955">
            <v>90040570</v>
          </cell>
          <cell r="G1955" t="str">
            <v xml:space="preserve">Migdalia Amarilis Flores Garcia </v>
          </cell>
        </row>
        <row r="1956">
          <cell r="F1956">
            <v>90021483</v>
          </cell>
          <cell r="G1956" t="str">
            <v>Miguel Angel Guamuch Franco</v>
          </cell>
        </row>
        <row r="1957">
          <cell r="F1957">
            <v>315661</v>
          </cell>
          <cell r="G1957" t="str">
            <v>Miguel Angel Mendez Juarez</v>
          </cell>
        </row>
        <row r="1958">
          <cell r="F1958">
            <v>302368</v>
          </cell>
          <cell r="G1958" t="str">
            <v>Miguel Angel Moya Cabnal</v>
          </cell>
        </row>
        <row r="1959">
          <cell r="F1959">
            <v>307315</v>
          </cell>
          <cell r="G1959" t="str">
            <v>Miguel Angel Vicente Morales</v>
          </cell>
        </row>
        <row r="1960">
          <cell r="F1960">
            <v>313011</v>
          </cell>
          <cell r="G1960" t="str">
            <v>Miguel David Boch Cifuentes</v>
          </cell>
        </row>
        <row r="1961">
          <cell r="F1961">
            <v>314904</v>
          </cell>
          <cell r="G1961" t="str">
            <v>Miguel Estuardo Marín</v>
          </cell>
        </row>
        <row r="1962">
          <cell r="F1962">
            <v>90014168</v>
          </cell>
          <cell r="G1962" t="str">
            <v>Miguel Eudilio Saban Lopez</v>
          </cell>
        </row>
        <row r="1963">
          <cell r="F1963">
            <v>307063</v>
          </cell>
          <cell r="G1963" t="str">
            <v>Miguel Omar Zuleta Solano</v>
          </cell>
        </row>
        <row r="1964">
          <cell r="F1964">
            <v>311165</v>
          </cell>
          <cell r="G1964" t="str">
            <v>Miguel Orlando Sebastian Juchan</v>
          </cell>
        </row>
        <row r="1965">
          <cell r="F1965">
            <v>316486</v>
          </cell>
          <cell r="G1965" t="str">
            <v>Miguel Rodrigo Gonzalez Ramirez</v>
          </cell>
        </row>
        <row r="1966">
          <cell r="F1966">
            <v>315292</v>
          </cell>
          <cell r="G1966" t="str">
            <v>Mijail Erick Joaquin Morales Ortiz</v>
          </cell>
        </row>
        <row r="1967">
          <cell r="F1967">
            <v>315392</v>
          </cell>
          <cell r="G1967" t="str">
            <v xml:space="preserve">Mijail Erick Joaquín Morales Ortiz </v>
          </cell>
        </row>
        <row r="1968">
          <cell r="F1968">
            <v>310954</v>
          </cell>
          <cell r="G1968" t="str">
            <v>Mildre Fabiola Gomez Barillas De Leonardo</v>
          </cell>
        </row>
        <row r="1969">
          <cell r="F1969">
            <v>313750</v>
          </cell>
          <cell r="G1969" t="str">
            <v xml:space="preserve">Mildred Alejandra Sapon Ruano   </v>
          </cell>
        </row>
        <row r="1970">
          <cell r="F1970">
            <v>90027838</v>
          </cell>
          <cell r="G1970" t="str">
            <v xml:space="preserve">Mildred Elizabeth Monzon Ramirez         </v>
          </cell>
        </row>
        <row r="1971">
          <cell r="F1971">
            <v>312482</v>
          </cell>
          <cell r="G1971" t="str">
            <v>Mildred Elizabeth Rivera Tenas</v>
          </cell>
        </row>
        <row r="1972">
          <cell r="F1972">
            <v>315346</v>
          </cell>
          <cell r="G1972" t="str">
            <v>Mildred Elizabeth Solis Quevedo</v>
          </cell>
        </row>
        <row r="1973">
          <cell r="F1973">
            <v>314330</v>
          </cell>
          <cell r="G1973" t="str">
            <v>Mildred Magaly Ortega Pac</v>
          </cell>
        </row>
        <row r="1974">
          <cell r="F1974">
            <v>314985</v>
          </cell>
          <cell r="G1974" t="str">
            <v>Mildred Magaly Sul Lopez</v>
          </cell>
        </row>
        <row r="1975">
          <cell r="F1975">
            <v>313823</v>
          </cell>
          <cell r="G1975" t="str">
            <v>Mildred Mazciel Almazan Lemus Codigo</v>
          </cell>
        </row>
        <row r="1976">
          <cell r="F1976">
            <v>309503</v>
          </cell>
          <cell r="G1976" t="str">
            <v>Mildred Yaneth Figueroa Garcia</v>
          </cell>
        </row>
        <row r="1977">
          <cell r="F1977">
            <v>301826</v>
          </cell>
          <cell r="G1977" t="str">
            <v>Mildred Yanett Cruz Alvarez De Tunchez</v>
          </cell>
        </row>
        <row r="1978">
          <cell r="F1978">
            <v>313864</v>
          </cell>
          <cell r="G1978" t="str">
            <v>Milena Maria Mendez Cheguen</v>
          </cell>
        </row>
        <row r="1979">
          <cell r="F1979">
            <v>303878</v>
          </cell>
          <cell r="G1979" t="str">
            <v>Milka Patricia Merida Muñoz</v>
          </cell>
        </row>
        <row r="1980">
          <cell r="F1980">
            <v>315189</v>
          </cell>
          <cell r="G1980" t="str">
            <v xml:space="preserve">Milthon Yobany Castillo Martinez </v>
          </cell>
        </row>
        <row r="1981">
          <cell r="F1981">
            <v>90016461</v>
          </cell>
          <cell r="G1981" t="str">
            <v>Milton Enrique Chiguichon Elias</v>
          </cell>
        </row>
        <row r="1982">
          <cell r="F1982">
            <v>314919</v>
          </cell>
          <cell r="G1982" t="str">
            <v>Milton Enrique Yax Sosa</v>
          </cell>
        </row>
        <row r="1983">
          <cell r="F1983">
            <v>313572</v>
          </cell>
          <cell r="G1983" t="str">
            <v xml:space="preserve">Milton Hardany Dominguez Martinez </v>
          </cell>
        </row>
        <row r="1984">
          <cell r="F1984">
            <v>312699</v>
          </cell>
          <cell r="G1984" t="str">
            <v>Milton Rene Estrada Coc</v>
          </cell>
        </row>
        <row r="1985">
          <cell r="F1985">
            <v>310468</v>
          </cell>
          <cell r="G1985" t="str">
            <v>Milton Roberto Juarez Lemus</v>
          </cell>
        </row>
        <row r="1986">
          <cell r="F1986">
            <v>313796</v>
          </cell>
          <cell r="G1986" t="str">
            <v>Milton Rocael Manchame Arroyo</v>
          </cell>
        </row>
        <row r="1987">
          <cell r="F1987">
            <v>313534</v>
          </cell>
          <cell r="G1987" t="str">
            <v>Milver Moises Maldonado Pelico</v>
          </cell>
        </row>
        <row r="1988">
          <cell r="F1988">
            <v>313745</v>
          </cell>
          <cell r="G1988" t="str">
            <v>Milvia Alejandra Lopez Marroquin</v>
          </cell>
        </row>
        <row r="1989">
          <cell r="F1989">
            <v>315469</v>
          </cell>
          <cell r="G1989" t="str">
            <v xml:space="preserve">Milvia Fabiola Velasquez </v>
          </cell>
        </row>
        <row r="1990">
          <cell r="F1990">
            <v>314555</v>
          </cell>
          <cell r="G1990" t="str">
            <v>Milvia Fernanda Talento Urbina</v>
          </cell>
        </row>
        <row r="1991">
          <cell r="F1991">
            <v>90028187</v>
          </cell>
          <cell r="G1991" t="str">
            <v>Mirelli Estefania Ramirez Garcia</v>
          </cell>
        </row>
        <row r="1992">
          <cell r="F1992">
            <v>301347</v>
          </cell>
          <cell r="G1992" t="str">
            <v>Miriam Betsabe Rodas Perez</v>
          </cell>
        </row>
        <row r="1993">
          <cell r="F1993">
            <v>313439</v>
          </cell>
          <cell r="G1993" t="str">
            <v>Miriam Elizabeth Pérez Guerra</v>
          </cell>
        </row>
        <row r="1994">
          <cell r="F1994">
            <v>315093</v>
          </cell>
          <cell r="G1994" t="str">
            <v>Miriam Eugenia Santizo Montenegro</v>
          </cell>
        </row>
        <row r="1995">
          <cell r="F1995">
            <v>307748</v>
          </cell>
          <cell r="G1995" t="str">
            <v>Miriam Judith Cermeño Cetino</v>
          </cell>
        </row>
        <row r="1996">
          <cell r="F1996">
            <v>307005</v>
          </cell>
          <cell r="G1996" t="str">
            <v>Miriam Leticia Romero Torres</v>
          </cell>
        </row>
        <row r="1997">
          <cell r="F1997">
            <v>312288</v>
          </cell>
          <cell r="G1997" t="str">
            <v>Miriam Marilisa Herrera Perez</v>
          </cell>
        </row>
        <row r="1998">
          <cell r="F1998">
            <v>313772</v>
          </cell>
          <cell r="G1998" t="str">
            <v>Miriam Mineidy Moscoso Mayen</v>
          </cell>
        </row>
        <row r="1999">
          <cell r="F1999">
            <v>90048458</v>
          </cell>
          <cell r="G1999" t="str">
            <v>Miriam Rosmery Guerra Valle</v>
          </cell>
        </row>
        <row r="2000">
          <cell r="F2000">
            <v>306649</v>
          </cell>
          <cell r="G2000" t="str">
            <v>Miriam Stefanie Hernandez Subuyuj</v>
          </cell>
        </row>
        <row r="2001">
          <cell r="F2001">
            <v>201909</v>
          </cell>
          <cell r="G2001" t="str">
            <v>Mirian Del Carmen Guzman Maldonado</v>
          </cell>
        </row>
        <row r="2002">
          <cell r="F2002">
            <v>314023</v>
          </cell>
          <cell r="G2002" t="str">
            <v>Mirna Consuelo Muñoz Ordoñez</v>
          </cell>
        </row>
        <row r="2003">
          <cell r="F2003">
            <v>315506</v>
          </cell>
          <cell r="G2003" t="str">
            <v>Mirna Elizabeth Zolote Patzan</v>
          </cell>
        </row>
        <row r="2004">
          <cell r="F2004">
            <v>314227</v>
          </cell>
          <cell r="G2004" t="str">
            <v xml:space="preserve">Mirna Janeth Ordoñez </v>
          </cell>
        </row>
        <row r="2005">
          <cell r="F2005">
            <v>313541</v>
          </cell>
          <cell r="G2005" t="str">
            <v xml:space="preserve">Mirna Lorena Argueta Ayala </v>
          </cell>
        </row>
        <row r="2006">
          <cell r="F2006">
            <v>90046229</v>
          </cell>
          <cell r="G2006" t="str">
            <v xml:space="preserve">Mirna Noemi Gil Funes </v>
          </cell>
        </row>
        <row r="2007">
          <cell r="F2007">
            <v>101866</v>
          </cell>
          <cell r="G2007" t="str">
            <v>Mirna Violeta Carrillo Gonzalez</v>
          </cell>
        </row>
        <row r="2008">
          <cell r="F2008">
            <v>310687</v>
          </cell>
          <cell r="G2008" t="str">
            <v>Mirna Yesenia Umaña Ramos</v>
          </cell>
        </row>
        <row r="2009">
          <cell r="F2009">
            <v>313842</v>
          </cell>
          <cell r="G2009" t="str">
            <v>Mirza Johana Cosigua Rabinal</v>
          </cell>
        </row>
        <row r="2010">
          <cell r="F2010">
            <v>90040813</v>
          </cell>
          <cell r="G2010" t="str">
            <v>Mirza Karina Palma Marroquin</v>
          </cell>
        </row>
        <row r="2011">
          <cell r="F2011">
            <v>313441</v>
          </cell>
          <cell r="G2011" t="str">
            <v>Moises Dario Flores Amaya</v>
          </cell>
        </row>
        <row r="2012">
          <cell r="F2012">
            <v>90041207</v>
          </cell>
          <cell r="G2012" t="str">
            <v>Mónica Alejandra Alvarez Poncio</v>
          </cell>
        </row>
        <row r="2013">
          <cell r="F2013">
            <v>90025237</v>
          </cell>
          <cell r="G2013" t="str">
            <v>Monica Andrea Ronquillo Ambrocio</v>
          </cell>
        </row>
        <row r="2014">
          <cell r="F2014">
            <v>90013719</v>
          </cell>
          <cell r="G2014" t="str">
            <v>Monica Carolina Lima Cifuentes De Enriquez</v>
          </cell>
        </row>
        <row r="2015">
          <cell r="F2015">
            <v>300268</v>
          </cell>
          <cell r="G2015" t="str">
            <v>Monica Carolina Pappa Dominguez</v>
          </cell>
        </row>
        <row r="2016">
          <cell r="F2016">
            <v>313480</v>
          </cell>
          <cell r="G2016" t="str">
            <v>Monica Cecilia Perez Lopez</v>
          </cell>
        </row>
        <row r="2017">
          <cell r="F2017">
            <v>313674</v>
          </cell>
          <cell r="G2017" t="str">
            <v>Monica Gabriela Canizales Santos</v>
          </cell>
        </row>
        <row r="2018">
          <cell r="F2018">
            <v>301552</v>
          </cell>
          <cell r="G2018" t="str">
            <v>Monica Gabriela Osorio Garrido</v>
          </cell>
        </row>
        <row r="2019">
          <cell r="F2019">
            <v>307706</v>
          </cell>
          <cell r="G2019" t="str">
            <v>Monica Guadalupe Garcia Rivera</v>
          </cell>
        </row>
        <row r="2020">
          <cell r="F2020">
            <v>90019660</v>
          </cell>
          <cell r="G2020" t="str">
            <v>Monica Ilduara Lima</v>
          </cell>
        </row>
        <row r="2021">
          <cell r="F2021">
            <v>314918</v>
          </cell>
          <cell r="G2021" t="str">
            <v>Monica Isabel Castillo Avila</v>
          </cell>
        </row>
        <row r="2022">
          <cell r="F2022">
            <v>308910</v>
          </cell>
          <cell r="G2022" t="str">
            <v>Monica Lisseth Marroquin Salazar</v>
          </cell>
        </row>
        <row r="2023">
          <cell r="F2023">
            <v>302232</v>
          </cell>
          <cell r="G2023" t="str">
            <v>Monica Lizbeth Franco Chacon</v>
          </cell>
        </row>
        <row r="2024">
          <cell r="F2024">
            <v>311945</v>
          </cell>
          <cell r="G2024" t="str">
            <v>Monica Michelle Diaz De Leon De Baltazar</v>
          </cell>
        </row>
        <row r="2025">
          <cell r="F2025">
            <v>315559</v>
          </cell>
          <cell r="G2025" t="str">
            <v>Monica Mishell Perez Ballesteros</v>
          </cell>
        </row>
        <row r="2026">
          <cell r="F2026">
            <v>313346</v>
          </cell>
          <cell r="G2026" t="str">
            <v>Monica Mishell Rendon Gamboa</v>
          </cell>
        </row>
        <row r="2027">
          <cell r="F2027">
            <v>90040130</v>
          </cell>
          <cell r="G2027" t="str">
            <v>Monica Patricia Coroy Laparra</v>
          </cell>
        </row>
        <row r="2028">
          <cell r="F2028">
            <v>314616</v>
          </cell>
          <cell r="G2028" t="str">
            <v>Monica Raquel Palacios Piedrasanta</v>
          </cell>
        </row>
        <row r="2029">
          <cell r="F2029">
            <v>90034811</v>
          </cell>
          <cell r="G2029" t="str">
            <v>Monica Vannesa Miranda Alvarado</v>
          </cell>
        </row>
        <row r="2030">
          <cell r="F2030">
            <v>314653</v>
          </cell>
          <cell r="G2030" t="str">
            <v>Monica Yulissa Sun Pacay</v>
          </cell>
        </row>
        <row r="2031">
          <cell r="F2031">
            <v>311311</v>
          </cell>
          <cell r="G2031" t="str">
            <v>Monica Yulissa Vicente Velasquez</v>
          </cell>
        </row>
        <row r="2032">
          <cell r="F2032">
            <v>315438</v>
          </cell>
          <cell r="G2032" t="str">
            <v>Monzon Lopez, Wendy Alejandra</v>
          </cell>
        </row>
        <row r="2033">
          <cell r="F2033">
            <v>315500</v>
          </cell>
          <cell r="G2033" t="str">
            <v>Morales Garcia, Jasson Daniel</v>
          </cell>
        </row>
        <row r="2034">
          <cell r="F2034">
            <v>315452</v>
          </cell>
          <cell r="G2034" t="str">
            <v>Morales Navas, Melvin Everardo</v>
          </cell>
        </row>
        <row r="2035">
          <cell r="F2035">
            <v>90033871</v>
          </cell>
          <cell r="G2035" t="str">
            <v>Morelia Esperanza Paau Melendez</v>
          </cell>
        </row>
        <row r="2036">
          <cell r="F2036">
            <v>90025617</v>
          </cell>
          <cell r="G2036" t="str">
            <v>Mynor Ariel Romero Mas</v>
          </cell>
        </row>
        <row r="2037">
          <cell r="F2037">
            <v>313111</v>
          </cell>
          <cell r="G2037" t="str">
            <v>Mynor Arturo Barrios Reyes</v>
          </cell>
        </row>
        <row r="2038">
          <cell r="F2038">
            <v>90040484</v>
          </cell>
          <cell r="G2038" t="str">
            <v>Mynor Daniel Chajon Soyos</v>
          </cell>
        </row>
        <row r="2039">
          <cell r="F2039">
            <v>313427</v>
          </cell>
          <cell r="G2039" t="str">
            <v>Mynor Genaro Salazar Merida</v>
          </cell>
        </row>
        <row r="2040">
          <cell r="F2040">
            <v>201518</v>
          </cell>
          <cell r="G2040" t="str">
            <v>Myriam Aracely Rivera Gonzalez</v>
          </cell>
        </row>
        <row r="2041">
          <cell r="F2041">
            <v>315266</v>
          </cell>
          <cell r="G2041" t="str">
            <v>Myrka Jessel Rivera Camo</v>
          </cell>
        </row>
        <row r="2042">
          <cell r="F2042">
            <v>309793</v>
          </cell>
          <cell r="G2042" t="str">
            <v>Myrna Leticia Torres Quiroa</v>
          </cell>
        </row>
        <row r="2043">
          <cell r="F2043">
            <v>300893</v>
          </cell>
          <cell r="G2043" t="str">
            <v>Mytza Mahogany Galvez Aragon</v>
          </cell>
        </row>
        <row r="2044">
          <cell r="F2044">
            <v>314223</v>
          </cell>
          <cell r="G2044" t="str">
            <v>Nadia Estefania Gramajo Archila</v>
          </cell>
        </row>
        <row r="2045">
          <cell r="F2045">
            <v>314959</v>
          </cell>
          <cell r="G2045" t="str">
            <v>Nanci Magali Noj Santos</v>
          </cell>
        </row>
        <row r="2046">
          <cell r="F2046">
            <v>302592</v>
          </cell>
          <cell r="G2046" t="str">
            <v>Nanci Paola Con Morales</v>
          </cell>
        </row>
        <row r="2047">
          <cell r="F2047">
            <v>301700</v>
          </cell>
          <cell r="G2047" t="str">
            <v>Nanci Yanira Navas Garcia</v>
          </cell>
        </row>
        <row r="2048">
          <cell r="F2048">
            <v>90049609</v>
          </cell>
          <cell r="G2048" t="str">
            <v xml:space="preserve">Nancy Aracely Col Cu </v>
          </cell>
        </row>
        <row r="2049">
          <cell r="F2049">
            <v>312111</v>
          </cell>
          <cell r="G2049" t="str">
            <v>Nancy Corina Quiñonez Rodriguez</v>
          </cell>
        </row>
        <row r="2050">
          <cell r="F2050">
            <v>314547</v>
          </cell>
          <cell r="G2050" t="str">
            <v>Nancy Elizabeth Lopez Perez</v>
          </cell>
        </row>
        <row r="2051">
          <cell r="F2051">
            <v>314656</v>
          </cell>
          <cell r="G2051" t="str">
            <v>Nancy Johana Flores Barrera</v>
          </cell>
        </row>
        <row r="2052">
          <cell r="F2052">
            <v>90040299</v>
          </cell>
          <cell r="G2052" t="str">
            <v>Nancy Lizeth Barrera Cancinos</v>
          </cell>
        </row>
        <row r="2053">
          <cell r="F2053">
            <v>90040335</v>
          </cell>
          <cell r="G2053" t="str">
            <v xml:space="preserve">Nancy Lucero Portillo Vasquez </v>
          </cell>
        </row>
        <row r="2054">
          <cell r="F2054">
            <v>303538</v>
          </cell>
          <cell r="G2054" t="str">
            <v>Nancy Magaly Izaguirre Galicia</v>
          </cell>
        </row>
        <row r="2055">
          <cell r="F2055">
            <v>314843</v>
          </cell>
          <cell r="G2055" t="str">
            <v>Nancy Pahola Arevalo Yuman</v>
          </cell>
        </row>
        <row r="2056">
          <cell r="F2056">
            <v>305223</v>
          </cell>
          <cell r="G2056" t="str">
            <v>Nancy Pahola De Leon Patzan</v>
          </cell>
        </row>
        <row r="2057">
          <cell r="F2057">
            <v>90025664</v>
          </cell>
          <cell r="G2057" t="str">
            <v xml:space="preserve">Nancy Pahola Rodriguez Ramirez </v>
          </cell>
        </row>
        <row r="2058">
          <cell r="F2058">
            <v>311423</v>
          </cell>
          <cell r="G2058" t="str">
            <v>Nancy Paola Jimenez Pamal</v>
          </cell>
        </row>
        <row r="2059">
          <cell r="F2059">
            <v>310510</v>
          </cell>
          <cell r="G2059" t="str">
            <v>Nancy Paola Morales Rodriguez De Morales</v>
          </cell>
        </row>
        <row r="2060">
          <cell r="F2060">
            <v>312474</v>
          </cell>
          <cell r="G2060" t="str">
            <v>Nancy Paola Ramirez Garcia</v>
          </cell>
        </row>
        <row r="2061">
          <cell r="F2061">
            <v>315157</v>
          </cell>
          <cell r="G2061" t="str">
            <v>Nancy Rocio Maldonado Lopez</v>
          </cell>
        </row>
        <row r="2062">
          <cell r="F2062">
            <v>312587</v>
          </cell>
          <cell r="G2062" t="str">
            <v>Nancy Roxana Chuy Ponce</v>
          </cell>
        </row>
        <row r="2063">
          <cell r="F2063">
            <v>314745</v>
          </cell>
          <cell r="G2063" t="str">
            <v>Nancy Yaneth Vasquez Chiguichon</v>
          </cell>
        </row>
        <row r="2064">
          <cell r="F2064">
            <v>309809</v>
          </cell>
          <cell r="G2064" t="str">
            <v>Nancy Yessenia Set Iquite</v>
          </cell>
        </row>
        <row r="2065">
          <cell r="F2065">
            <v>311261</v>
          </cell>
          <cell r="G2065" t="str">
            <v>Nasly Abigail Cazian Lopez</v>
          </cell>
        </row>
        <row r="2066">
          <cell r="F2066">
            <v>315450</v>
          </cell>
          <cell r="G2066" t="str">
            <v>Nataly Andreina Canahui Ochoa</v>
          </cell>
        </row>
        <row r="2067">
          <cell r="F2067">
            <v>312545</v>
          </cell>
          <cell r="G2067" t="str">
            <v>Nataly Pamela Aguilar Escobar</v>
          </cell>
        </row>
        <row r="2068">
          <cell r="F2068">
            <v>90016528</v>
          </cell>
          <cell r="G2068" t="str">
            <v>Naydelyn Rosmery Torres Marroquin</v>
          </cell>
        </row>
        <row r="2069">
          <cell r="F2069">
            <v>314192</v>
          </cell>
          <cell r="G2069" t="str">
            <v>Neftaly Eliseo Aguilar Hernandez</v>
          </cell>
        </row>
        <row r="2070">
          <cell r="F2070">
            <v>314024</v>
          </cell>
          <cell r="G2070" t="str">
            <v>Nelson Aurelio Portillo Martinez</v>
          </cell>
        </row>
        <row r="2071">
          <cell r="F2071">
            <v>314913</v>
          </cell>
          <cell r="G2071" t="str">
            <v>Nelson Humberto Caal Güe</v>
          </cell>
        </row>
        <row r="2072">
          <cell r="F2072">
            <v>314631</v>
          </cell>
          <cell r="G2072" t="str">
            <v>Nelsy Adali Nova Vivar</v>
          </cell>
        </row>
        <row r="2073">
          <cell r="F2073">
            <v>309216</v>
          </cell>
          <cell r="G2073" t="str">
            <v xml:space="preserve">Nery Daniel Chipin Lindo </v>
          </cell>
        </row>
        <row r="2074">
          <cell r="F2074">
            <v>313499</v>
          </cell>
          <cell r="G2074" t="str">
            <v>Nestor Donaldo Xiloj Quiej</v>
          </cell>
        </row>
        <row r="2075">
          <cell r="F2075">
            <v>312176</v>
          </cell>
          <cell r="G2075" t="str">
            <v>Nestor Edgardo Gutierrez Lazaro</v>
          </cell>
        </row>
        <row r="2076">
          <cell r="F2076">
            <v>309178</v>
          </cell>
          <cell r="G2076" t="str">
            <v>Nestor Enmanuel Retana Castellanos</v>
          </cell>
        </row>
        <row r="2077">
          <cell r="F2077">
            <v>313878</v>
          </cell>
          <cell r="G2077" t="str">
            <v>Nestor Orlando Aguilar Santos</v>
          </cell>
        </row>
        <row r="2078">
          <cell r="F2078">
            <v>90038979</v>
          </cell>
          <cell r="G2078" t="str">
            <v>Nestor Rene Sagastume Rodas</v>
          </cell>
        </row>
        <row r="2079">
          <cell r="F2079">
            <v>90032910</v>
          </cell>
          <cell r="G2079" t="str">
            <v>Nicea Castañon     </v>
          </cell>
        </row>
        <row r="2080">
          <cell r="F2080">
            <v>305532</v>
          </cell>
          <cell r="G2080" t="str">
            <v>Nicolas Ajiquichi Ibate</v>
          </cell>
        </row>
        <row r="2081">
          <cell r="F2081">
            <v>90039021</v>
          </cell>
          <cell r="G2081" t="str">
            <v>Nicolas Chuc Garcia</v>
          </cell>
        </row>
        <row r="2082">
          <cell r="F2082">
            <v>312763</v>
          </cell>
          <cell r="G2082" t="str">
            <v>Nicolas Walter Toma Zacarias</v>
          </cell>
        </row>
        <row r="2083">
          <cell r="F2083">
            <v>315413</v>
          </cell>
          <cell r="G2083" t="str">
            <v>Nicomedes Israel Echeverria Pacheco</v>
          </cell>
        </row>
        <row r="2084">
          <cell r="F2084">
            <v>310907</v>
          </cell>
          <cell r="G2084" t="str">
            <v>Nidia Dalila Bantes Segura De Manchame</v>
          </cell>
        </row>
        <row r="2085">
          <cell r="F2085">
            <v>314818</v>
          </cell>
          <cell r="G2085" t="str">
            <v>Nidia Lucy Herrera Lopez</v>
          </cell>
        </row>
        <row r="2086">
          <cell r="F2086">
            <v>301486</v>
          </cell>
          <cell r="G2086" t="str">
            <v>Nidia Maribel Carpio Roca</v>
          </cell>
        </row>
        <row r="2087">
          <cell r="F2087">
            <v>90009244</v>
          </cell>
          <cell r="G2087" t="str">
            <v>Nilda Betsaida De Leon Diaz</v>
          </cell>
        </row>
        <row r="2088">
          <cell r="F2088">
            <v>306850</v>
          </cell>
          <cell r="G2088" t="str">
            <v>Nilda Julieta Boror Xuya</v>
          </cell>
        </row>
        <row r="2089">
          <cell r="F2089">
            <v>315905</v>
          </cell>
          <cell r="G2089" t="str">
            <v>Ninci Yessenia Perez Quiñonez</v>
          </cell>
        </row>
        <row r="2090">
          <cell r="F2090">
            <v>311624</v>
          </cell>
          <cell r="G2090" t="str">
            <v>Noe Amos Marroquin Sicajol</v>
          </cell>
        </row>
        <row r="2091">
          <cell r="F2091">
            <v>315319</v>
          </cell>
          <cell r="G2091" t="str">
            <v xml:space="preserve">Noe Rubell Garcia Cerna </v>
          </cell>
        </row>
        <row r="2092">
          <cell r="F2092">
            <v>309912</v>
          </cell>
          <cell r="G2092" t="str">
            <v>Noelia Azucena Garcia Mazariegos</v>
          </cell>
        </row>
        <row r="2093">
          <cell r="F2093">
            <v>90046374</v>
          </cell>
          <cell r="G2093" t="str">
            <v>Noelia Margarita Ramos Hernandez</v>
          </cell>
        </row>
        <row r="2094">
          <cell r="F2094">
            <v>102045</v>
          </cell>
          <cell r="G2094" t="str">
            <v>Noemi Ruth Hernandez Urrutia</v>
          </cell>
        </row>
        <row r="2095">
          <cell r="F2095">
            <v>310375</v>
          </cell>
          <cell r="G2095" t="str">
            <v>Nora Lisseth Lam Sanchez</v>
          </cell>
        </row>
        <row r="2096">
          <cell r="F2096">
            <v>313429</v>
          </cell>
          <cell r="G2096" t="str">
            <v>Norman Alessandro Madrid Garcia</v>
          </cell>
        </row>
        <row r="2097">
          <cell r="F2097">
            <v>303394</v>
          </cell>
          <cell r="G2097" t="str">
            <v>Norman Genaro Melgar Garcia</v>
          </cell>
        </row>
        <row r="2098">
          <cell r="F2098">
            <v>314791</v>
          </cell>
          <cell r="G2098" t="str">
            <v>Norman Scott Castillo Rivera</v>
          </cell>
        </row>
        <row r="2099">
          <cell r="F2099">
            <v>90013720</v>
          </cell>
          <cell r="G2099" t="str">
            <v>Obed Daniel Ramirez Fuentes</v>
          </cell>
        </row>
        <row r="2100">
          <cell r="F2100">
            <v>309744</v>
          </cell>
          <cell r="G2100" t="str">
            <v>Odalis Ruby Garcia Siquina</v>
          </cell>
        </row>
        <row r="2101">
          <cell r="F2101">
            <v>90048443</v>
          </cell>
          <cell r="G2101" t="str">
            <v>Odalys Elizabeth Requena Meoño</v>
          </cell>
        </row>
        <row r="2102">
          <cell r="F2102">
            <v>315554</v>
          </cell>
          <cell r="G2102" t="str">
            <v>Odalys Faviola Reyes Rivera</v>
          </cell>
        </row>
        <row r="2103">
          <cell r="F2103">
            <v>90023811</v>
          </cell>
          <cell r="G2103" t="str">
            <v xml:space="preserve">Odeira Odet Juarez Morales                    </v>
          </cell>
        </row>
        <row r="2104">
          <cell r="F2104">
            <v>315037</v>
          </cell>
          <cell r="G2104" t="str">
            <v>Odiel Armando Guerra Aguirre</v>
          </cell>
        </row>
        <row r="2105">
          <cell r="F2105">
            <v>307511</v>
          </cell>
          <cell r="G2105" t="str">
            <v>Odra Arcadia Barduel Sarat</v>
          </cell>
        </row>
        <row r="2106">
          <cell r="F2106">
            <v>90027919</v>
          </cell>
          <cell r="G2106" t="str">
            <v>Ofny Joselito Fuentes Ramirez</v>
          </cell>
        </row>
        <row r="2107">
          <cell r="F2107">
            <v>310763</v>
          </cell>
          <cell r="G2107" t="str">
            <v>Olga Gabriela Lopez Tzic</v>
          </cell>
        </row>
        <row r="2108">
          <cell r="F2108">
            <v>309989</v>
          </cell>
          <cell r="G2108" t="str">
            <v>Olga Maricela Guarcas Tol</v>
          </cell>
        </row>
        <row r="2109">
          <cell r="F2109">
            <v>314370</v>
          </cell>
          <cell r="G2109" t="str">
            <v>Olga Roxana Gomez</v>
          </cell>
        </row>
        <row r="2110">
          <cell r="F2110">
            <v>315281</v>
          </cell>
          <cell r="G2110" t="str">
            <v>Olinda Juarez Figueno</v>
          </cell>
        </row>
        <row r="2111">
          <cell r="F2111">
            <v>90012222</v>
          </cell>
          <cell r="G2111" t="str">
            <v>Oliver Samuel Donis Taracena</v>
          </cell>
        </row>
        <row r="2112">
          <cell r="F2112">
            <v>312972</v>
          </cell>
          <cell r="G2112" t="str">
            <v>Omar Anibal Barreda Valenzuela</v>
          </cell>
        </row>
        <row r="2113">
          <cell r="F2113">
            <v>302263</v>
          </cell>
          <cell r="G2113" t="str">
            <v>Oneida Del Carmen Corzo Morales</v>
          </cell>
        </row>
        <row r="2114">
          <cell r="F2114">
            <v>90024122</v>
          </cell>
          <cell r="G2114" t="str">
            <v>Oneida Marisela Reyes Cuc</v>
          </cell>
        </row>
        <row r="2115">
          <cell r="F2115">
            <v>313289</v>
          </cell>
          <cell r="G2115" t="str">
            <v>Orellana Alvarez, Nestor Giovanni</v>
          </cell>
        </row>
        <row r="2116">
          <cell r="F2116">
            <v>315564</v>
          </cell>
          <cell r="G2116" t="str">
            <v>Orozco Mulul, Esvin Rolando</v>
          </cell>
        </row>
        <row r="2117">
          <cell r="F2117">
            <v>311341</v>
          </cell>
          <cell r="G2117" t="str">
            <v>Oscar Anibal Leb Morales</v>
          </cell>
        </row>
        <row r="2118">
          <cell r="F2118">
            <v>308263</v>
          </cell>
          <cell r="G2118" t="str">
            <v>Oscar Eduardo Xoyon Gomez</v>
          </cell>
        </row>
        <row r="2119">
          <cell r="F2119">
            <v>314104</v>
          </cell>
          <cell r="G2119" t="str">
            <v>Oscar Emilio Gomez Orozco</v>
          </cell>
        </row>
        <row r="2120">
          <cell r="F2120">
            <v>314270</v>
          </cell>
          <cell r="G2120" t="str">
            <v>Oscar Enrique Garcia Gualip</v>
          </cell>
        </row>
        <row r="2121">
          <cell r="F2121">
            <v>315507</v>
          </cell>
          <cell r="G2121" t="str">
            <v>Oscar Estuardo Mancilla Najarro</v>
          </cell>
        </row>
        <row r="2122">
          <cell r="F2122">
            <v>314914</v>
          </cell>
          <cell r="G2122" t="str">
            <v>Oscar Geovany Patzan Patzan</v>
          </cell>
        </row>
        <row r="2123">
          <cell r="F2123">
            <v>90039840</v>
          </cell>
          <cell r="G2123" t="str">
            <v xml:space="preserve">Oscar Horacio Giron Gramajo </v>
          </cell>
        </row>
        <row r="2124">
          <cell r="F2124">
            <v>308805</v>
          </cell>
          <cell r="G2124" t="str">
            <v>Oscar Israel Thiel Hidalgo</v>
          </cell>
        </row>
        <row r="2125">
          <cell r="F2125">
            <v>314693</v>
          </cell>
          <cell r="G2125" t="str">
            <v>Oscar Javier Veliz Galvez</v>
          </cell>
        </row>
        <row r="2126">
          <cell r="F2126">
            <v>312476</v>
          </cell>
          <cell r="G2126" t="str">
            <v>Oscar Oswaldo Ramirez Tahuite</v>
          </cell>
        </row>
        <row r="2127">
          <cell r="F2127">
            <v>308137</v>
          </cell>
          <cell r="G2127" t="str">
            <v>Oscar Rene Zacarias Jordan</v>
          </cell>
        </row>
        <row r="2128">
          <cell r="F2128">
            <v>315115</v>
          </cell>
          <cell r="G2128" t="str">
            <v>Osman Amilcar Zarate Ixcoy</v>
          </cell>
        </row>
        <row r="2129">
          <cell r="F2129">
            <v>312448</v>
          </cell>
          <cell r="G2129" t="str">
            <v>Osman De Jesus Herincx Soto</v>
          </cell>
        </row>
        <row r="2130">
          <cell r="F2130">
            <v>90034561</v>
          </cell>
          <cell r="G2130" t="str">
            <v>Osmi Estuardo Cumes Seche</v>
          </cell>
        </row>
        <row r="2131">
          <cell r="F2131">
            <v>90034140</v>
          </cell>
          <cell r="G2131" t="str">
            <v>Osvin Ariel Ramirez Coy</v>
          </cell>
        </row>
        <row r="2132">
          <cell r="F2132">
            <v>310031</v>
          </cell>
          <cell r="G2132" t="str">
            <v>Osvin Daniel Gomez Gonzalez</v>
          </cell>
        </row>
        <row r="2133">
          <cell r="F2133">
            <v>307209</v>
          </cell>
          <cell r="G2133" t="str">
            <v>Oswaldo Marcelino Huix Gomez</v>
          </cell>
        </row>
        <row r="2134">
          <cell r="F2134">
            <v>309656</v>
          </cell>
          <cell r="G2134" t="str">
            <v>Otto Alejandro Barahona Lopez</v>
          </cell>
        </row>
        <row r="2135">
          <cell r="F2135">
            <v>309658</v>
          </cell>
          <cell r="G2135" t="str">
            <v xml:space="preserve">Otto Alejandro Barahona López </v>
          </cell>
        </row>
        <row r="2136">
          <cell r="F2136">
            <v>312335</v>
          </cell>
          <cell r="G2136" t="str">
            <v>Otto Leonel Zavala Rodas</v>
          </cell>
        </row>
        <row r="2137">
          <cell r="F2137">
            <v>314894</v>
          </cell>
          <cell r="G2137" t="str">
            <v>Ottoniel Amilcar Gomez Rodriguez</v>
          </cell>
        </row>
        <row r="2138">
          <cell r="F2138">
            <v>315122</v>
          </cell>
          <cell r="G2138" t="str">
            <v>Ottoniel De Jesus Castellanos Ordoñez</v>
          </cell>
        </row>
        <row r="2139">
          <cell r="F2139">
            <v>90023695</v>
          </cell>
          <cell r="G2139" t="str">
            <v>Pablo Andres Contreras Cantoral</v>
          </cell>
        </row>
        <row r="2140">
          <cell r="F2140">
            <v>90024507</v>
          </cell>
          <cell r="G2140" t="str">
            <v>Pablo Antonio Serrano Sanchez</v>
          </cell>
        </row>
        <row r="2141">
          <cell r="F2141">
            <v>313636</v>
          </cell>
          <cell r="G2141" t="str">
            <v>Pablo Cesar Oliva Lopez</v>
          </cell>
        </row>
        <row r="2142">
          <cell r="F2142">
            <v>316211</v>
          </cell>
          <cell r="G2142" t="str">
            <v>Pablo David Castillo</v>
          </cell>
        </row>
        <row r="2143">
          <cell r="F2143">
            <v>90039124</v>
          </cell>
          <cell r="G2143" t="str">
            <v>Pablo Javier Reinosa Fuentes</v>
          </cell>
        </row>
        <row r="2144">
          <cell r="F2144">
            <v>90019702</v>
          </cell>
          <cell r="G2144" t="str">
            <v>Pablo Jose Castillo Garcia</v>
          </cell>
        </row>
        <row r="2145">
          <cell r="F2145">
            <v>314010</v>
          </cell>
          <cell r="G2145" t="str">
            <v>Pablo Raul Calimayor</v>
          </cell>
        </row>
        <row r="2146">
          <cell r="F2146">
            <v>90035128</v>
          </cell>
          <cell r="G2146" t="str">
            <v>Paola Alejandra Monzon Paniagua</v>
          </cell>
        </row>
        <row r="2147">
          <cell r="F2147">
            <v>90034447</v>
          </cell>
          <cell r="G2147" t="str">
            <v xml:space="preserve">Paola Noeli Ax Cu </v>
          </cell>
        </row>
        <row r="2148">
          <cell r="F2148">
            <v>313530</v>
          </cell>
          <cell r="G2148" t="str">
            <v>Paola Veronica Cardenas Toscano</v>
          </cell>
        </row>
        <row r="2149">
          <cell r="F2149">
            <v>90033849</v>
          </cell>
          <cell r="G2149" t="str">
            <v>Paola Yanet Chet Martinez</v>
          </cell>
        </row>
        <row r="2150">
          <cell r="F2150">
            <v>311880</v>
          </cell>
          <cell r="G2150" t="str">
            <v>Patricia Alejandra Ramos Velasquez</v>
          </cell>
        </row>
        <row r="2151">
          <cell r="F2151">
            <v>307373</v>
          </cell>
          <cell r="G2151" t="str">
            <v>Patricia Esmeralda Garcia Chajon Quinto</v>
          </cell>
        </row>
        <row r="2152">
          <cell r="F2152">
            <v>90019035</v>
          </cell>
          <cell r="G2152" t="str">
            <v>Patricia Florinda Garcia Gutierrez</v>
          </cell>
        </row>
        <row r="2153">
          <cell r="F2153">
            <v>314884</v>
          </cell>
          <cell r="G2153" t="str">
            <v>Paula Eliza Santos Corado</v>
          </cell>
        </row>
        <row r="2154">
          <cell r="F2154">
            <v>90029069</v>
          </cell>
          <cell r="G2154" t="str">
            <v>Paula Gabriela De Leon Cipriano</v>
          </cell>
        </row>
        <row r="2155">
          <cell r="F2155">
            <v>90029440</v>
          </cell>
          <cell r="G2155" t="str">
            <v>Paulina Beatriz Tizol Cux</v>
          </cell>
        </row>
        <row r="2156">
          <cell r="F2156">
            <v>90041272</v>
          </cell>
          <cell r="G2156" t="str">
            <v>Paulo Alejandro Salguero Pacheco</v>
          </cell>
        </row>
        <row r="2157">
          <cell r="F2157">
            <v>90025666</v>
          </cell>
          <cell r="G2157" t="str">
            <v>Pauly Martina Toj  De Canel</v>
          </cell>
        </row>
        <row r="2158">
          <cell r="F2158">
            <v>309035</v>
          </cell>
          <cell r="G2158" t="str">
            <v>Pedro Alexander Sazo Machac</v>
          </cell>
        </row>
        <row r="2159">
          <cell r="F2159">
            <v>308158</v>
          </cell>
          <cell r="G2159" t="str">
            <v>Pedro David Ixcoy Chiquin</v>
          </cell>
        </row>
        <row r="2160">
          <cell r="F2160">
            <v>315587</v>
          </cell>
          <cell r="G2160" t="str">
            <v>Pedro Jose Castañeda Velasquez</v>
          </cell>
        </row>
        <row r="2161">
          <cell r="F2161">
            <v>314694</v>
          </cell>
          <cell r="G2161" t="str">
            <v>Pedro Karol Gomez Lopez</v>
          </cell>
        </row>
        <row r="2162">
          <cell r="F2162">
            <v>311221</v>
          </cell>
          <cell r="G2162" t="str">
            <v>Pedro Natanahel Caxaj Rodriguez</v>
          </cell>
        </row>
        <row r="2163">
          <cell r="F2163">
            <v>314951</v>
          </cell>
          <cell r="G2163" t="str">
            <v>Pedro Rene Ramirez Guzman</v>
          </cell>
        </row>
        <row r="2164">
          <cell r="F2164">
            <v>315535</v>
          </cell>
          <cell r="G2164" t="str">
            <v>Perez Tecun, Ernesto</v>
          </cell>
        </row>
        <row r="2165">
          <cell r="F2165">
            <v>90040540</v>
          </cell>
          <cell r="G2165" t="str">
            <v xml:space="preserve">Perla Azucena Estrada Velasquez </v>
          </cell>
        </row>
        <row r="2166">
          <cell r="F2166">
            <v>90018838</v>
          </cell>
          <cell r="G2166" t="str">
            <v xml:space="preserve">Perla Esperanza Ordoñez Zuleta </v>
          </cell>
        </row>
        <row r="2167">
          <cell r="F2167">
            <v>306911</v>
          </cell>
          <cell r="G2167" t="str">
            <v>Perla Michelle Giron Galdamez</v>
          </cell>
        </row>
        <row r="2168">
          <cell r="F2168">
            <v>303664</v>
          </cell>
          <cell r="G2168" t="str">
            <v>Priscila Merari Sosa Sanabria</v>
          </cell>
        </row>
        <row r="2169">
          <cell r="F2169">
            <v>314450</v>
          </cell>
          <cell r="G2169" t="str">
            <v>Rafael Anibal Sut Tucubal</v>
          </cell>
        </row>
        <row r="2170">
          <cell r="F2170">
            <v>315942</v>
          </cell>
          <cell r="G2170" t="str">
            <v>Rafael Chavez Mayorga</v>
          </cell>
        </row>
        <row r="2171">
          <cell r="F2171">
            <v>313835</v>
          </cell>
          <cell r="G2171" t="str">
            <v>Rainer Daniel Melgar Chajon</v>
          </cell>
        </row>
        <row r="2172">
          <cell r="F2172">
            <v>315402</v>
          </cell>
          <cell r="G2172" t="str">
            <v>Ramirez Mendez, Merly Sorayda</v>
          </cell>
        </row>
        <row r="2173">
          <cell r="F2173">
            <v>315816</v>
          </cell>
          <cell r="G2173" t="str">
            <v>Randall Arevalo Ruiz</v>
          </cell>
        </row>
        <row r="2174">
          <cell r="F2174">
            <v>90009264</v>
          </cell>
          <cell r="G2174" t="str">
            <v>Randy Alexis Tut Cunil</v>
          </cell>
        </row>
        <row r="2175">
          <cell r="F2175">
            <v>315367</v>
          </cell>
          <cell r="G2175" t="str">
            <v>Raul Adrian Priego Castellanos</v>
          </cell>
        </row>
        <row r="2176">
          <cell r="F2176">
            <v>311720</v>
          </cell>
          <cell r="G2176" t="str">
            <v>Raul Estuardo Roquel Suyuc</v>
          </cell>
        </row>
        <row r="2177">
          <cell r="F2177">
            <v>313341</v>
          </cell>
          <cell r="G2177" t="str">
            <v>Raul Geovanny Garcia Fuentes</v>
          </cell>
        </row>
        <row r="2178">
          <cell r="F2178">
            <v>309191</v>
          </cell>
          <cell r="G2178" t="str">
            <v>Raul Matias Matias</v>
          </cell>
        </row>
        <row r="2179">
          <cell r="F2179">
            <v>90016460</v>
          </cell>
          <cell r="G2179" t="str">
            <v xml:space="preserve">Regina Santay Coxaj </v>
          </cell>
        </row>
        <row r="2180">
          <cell r="F2180">
            <v>315825</v>
          </cell>
          <cell r="G2180" t="str">
            <v>Reina Elizabeth Chacon Vasquez</v>
          </cell>
        </row>
        <row r="2181">
          <cell r="F2181">
            <v>304628</v>
          </cell>
          <cell r="G2181" t="str">
            <v>Reina Isabel Lopez Ortega</v>
          </cell>
        </row>
        <row r="2182">
          <cell r="F2182">
            <v>315321</v>
          </cell>
          <cell r="G2182" t="str">
            <v>Reina Lorena Canán</v>
          </cell>
        </row>
        <row r="2183">
          <cell r="F2183">
            <v>315686</v>
          </cell>
          <cell r="G2183" t="str">
            <v>Reina Nohemi Pascual Cruz</v>
          </cell>
        </row>
        <row r="2184">
          <cell r="F2184">
            <v>312312</v>
          </cell>
          <cell r="G2184" t="str">
            <v>Remigio Alexander Gonzalez Suchite</v>
          </cell>
        </row>
        <row r="2185">
          <cell r="F2185">
            <v>315040</v>
          </cell>
          <cell r="G2185" t="str">
            <v>Renny Camilo Ixcopal Ramirez</v>
          </cell>
        </row>
        <row r="2186">
          <cell r="F2186">
            <v>316184</v>
          </cell>
          <cell r="G2186" t="str">
            <v>Reymon Steve Ortiz Chavez</v>
          </cell>
        </row>
        <row r="2187">
          <cell r="F2187">
            <v>306619</v>
          </cell>
          <cell r="G2187" t="str">
            <v>Reyna Angelica Ba Vega</v>
          </cell>
        </row>
        <row r="2188">
          <cell r="F2188">
            <v>314502</v>
          </cell>
          <cell r="G2188" t="str">
            <v>Reyna Elizabeth Panadero</v>
          </cell>
        </row>
        <row r="2189">
          <cell r="F2189">
            <v>315347</v>
          </cell>
          <cell r="G2189" t="str">
            <v>Reyna Floridalma Donis Marroquin</v>
          </cell>
        </row>
        <row r="2190">
          <cell r="F2190">
            <v>314960</v>
          </cell>
          <cell r="G2190" t="str">
            <v>Reyna Sebastiana Reyes Zurdo</v>
          </cell>
        </row>
        <row r="2191">
          <cell r="F2191">
            <v>315170</v>
          </cell>
          <cell r="G2191" t="str">
            <v>Ricardo Alexander Morales Moran</v>
          </cell>
        </row>
        <row r="2192">
          <cell r="F2192">
            <v>315179</v>
          </cell>
          <cell r="G2192" t="str">
            <v>Ricardo Alfonso Chan Lopez</v>
          </cell>
        </row>
        <row r="2193">
          <cell r="F2193">
            <v>314796</v>
          </cell>
          <cell r="G2193" t="str">
            <v>Ricardo Antonio Ruiz Orozco</v>
          </cell>
        </row>
        <row r="2194">
          <cell r="F2194">
            <v>311846</v>
          </cell>
          <cell r="G2194" t="str">
            <v>Ricardo Antonio Vasquez Meza</v>
          </cell>
        </row>
        <row r="2195">
          <cell r="F2195">
            <v>314666</v>
          </cell>
          <cell r="G2195" t="str">
            <v>Ricardo Esau Hernandez Baten</v>
          </cell>
        </row>
        <row r="2196">
          <cell r="F2196">
            <v>310610</v>
          </cell>
          <cell r="G2196" t="str">
            <v>Ricky Edson Lux Cassia</v>
          </cell>
        </row>
        <row r="2197">
          <cell r="F2197">
            <v>314902</v>
          </cell>
          <cell r="G2197" t="str">
            <v>Roberto Alejandro Alvarez Abularach</v>
          </cell>
        </row>
        <row r="2198">
          <cell r="F2198">
            <v>314813</v>
          </cell>
          <cell r="G2198" t="str">
            <v>Roberto Ardon Ramos</v>
          </cell>
        </row>
        <row r="2199">
          <cell r="F2199">
            <v>312901</v>
          </cell>
          <cell r="G2199" t="str">
            <v>Roberto Augusto Silva Hernandez</v>
          </cell>
        </row>
        <row r="2200">
          <cell r="F2200">
            <v>308852</v>
          </cell>
          <cell r="G2200" t="str">
            <v>Roberto Caal Sente</v>
          </cell>
        </row>
        <row r="2201">
          <cell r="F2201">
            <v>313913</v>
          </cell>
          <cell r="G2201" t="str">
            <v>Roberto Giammattei Trigueros</v>
          </cell>
        </row>
        <row r="2202">
          <cell r="F2202">
            <v>315709</v>
          </cell>
          <cell r="G2202" t="str">
            <v>Robin Daniel Nimacachi Teret</v>
          </cell>
        </row>
        <row r="2203">
          <cell r="F2203">
            <v>306098</v>
          </cell>
          <cell r="G2203" t="str">
            <v>Roderico Simeon Lopez Lopez</v>
          </cell>
        </row>
        <row r="2204">
          <cell r="F2204">
            <v>90015498</v>
          </cell>
          <cell r="G2204" t="str">
            <v>Rodolfo Antonio Chiquin Reyes</v>
          </cell>
        </row>
        <row r="2205">
          <cell r="F2205">
            <v>316371</v>
          </cell>
          <cell r="G2205" t="str">
            <v>Rodrigo Alejandro Manzo Juarez</v>
          </cell>
        </row>
        <row r="2206">
          <cell r="F2206">
            <v>90028245</v>
          </cell>
          <cell r="G2206" t="str">
            <v>Rodrigo Antonio Pena Gordillo</v>
          </cell>
        </row>
        <row r="2207">
          <cell r="F2207">
            <v>314134</v>
          </cell>
          <cell r="G2207" t="str">
            <v>Rogelia Emperatriz Ortiz Alcantara</v>
          </cell>
        </row>
        <row r="2208">
          <cell r="F2208">
            <v>316057</v>
          </cell>
          <cell r="G2208" t="str">
            <v>Rogelio Armando Aceituno Herrera</v>
          </cell>
        </row>
        <row r="2209">
          <cell r="F2209">
            <v>313517</v>
          </cell>
          <cell r="G2209" t="str">
            <v>Rogelio Turcio</v>
          </cell>
        </row>
        <row r="2210">
          <cell r="F2210">
            <v>314945</v>
          </cell>
          <cell r="G2210" t="str">
            <v>Rolando Esau Solis Santos</v>
          </cell>
        </row>
        <row r="2211">
          <cell r="F2211">
            <v>90040240</v>
          </cell>
          <cell r="G2211" t="str">
            <v>Rolando Evaristo Cu Moran</v>
          </cell>
        </row>
        <row r="2212">
          <cell r="F2212">
            <v>313403</v>
          </cell>
          <cell r="G2212" t="str">
            <v>Rolman Eliseo Bautista Mazariegos</v>
          </cell>
        </row>
        <row r="2213">
          <cell r="F2213">
            <v>314776</v>
          </cell>
          <cell r="G2213" t="str">
            <v>Romario Humberto Perez Us</v>
          </cell>
        </row>
        <row r="2214">
          <cell r="F2214">
            <v>90048486</v>
          </cell>
          <cell r="G2214" t="str">
            <v xml:space="preserve">Ronald Andres Sirin Sic </v>
          </cell>
        </row>
        <row r="2215">
          <cell r="F2215">
            <v>315539</v>
          </cell>
          <cell r="G2215" t="str">
            <v>Ronald Arturo Sanchez Mijangos</v>
          </cell>
        </row>
        <row r="2216">
          <cell r="F2216">
            <v>314096</v>
          </cell>
          <cell r="G2216" t="str">
            <v>Ronald Erickson Hernandez Bamac</v>
          </cell>
        </row>
        <row r="2217">
          <cell r="F2217">
            <v>307943</v>
          </cell>
          <cell r="G2217" t="str">
            <v>Ronald Guillermo Garcia</v>
          </cell>
        </row>
        <row r="2218">
          <cell r="F2218">
            <v>90014454</v>
          </cell>
          <cell r="G2218" t="str">
            <v>Ronald Heraldo Perez Niz</v>
          </cell>
        </row>
        <row r="2219">
          <cell r="F2219">
            <v>315118</v>
          </cell>
          <cell r="G2219" t="str">
            <v>Ronald Ottoniel Ramos Argueta</v>
          </cell>
        </row>
        <row r="2220">
          <cell r="F2220">
            <v>315165</v>
          </cell>
          <cell r="G2220" t="str">
            <v>Ronie Ernesto Gonzalez Alvarado</v>
          </cell>
        </row>
        <row r="2221">
          <cell r="F2221">
            <v>312877</v>
          </cell>
          <cell r="G2221" t="str">
            <v>Rony David Ruano Vasquez</v>
          </cell>
        </row>
        <row r="2222">
          <cell r="F2222">
            <v>310267</v>
          </cell>
          <cell r="G2222" t="str">
            <v>Rony Josue Giron Roca</v>
          </cell>
        </row>
        <row r="2223">
          <cell r="F2223">
            <v>314930</v>
          </cell>
          <cell r="G2223" t="str">
            <v>Rony Oswaldo Gonzalez Lemus</v>
          </cell>
        </row>
        <row r="2224">
          <cell r="F2224">
            <v>316176</v>
          </cell>
          <cell r="G2224" t="str">
            <v>Rosa Angelica Zurdo Gonzalez</v>
          </cell>
        </row>
        <row r="2225">
          <cell r="F2225">
            <v>90038946</v>
          </cell>
          <cell r="G2225" t="str">
            <v>Rosa Emilsi Teo Salazar</v>
          </cell>
        </row>
        <row r="2226">
          <cell r="F2226">
            <v>315305</v>
          </cell>
          <cell r="G2226" t="str">
            <v>Rosa Isabel Garcia Menchu De Itzep</v>
          </cell>
        </row>
        <row r="2227">
          <cell r="F2227">
            <v>305255</v>
          </cell>
          <cell r="G2227" t="str">
            <v>Rosa Maria Raxtun Estrada Perez</v>
          </cell>
        </row>
        <row r="2228">
          <cell r="F2228">
            <v>313771</v>
          </cell>
          <cell r="G2228" t="str">
            <v>Rosa Maribel Par Gutierrez De Parada</v>
          </cell>
        </row>
        <row r="2229">
          <cell r="F2229">
            <v>315353</v>
          </cell>
          <cell r="G2229" t="str">
            <v>Rosa Mariela Muñoz Samayoa</v>
          </cell>
        </row>
        <row r="2230">
          <cell r="F2230">
            <v>301835</v>
          </cell>
          <cell r="G2230" t="str">
            <v>Rosa Melia Isales Reyes</v>
          </cell>
        </row>
        <row r="2231">
          <cell r="F2231">
            <v>315389</v>
          </cell>
          <cell r="G2231" t="str">
            <v>Rosa Yadira Salguero Ceballos</v>
          </cell>
        </row>
        <row r="2232">
          <cell r="F2232">
            <v>312729</v>
          </cell>
          <cell r="G2232" t="str">
            <v>Rosalbina Magdali Alvarado Ramirez</v>
          </cell>
        </row>
        <row r="2233">
          <cell r="F2233">
            <v>90020505</v>
          </cell>
          <cell r="G2233" t="str">
            <v>Rosalinda Gonzalez Lopez</v>
          </cell>
        </row>
        <row r="2234">
          <cell r="F2234">
            <v>300594</v>
          </cell>
          <cell r="G2234" t="str">
            <v>Rosaura Grisleny Perez Rios</v>
          </cell>
        </row>
        <row r="2235">
          <cell r="F2235">
            <v>307702</v>
          </cell>
          <cell r="G2235" t="str">
            <v>Rosmeri Elizabeth Alvarez Lopez De Corado</v>
          </cell>
        </row>
        <row r="2236">
          <cell r="F2236">
            <v>303901</v>
          </cell>
          <cell r="G2236" t="str">
            <v>Rosmery Ana Lee Cojom Rodriguez</v>
          </cell>
        </row>
        <row r="2237">
          <cell r="F2237">
            <v>312040</v>
          </cell>
          <cell r="G2237" t="str">
            <v>Rosmery Figueroa Ramirez</v>
          </cell>
        </row>
        <row r="2238">
          <cell r="F2238">
            <v>313606</v>
          </cell>
          <cell r="G2238" t="str">
            <v>Rossana Alejandra Rodas Salguero</v>
          </cell>
        </row>
        <row r="2239">
          <cell r="F2239">
            <v>310534</v>
          </cell>
          <cell r="G2239" t="str">
            <v>Rossel Jose Hernandez Oliva</v>
          </cell>
        </row>
        <row r="2240">
          <cell r="F2240">
            <v>311353</v>
          </cell>
          <cell r="G2240" t="str">
            <v>Roxana Elida Virginia Medinilla Velasquez</v>
          </cell>
        </row>
        <row r="2241">
          <cell r="F2241">
            <v>316017</v>
          </cell>
          <cell r="G2241" t="str">
            <v>Roxana Elizabeth Lopez Gonzalez</v>
          </cell>
        </row>
        <row r="2242">
          <cell r="F2242">
            <v>315045</v>
          </cell>
          <cell r="G2242" t="str">
            <v>Roxana Leticia Avila Villatoro</v>
          </cell>
        </row>
        <row r="2243">
          <cell r="F2243">
            <v>90040768</v>
          </cell>
          <cell r="G2243" t="str">
            <v>Roxana Yanet Moreira Zacaris</v>
          </cell>
        </row>
        <row r="2244">
          <cell r="F2244">
            <v>315419</v>
          </cell>
          <cell r="G2244" t="str">
            <v>Rubeldi Ajaniel Roblero Gonzales</v>
          </cell>
        </row>
        <row r="2245">
          <cell r="F2245">
            <v>314308</v>
          </cell>
          <cell r="G2245" t="str">
            <v>Ruben Dario Peñate Aquino</v>
          </cell>
        </row>
        <row r="2246">
          <cell r="F2246">
            <v>90038408</v>
          </cell>
          <cell r="G2246" t="str">
            <v xml:space="preserve">Ruben Donis </v>
          </cell>
        </row>
        <row r="2247">
          <cell r="F2247">
            <v>311511</v>
          </cell>
          <cell r="G2247" t="str">
            <v>Ruby Alejandra Merida Rivas</v>
          </cell>
        </row>
        <row r="2248">
          <cell r="F2248">
            <v>315629</v>
          </cell>
          <cell r="G2248" t="str">
            <v>Rucuch Choguaj, Miguel</v>
          </cell>
        </row>
        <row r="2249">
          <cell r="F2249">
            <v>312888</v>
          </cell>
          <cell r="G2249" t="str">
            <v>Rudy Alexander Gramajo Reyes</v>
          </cell>
        </row>
        <row r="2250">
          <cell r="F2250">
            <v>314814</v>
          </cell>
          <cell r="G2250" t="str">
            <v>Rudy Fernando Lopez Ajcabal</v>
          </cell>
        </row>
        <row r="2251">
          <cell r="F2251">
            <v>316331</v>
          </cell>
          <cell r="G2251" t="str">
            <v>Rudy Hosea Catalan Perez</v>
          </cell>
        </row>
        <row r="2252">
          <cell r="F2252">
            <v>315607</v>
          </cell>
          <cell r="G2252" t="str">
            <v>Ruiz Castillo, Maria Antonia</v>
          </cell>
        </row>
        <row r="2253">
          <cell r="F2253">
            <v>314799</v>
          </cell>
          <cell r="G2253" t="str">
            <v>Rusbelindo  Miguel Lopez</v>
          </cell>
        </row>
        <row r="2254">
          <cell r="F2254">
            <v>315882</v>
          </cell>
          <cell r="G2254" t="str">
            <v>Ruth Anai Gomez Ramirez</v>
          </cell>
        </row>
        <row r="2255">
          <cell r="F2255">
            <v>311551</v>
          </cell>
          <cell r="G2255" t="str">
            <v>Ruth Betsabe Campos Vargas</v>
          </cell>
        </row>
        <row r="2256">
          <cell r="F2256">
            <v>315824</v>
          </cell>
          <cell r="G2256" t="str">
            <v>Ruth Esperanza Revolorio Valenzuela</v>
          </cell>
        </row>
        <row r="2257">
          <cell r="F2257">
            <v>312546</v>
          </cell>
          <cell r="G2257" t="str">
            <v>Ruth Hermelinda Cardona Blanco</v>
          </cell>
        </row>
        <row r="2258">
          <cell r="F2258">
            <v>315365</v>
          </cell>
          <cell r="G2258" t="str">
            <v>Ruth Liliana Reyes Rivas</v>
          </cell>
        </row>
        <row r="2259">
          <cell r="F2259">
            <v>313599</v>
          </cell>
          <cell r="G2259" t="str">
            <v>Ruth Noemi Solis Contreras</v>
          </cell>
        </row>
        <row r="2260">
          <cell r="F2260">
            <v>301658</v>
          </cell>
          <cell r="G2260" t="str">
            <v>Ruth Nohemi Contreras Hernandez</v>
          </cell>
        </row>
        <row r="2261">
          <cell r="F2261">
            <v>301786</v>
          </cell>
          <cell r="G2261" t="str">
            <v>Ruth Nohemi Perez Esteban</v>
          </cell>
        </row>
        <row r="2262">
          <cell r="F2262">
            <v>314606</v>
          </cell>
          <cell r="G2262" t="str">
            <v>Saida Yasmin Garcia Xot</v>
          </cell>
        </row>
        <row r="2263">
          <cell r="F2263">
            <v>90048449</v>
          </cell>
          <cell r="G2263" t="str">
            <v>Salma Dayanna Cabrera Ruiz</v>
          </cell>
        </row>
        <row r="2264">
          <cell r="F2264">
            <v>315008</v>
          </cell>
          <cell r="G2264" t="str">
            <v>Samuel Antonio Cabrera Coroy</v>
          </cell>
        </row>
        <row r="2265">
          <cell r="F2265">
            <v>312383</v>
          </cell>
          <cell r="G2265" t="str">
            <v>Samuel Everardo Garcia Lemus</v>
          </cell>
        </row>
        <row r="2266">
          <cell r="F2266">
            <v>313592</v>
          </cell>
          <cell r="G2266" t="str">
            <v>Samuel Nehemias Nuñez Michicoj</v>
          </cell>
        </row>
        <row r="2267">
          <cell r="F2267">
            <v>305099</v>
          </cell>
          <cell r="G2267" t="str">
            <v>Sandi Anavela Mejia Alvarado</v>
          </cell>
        </row>
        <row r="2268">
          <cell r="F2268">
            <v>90012228</v>
          </cell>
          <cell r="G2268" t="str">
            <v xml:space="preserve">Sandra Elizabeth Citalan Hernandez </v>
          </cell>
        </row>
        <row r="2269">
          <cell r="F2269">
            <v>312923</v>
          </cell>
          <cell r="G2269" t="str">
            <v>Sandra Esmeralda Martinez Baeza</v>
          </cell>
        </row>
        <row r="2270">
          <cell r="F2270">
            <v>314420</v>
          </cell>
          <cell r="G2270" t="str">
            <v>Sandra Jeaneth Ajcuc Garcia</v>
          </cell>
        </row>
        <row r="2271">
          <cell r="F2271">
            <v>301460</v>
          </cell>
          <cell r="G2271" t="str">
            <v>Sandra Judith Vasquez Fernandez</v>
          </cell>
        </row>
        <row r="2272">
          <cell r="F2272">
            <v>312012</v>
          </cell>
          <cell r="G2272" t="str">
            <v>Sandra Lucrecia Hernandez Aceituno</v>
          </cell>
        </row>
        <row r="2273">
          <cell r="F2273">
            <v>90021357</v>
          </cell>
          <cell r="G2273" t="str">
            <v>Sandra Maricela Judith Hernandez Aval</v>
          </cell>
        </row>
        <row r="2274">
          <cell r="F2274">
            <v>90025093</v>
          </cell>
          <cell r="G2274" t="str">
            <v xml:space="preserve">Sandra Mariela Godoy Lucas                      </v>
          </cell>
        </row>
        <row r="2275">
          <cell r="F2275">
            <v>90019588</v>
          </cell>
          <cell r="G2275" t="str">
            <v>Sandra Mariela Lopez Marroquin De Salazar</v>
          </cell>
        </row>
        <row r="2276">
          <cell r="F2276">
            <v>90034941</v>
          </cell>
          <cell r="G2276" t="str">
            <v xml:space="preserve">Sandra Marisol Castro Ortiz </v>
          </cell>
        </row>
        <row r="2277">
          <cell r="F2277">
            <v>313392</v>
          </cell>
          <cell r="G2277" t="str">
            <v>Sandra Marisol Ramirez Solis</v>
          </cell>
        </row>
        <row r="2278">
          <cell r="F2278">
            <v>200872</v>
          </cell>
          <cell r="G2278" t="str">
            <v>Sandra Maritza Mus Chaman</v>
          </cell>
        </row>
        <row r="2279">
          <cell r="F2279">
            <v>314820</v>
          </cell>
          <cell r="G2279" t="str">
            <v>Sandra Mishell Amarilis Gutierrez Palma</v>
          </cell>
        </row>
        <row r="2280">
          <cell r="F2280">
            <v>90027882</v>
          </cell>
          <cell r="G2280" t="str">
            <v>Sandra Patricia De Leon Alvarado</v>
          </cell>
        </row>
        <row r="2281">
          <cell r="F2281">
            <v>90040129</v>
          </cell>
          <cell r="G2281" t="str">
            <v xml:space="preserve">Sandra Patricia Ixtabalan Sanchez </v>
          </cell>
        </row>
        <row r="2282">
          <cell r="F2282">
            <v>90023863</v>
          </cell>
          <cell r="G2282" t="str">
            <v>Sandra Patricia Luna Rodriguez Miramontes</v>
          </cell>
        </row>
        <row r="2283">
          <cell r="F2283">
            <v>313875</v>
          </cell>
          <cell r="G2283" t="str">
            <v>Sandra Patricia Mejia Raguex</v>
          </cell>
        </row>
        <row r="2284">
          <cell r="F2284">
            <v>311092</v>
          </cell>
          <cell r="G2284" t="str">
            <v>Sandra Patricia Ochoa Sanchez</v>
          </cell>
        </row>
        <row r="2285">
          <cell r="F2285">
            <v>306416</v>
          </cell>
          <cell r="G2285" t="str">
            <v>Sandy Claribel Barrientos Caal</v>
          </cell>
        </row>
        <row r="2286">
          <cell r="F2286">
            <v>315024</v>
          </cell>
          <cell r="G2286" t="str">
            <v>Sandy Jasmyn Gonzalez Catun</v>
          </cell>
        </row>
        <row r="2287">
          <cell r="F2287">
            <v>315476</v>
          </cell>
          <cell r="G2287" t="str">
            <v>Sandy Lourdes Esmeralda Montenegro Lopez</v>
          </cell>
        </row>
        <row r="2288">
          <cell r="F2288">
            <v>312908</v>
          </cell>
          <cell r="G2288" t="str">
            <v>Sandy Maria Flores</v>
          </cell>
        </row>
        <row r="2289">
          <cell r="F2289">
            <v>313078</v>
          </cell>
          <cell r="G2289" t="str">
            <v>Sandy Maribel Herrera Mazariegos</v>
          </cell>
        </row>
        <row r="2290">
          <cell r="F2290">
            <v>301438</v>
          </cell>
          <cell r="G2290" t="str">
            <v>Sandy Mariela Batres Orozco</v>
          </cell>
        </row>
        <row r="2291">
          <cell r="F2291">
            <v>313622</v>
          </cell>
          <cell r="G2291" t="str">
            <v>Sandy Nohemy Sontay Agueda</v>
          </cell>
        </row>
        <row r="2292">
          <cell r="F2292">
            <v>316029</v>
          </cell>
          <cell r="G2292" t="str">
            <v>Sandy Paola Monroy Aifan</v>
          </cell>
        </row>
        <row r="2293">
          <cell r="F2293">
            <v>90034141</v>
          </cell>
          <cell r="G2293" t="str">
            <v xml:space="preserve">Sandy Rubi Rodriguez Guil </v>
          </cell>
        </row>
        <row r="2294">
          <cell r="F2294">
            <v>315408</v>
          </cell>
          <cell r="G2294" t="str">
            <v>Sandy Suset Morales Barrientos</v>
          </cell>
        </row>
        <row r="2295">
          <cell r="F2295">
            <v>307105</v>
          </cell>
          <cell r="G2295" t="str">
            <v>Santiago Isaias Barreno Rosales</v>
          </cell>
        </row>
        <row r="2296">
          <cell r="F2296">
            <v>315254</v>
          </cell>
          <cell r="G2296" t="str">
            <v>Santos Ismael Najera Culajay</v>
          </cell>
        </row>
        <row r="2297">
          <cell r="F2297">
            <v>316268</v>
          </cell>
          <cell r="G2297" t="str">
            <v xml:space="preserve">Santos Joel Perez Oxlaj </v>
          </cell>
        </row>
        <row r="2298">
          <cell r="F2298">
            <v>313402</v>
          </cell>
          <cell r="G2298" t="str">
            <v>Santos Valentin Coroy Ruyan</v>
          </cell>
        </row>
        <row r="2299">
          <cell r="F2299">
            <v>90039566</v>
          </cell>
          <cell r="G2299" t="str">
            <v xml:space="preserve">Sara Aracely Velasquez Chavez </v>
          </cell>
        </row>
        <row r="2300">
          <cell r="F2300">
            <v>312501</v>
          </cell>
          <cell r="G2300" t="str">
            <v>Sara Elizabeth Guzman Linares</v>
          </cell>
        </row>
        <row r="2301">
          <cell r="F2301">
            <v>313492</v>
          </cell>
          <cell r="G2301" t="str">
            <v>Sarvia Bitia Orellana Ortiz</v>
          </cell>
        </row>
        <row r="2302">
          <cell r="F2302">
            <v>313043</v>
          </cell>
          <cell r="G2302" t="str">
            <v>Saul Alexander Sicay Ramirez</v>
          </cell>
        </row>
        <row r="2303">
          <cell r="F2303">
            <v>314950</v>
          </cell>
          <cell r="G2303" t="str">
            <v>Saul Rodrigo Monterroso Belteton</v>
          </cell>
        </row>
        <row r="2304">
          <cell r="F2304">
            <v>315621</v>
          </cell>
          <cell r="G2304" t="str">
            <v>Sayda Rocio Juarez Sanjay</v>
          </cell>
        </row>
        <row r="2305">
          <cell r="F2305">
            <v>309816</v>
          </cell>
          <cell r="G2305" t="str">
            <v>Sayra Elizabeth Reyes Zuñiga</v>
          </cell>
        </row>
        <row r="2306">
          <cell r="F2306">
            <v>314690</v>
          </cell>
          <cell r="G2306" t="str">
            <v>Scarlet Iveth Rosales Rivera</v>
          </cell>
        </row>
        <row r="2307">
          <cell r="F2307">
            <v>314956</v>
          </cell>
          <cell r="G2307" t="str">
            <v>Sebastian Geovanny Calel Ixtuc</v>
          </cell>
        </row>
        <row r="2308">
          <cell r="F2308">
            <v>313284</v>
          </cell>
          <cell r="G2308" t="str">
            <v>Sebastian Quino Morales</v>
          </cell>
        </row>
        <row r="2309">
          <cell r="F2309">
            <v>314855</v>
          </cell>
          <cell r="G2309" t="str">
            <v>Selvin Adan Garcia Portillo</v>
          </cell>
        </row>
        <row r="2310">
          <cell r="F2310">
            <v>312294</v>
          </cell>
          <cell r="G2310" t="str">
            <v>Selvin Geronimo Aguilar</v>
          </cell>
        </row>
        <row r="2311">
          <cell r="F2311">
            <v>302278</v>
          </cell>
          <cell r="G2311" t="str">
            <v>Selvin Manolo Montepeque Merida</v>
          </cell>
        </row>
        <row r="2312">
          <cell r="F2312">
            <v>314266</v>
          </cell>
          <cell r="G2312" t="str">
            <v>Selvin Rodolfo De La Cruz Contreras</v>
          </cell>
        </row>
        <row r="2313">
          <cell r="F2313">
            <v>301308</v>
          </cell>
          <cell r="G2313" t="str">
            <v>Selvyn Ivan Sierra Ramirez</v>
          </cell>
        </row>
        <row r="2314">
          <cell r="F2314">
            <v>90047663</v>
          </cell>
          <cell r="G2314" t="str">
            <v>Sender Margarito Rivera Hernandez</v>
          </cell>
        </row>
        <row r="2315">
          <cell r="F2315">
            <v>90009271</v>
          </cell>
          <cell r="G2315" t="str">
            <v>Sender Vinicio Yanez Garcia</v>
          </cell>
        </row>
        <row r="2316">
          <cell r="F2316">
            <v>312346</v>
          </cell>
          <cell r="G2316" t="str">
            <v>Sendy Vanessa Villagran Garcia</v>
          </cell>
        </row>
        <row r="2317">
          <cell r="F2317">
            <v>314559</v>
          </cell>
          <cell r="G2317" t="str">
            <v>Sergio Alejandro Aguilar Perez</v>
          </cell>
        </row>
        <row r="2318">
          <cell r="F2318">
            <v>314758</v>
          </cell>
          <cell r="G2318" t="str">
            <v>Sergio Alejandro Estrada Velasco</v>
          </cell>
        </row>
        <row r="2319">
          <cell r="F2319">
            <v>314923</v>
          </cell>
          <cell r="G2319" t="str">
            <v>Sergio Alexander Urizar Godínez</v>
          </cell>
        </row>
        <row r="2320">
          <cell r="F2320">
            <v>90040254</v>
          </cell>
          <cell r="G2320" t="str">
            <v>Sergio Daniel Núñez Palacios</v>
          </cell>
        </row>
        <row r="2321">
          <cell r="F2321">
            <v>316080</v>
          </cell>
          <cell r="G2321" t="str">
            <v>Sergio David Espana Velasquez</v>
          </cell>
        </row>
        <row r="2322">
          <cell r="F2322">
            <v>314755</v>
          </cell>
          <cell r="G2322" t="str">
            <v>Sergio David Gonzalez Perez</v>
          </cell>
        </row>
        <row r="2323">
          <cell r="F2323">
            <v>90028146</v>
          </cell>
          <cell r="G2323" t="str">
            <v>Sergio Eduardo Lorenzana Cute</v>
          </cell>
        </row>
        <row r="2324">
          <cell r="F2324">
            <v>101896</v>
          </cell>
          <cell r="G2324" t="str">
            <v>Sergio Estuardo Mejia Lopez</v>
          </cell>
        </row>
        <row r="2325">
          <cell r="F2325">
            <v>314967</v>
          </cell>
          <cell r="G2325" t="str">
            <v>Sergio Javier Cortez Tunchez</v>
          </cell>
        </row>
        <row r="2326">
          <cell r="F2326">
            <v>315294</v>
          </cell>
          <cell r="G2326" t="str">
            <v>Sergio Obdulio Chali Chocojay</v>
          </cell>
        </row>
        <row r="2327">
          <cell r="F2327">
            <v>314648</v>
          </cell>
          <cell r="G2327" t="str">
            <v>Sergio Vinicio Natareno Paredes</v>
          </cell>
        </row>
        <row r="2328">
          <cell r="F2328">
            <v>90039432</v>
          </cell>
          <cell r="G2328" t="str">
            <v>Sergio Waldemar Pana Chub</v>
          </cell>
        </row>
        <row r="2329">
          <cell r="F2329">
            <v>315742</v>
          </cell>
          <cell r="G2329" t="str">
            <v>Sharol Osleydy Patzan Yos</v>
          </cell>
        </row>
        <row r="2330">
          <cell r="F2330">
            <v>314968</v>
          </cell>
          <cell r="G2330" t="str">
            <v>Sharon Dayana Ninoshka López Márquez</v>
          </cell>
        </row>
        <row r="2331">
          <cell r="F2331">
            <v>314079</v>
          </cell>
          <cell r="G2331" t="str">
            <v>Sharon Klarivel Santis Najarro</v>
          </cell>
        </row>
        <row r="2332">
          <cell r="F2332">
            <v>90033065</v>
          </cell>
          <cell r="G2332" t="str">
            <v xml:space="preserve">Sharon Patricia Contreras Dominguez       </v>
          </cell>
        </row>
        <row r="2333">
          <cell r="F2333">
            <v>311147</v>
          </cell>
          <cell r="G2333" t="str">
            <v>Shaury Jazmeny Garcia Arias</v>
          </cell>
        </row>
        <row r="2334">
          <cell r="F2334">
            <v>301706</v>
          </cell>
          <cell r="G2334" t="str">
            <v>Sheila Faviola Perea Lopez</v>
          </cell>
        </row>
        <row r="2335">
          <cell r="F2335">
            <v>90040678</v>
          </cell>
          <cell r="G2335" t="str">
            <v xml:space="preserve">Sheila Janneth Cordón </v>
          </cell>
        </row>
        <row r="2336">
          <cell r="F2336">
            <v>310599</v>
          </cell>
          <cell r="G2336" t="str">
            <v>Sheila Nineth Mendez Lopez</v>
          </cell>
        </row>
        <row r="2337">
          <cell r="F2337">
            <v>315541</v>
          </cell>
          <cell r="G2337" t="str">
            <v>Sheily Nahomy Oliva Morales</v>
          </cell>
        </row>
        <row r="2338">
          <cell r="F2338">
            <v>304805</v>
          </cell>
          <cell r="G2338" t="str">
            <v>Sheily Raquel Angel Arreaga</v>
          </cell>
        </row>
        <row r="2339">
          <cell r="F2339">
            <v>90040709</v>
          </cell>
          <cell r="G2339" t="str">
            <v>Sherlyn Paola Santos Perez</v>
          </cell>
        </row>
        <row r="2340">
          <cell r="F2340">
            <v>312357</v>
          </cell>
          <cell r="G2340" t="str">
            <v>Shirley Andrea Lopez Lopez</v>
          </cell>
        </row>
        <row r="2341">
          <cell r="F2341">
            <v>90027845</v>
          </cell>
          <cell r="G2341" t="str">
            <v>Shirley Dayana Ramirez Gallardo</v>
          </cell>
        </row>
        <row r="2342">
          <cell r="F2342">
            <v>315315</v>
          </cell>
          <cell r="G2342" t="str">
            <v>Shirley Guadalupe Munguia Gil</v>
          </cell>
        </row>
        <row r="2343">
          <cell r="F2343">
            <v>311646</v>
          </cell>
          <cell r="G2343" t="str">
            <v>Shirley Leticia Lissette Lopez Guzman</v>
          </cell>
        </row>
        <row r="2344">
          <cell r="F2344">
            <v>313212</v>
          </cell>
          <cell r="G2344" t="str">
            <v>Shirley Mariana Lopez Natarengo</v>
          </cell>
        </row>
        <row r="2345">
          <cell r="F2345">
            <v>90028143</v>
          </cell>
          <cell r="G2345" t="str">
            <v xml:space="preserve">Sigrid Rosmery Reyes Garcia </v>
          </cell>
        </row>
        <row r="2346">
          <cell r="F2346">
            <v>90040329</v>
          </cell>
          <cell r="G2346" t="str">
            <v>Silvia Carolina Aguilar Rojas</v>
          </cell>
        </row>
        <row r="2347">
          <cell r="F2347">
            <v>312096</v>
          </cell>
          <cell r="G2347" t="str">
            <v>Silvia Edelmira Garcia Donis</v>
          </cell>
        </row>
        <row r="2348">
          <cell r="F2348">
            <v>301371</v>
          </cell>
          <cell r="G2348" t="str">
            <v>Silvia Gabriela Gonzalez Siliezar</v>
          </cell>
        </row>
        <row r="2349">
          <cell r="F2349">
            <v>313328</v>
          </cell>
          <cell r="G2349" t="str">
            <v>Silvia Leticia Morales Perez</v>
          </cell>
        </row>
        <row r="2350">
          <cell r="F2350">
            <v>90014276</v>
          </cell>
          <cell r="G2350" t="str">
            <v>Silvia Lorena Garcia Bautista</v>
          </cell>
        </row>
        <row r="2351">
          <cell r="F2351">
            <v>309948</v>
          </cell>
          <cell r="G2351" t="str">
            <v>Silvia Lucrecia Gonzalez Char De Mejia</v>
          </cell>
        </row>
        <row r="2352">
          <cell r="F2352">
            <v>305230</v>
          </cell>
          <cell r="G2352" t="str">
            <v>Silvia Marleni Rac Yoc</v>
          </cell>
        </row>
        <row r="2353">
          <cell r="F2353">
            <v>305427</v>
          </cell>
          <cell r="G2353" t="str">
            <v>Silvia Noemi Calderon</v>
          </cell>
        </row>
        <row r="2354">
          <cell r="F2354">
            <v>306034</v>
          </cell>
          <cell r="G2354" t="str">
            <v>Silvia Patricia Gonzalez Hernandez</v>
          </cell>
        </row>
        <row r="2355">
          <cell r="F2355">
            <v>90034373</v>
          </cell>
          <cell r="G2355" t="str">
            <v>Silvia Patricia Mendoza Gomez</v>
          </cell>
        </row>
        <row r="2356">
          <cell r="F2356">
            <v>310558</v>
          </cell>
          <cell r="G2356" t="str">
            <v>Silvia Patricia Peralta Alfaro</v>
          </cell>
        </row>
        <row r="2357">
          <cell r="F2357">
            <v>310105</v>
          </cell>
          <cell r="G2357" t="str">
            <v>Simeon Valentin Gomez Flores</v>
          </cell>
        </row>
        <row r="2358">
          <cell r="F2358">
            <v>315666</v>
          </cell>
          <cell r="G2358" t="str">
            <v>Sindy Amarilis Sanchez Monterroso</v>
          </cell>
        </row>
        <row r="2359">
          <cell r="F2359">
            <v>316111</v>
          </cell>
          <cell r="G2359" t="str">
            <v>Sindy Beatriz Morales Veliz</v>
          </cell>
        </row>
        <row r="2360">
          <cell r="F2360">
            <v>313981</v>
          </cell>
          <cell r="G2360" t="str">
            <v>Sindy Beatriz Perez Sanchez</v>
          </cell>
        </row>
        <row r="2361">
          <cell r="F2361">
            <v>314976</v>
          </cell>
          <cell r="G2361" t="str">
            <v>Sindy Carolina Ramirez Pur</v>
          </cell>
        </row>
        <row r="2362">
          <cell r="F2362">
            <v>309567</v>
          </cell>
          <cell r="G2362" t="str">
            <v>Sindy Elizabeth Chavez Guzman</v>
          </cell>
        </row>
        <row r="2363">
          <cell r="F2363">
            <v>90025188</v>
          </cell>
          <cell r="G2363" t="str">
            <v>Sindy Gabriela Rivas Ochoa</v>
          </cell>
        </row>
        <row r="2364">
          <cell r="F2364">
            <v>312881</v>
          </cell>
          <cell r="G2364" t="str">
            <v>Sindy Karina Ramirez Lopez</v>
          </cell>
        </row>
        <row r="2365">
          <cell r="F2365">
            <v>315997</v>
          </cell>
          <cell r="G2365" t="str">
            <v>Sindy Melissa Duarte Colindres</v>
          </cell>
        </row>
        <row r="2366">
          <cell r="F2366">
            <v>310066</v>
          </cell>
          <cell r="G2366" t="str">
            <v>Sindy Paola Vargas Calderon</v>
          </cell>
        </row>
        <row r="2367">
          <cell r="F2367">
            <v>90045668</v>
          </cell>
          <cell r="G2367" t="str">
            <v>Sindy Yessenia Chavaque Barrios</v>
          </cell>
        </row>
        <row r="2368">
          <cell r="F2368">
            <v>90033288</v>
          </cell>
          <cell r="G2368" t="str">
            <v>Sinthia Sarai Aceituno Guerrero</v>
          </cell>
        </row>
        <row r="2369">
          <cell r="F2369">
            <v>315466</v>
          </cell>
          <cell r="G2369" t="str">
            <v>Siomara Victoria Valle Sac</v>
          </cell>
        </row>
        <row r="2370">
          <cell r="F2370">
            <v>313593</v>
          </cell>
          <cell r="G2370" t="str">
            <v>Slayker Andony Santiago Natareno</v>
          </cell>
        </row>
        <row r="2371">
          <cell r="F2371">
            <v>315439</v>
          </cell>
          <cell r="G2371" t="str">
            <v>Smaylin Sarita Villatoro Angel</v>
          </cell>
        </row>
        <row r="2372">
          <cell r="F2372">
            <v>310731</v>
          </cell>
          <cell r="G2372" t="str">
            <v>Sofia Etelvina Lopez Perez De Gramajo</v>
          </cell>
        </row>
        <row r="2373">
          <cell r="F2373">
            <v>314735</v>
          </cell>
          <cell r="G2373" t="str">
            <v>Sofia Ines Bermudez Avila</v>
          </cell>
        </row>
        <row r="2374">
          <cell r="F2374">
            <v>90028496</v>
          </cell>
          <cell r="G2374" t="str">
            <v>Sorayda Betzai Chavez</v>
          </cell>
        </row>
        <row r="2375">
          <cell r="F2375">
            <v>90040904</v>
          </cell>
          <cell r="G2375" t="str">
            <v xml:space="preserve">Stacy Guadalupe Ramirez Mendoza </v>
          </cell>
        </row>
        <row r="2376">
          <cell r="F2376">
            <v>90039988</v>
          </cell>
          <cell r="G2376" t="str">
            <v>Stefanie Rocio Najera Marquez</v>
          </cell>
        </row>
        <row r="2377">
          <cell r="F2377">
            <v>315340</v>
          </cell>
          <cell r="G2377" t="str">
            <v>Stefanny Manuela Azaneth Garcia Garcia</v>
          </cell>
        </row>
        <row r="2378">
          <cell r="F2378">
            <v>90040608</v>
          </cell>
          <cell r="G2378" t="str">
            <v>Stefany Paola Solis Ruano</v>
          </cell>
        </row>
        <row r="2379">
          <cell r="F2379">
            <v>90049246</v>
          </cell>
          <cell r="G2379" t="str">
            <v>Stefany Susana Jacobo Cruz</v>
          </cell>
        </row>
        <row r="2380">
          <cell r="F2380">
            <v>308054</v>
          </cell>
          <cell r="G2380" t="str">
            <v xml:space="preserve">Stephanie Abigail Villalta </v>
          </cell>
        </row>
        <row r="2381">
          <cell r="F2381">
            <v>313056</v>
          </cell>
          <cell r="G2381" t="str">
            <v>Suceli Isamar Orozco Fuentes</v>
          </cell>
        </row>
        <row r="2382">
          <cell r="F2382">
            <v>303382</v>
          </cell>
          <cell r="G2382" t="str">
            <v>Sucely Abigail Nerios Rodriguez</v>
          </cell>
        </row>
        <row r="2383">
          <cell r="F2383">
            <v>314787</v>
          </cell>
          <cell r="G2383" t="str">
            <v>Sucely Analy Arias Paredes</v>
          </cell>
        </row>
        <row r="2384">
          <cell r="F2384">
            <v>90046204</v>
          </cell>
          <cell r="G2384" t="str">
            <v>Sucely Maria Chavez Quej</v>
          </cell>
        </row>
        <row r="2385">
          <cell r="F2385">
            <v>310671</v>
          </cell>
          <cell r="G2385" t="str">
            <v>Sucely Paola Godinez Gomez De Perez</v>
          </cell>
        </row>
        <row r="2386">
          <cell r="F2386">
            <v>312575</v>
          </cell>
          <cell r="G2386" t="str">
            <v>Sugey Alejandrina Ramirez Zepeda</v>
          </cell>
        </row>
        <row r="2387">
          <cell r="F2387">
            <v>315386</v>
          </cell>
          <cell r="G2387" t="str">
            <v>Sulibeth Estela Ortega Mendez</v>
          </cell>
        </row>
        <row r="2388">
          <cell r="F2388">
            <v>314347</v>
          </cell>
          <cell r="G2388" t="str">
            <v>Suri Mireidy Perez Estrada</v>
          </cell>
        </row>
        <row r="2389">
          <cell r="F2389">
            <v>304128</v>
          </cell>
          <cell r="G2389" t="str">
            <v>Susan Andrea Estrada Pineda López</v>
          </cell>
        </row>
        <row r="2390">
          <cell r="F2390">
            <v>313630</v>
          </cell>
          <cell r="G2390" t="str">
            <v>Susan Andrea Perez Lima</v>
          </cell>
        </row>
        <row r="2391">
          <cell r="F2391">
            <v>313395</v>
          </cell>
          <cell r="G2391" t="str">
            <v>Susan Maria Jose Rodas Carranza</v>
          </cell>
        </row>
        <row r="2392">
          <cell r="F2392">
            <v>309883</v>
          </cell>
          <cell r="G2392" t="str">
            <v>Susana Alvarado Gonzalez</v>
          </cell>
        </row>
        <row r="2393">
          <cell r="F2393">
            <v>307664</v>
          </cell>
          <cell r="G2393" t="str">
            <v>Susana Jeanneth Lemus Pineda</v>
          </cell>
        </row>
        <row r="2394">
          <cell r="F2394">
            <v>90039690</v>
          </cell>
          <cell r="G2394" t="str">
            <v>Susana Marileth Juarez Galo</v>
          </cell>
        </row>
        <row r="2395">
          <cell r="F2395">
            <v>90039611</v>
          </cell>
          <cell r="G2395" t="str">
            <v>Susana Virginia Garnica Perez</v>
          </cell>
        </row>
        <row r="2396">
          <cell r="F2396">
            <v>90034211</v>
          </cell>
          <cell r="G2396" t="str">
            <v>Tamara Mishalka Sutherland Santos</v>
          </cell>
        </row>
        <row r="2397">
          <cell r="F2397">
            <v>315313</v>
          </cell>
          <cell r="G2397" t="str">
            <v>Tayme Gabriela Uzu Ramirez</v>
          </cell>
        </row>
        <row r="2398">
          <cell r="F2398">
            <v>314575</v>
          </cell>
          <cell r="G2398" t="str">
            <v>Telma Esperanza Santos Orantes</v>
          </cell>
        </row>
        <row r="2399">
          <cell r="F2399">
            <v>302658</v>
          </cell>
          <cell r="G2399" t="str">
            <v>Telma Sucely Solis Merida</v>
          </cell>
        </row>
        <row r="2400">
          <cell r="F2400">
            <v>315856</v>
          </cell>
          <cell r="G2400" t="str">
            <v>Teresa Carolina Primero Jalal</v>
          </cell>
        </row>
        <row r="2401">
          <cell r="F2401">
            <v>315461</v>
          </cell>
          <cell r="G2401" t="str">
            <v>Teylor Cuyuch</v>
          </cell>
        </row>
        <row r="2402">
          <cell r="F2402">
            <v>315834</v>
          </cell>
          <cell r="G2402" t="str">
            <v>Thania Lizeth Lechuga Manso</v>
          </cell>
        </row>
        <row r="2403">
          <cell r="F2403">
            <v>315048</v>
          </cell>
          <cell r="G2403" t="str">
            <v>Thania Lucia Romero Garcia</v>
          </cell>
        </row>
        <row r="2404">
          <cell r="F2404">
            <v>302332</v>
          </cell>
          <cell r="G2404" t="str">
            <v>Thelma Patricia Mena Melchor</v>
          </cell>
        </row>
        <row r="2405">
          <cell r="F2405">
            <v>314108</v>
          </cell>
          <cell r="G2405" t="str">
            <v>Thelma Yolanda De Candelaria Garcia Sanchez</v>
          </cell>
        </row>
        <row r="2406">
          <cell r="F2406">
            <v>315503</v>
          </cell>
          <cell r="G2406" t="str">
            <v>Tojin Chuc, Ingrid Benita</v>
          </cell>
        </row>
        <row r="2407">
          <cell r="F2407">
            <v>315049</v>
          </cell>
          <cell r="G2407" t="str">
            <v>Tomas Amador Manuel Martin</v>
          </cell>
        </row>
        <row r="2408">
          <cell r="F2408">
            <v>315373</v>
          </cell>
          <cell r="G2408" t="str">
            <v>Tomas Xiloj Mejia</v>
          </cell>
        </row>
        <row r="2409">
          <cell r="F2409">
            <v>311866</v>
          </cell>
          <cell r="G2409" t="str">
            <v>Treisy Lisbeth Orozco Orozco</v>
          </cell>
        </row>
        <row r="2410">
          <cell r="F2410">
            <v>310220</v>
          </cell>
          <cell r="G2410" t="str">
            <v>Urias Samuel Velasquez Ardeano</v>
          </cell>
        </row>
        <row r="2411">
          <cell r="F2411">
            <v>315769</v>
          </cell>
          <cell r="G2411" t="str">
            <v>Urias Venancio Lopez Coton</v>
          </cell>
        </row>
        <row r="2412">
          <cell r="F2412">
            <v>313446</v>
          </cell>
          <cell r="G2412" t="str">
            <v>Ursula Deyanira Molina Mendoza</v>
          </cell>
        </row>
        <row r="2413">
          <cell r="F2413">
            <v>90035174</v>
          </cell>
          <cell r="G2413" t="str">
            <v>Valeria Lucia Escobar Mazariegos</v>
          </cell>
        </row>
        <row r="2414">
          <cell r="F2414">
            <v>311322</v>
          </cell>
          <cell r="G2414" t="str">
            <v>Valerie Andrea Rivas Del Valle</v>
          </cell>
        </row>
        <row r="2415">
          <cell r="F2415">
            <v>305903</v>
          </cell>
          <cell r="G2415" t="str">
            <v>Valeska Paola Rivas Gomez</v>
          </cell>
        </row>
        <row r="2416">
          <cell r="F2416">
            <v>90038417</v>
          </cell>
          <cell r="G2416" t="str">
            <v>Vanessa Maria Lili Miguel Interiano</v>
          </cell>
        </row>
        <row r="2417">
          <cell r="F2417">
            <v>90039184</v>
          </cell>
          <cell r="G2417" t="str">
            <v>Vanessa Nineth De Leon Ramirez</v>
          </cell>
        </row>
        <row r="2418">
          <cell r="F2418">
            <v>314544</v>
          </cell>
          <cell r="G2418" t="str">
            <v>Velvet Sofia Estrada Ruiz</v>
          </cell>
        </row>
        <row r="2419">
          <cell r="F2419">
            <v>315602</v>
          </cell>
          <cell r="G2419" t="str">
            <v>Ventura Rivera, Rhode Esperanza</v>
          </cell>
        </row>
        <row r="2420">
          <cell r="F2420">
            <v>314405</v>
          </cell>
          <cell r="G2420" t="str">
            <v>Veronica Alejandra Barahona Santa Cruz</v>
          </cell>
        </row>
        <row r="2421">
          <cell r="F2421">
            <v>311048</v>
          </cell>
          <cell r="G2421" t="str">
            <v>Veronica Dalila Barrios Hernandez</v>
          </cell>
        </row>
        <row r="2422">
          <cell r="F2422">
            <v>311005</v>
          </cell>
          <cell r="G2422" t="str">
            <v>Veronica Sierra Xo</v>
          </cell>
        </row>
        <row r="2423">
          <cell r="F2423">
            <v>304024</v>
          </cell>
          <cell r="G2423" t="str">
            <v>Vicky Roxana Lopez Hernandez</v>
          </cell>
        </row>
        <row r="2424">
          <cell r="F2424">
            <v>308474</v>
          </cell>
          <cell r="G2424" t="str">
            <v>Victor Abraham Alvarado De La Cruz</v>
          </cell>
        </row>
        <row r="2425">
          <cell r="F2425">
            <v>300999</v>
          </cell>
          <cell r="G2425" t="str">
            <v>Victor Adolfo Barrios Monzon</v>
          </cell>
        </row>
        <row r="2426">
          <cell r="F2426">
            <v>302596</v>
          </cell>
          <cell r="G2426" t="str">
            <v>Victor Alfonso Ortega Torres</v>
          </cell>
        </row>
        <row r="2427">
          <cell r="F2427">
            <v>315884</v>
          </cell>
          <cell r="G2427" t="str">
            <v>Victor David Ixtabalan Batz</v>
          </cell>
        </row>
        <row r="2428">
          <cell r="F2428">
            <v>309689</v>
          </cell>
          <cell r="G2428" t="str">
            <v>Victor Demecio Leon Villeda</v>
          </cell>
        </row>
        <row r="2429">
          <cell r="F2429">
            <v>90046255</v>
          </cell>
          <cell r="G2429" t="str">
            <v>Victor Hugo Fuentes Ortiz</v>
          </cell>
        </row>
        <row r="2430">
          <cell r="F2430">
            <v>313649</v>
          </cell>
          <cell r="G2430" t="str">
            <v>Victor Hugo Turriz Flores</v>
          </cell>
        </row>
        <row r="2431">
          <cell r="F2431">
            <v>90038303</v>
          </cell>
          <cell r="G2431" t="str">
            <v xml:space="preserve">Victor Manuel Perez Salazar </v>
          </cell>
        </row>
        <row r="2432">
          <cell r="F2432">
            <v>311258</v>
          </cell>
          <cell r="G2432" t="str">
            <v>Victor Otoniel Sebastian Cardona</v>
          </cell>
        </row>
        <row r="2433">
          <cell r="F2433">
            <v>314367</v>
          </cell>
          <cell r="G2433" t="str">
            <v>Victoria Maria Llamas Perez</v>
          </cell>
        </row>
        <row r="2434">
          <cell r="F2434">
            <v>90039521</v>
          </cell>
          <cell r="G2434" t="str">
            <v>Vila Lucrecia Vanegas Morales</v>
          </cell>
        </row>
        <row r="2435">
          <cell r="F2435">
            <v>311202</v>
          </cell>
          <cell r="G2435" t="str">
            <v>Vilma Lizeth Caal Yantuche</v>
          </cell>
        </row>
        <row r="2436">
          <cell r="F2436">
            <v>315399</v>
          </cell>
          <cell r="G2436" t="str">
            <v>Vilma Rossibel Mendez Vasquez</v>
          </cell>
        </row>
        <row r="2437">
          <cell r="F2437">
            <v>312875</v>
          </cell>
          <cell r="G2437" t="str">
            <v>Virginia Nohemi Perez Ajtum</v>
          </cell>
        </row>
        <row r="2438">
          <cell r="F2438">
            <v>313671</v>
          </cell>
          <cell r="G2438" t="str">
            <v>Virginia Yesenia Merida Lopez</v>
          </cell>
        </row>
        <row r="2439">
          <cell r="F2439">
            <v>90049224</v>
          </cell>
          <cell r="G2439" t="str">
            <v>Vivi Lourdes Lopez Zuleta</v>
          </cell>
        </row>
        <row r="2440">
          <cell r="F2440">
            <v>315529</v>
          </cell>
          <cell r="G2440" t="str">
            <v>Vivian Alejandra Ramirez Samayoa</v>
          </cell>
        </row>
        <row r="2441">
          <cell r="F2441">
            <v>315619</v>
          </cell>
          <cell r="G2441" t="str">
            <v>Vivian Beatriz Rodriguez Orozco</v>
          </cell>
        </row>
        <row r="2442">
          <cell r="F2442">
            <v>310009</v>
          </cell>
          <cell r="G2442" t="str">
            <v>Vivian Celeste De Leon Rian</v>
          </cell>
        </row>
        <row r="2443">
          <cell r="F2443">
            <v>308693</v>
          </cell>
          <cell r="G2443" t="str">
            <v>Vivian Dinora Fuentes Carrillo</v>
          </cell>
        </row>
        <row r="2444">
          <cell r="F2444">
            <v>316415</v>
          </cell>
          <cell r="G2444" t="str">
            <v>Vivian Fabiola Cerezo Franco</v>
          </cell>
        </row>
        <row r="2445">
          <cell r="F2445">
            <v>90047927</v>
          </cell>
          <cell r="G2445" t="str">
            <v xml:space="preserve">Vivian Noemy Lima Morataya </v>
          </cell>
        </row>
        <row r="2446">
          <cell r="F2446">
            <v>300347</v>
          </cell>
          <cell r="G2446" t="str">
            <v>Vivian Roxana Piedrasanta Rodriguez</v>
          </cell>
        </row>
        <row r="2447">
          <cell r="F2447">
            <v>306597</v>
          </cell>
          <cell r="G2447" t="str">
            <v>Vivian Samara Sanchez Lopez Mejia</v>
          </cell>
        </row>
        <row r="2448">
          <cell r="F2448">
            <v>312772</v>
          </cell>
          <cell r="G2448" t="str">
            <v>Viviana Isabet Machic Tiño</v>
          </cell>
        </row>
        <row r="2449">
          <cell r="F2449">
            <v>313261</v>
          </cell>
          <cell r="G2449" t="str">
            <v>Viviana Maribel Ortiz Barrios</v>
          </cell>
        </row>
        <row r="2450">
          <cell r="F2450">
            <v>314636</v>
          </cell>
          <cell r="G2450" t="str">
            <v>Walkiria Anais Herrera Castillo</v>
          </cell>
        </row>
        <row r="2451">
          <cell r="F2451">
            <v>90046206</v>
          </cell>
          <cell r="G2451" t="str">
            <v>Walter Alberto Cermeño Orozco</v>
          </cell>
        </row>
        <row r="2452">
          <cell r="F2452">
            <v>90040567</v>
          </cell>
          <cell r="G2452" t="str">
            <v>Walter Alberto Gomez Ojot</v>
          </cell>
        </row>
        <row r="2453">
          <cell r="F2453">
            <v>301033</v>
          </cell>
          <cell r="G2453" t="str">
            <v>Walter Daniel Perea Flores</v>
          </cell>
        </row>
        <row r="2454">
          <cell r="F2454">
            <v>305935</v>
          </cell>
          <cell r="G2454" t="str">
            <v>Walter David De Leon Gomez</v>
          </cell>
        </row>
        <row r="2455">
          <cell r="F2455">
            <v>315651</v>
          </cell>
          <cell r="G2455" t="str">
            <v>Walter Eduardo Rodas Rios</v>
          </cell>
        </row>
        <row r="2456">
          <cell r="F2456">
            <v>315324</v>
          </cell>
          <cell r="G2456" t="str">
            <v>Walter Estuardo Guerra López</v>
          </cell>
        </row>
        <row r="2457">
          <cell r="F2457">
            <v>310994</v>
          </cell>
          <cell r="G2457" t="str">
            <v>Walter Geovany Hernandez Hernandez</v>
          </cell>
        </row>
        <row r="2458">
          <cell r="F2458">
            <v>312478</v>
          </cell>
          <cell r="G2458" t="str">
            <v>Walter Josue Ampudia Martinez</v>
          </cell>
        </row>
        <row r="2459">
          <cell r="F2459">
            <v>313756</v>
          </cell>
          <cell r="G2459" t="str">
            <v>Walter Josue Corona Barrera</v>
          </cell>
        </row>
        <row r="2460">
          <cell r="F2460">
            <v>315577</v>
          </cell>
          <cell r="G2460" t="str">
            <v>Walter Yovany Sequec Lopic</v>
          </cell>
        </row>
        <row r="2461">
          <cell r="F2461">
            <v>312305</v>
          </cell>
          <cell r="G2461" t="str">
            <v>Wanda Marisol Cabrera Lemus</v>
          </cell>
        </row>
        <row r="2462">
          <cell r="F2462">
            <v>313388</v>
          </cell>
          <cell r="G2462" t="str">
            <v>Wander Andres Grijlava Porras</v>
          </cell>
        </row>
        <row r="2463">
          <cell r="F2463">
            <v>312738</v>
          </cell>
          <cell r="G2463" t="str">
            <v>Wendoly Beatriz Morales Cornel</v>
          </cell>
        </row>
        <row r="2464">
          <cell r="F2464">
            <v>316081</v>
          </cell>
          <cell r="G2464" t="str">
            <v>Wendy Abigail Guarcas Najarro</v>
          </cell>
        </row>
        <row r="2465">
          <cell r="F2465">
            <v>304802</v>
          </cell>
          <cell r="G2465" t="str">
            <v>Wendy Alejandra Cuyan Alvarez</v>
          </cell>
        </row>
        <row r="2466">
          <cell r="F2466">
            <v>90050146</v>
          </cell>
          <cell r="G2466" t="str">
            <v>Wendy Aracely Marroquin Arias</v>
          </cell>
        </row>
        <row r="2467">
          <cell r="F2467">
            <v>309177</v>
          </cell>
          <cell r="G2467" t="str">
            <v>Wendy Carolina Lopez Alvizuriz</v>
          </cell>
        </row>
        <row r="2468">
          <cell r="F2468">
            <v>315364</v>
          </cell>
          <cell r="G2468" t="str">
            <v>Wendy Corina Najera Vasquez De De Jocol</v>
          </cell>
        </row>
        <row r="2469">
          <cell r="F2469">
            <v>316001</v>
          </cell>
          <cell r="G2469" t="str">
            <v>Wendy Daniela Camey Mateo</v>
          </cell>
        </row>
        <row r="2470">
          <cell r="F2470">
            <v>90034296</v>
          </cell>
          <cell r="G2470" t="str">
            <v>Wendy Jazmin Huinac Vasquez</v>
          </cell>
        </row>
        <row r="2471">
          <cell r="F2471">
            <v>308431</v>
          </cell>
          <cell r="G2471" t="str">
            <v>Wendy Jessenia Arredondo Lopez</v>
          </cell>
        </row>
        <row r="2472">
          <cell r="F2472">
            <v>315096</v>
          </cell>
          <cell r="G2472" t="str">
            <v>Wendy Mariela Diaz Hernandez</v>
          </cell>
        </row>
        <row r="2473">
          <cell r="F2473">
            <v>314551</v>
          </cell>
          <cell r="G2473" t="str">
            <v>Wendy Nineth Perez Roque</v>
          </cell>
        </row>
        <row r="2474">
          <cell r="F2474">
            <v>312886</v>
          </cell>
          <cell r="G2474" t="str">
            <v>Wendy Paola Baquiax Cu</v>
          </cell>
        </row>
        <row r="2475">
          <cell r="F2475">
            <v>306851</v>
          </cell>
          <cell r="G2475" t="str">
            <v>Wendy Paola De Paz Prado</v>
          </cell>
        </row>
        <row r="2476">
          <cell r="F2476">
            <v>313707</v>
          </cell>
          <cell r="G2476" t="str">
            <v>Wendy Paola Rodriguez Gonzalez</v>
          </cell>
        </row>
        <row r="2477">
          <cell r="F2477">
            <v>316041</v>
          </cell>
          <cell r="G2477" t="str">
            <v>Wendy Paola Salvatierra Garcia</v>
          </cell>
        </row>
        <row r="2478">
          <cell r="F2478">
            <v>314055</v>
          </cell>
          <cell r="G2478" t="str">
            <v>Wendy Patricia Lopez Gonzalez</v>
          </cell>
        </row>
        <row r="2479">
          <cell r="F2479">
            <v>310388</v>
          </cell>
          <cell r="G2479" t="str">
            <v>Wendy Susana Chinchilla Cotill</v>
          </cell>
        </row>
        <row r="2480">
          <cell r="F2480">
            <v>315106</v>
          </cell>
          <cell r="G2480" t="str">
            <v>Wendy Victoria Rodriguez Chacon</v>
          </cell>
        </row>
        <row r="2481">
          <cell r="F2481">
            <v>314063</v>
          </cell>
          <cell r="G2481" t="str">
            <v>Wensler David Obando Polanco</v>
          </cell>
        </row>
        <row r="2482">
          <cell r="F2482">
            <v>308069</v>
          </cell>
          <cell r="G2482" t="str">
            <v>Wilda Yohandra Atz Cruz</v>
          </cell>
        </row>
        <row r="2483">
          <cell r="F2483">
            <v>313300</v>
          </cell>
          <cell r="G2483" t="str">
            <v>Wilfido Abraham Cardona Garcia</v>
          </cell>
        </row>
        <row r="2484">
          <cell r="F2484">
            <v>309284</v>
          </cell>
          <cell r="G2484" t="str">
            <v>Wilian Aroldo Lucero Cardona</v>
          </cell>
        </row>
        <row r="2485">
          <cell r="F2485">
            <v>314284</v>
          </cell>
          <cell r="G2485" t="str">
            <v>William Alexander Gonzalez Mendoza</v>
          </cell>
        </row>
        <row r="2486">
          <cell r="F2486">
            <v>314821</v>
          </cell>
          <cell r="G2486" t="str">
            <v>William Alexander Tobias Gomez</v>
          </cell>
        </row>
        <row r="2487">
          <cell r="F2487">
            <v>314881</v>
          </cell>
          <cell r="G2487" t="str">
            <v>William Eduardo Velasquez Castillo</v>
          </cell>
        </row>
        <row r="2488">
          <cell r="F2488">
            <v>313027</v>
          </cell>
          <cell r="G2488" t="str">
            <v>William Rodolfo Yool Tucux</v>
          </cell>
        </row>
        <row r="2489">
          <cell r="F2489">
            <v>90013782</v>
          </cell>
          <cell r="G2489" t="str">
            <v>Williams Jose Galvez Jordan</v>
          </cell>
        </row>
        <row r="2490">
          <cell r="F2490">
            <v>314221</v>
          </cell>
          <cell r="G2490" t="str">
            <v>Willian Baldemar Castillo Ramirez</v>
          </cell>
        </row>
        <row r="2491">
          <cell r="F2491">
            <v>90045665</v>
          </cell>
          <cell r="G2491" t="str">
            <v>Wilmar Joe Alexander Catun Artola</v>
          </cell>
        </row>
        <row r="2492">
          <cell r="F2492">
            <v>90034878</v>
          </cell>
          <cell r="G2492" t="str">
            <v xml:space="preserve">Wilmer Alexander Hernandez Santos </v>
          </cell>
        </row>
        <row r="2493">
          <cell r="F2493">
            <v>314947</v>
          </cell>
          <cell r="G2493" t="str">
            <v>Wilmer Arnoldo Diaz Martinez</v>
          </cell>
        </row>
        <row r="2494">
          <cell r="F2494">
            <v>306656</v>
          </cell>
          <cell r="G2494" t="str">
            <v>Wilmer Benjamin Vasquez Puac</v>
          </cell>
        </row>
        <row r="2495">
          <cell r="F2495">
            <v>314391</v>
          </cell>
          <cell r="G2495" t="str">
            <v>Wilmer Esteban Lopez Hernandez</v>
          </cell>
        </row>
        <row r="2496">
          <cell r="F2496">
            <v>308506</v>
          </cell>
          <cell r="G2496" t="str">
            <v>Wilmer Estuardo Salama Golon</v>
          </cell>
        </row>
        <row r="2497">
          <cell r="F2497">
            <v>316240</v>
          </cell>
          <cell r="G2497" t="str">
            <v xml:space="preserve">Wilmer Guillermo Perez Chay </v>
          </cell>
        </row>
        <row r="2498">
          <cell r="F2498">
            <v>313106</v>
          </cell>
          <cell r="G2498" t="str">
            <v>Wilmer Josue Corado Ruiz</v>
          </cell>
        </row>
        <row r="2499">
          <cell r="F2499">
            <v>316393</v>
          </cell>
          <cell r="G2499" t="str">
            <v xml:space="preserve">Wilmer Noe Ochaita Cadenas </v>
          </cell>
        </row>
        <row r="2500">
          <cell r="F2500">
            <v>90028488</v>
          </cell>
          <cell r="G2500" t="str">
            <v xml:space="preserve">Wilmer Omar Sinay Ramos </v>
          </cell>
        </row>
        <row r="2501">
          <cell r="F2501">
            <v>316487</v>
          </cell>
          <cell r="G2501" t="str">
            <v>Wilmer Ovando Mejia Godinez</v>
          </cell>
        </row>
        <row r="2502">
          <cell r="F2502">
            <v>90035173</v>
          </cell>
          <cell r="G2502" t="str">
            <v>Wilny Yadira Morente Sanchez</v>
          </cell>
        </row>
        <row r="2503">
          <cell r="F2503">
            <v>308686</v>
          </cell>
          <cell r="G2503" t="str">
            <v>Wilson Arnoldo Lopez Revolorio</v>
          </cell>
        </row>
        <row r="2504">
          <cell r="F2504">
            <v>312859</v>
          </cell>
          <cell r="G2504" t="str">
            <v>Wilson Eli Pineda Argueta</v>
          </cell>
        </row>
        <row r="2505">
          <cell r="F2505">
            <v>308753</v>
          </cell>
          <cell r="G2505" t="str">
            <v>Wilson Estuardo Vicente Tzun</v>
          </cell>
        </row>
        <row r="2506">
          <cell r="F2506">
            <v>312770</v>
          </cell>
          <cell r="G2506" t="str">
            <v>Wilson Manuel Zuñiga Perez</v>
          </cell>
        </row>
        <row r="2507">
          <cell r="F2507">
            <v>312480</v>
          </cell>
          <cell r="G2507" t="str">
            <v>Wilson Moises Carias Santos</v>
          </cell>
        </row>
        <row r="2508">
          <cell r="F2508">
            <v>300978</v>
          </cell>
          <cell r="G2508" t="str">
            <v>Wuangler Geovane Cal Sucup</v>
          </cell>
        </row>
        <row r="2509">
          <cell r="F2509">
            <v>305989</v>
          </cell>
          <cell r="G2509" t="str">
            <v>Wuilson Ottoniel Hernandez Alonzo</v>
          </cell>
        </row>
        <row r="2510">
          <cell r="F2510">
            <v>90028732</v>
          </cell>
          <cell r="G2510" t="str">
            <v>Xavier Alejandro Ramirez Diaz</v>
          </cell>
        </row>
        <row r="2511">
          <cell r="F2511">
            <v>314819</v>
          </cell>
          <cell r="G2511" t="str">
            <v>Xiomara Karina Rendon Peinado</v>
          </cell>
        </row>
        <row r="2512">
          <cell r="F2512">
            <v>315385</v>
          </cell>
          <cell r="G2512" t="str">
            <v>Xitimul Ramirez, Luis Carlos</v>
          </cell>
        </row>
        <row r="2513">
          <cell r="F2513">
            <v>306493</v>
          </cell>
          <cell r="G2513" t="str">
            <v>Yackelin Maribel Zamora Medina Requena</v>
          </cell>
        </row>
        <row r="2514">
          <cell r="F2514">
            <v>315416</v>
          </cell>
          <cell r="G2514" t="str">
            <v>Yagut Monterroso, Melvin Hermenegildo</v>
          </cell>
        </row>
        <row r="2515">
          <cell r="F2515">
            <v>309963</v>
          </cell>
          <cell r="G2515" t="str">
            <v>Yajaira Emiliana Reyes Zapet</v>
          </cell>
        </row>
        <row r="2516">
          <cell r="F2516">
            <v>312248</v>
          </cell>
          <cell r="G2516" t="str">
            <v>Yakelin Consuelo Zapeta Perez</v>
          </cell>
        </row>
        <row r="2517">
          <cell r="F2517">
            <v>90024274</v>
          </cell>
          <cell r="G2517" t="str">
            <v>Yakelline Noemí Estrada Jimenez </v>
          </cell>
        </row>
        <row r="2518">
          <cell r="F2518">
            <v>90041206</v>
          </cell>
          <cell r="G2518" t="str">
            <v>Yaquelin Alejandra Hernández Barrera</v>
          </cell>
        </row>
        <row r="2519">
          <cell r="F2519">
            <v>310159</v>
          </cell>
          <cell r="G2519" t="str">
            <v>Yaquelin Dinora Xicara Mejia</v>
          </cell>
        </row>
        <row r="2520">
          <cell r="F2520">
            <v>309920</v>
          </cell>
          <cell r="G2520" t="str">
            <v>Yaquelin Karina Virula Patzan Campos</v>
          </cell>
        </row>
        <row r="2521">
          <cell r="F2521">
            <v>90028299</v>
          </cell>
          <cell r="G2521" t="str">
            <v xml:space="preserve">Yaquelin Noemi Aguilar Cacatzun </v>
          </cell>
        </row>
        <row r="2522">
          <cell r="F2522">
            <v>312505</v>
          </cell>
          <cell r="G2522" t="str">
            <v>Yaquelin Yessenia Sapon Gonzalez</v>
          </cell>
        </row>
        <row r="2523">
          <cell r="F2523">
            <v>309463</v>
          </cell>
          <cell r="G2523" t="str">
            <v>Yasmin Paola Sicay Marroquin</v>
          </cell>
        </row>
        <row r="2524">
          <cell r="F2524">
            <v>313857</v>
          </cell>
          <cell r="G2524" t="str">
            <v>Yefersson Zabala Aviles</v>
          </cell>
        </row>
        <row r="2525">
          <cell r="F2525">
            <v>90048557</v>
          </cell>
          <cell r="G2525" t="str">
            <v>Yefri Carmelo Ortega Lopez</v>
          </cell>
        </row>
        <row r="2526">
          <cell r="F2526">
            <v>315847</v>
          </cell>
          <cell r="G2526" t="str">
            <v>Yefri Estuardo Lopez Velasquez</v>
          </cell>
        </row>
        <row r="2527">
          <cell r="F2527">
            <v>313628</v>
          </cell>
          <cell r="G2527" t="str">
            <v>Yefry Jesus Soto</v>
          </cell>
        </row>
        <row r="2528">
          <cell r="F2528">
            <v>310318</v>
          </cell>
          <cell r="G2528" t="str">
            <v>Yeimi Yareli Moscoso Guzman</v>
          </cell>
        </row>
        <row r="2529">
          <cell r="F2529">
            <v>315207</v>
          </cell>
          <cell r="G2529" t="str">
            <v>Yeison Lemuel Lopez Vasquez</v>
          </cell>
        </row>
        <row r="2530">
          <cell r="F2530">
            <v>313558</v>
          </cell>
          <cell r="G2530" t="str">
            <v>Yener Catarino Chilel Velasquez</v>
          </cell>
        </row>
        <row r="2531">
          <cell r="F2531">
            <v>315200</v>
          </cell>
          <cell r="G2531" t="str">
            <v xml:space="preserve">Yeni Amarilis Ruano </v>
          </cell>
        </row>
        <row r="2532">
          <cell r="F2532">
            <v>303083</v>
          </cell>
          <cell r="G2532" t="str">
            <v>Yeni Elizabeth Carrillo Barrios</v>
          </cell>
        </row>
        <row r="2533">
          <cell r="F2533">
            <v>313221</v>
          </cell>
          <cell r="G2533" t="str">
            <v>Yeni Jannet Morales Sintud</v>
          </cell>
        </row>
        <row r="2534">
          <cell r="F2534">
            <v>315374</v>
          </cell>
          <cell r="G2534" t="str">
            <v>Yeni Sabrina Ordonez Gonzalez De Chicas</v>
          </cell>
        </row>
        <row r="2535">
          <cell r="F2535">
            <v>316152</v>
          </cell>
          <cell r="G2535" t="str">
            <v>Yenica Limni Lopez Sebastian Quijivix</v>
          </cell>
        </row>
        <row r="2536">
          <cell r="F2536">
            <v>314613</v>
          </cell>
          <cell r="G2536" t="str">
            <v>Yenifer Alicia Yessenia Tzib Lemus</v>
          </cell>
        </row>
        <row r="2537">
          <cell r="F2537">
            <v>308434</v>
          </cell>
          <cell r="G2537" t="str">
            <v>Yenifer Antonieta Borja Aragon</v>
          </cell>
        </row>
        <row r="2538">
          <cell r="F2538">
            <v>316096</v>
          </cell>
          <cell r="G2538" t="str">
            <v xml:space="preserve">Yenifer Del Carmen Perez Aldana </v>
          </cell>
        </row>
        <row r="2539">
          <cell r="F2539">
            <v>312219</v>
          </cell>
          <cell r="G2539" t="str">
            <v>Yenifer Magali Arana Tezen</v>
          </cell>
        </row>
        <row r="2540">
          <cell r="F2540">
            <v>315801</v>
          </cell>
          <cell r="G2540" t="str">
            <v>Yeniffer Guadalupe Chiquin Carbonell</v>
          </cell>
        </row>
        <row r="2541">
          <cell r="F2541">
            <v>313725</v>
          </cell>
          <cell r="G2541" t="str">
            <v>Yenner Antonio Perez Castro</v>
          </cell>
        </row>
        <row r="2542">
          <cell r="F2542">
            <v>90020699</v>
          </cell>
          <cell r="G2542" t="str">
            <v xml:space="preserve">Yeral Estiv Noj Flores </v>
          </cell>
        </row>
        <row r="2543">
          <cell r="F2543">
            <v>315477</v>
          </cell>
          <cell r="G2543" t="str">
            <v>Yesenia Guadalupe Ajcu Castillo</v>
          </cell>
        </row>
        <row r="2544">
          <cell r="F2544">
            <v>314069</v>
          </cell>
          <cell r="G2544" t="str">
            <v>Yesenia Nataly Alvarado Sarpec</v>
          </cell>
        </row>
        <row r="2545">
          <cell r="F2545">
            <v>314562</v>
          </cell>
          <cell r="G2545" t="str">
            <v>Yesenia Noemi Gutierrez Argueta</v>
          </cell>
        </row>
        <row r="2546">
          <cell r="F2546">
            <v>311581</v>
          </cell>
          <cell r="G2546" t="str">
            <v>Yesi Lisbet Fuentes Velarde</v>
          </cell>
        </row>
        <row r="2547">
          <cell r="F2547">
            <v>312579</v>
          </cell>
          <cell r="G2547" t="str">
            <v>Yesica Elizabet Marroquin Vielman</v>
          </cell>
        </row>
        <row r="2548">
          <cell r="F2548">
            <v>316327</v>
          </cell>
          <cell r="G2548" t="str">
            <v>Yessica Naomi Aguilar Quevedo</v>
          </cell>
        </row>
        <row r="2549">
          <cell r="F2549">
            <v>315433</v>
          </cell>
          <cell r="G2549" t="str">
            <v>Yessica Paola Perez Poma                          </v>
          </cell>
        </row>
        <row r="2550">
          <cell r="F2550">
            <v>316112</v>
          </cell>
          <cell r="G2550" t="str">
            <v>Yessica Yesenia Torres Valdes</v>
          </cell>
        </row>
        <row r="2551">
          <cell r="F2551">
            <v>316261</v>
          </cell>
          <cell r="G2551" t="str">
            <v xml:space="preserve">Yeymi Carolina Cux Tocay </v>
          </cell>
        </row>
        <row r="2552">
          <cell r="F2552">
            <v>314282</v>
          </cell>
          <cell r="G2552" t="str">
            <v>Yolanda Genoveva Lopez Bamaca</v>
          </cell>
        </row>
        <row r="2553">
          <cell r="F2553">
            <v>311486</v>
          </cell>
          <cell r="G2553" t="str">
            <v>Yolisma Yaneth Vasquez Najera</v>
          </cell>
        </row>
        <row r="2554">
          <cell r="F2554">
            <v>315060</v>
          </cell>
          <cell r="G2554" t="str">
            <v>Yonatan Alexander Perez Scott</v>
          </cell>
        </row>
        <row r="2555">
          <cell r="F2555">
            <v>312632</v>
          </cell>
          <cell r="G2555" t="str">
            <v>Yonatan Nazareth Zapeta Gomez</v>
          </cell>
        </row>
        <row r="2556">
          <cell r="F2556">
            <v>312988</v>
          </cell>
          <cell r="G2556" t="str">
            <v>Yonathan Neftali Moran Velasquez</v>
          </cell>
        </row>
        <row r="2557">
          <cell r="F2557">
            <v>305872</v>
          </cell>
          <cell r="G2557" t="str">
            <v>Yoni Adan Gutierrez Veliz</v>
          </cell>
        </row>
        <row r="2558">
          <cell r="F2558">
            <v>312087</v>
          </cell>
          <cell r="G2558" t="str">
            <v>Yoni Yosuen Rodriguez Sosa</v>
          </cell>
        </row>
        <row r="2559">
          <cell r="F2559">
            <v>312317</v>
          </cell>
          <cell r="G2559" t="str">
            <v>Yoselin Alejandra Barrios Reyes</v>
          </cell>
        </row>
        <row r="2560">
          <cell r="F2560">
            <v>313057</v>
          </cell>
          <cell r="G2560" t="str">
            <v>Yoselin Alejandra Moran Burgos</v>
          </cell>
        </row>
        <row r="2561">
          <cell r="F2561">
            <v>314700</v>
          </cell>
          <cell r="G2561" t="str">
            <v>Yoselin Andrea Cipriano Garcia</v>
          </cell>
        </row>
        <row r="2562">
          <cell r="F2562">
            <v>314280</v>
          </cell>
          <cell r="G2562" t="str">
            <v>Yoselin Ninet Lopez Quibaja</v>
          </cell>
        </row>
        <row r="2563">
          <cell r="F2563">
            <v>315799</v>
          </cell>
          <cell r="G2563" t="str">
            <v>Yoselin Paola Castillo Gue</v>
          </cell>
        </row>
        <row r="2564">
          <cell r="F2564">
            <v>90009250</v>
          </cell>
          <cell r="G2564" t="str">
            <v>Yoselin Yesenia Perez Jimenez</v>
          </cell>
        </row>
        <row r="2565">
          <cell r="F2565">
            <v>90021120</v>
          </cell>
          <cell r="G2565" t="str">
            <v>Yoselyn Michel Lopez Solis</v>
          </cell>
        </row>
        <row r="2566">
          <cell r="F2566">
            <v>90009268</v>
          </cell>
          <cell r="G2566" t="str">
            <v>Yosselin Baleska Garcia Valdez</v>
          </cell>
        </row>
        <row r="2567">
          <cell r="F2567">
            <v>314388</v>
          </cell>
          <cell r="G2567" t="str">
            <v>Yubithza Azucena Gamez Agustin</v>
          </cell>
        </row>
        <row r="2568">
          <cell r="F2568">
            <v>310717</v>
          </cell>
          <cell r="G2568" t="str">
            <v>Yuliana Elizabeth Hernandez Lopez</v>
          </cell>
        </row>
        <row r="2569">
          <cell r="F2569">
            <v>90033492</v>
          </cell>
          <cell r="G2569" t="str">
            <v>Yuri Elizabeth Gonon Pretzanzin</v>
          </cell>
        </row>
        <row r="2570">
          <cell r="F2570">
            <v>314472</v>
          </cell>
          <cell r="G2570" t="str">
            <v>Yuri Madali Cabrera Garcia</v>
          </cell>
        </row>
        <row r="2571">
          <cell r="F2571">
            <v>310871</v>
          </cell>
          <cell r="G2571" t="str">
            <v>Yuri Vanessa Bac Caal De Gomez</v>
          </cell>
        </row>
        <row r="2572">
          <cell r="F2572">
            <v>302802</v>
          </cell>
          <cell r="G2572" t="str">
            <v>Yuri Yesenia Beza Ramirez</v>
          </cell>
        </row>
        <row r="2573">
          <cell r="F2573">
            <v>316489</v>
          </cell>
          <cell r="G2573" t="str">
            <v>Yusleni Dorali Anzueto Vasquez</v>
          </cell>
        </row>
        <row r="2574">
          <cell r="F2574">
            <v>310778</v>
          </cell>
          <cell r="G2574" t="str">
            <v>Zacarias Rigoberto Cuc Tiul</v>
          </cell>
        </row>
        <row r="2575">
          <cell r="F2575">
            <v>309651</v>
          </cell>
          <cell r="G2575" t="str">
            <v>Zaira Eloiza Orantes Ramirez</v>
          </cell>
        </row>
        <row r="2576">
          <cell r="F2576">
            <v>315308</v>
          </cell>
          <cell r="G2576" t="str">
            <v>Zalma Esmeralda Flores Tojin</v>
          </cell>
        </row>
        <row r="2577">
          <cell r="F2577">
            <v>315630</v>
          </cell>
          <cell r="G2577" t="str">
            <v>Zavala Soto, Alisson Yisel</v>
          </cell>
        </row>
        <row r="2578">
          <cell r="F2578">
            <v>315570</v>
          </cell>
          <cell r="G2578" t="str">
            <v>Zecena Ramos, Kemberly Del Rosario</v>
          </cell>
        </row>
        <row r="2579">
          <cell r="F2579">
            <v>312551</v>
          </cell>
          <cell r="G2579" t="str">
            <v>Zenia Estefania Alvarado Alvarado</v>
          </cell>
        </row>
        <row r="2580">
          <cell r="F2580">
            <v>315188</v>
          </cell>
          <cell r="G2580" t="str">
            <v>Zoila Edmunda Pirir Tezen</v>
          </cell>
        </row>
        <row r="2581">
          <cell r="F2581">
            <v>90034374</v>
          </cell>
          <cell r="G2581" t="str">
            <v>Zonia Esperanza Choc Reyes</v>
          </cell>
        </row>
        <row r="2582">
          <cell r="F2582">
            <v>306856</v>
          </cell>
          <cell r="G2582" t="str">
            <v>Zoraida Marisol Martinez Perez</v>
          </cell>
        </row>
        <row r="2583">
          <cell r="F2583">
            <v>313411</v>
          </cell>
          <cell r="G2583" t="str">
            <v>Zulema Noemy Aristondo Lopez</v>
          </cell>
        </row>
        <row r="2584">
          <cell r="F2584">
            <v>312665</v>
          </cell>
          <cell r="G2584" t="str">
            <v>Zulma Damaris Menchu Mendez</v>
          </cell>
        </row>
        <row r="2585">
          <cell r="F2585">
            <v>314042</v>
          </cell>
          <cell r="G2585" t="str">
            <v>Zulmy Paola Mateo Salazar</v>
          </cell>
        </row>
        <row r="2586">
          <cell r="F2586">
            <v>313161</v>
          </cell>
          <cell r="G2586" t="str">
            <v>Zuly Beatriz Lopez Martinez</v>
          </cell>
        </row>
        <row r="2587">
          <cell r="F2587">
            <v>314662</v>
          </cell>
          <cell r="G2587" t="str">
            <v>Zuryele Alfaro Gonzalez</v>
          </cell>
        </row>
        <row r="2588">
          <cell r="F2588">
            <v>90040467</v>
          </cell>
          <cell r="G2588" t="str">
            <v xml:space="preserve">MONICA LAJ DE LA CRUZ </v>
          </cell>
        </row>
        <row r="2589">
          <cell r="F2589">
            <v>90049245</v>
          </cell>
          <cell r="G2589" t="str">
            <v>Sindy Julissa Diaz Carias</v>
          </cell>
        </row>
        <row r="2590">
          <cell r="F2590">
            <v>90049187</v>
          </cell>
          <cell r="G2590" t="str">
            <v>Ana Mishell Lopez Lemus</v>
          </cell>
        </row>
        <row r="2591">
          <cell r="F2591">
            <v>90047789</v>
          </cell>
          <cell r="G2591" t="str">
            <v>Jose David Juarez Morales</v>
          </cell>
        </row>
        <row r="2592">
          <cell r="F2592">
            <v>90059851</v>
          </cell>
          <cell r="G2592" t="str">
            <v>Ana Veliz Perez Martinez</v>
          </cell>
        </row>
        <row r="2593">
          <cell r="F2593">
            <v>90048588</v>
          </cell>
          <cell r="G2593" t="str">
            <v>Hector Cacao Choc</v>
          </cell>
        </row>
        <row r="2594">
          <cell r="F2594">
            <v>90051401</v>
          </cell>
          <cell r="G2594" t="str">
            <v>Gerson Celidon Melchor</v>
          </cell>
        </row>
        <row r="2595">
          <cell r="F2595">
            <v>90049216</v>
          </cell>
          <cell r="G2595" t="str">
            <v>JAKELINE CHUN</v>
          </cell>
        </row>
        <row r="2596">
          <cell r="F2596">
            <v>90048454</v>
          </cell>
          <cell r="G2596" t="str">
            <v>Gustavo Bol</v>
          </cell>
        </row>
        <row r="2597">
          <cell r="F2597">
            <v>90048806</v>
          </cell>
          <cell r="G2597" t="str">
            <v xml:space="preserve">JOSE ANGEL PEREZ JIMENEZ </v>
          </cell>
        </row>
        <row r="2598">
          <cell r="F2598">
            <v>90061561</v>
          </cell>
          <cell r="G2598" t="str">
            <v>KENIA ALEJANDRINA GUADALUPE DIAZ REYNA</v>
          </cell>
        </row>
        <row r="2599">
          <cell r="F2599">
            <v>90061646</v>
          </cell>
          <cell r="G2599" t="str">
            <v>MARIO ALEJANDRO CUCUL RUIZ</v>
          </cell>
        </row>
        <row r="2600">
          <cell r="F2600">
            <v>90063386</v>
          </cell>
          <cell r="G2600" t="str">
            <v>NERY AYU</v>
          </cell>
        </row>
        <row r="2601">
          <cell r="F2601">
            <v>90062493</v>
          </cell>
          <cell r="G2601" t="str">
            <v>NORMA QUETZALY AC POP</v>
          </cell>
        </row>
        <row r="2602">
          <cell r="F2602">
            <v>90065411</v>
          </cell>
          <cell r="G2602" t="str">
            <v>JOSELIN EDITH LOPEZ OLIVA</v>
          </cell>
        </row>
        <row r="2603">
          <cell r="F2603">
            <v>90063654</v>
          </cell>
          <cell r="G2603" t="str">
            <v>BRITANY YUSELI MATHEU RAXIQUE</v>
          </cell>
        </row>
        <row r="2604">
          <cell r="F2604">
            <v>90065483</v>
          </cell>
          <cell r="G2604" t="str">
            <v>KRISTAL ANDREA ALVARADO JUMIQUE</v>
          </cell>
        </row>
        <row r="2605">
          <cell r="F2605">
            <v>90064162</v>
          </cell>
          <cell r="G2605" t="str">
            <v>MARELYN JEANNTH BARRIOS ALFARO</v>
          </cell>
        </row>
        <row r="2606">
          <cell r="F2606">
            <v>90065922</v>
          </cell>
          <cell r="G2606" t="str">
            <v>ASLIN ESMERALDA MARTINEZ</v>
          </cell>
        </row>
        <row r="2607">
          <cell r="F2607">
            <v>90066516</v>
          </cell>
          <cell r="G2607" t="str">
            <v>KENIA VANESA CUCUL LEONARDO</v>
          </cell>
        </row>
        <row r="2608">
          <cell r="F2608">
            <v>90051505</v>
          </cell>
          <cell r="G2608" t="str">
            <v>MARIA OFELIA SOSA</v>
          </cell>
        </row>
        <row r="2609">
          <cell r="F2609">
            <v>90061480</v>
          </cell>
          <cell r="G2609" t="str">
            <v>GEMA ELIZABETH MATUS CARRETO</v>
          </cell>
        </row>
        <row r="2610">
          <cell r="F2610">
            <v>90062682</v>
          </cell>
          <cell r="G2610" t="str">
            <v>ELVY CANDELARIA JUC BIN</v>
          </cell>
        </row>
        <row r="2611">
          <cell r="F2611">
            <v>90064229</v>
          </cell>
          <cell r="G2611" t="str">
            <v>KRISHNA MORALES</v>
          </cell>
        </row>
        <row r="2612">
          <cell r="F2612">
            <v>90061646</v>
          </cell>
          <cell r="G2612" t="str">
            <v>MARIO ALEJANDRO CUCUL RUIZ</v>
          </cell>
        </row>
        <row r="2613">
          <cell r="F2613">
            <v>90063414</v>
          </cell>
          <cell r="G2613" t="str">
            <v>DANIELA PONCE REYES</v>
          </cell>
        </row>
        <row r="2614">
          <cell r="F2614">
            <v>90061599</v>
          </cell>
          <cell r="G2614" t="str">
            <v>SILVIA CAROLINA CAC CORTEZ</v>
          </cell>
        </row>
        <row r="2615">
          <cell r="F2615">
            <v>90061486</v>
          </cell>
          <cell r="G2615" t="str">
            <v>JASMIN DAVILA</v>
          </cell>
        </row>
        <row r="2616">
          <cell r="F2616">
            <v>90066031</v>
          </cell>
          <cell r="G2616" t="str">
            <v>VICTOR HUGO RAMIRES ENRIQUEZ</v>
          </cell>
        </row>
        <row r="2617">
          <cell r="F2617">
            <v>90070101</v>
          </cell>
          <cell r="G2617" t="str">
            <v>Felipe De Jesus Hernandez Mejia</v>
          </cell>
        </row>
        <row r="2618">
          <cell r="F2618">
            <v>90066199</v>
          </cell>
          <cell r="G2618" t="str">
            <v>JAZMIN ARACELY SOLIS SAGASTUME</v>
          </cell>
        </row>
        <row r="2619">
          <cell r="F2619">
            <v>90068081</v>
          </cell>
          <cell r="G2619" t="str">
            <v>GERSON DANIEL MILIAN HERNANDEZ</v>
          </cell>
        </row>
        <row r="2620">
          <cell r="F2620">
            <v>90080234</v>
          </cell>
          <cell r="G2620" t="str">
            <v xml:space="preserve">JENIFER SULEYDA RIVERA VELASQUEZ </v>
          </cell>
        </row>
        <row r="2621">
          <cell r="F2621">
            <v>90081179</v>
          </cell>
          <cell r="G2621" t="str">
            <v>OSCAR MIGUEL QUEJ TILOM</v>
          </cell>
        </row>
        <row r="2622">
          <cell r="F2622">
            <v>90082179</v>
          </cell>
          <cell r="G2622" t="str">
            <v>REYNA ADELAIDA CHAMAN CAAL</v>
          </cell>
        </row>
        <row r="2623">
          <cell r="F2623">
            <v>90080725</v>
          </cell>
          <cell r="G2623" t="str">
            <v>CRISTHIAN ALEXANDER LOPEZ SUCHITE</v>
          </cell>
        </row>
        <row r="2624">
          <cell r="F2624">
            <v>90081741</v>
          </cell>
          <cell r="G2624" t="str">
            <v>MAYNOR OTONIEL CHUB FELIPE</v>
          </cell>
        </row>
        <row r="2625">
          <cell r="F2625">
            <v>90083159</v>
          </cell>
          <cell r="G2625" t="str">
            <v>MERCEDES QUEJ ISEM</v>
          </cell>
        </row>
        <row r="2626">
          <cell r="F2626">
            <v>90082959</v>
          </cell>
          <cell r="G2626" t="str">
            <v>OLGA ESPERANZA SOLIS MENDEZ</v>
          </cell>
        </row>
        <row r="2627">
          <cell r="F2627">
            <v>90068230</v>
          </cell>
          <cell r="G2627" t="str">
            <v>FIELFER OMAR TUN CHOC</v>
          </cell>
        </row>
        <row r="2628">
          <cell r="F2628">
            <v>90081177</v>
          </cell>
          <cell r="G2628" t="str">
            <v>ANA LUISA CAHUEC JOJ</v>
          </cell>
        </row>
        <row r="2629">
          <cell r="F2629">
            <v>90066498</v>
          </cell>
          <cell r="G2629" t="str">
            <v>Wilmar Joe Alexander Catun Artola</v>
          </cell>
        </row>
        <row r="2630">
          <cell r="F2630">
            <v>90082479</v>
          </cell>
          <cell r="G2630" t="str">
            <v>JONATHAN OSORIO</v>
          </cell>
        </row>
        <row r="2631">
          <cell r="F2631">
            <v>90081010</v>
          </cell>
          <cell r="G2631" t="str">
            <v>JAIRO OBED ALEXANDER TUL CHO</v>
          </cell>
        </row>
        <row r="2632">
          <cell r="F2632">
            <v>90083743</v>
          </cell>
          <cell r="G2632" t="str">
            <v>MARYORI YAZMIN HERNANDEZ VALENZUELA</v>
          </cell>
        </row>
        <row r="2633">
          <cell r="F2633">
            <v>90067295</v>
          </cell>
          <cell r="G2633" t="str">
            <v>ROSAURA YANETH POP WINTER</v>
          </cell>
        </row>
        <row r="2634">
          <cell r="F2634">
            <v>90070015</v>
          </cell>
          <cell r="G2634" t="str">
            <v>Saddy Daniela Solá Aguilar</v>
          </cell>
        </row>
        <row r="2635">
          <cell r="F2635">
            <v>90084636</v>
          </cell>
          <cell r="G2635" t="str">
            <v>ANDREA LUCIA GUZMAN GUERRA</v>
          </cell>
        </row>
        <row r="2636">
          <cell r="F2636">
            <v>90082333</v>
          </cell>
          <cell r="G2636" t="str">
            <v>JENNIFER ANAYELI LOPEZ DEL CID</v>
          </cell>
        </row>
        <row r="2637">
          <cell r="F2637">
            <v>90082305</v>
          </cell>
          <cell r="G2637" t="str">
            <v xml:space="preserve">JEFFERSON MAQUIN </v>
          </cell>
        </row>
        <row r="2638">
          <cell r="F2638">
            <v>90082641</v>
          </cell>
          <cell r="G2638" t="str">
            <v>JENIFER DAYANI GODINEZ PÉREZ</v>
          </cell>
        </row>
        <row r="2639">
          <cell r="F2639">
            <v>90082643</v>
          </cell>
          <cell r="G2639" t="str">
            <v>EMERSON EDUARDO ALEBÓN GARCÍA</v>
          </cell>
        </row>
        <row r="2640">
          <cell r="F2640">
            <v>90083587</v>
          </cell>
          <cell r="G2640" t="str">
            <v>JOSE ARNOLDO RUANO CARDENAS</v>
          </cell>
        </row>
        <row r="2641">
          <cell r="F2641">
            <v>90066624</v>
          </cell>
          <cell r="G2641" t="str">
            <v>AYRTON SALVADOR MORALES BUENAFE</v>
          </cell>
        </row>
        <row r="2642">
          <cell r="F2642">
            <v>90085227</v>
          </cell>
          <cell r="G2642" t="str">
            <v xml:space="preserve">SULMY MARITZA GARCIA LEÓN </v>
          </cell>
        </row>
        <row r="2643">
          <cell r="F2643">
            <v>90082018</v>
          </cell>
          <cell r="G2643" t="str">
            <v>PABLO ICO CO</v>
          </cell>
        </row>
        <row r="2644">
          <cell r="F2644">
            <v>90063417</v>
          </cell>
          <cell r="G2644" t="str">
            <v>LIDIA GRICELDA DIAZ TORRES</v>
          </cell>
        </row>
        <row r="2645">
          <cell r="F2645">
            <v>90066250</v>
          </cell>
          <cell r="G2645" t="str">
            <v>ANA MARIA LOPEZ</v>
          </cell>
        </row>
        <row r="2646">
          <cell r="F2646">
            <v>90068822</v>
          </cell>
          <cell r="G2646" t="str">
            <v xml:space="preserve">KAFRI MAYERLI BAECHLI MARQUEZ </v>
          </cell>
        </row>
        <row r="2647">
          <cell r="F2647">
            <v>90048645</v>
          </cell>
          <cell r="G2647" t="str">
            <v>SHIRLEN CIPRIAN</v>
          </cell>
        </row>
        <row r="2648">
          <cell r="F2648">
            <v>90063727</v>
          </cell>
          <cell r="G2648" t="str">
            <v>Karla Aracely Esquipulas Coc</v>
          </cell>
        </row>
        <row r="2649">
          <cell r="F2649">
            <v>90084526</v>
          </cell>
          <cell r="G2649" t="str">
            <v xml:space="preserve">KEVYN JOSE RODRIGUEZ GOMEZ </v>
          </cell>
        </row>
        <row r="2650">
          <cell r="F2650">
            <v>90080262</v>
          </cell>
          <cell r="G2650" t="str">
            <v xml:space="preserve">LIDIA LORENA TICAS HUINIL </v>
          </cell>
        </row>
        <row r="2651">
          <cell r="F2651">
            <v>90084299</v>
          </cell>
          <cell r="G2651" t="str">
            <v xml:space="preserve">ENRIQUE MARDOQUEO AGUILAR RODRIGUEZ </v>
          </cell>
        </row>
        <row r="2652">
          <cell r="F2652">
            <v>90063527</v>
          </cell>
          <cell r="G2652" t="str">
            <v xml:space="preserve">SARA ELIZABETH SOL CHAVEZ </v>
          </cell>
        </row>
        <row r="2653">
          <cell r="F2653">
            <v>90060071</v>
          </cell>
          <cell r="G2653" t="str">
            <v>Maria Galilea Pascual Lic</v>
          </cell>
        </row>
        <row r="2654">
          <cell r="F2654">
            <v>90080572</v>
          </cell>
          <cell r="G2654" t="str">
            <v>KEVIN SURUY</v>
          </cell>
        </row>
        <row r="2655">
          <cell r="F2655">
            <v>90068775</v>
          </cell>
          <cell r="G2655" t="str">
            <v>BRIAN STEVEN VALENZUELA DE PAZ</v>
          </cell>
        </row>
        <row r="2656">
          <cell r="F2656">
            <v>90065408</v>
          </cell>
          <cell r="G2656" t="str">
            <v>OLGA NINETH GARCIA</v>
          </cell>
        </row>
        <row r="2657">
          <cell r="F2657">
            <v>90083461</v>
          </cell>
          <cell r="G2657" t="str">
            <v>JAZMIN RUBI RAMIREZ CHAVEZ</v>
          </cell>
        </row>
        <row r="2658">
          <cell r="F2658">
            <v>90066231</v>
          </cell>
          <cell r="G2658" t="str">
            <v>EVELYN YUNIRY URIZAR</v>
          </cell>
        </row>
        <row r="2659">
          <cell r="F2659">
            <v>90084931</v>
          </cell>
          <cell r="G2659" t="str">
            <v xml:space="preserve">HENRY ESTUARDO ARRIOLA MEDINA </v>
          </cell>
        </row>
        <row r="2660">
          <cell r="F2660">
            <v>90050052</v>
          </cell>
          <cell r="G2660" t="str">
            <v>ANDREA ROXANA SANTOS GALLARDO</v>
          </cell>
        </row>
        <row r="2661">
          <cell r="F2661">
            <v>90065518</v>
          </cell>
          <cell r="G2661" t="str">
            <v>Melani Sarai Avalos Orellana</v>
          </cell>
        </row>
        <row r="2662">
          <cell r="F2662">
            <v>90066558</v>
          </cell>
          <cell r="G2662" t="str">
            <v>Anabi Isabel Asencio Corado</v>
          </cell>
        </row>
        <row r="2663">
          <cell r="F2663">
            <v>90082649</v>
          </cell>
          <cell r="G2663" t="str">
            <v>STEVE SOLIS</v>
          </cell>
        </row>
        <row r="2664">
          <cell r="F2664">
            <v>90085860</v>
          </cell>
          <cell r="G2664" t="str">
            <v>OSCAR HUMBERTO CAAL GOMEZ</v>
          </cell>
        </row>
        <row r="2665">
          <cell r="F2665">
            <v>900666250</v>
          </cell>
          <cell r="G2665" t="str">
            <v>ANA MARIA LOPEZ</v>
          </cell>
        </row>
        <row r="2666">
          <cell r="F2666">
            <v>90068816</v>
          </cell>
          <cell r="G2666" t="str">
            <v>BRAYAN ELI GARCIA DONIS</v>
          </cell>
        </row>
        <row r="2667">
          <cell r="F2667">
            <v>90066863</v>
          </cell>
          <cell r="G2667" t="str">
            <v>DENIS JOSE IZAGUIRRE LEM</v>
          </cell>
        </row>
        <row r="2668">
          <cell r="F2668">
            <v>90082796</v>
          </cell>
          <cell r="G2668" t="str">
            <v>LILIBETH ALEGRIA</v>
          </cell>
        </row>
        <row r="2669">
          <cell r="F2669">
            <v>90084545</v>
          </cell>
          <cell r="G2669" t="str">
            <v>LIMNY ABIGAIL MORALES GONZALEZ</v>
          </cell>
        </row>
        <row r="2670">
          <cell r="F2670">
            <v>90063535</v>
          </cell>
          <cell r="G2670" t="str">
            <v>NATALIA MARCELA CORTEZ</v>
          </cell>
        </row>
        <row r="2671">
          <cell r="F2671">
            <v>90048712</v>
          </cell>
          <cell r="G2671" t="str">
            <v>BERTHA ANYELY AQUINO</v>
          </cell>
        </row>
        <row r="2672">
          <cell r="F2672">
            <v>90080714</v>
          </cell>
          <cell r="G2672" t="str">
            <v>JOHNNY ALEXANDER TEJAXUN VELASQUEZ</v>
          </cell>
        </row>
        <row r="2673">
          <cell r="F2673">
            <v>90084037</v>
          </cell>
          <cell r="G2673" t="str">
            <v>NATALIA SOFIA VASQUEZ</v>
          </cell>
        </row>
        <row r="2674">
          <cell r="F2674">
            <v>90085539</v>
          </cell>
          <cell r="G2674" t="str">
            <v>ARIANA RODAS</v>
          </cell>
        </row>
        <row r="2675">
          <cell r="F2675">
            <v>900012092</v>
          </cell>
          <cell r="G2675" t="str">
            <v>ANGELA BEATRIZ RAMIREZ ASTURIAS</v>
          </cell>
        </row>
        <row r="2676">
          <cell r="F2676">
            <v>90046426</v>
          </cell>
          <cell r="G2676" t="str">
            <v>ANDREA MISHELLE MALDONADO LÓPEZ</v>
          </cell>
        </row>
        <row r="2677">
          <cell r="F2677">
            <v>90049146</v>
          </cell>
          <cell r="G2677" t="str">
            <v>KEILY YOCASTA MEDEZ RAMOS</v>
          </cell>
        </row>
        <row r="2678">
          <cell r="F2678">
            <v>90084682</v>
          </cell>
          <cell r="G2678" t="str">
            <v>Volker Edison Gonzalez Sanabria</v>
          </cell>
        </row>
        <row r="2679">
          <cell r="F2679">
            <v>90064272</v>
          </cell>
          <cell r="G2679" t="str">
            <v>MARIA CELESTE DIAZ FAJARDO</v>
          </cell>
        </row>
        <row r="2680">
          <cell r="F2680">
            <v>90086932</v>
          </cell>
          <cell r="G2680" t="str">
            <v>MARITZA NOEMI LOPEZ LIMA</v>
          </cell>
        </row>
        <row r="2681">
          <cell r="F2681">
            <v>90086022</v>
          </cell>
          <cell r="G2681" t="str">
            <v>SERGIO ENRIQUE SONTAY MONROY</v>
          </cell>
        </row>
        <row r="2682">
          <cell r="F2682">
            <v>90085258</v>
          </cell>
          <cell r="G2682" t="str">
            <v>EMILY DAYANA GUZMÁN CANTÉ</v>
          </cell>
        </row>
        <row r="2683">
          <cell r="F2683">
            <v>90085033</v>
          </cell>
          <cell r="G2683" t="str">
            <v>MONICA ABIGAIL HERNANDEZ ALONZO</v>
          </cell>
        </row>
        <row r="2684">
          <cell r="F2684">
            <v>90084541</v>
          </cell>
          <cell r="G2684" t="str">
            <v>Rubi Ixcoy</v>
          </cell>
        </row>
        <row r="2685">
          <cell r="F2685">
            <v>90047614</v>
          </cell>
          <cell r="G2685" t="str">
            <v xml:space="preserve">ISABEL MARIA RAMOS </v>
          </cell>
        </row>
        <row r="2686">
          <cell r="F2686">
            <v>90087014</v>
          </cell>
          <cell r="G2686" t="str">
            <v>RENE FERNANDO CRUZ PEDROZA</v>
          </cell>
        </row>
        <row r="2687">
          <cell r="F2687">
            <v>90048013</v>
          </cell>
          <cell r="G2687" t="str">
            <v>SAYDA JIMENA SANCHEZ</v>
          </cell>
        </row>
        <row r="2688">
          <cell r="F2688">
            <v>90064633</v>
          </cell>
          <cell r="G2688" t="str">
            <v>NATALY KRISTEL ROCIO LAM CETIVO</v>
          </cell>
        </row>
        <row r="2689">
          <cell r="F2689">
            <v>90087185</v>
          </cell>
          <cell r="G2689" t="str">
            <v xml:space="preserve">JACKELINE KARINA CÓN VÁSQUEZ </v>
          </cell>
        </row>
        <row r="2690">
          <cell r="F2690">
            <v>90061732</v>
          </cell>
          <cell r="G2690" t="str">
            <v>ALEJANDRA CASTILLO</v>
          </cell>
        </row>
        <row r="2691">
          <cell r="F2691">
            <v>90087628</v>
          </cell>
          <cell r="G2691" t="str">
            <v>MARTHA DIAZ</v>
          </cell>
        </row>
        <row r="2692">
          <cell r="F2692">
            <v>90086483</v>
          </cell>
          <cell r="G2692" t="str">
            <v>ENEYDA NOEMÍ PÉREZ MORALES</v>
          </cell>
        </row>
        <row r="2693">
          <cell r="F2693">
            <v>90086725</v>
          </cell>
          <cell r="G2693" t="str">
            <v>EDISON RONALDO GOMEZ LOPEZ</v>
          </cell>
        </row>
        <row r="2694">
          <cell r="F2694">
            <v>90084043</v>
          </cell>
          <cell r="G2694" t="str">
            <v>FRANCOS ASUSENA CUCUL RAXTUN</v>
          </cell>
        </row>
        <row r="2695">
          <cell r="F2695">
            <v>90084011</v>
          </cell>
          <cell r="G2695" t="str">
            <v>KATHERYN MARIELA HERRERA</v>
          </cell>
        </row>
        <row r="2696">
          <cell r="F2696">
            <v>90087767</v>
          </cell>
          <cell r="G2696" t="str">
            <v xml:space="preserve">MEYLIN ANDREA VASQUEZ </v>
          </cell>
        </row>
        <row r="2697">
          <cell r="F2697">
            <v>90064625</v>
          </cell>
          <cell r="G2697" t="str">
            <v>MILDRE LETICIA VICENTE LOPEZ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"/>
      <sheetName val="Repagos"/>
      <sheetName val="Resumen"/>
      <sheetName val="AGENCIA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D339-F02A-4345-A125-7894C2C71807}">
  <sheetPr filterMode="1"/>
  <dimension ref="A1:Z663"/>
  <sheetViews>
    <sheetView topLeftCell="C1" zoomScale="88" zoomScaleNormal="80" workbookViewId="0">
      <pane ySplit="1" topLeftCell="A126" activePane="bottomLeft" state="frozen"/>
      <selection pane="bottomLeft" activeCell="D126" sqref="D126"/>
    </sheetView>
  </sheetViews>
  <sheetFormatPr baseColWidth="10" defaultColWidth="10.7265625" defaultRowHeight="14.5"/>
  <cols>
    <col min="1" max="1" width="10.7265625" style="11"/>
    <col min="2" max="3" width="8.81640625" style="11" bestFit="1" customWidth="1"/>
    <col min="4" max="4" width="10.1796875" style="11" customWidth="1"/>
    <col min="5" max="5" width="14.54296875" style="30" bestFit="1" customWidth="1"/>
    <col min="6" max="6" width="11.26953125" style="30" customWidth="1"/>
    <col min="7" max="7" width="33.08984375" style="30" customWidth="1"/>
    <col min="8" max="8" width="11.26953125" style="11" bestFit="1" customWidth="1"/>
    <col min="9" max="9" width="12.26953125" style="11" bestFit="1" customWidth="1"/>
    <col min="10" max="10" width="17.90625" style="67" bestFit="1" customWidth="1"/>
    <col min="11" max="11" width="7.26953125" style="11" customWidth="1"/>
    <col min="12" max="12" width="26.81640625" style="15" bestFit="1" customWidth="1"/>
    <col min="13" max="13" width="16.453125" style="30" customWidth="1"/>
    <col min="14" max="14" width="39.81640625" style="17" bestFit="1" customWidth="1"/>
    <col min="15" max="15" width="9.453125" style="68" bestFit="1" customWidth="1"/>
    <col min="16" max="16" width="18.1796875" style="69" customWidth="1"/>
    <col min="17" max="17" width="41.453125" style="17" bestFit="1" customWidth="1"/>
    <col min="18" max="18" width="34.26953125" style="11" bestFit="1" customWidth="1"/>
    <col min="19" max="19" width="7.81640625" style="11" bestFit="1" customWidth="1"/>
    <col min="20" max="21" width="10.7265625" style="11"/>
    <col min="22" max="22" width="14.26953125" style="11" bestFit="1" customWidth="1"/>
    <col min="23" max="16384" width="10.7265625" style="11"/>
  </cols>
  <sheetData>
    <row r="1" spans="1:26" ht="38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3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8" t="s">
        <v>15</v>
      </c>
      <c r="Q1" s="9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1" t="s">
        <v>22</v>
      </c>
      <c r="Y1" s="11" t="s">
        <v>23</v>
      </c>
      <c r="Z1" s="11" t="s">
        <v>24</v>
      </c>
    </row>
    <row r="2" spans="1:26" hidden="1">
      <c r="A2" s="11" t="s">
        <v>25</v>
      </c>
      <c r="B2" s="11" t="s">
        <v>26</v>
      </c>
      <c r="C2" s="11">
        <v>1</v>
      </c>
      <c r="D2" s="11" t="s">
        <v>27</v>
      </c>
      <c r="E2" s="12" t="s">
        <v>28</v>
      </c>
      <c r="F2" s="12">
        <v>4163</v>
      </c>
      <c r="G2" s="12" t="s">
        <v>29</v>
      </c>
      <c r="H2" s="13">
        <v>46266</v>
      </c>
      <c r="I2" s="14">
        <v>46266</v>
      </c>
      <c r="J2" s="15" t="str">
        <f>+VLOOKUP(K2,[1]Datos!$A:$C,3,FALSE)</f>
        <v>CENTRO ATLANTICO</v>
      </c>
      <c r="K2" s="11">
        <v>166</v>
      </c>
      <c r="L2" s="15" t="str">
        <f>+VLOOKUP(K2,[1]Datos!$A:$C,2,FALSE)</f>
        <v>23 CALLE</v>
      </c>
      <c r="M2" s="16">
        <v>90082796</v>
      </c>
      <c r="N2" s="17" t="str">
        <f>+VLOOKUP(M2,[1]Datos!$F:$G,2,FALSE)</f>
        <v>LILIBETH ALEGRIA</v>
      </c>
      <c r="O2" s="18">
        <f>IFERROR(IF(A2="SI",VLOOKUP(R2,[1]Datos!$J$1:$K$50,2,FALSE)*C2,VLOOKUP(R2,[1]Datos!$P$1:$T$50,2,FALSE)*C2),0)</f>
        <v>816</v>
      </c>
      <c r="P2" s="12">
        <v>303971</v>
      </c>
      <c r="Q2" s="17" t="str">
        <f>+VLOOKUP(P2,[1]Datos!$F:$G,2,FALSE)</f>
        <v>Leidy Marisol Perez Arias</v>
      </c>
      <c r="R2" s="11" t="s">
        <v>30</v>
      </c>
      <c r="S2" s="11">
        <f t="shared" ref="S2:S65" si="0">+COUNTIFS($G$2:$G$607,G2)</f>
        <v>2</v>
      </c>
      <c r="T2" s="11">
        <f>+VLOOKUP(M2,[1]Datos!$F:$H,3,FALSE)</f>
        <v>0</v>
      </c>
      <c r="U2" s="11">
        <v>0</v>
      </c>
      <c r="V2" s="19"/>
      <c r="W2" s="11" t="s">
        <v>31</v>
      </c>
      <c r="Y2" s="11" t="s">
        <v>25</v>
      </c>
      <c r="Z2" s="11" t="s">
        <v>32</v>
      </c>
    </row>
    <row r="3" spans="1:26" hidden="1">
      <c r="A3" s="11" t="s">
        <v>25</v>
      </c>
      <c r="B3" s="11" t="s">
        <v>33</v>
      </c>
      <c r="C3" s="11">
        <v>2</v>
      </c>
      <c r="D3" s="11" t="s">
        <v>27</v>
      </c>
      <c r="E3" s="20" t="s">
        <v>34</v>
      </c>
      <c r="F3" s="17">
        <v>323</v>
      </c>
      <c r="G3" s="17" t="s">
        <v>35</v>
      </c>
      <c r="H3" s="14">
        <v>46266</v>
      </c>
      <c r="I3" s="14">
        <v>46266</v>
      </c>
      <c r="J3" s="15" t="str">
        <f>+VLOOKUP(K3,[1]Datos!$A:$C,3,FALSE)</f>
        <v>CENTRO ATLANTICO</v>
      </c>
      <c r="K3" s="11">
        <v>19</v>
      </c>
      <c r="L3" s="15" t="str">
        <f>+VLOOKUP(K3,[1]Datos!$A:$C,2,FALSE)</f>
        <v>MORAZAN ZONA 2</v>
      </c>
      <c r="M3" s="17">
        <v>90060071</v>
      </c>
      <c r="N3" s="17" t="str">
        <f>+VLOOKUP(M3,[1]Datos!$F:$G,2,FALSE)</f>
        <v>Maria Galilea Pascual Lic</v>
      </c>
      <c r="O3" s="18">
        <f>IFERROR(IF(A3="SI",VLOOKUP(R3,[1]Datos!$J$1:$K$50,2,FALSE)*C3,VLOOKUP(R3,[1]Datos!$P$1:$T$50,2,FALSE)*C3),0)</f>
        <v>2856</v>
      </c>
      <c r="P3" s="17">
        <v>316080</v>
      </c>
      <c r="Q3" s="17" t="str">
        <f>+VLOOKUP(P3,[1]Datos!$F:$G,2,FALSE)</f>
        <v>Sergio David Espana Velasquez</v>
      </c>
      <c r="R3" s="11" t="s">
        <v>36</v>
      </c>
      <c r="S3" s="11">
        <f t="shared" si="0"/>
        <v>1</v>
      </c>
      <c r="T3" s="11">
        <f>+VLOOKUP(M3,[1]Datos!$F:$H,3,FALSE)</f>
        <v>0</v>
      </c>
      <c r="U3" s="11">
        <v>0</v>
      </c>
      <c r="V3" s="19"/>
    </row>
    <row r="4" spans="1:26" hidden="1">
      <c r="A4" s="11" t="s">
        <v>25</v>
      </c>
      <c r="B4" s="11" t="s">
        <v>33</v>
      </c>
      <c r="C4" s="11">
        <v>1</v>
      </c>
      <c r="D4" s="11" t="s">
        <v>27</v>
      </c>
      <c r="E4" s="12" t="s">
        <v>37</v>
      </c>
      <c r="F4" s="12">
        <v>4174</v>
      </c>
      <c r="G4" s="12" t="s">
        <v>38</v>
      </c>
      <c r="H4" s="13">
        <v>46267</v>
      </c>
      <c r="I4" s="14">
        <v>46267</v>
      </c>
      <c r="J4" s="15" t="str">
        <f>+VLOOKUP(K4,[1]Datos!$A:$C,3,FALSE)</f>
        <v>CENTRO ATLANTICO</v>
      </c>
      <c r="K4" s="11">
        <v>13</v>
      </c>
      <c r="L4" s="15" t="str">
        <f>+VLOOKUP(K4,[1]Datos!$A:$C,2,FALSE)</f>
        <v>METANORTE</v>
      </c>
      <c r="M4" s="12">
        <v>314696</v>
      </c>
      <c r="N4" s="17" t="str">
        <f>+VLOOKUP(M4,[1]Datos!$F:$G,2,FALSE)</f>
        <v>Angelica Sol Ortiz</v>
      </c>
      <c r="O4" s="18">
        <f>IFERROR(IF(A4="SI",VLOOKUP(R4,[1]Datos!$J$1:$K$50,2,FALSE)*C4,VLOOKUP(R4,[1]Datos!$P$1:$T$50,2,FALSE)*C4),0)</f>
        <v>816</v>
      </c>
      <c r="P4" s="17">
        <v>314420</v>
      </c>
      <c r="Q4" s="17" t="str">
        <f>+VLOOKUP(P4,[1]Datos!$F:$G,2,FALSE)</f>
        <v>Sandra Jeaneth Ajcuc Garcia</v>
      </c>
      <c r="R4" s="11" t="s">
        <v>30</v>
      </c>
      <c r="S4" s="11">
        <f t="shared" si="0"/>
        <v>1</v>
      </c>
      <c r="T4" s="11">
        <f>+VLOOKUP(M4,[1]Datos!$F:$H,3,FALSE)</f>
        <v>0</v>
      </c>
      <c r="U4" s="11">
        <v>0</v>
      </c>
      <c r="V4" s="19"/>
    </row>
    <row r="5" spans="1:26" hidden="1">
      <c r="A5" s="11" t="s">
        <v>25</v>
      </c>
      <c r="B5" s="11" t="s">
        <v>33</v>
      </c>
      <c r="C5" s="11">
        <v>3</v>
      </c>
      <c r="D5" s="11" t="s">
        <v>27</v>
      </c>
      <c r="E5" s="12" t="s">
        <v>39</v>
      </c>
      <c r="F5" s="12">
        <v>597</v>
      </c>
      <c r="G5" s="21" t="s">
        <v>40</v>
      </c>
      <c r="H5" s="14">
        <v>46267</v>
      </c>
      <c r="I5" s="14">
        <v>46267</v>
      </c>
      <c r="J5" s="15" t="str">
        <f>+VLOOKUP(K5,[1]Datos!$A:$C,3,FALSE)</f>
        <v>CENTRO ATLANTICO</v>
      </c>
      <c r="K5" s="22">
        <v>166</v>
      </c>
      <c r="L5" s="15" t="str">
        <f>+VLOOKUP(K5,[1]Datos!$A:$C,2,FALSE)</f>
        <v>23 CALLE</v>
      </c>
      <c r="M5" s="23">
        <v>90068775</v>
      </c>
      <c r="N5" s="17" t="str">
        <f>+VLOOKUP(M5,[1]Datos!$F:$G,2,FALSE)</f>
        <v>BRIAN STEVEN VALENZUELA DE PAZ</v>
      </c>
      <c r="O5" s="18">
        <f>IFERROR(IF(A5="SI",VLOOKUP(R5,[1]Datos!$J$1:$K$50,2,FALSE)*C5,VLOOKUP(R5,[1]Datos!$P$1:$T$50,2,FALSE)*C5),0)</f>
        <v>4104</v>
      </c>
      <c r="P5" s="12">
        <v>314028</v>
      </c>
      <c r="Q5" s="17" t="str">
        <f>+VLOOKUP(P5,[1]Datos!$F:$G,2,FALSE)</f>
        <v>Cindy Paola Garcia Monroy</v>
      </c>
      <c r="R5" s="11" t="s">
        <v>41</v>
      </c>
      <c r="S5" s="11">
        <f t="shared" si="0"/>
        <v>1</v>
      </c>
      <c r="T5" s="11">
        <f>+VLOOKUP(M5,[1]Datos!$F:$H,3,FALSE)</f>
        <v>0</v>
      </c>
      <c r="U5" s="11">
        <v>0</v>
      </c>
      <c r="V5" s="19" t="s">
        <v>42</v>
      </c>
    </row>
    <row r="6" spans="1:26" hidden="1">
      <c r="A6" s="11" t="s">
        <v>25</v>
      </c>
      <c r="B6" s="11" t="s">
        <v>33</v>
      </c>
      <c r="C6" s="11">
        <v>1</v>
      </c>
      <c r="D6" s="11" t="s">
        <v>27</v>
      </c>
      <c r="E6" s="12" t="s">
        <v>28</v>
      </c>
      <c r="F6" s="12">
        <v>4189</v>
      </c>
      <c r="G6" s="12" t="s">
        <v>43</v>
      </c>
      <c r="H6" s="14">
        <v>46267</v>
      </c>
      <c r="I6" s="14">
        <v>46267</v>
      </c>
      <c r="J6" s="15" t="str">
        <f>+VLOOKUP(K6,[1]Datos!$A:$C,3,FALSE)</f>
        <v>REFORMA</v>
      </c>
      <c r="K6" s="22">
        <v>12</v>
      </c>
      <c r="L6" s="15" t="str">
        <f>+VLOOKUP(K6,[1]Datos!$A:$C,2,FALSE)</f>
        <v>PLAZA FLORIDA</v>
      </c>
      <c r="M6" s="12">
        <v>90086725</v>
      </c>
      <c r="N6" s="17" t="str">
        <f>+VLOOKUP(M6,[1]Datos!$F:$G,2,FALSE)</f>
        <v>EDISON RONALDO GOMEZ LOPEZ</v>
      </c>
      <c r="O6" s="18">
        <f>IFERROR(IF(A6="SI",VLOOKUP(R6,[1]Datos!$J$1:$K$50,2,FALSE)*C6,VLOOKUP(R6,[1]Datos!$P$1:$T$50,2,FALSE)*C6),0)</f>
        <v>816</v>
      </c>
      <c r="P6" s="17">
        <v>301534</v>
      </c>
      <c r="Q6" s="17" t="str">
        <f>+VLOOKUP(P6,[1]Datos!$F:$G,2,FALSE)</f>
        <v>Donald Alejandro Mendez Mayen</v>
      </c>
      <c r="R6" s="11" t="s">
        <v>30</v>
      </c>
      <c r="S6" s="11">
        <f t="shared" si="0"/>
        <v>1</v>
      </c>
      <c r="T6" s="11">
        <f>+VLOOKUP(M6,[1]Datos!$F:$H,3,FALSE)</f>
        <v>0</v>
      </c>
      <c r="U6" s="11">
        <v>0</v>
      </c>
      <c r="V6" s="19"/>
    </row>
    <row r="7" spans="1:26" hidden="1">
      <c r="A7" s="11" t="s">
        <v>25</v>
      </c>
      <c r="B7" s="11" t="s">
        <v>33</v>
      </c>
      <c r="C7" s="11">
        <v>1</v>
      </c>
      <c r="D7" s="11" t="s">
        <v>27</v>
      </c>
      <c r="E7" s="12" t="s">
        <v>28</v>
      </c>
      <c r="F7" s="12">
        <v>4196</v>
      </c>
      <c r="G7" s="12" t="s">
        <v>44</v>
      </c>
      <c r="H7" s="14">
        <v>46267</v>
      </c>
      <c r="I7" s="14">
        <v>46267</v>
      </c>
      <c r="J7" s="15" t="str">
        <f>+VLOOKUP(K7,[1]Datos!$A:$C,3,FALSE)</f>
        <v>CENTRO ATLANTICO</v>
      </c>
      <c r="K7" s="22">
        <v>166</v>
      </c>
      <c r="L7" s="15" t="str">
        <f>+VLOOKUP(K7,[1]Datos!$A:$C,2,FALSE)</f>
        <v>23 CALLE</v>
      </c>
      <c r="M7" s="16">
        <v>90082796</v>
      </c>
      <c r="N7" s="17" t="str">
        <f>+VLOOKUP(M7,[1]Datos!$F:$G,2,FALSE)</f>
        <v>LILIBETH ALEGRIA</v>
      </c>
      <c r="O7" s="18">
        <f>IFERROR(IF(A7="SI",VLOOKUP(R7,[1]Datos!$J$1:$K$50,2,FALSE)*C7,VLOOKUP(R7,[1]Datos!$P$1:$T$50,2,FALSE)*C7),0)</f>
        <v>816</v>
      </c>
      <c r="P7" s="12">
        <v>303971</v>
      </c>
      <c r="Q7" s="17" t="str">
        <f>+VLOOKUP(P7,[1]Datos!$F:$G,2,FALSE)</f>
        <v>Leidy Marisol Perez Arias</v>
      </c>
      <c r="R7" s="11" t="s">
        <v>30</v>
      </c>
      <c r="S7" s="11">
        <f t="shared" si="0"/>
        <v>1</v>
      </c>
      <c r="T7" s="11">
        <f>+VLOOKUP(M7,[1]Datos!$F:$H,3,FALSE)</f>
        <v>0</v>
      </c>
      <c r="U7" s="11">
        <v>0</v>
      </c>
      <c r="V7" s="19"/>
    </row>
    <row r="8" spans="1:26" hidden="1">
      <c r="A8" s="11" t="s">
        <v>25</v>
      </c>
      <c r="B8" s="11" t="s">
        <v>33</v>
      </c>
      <c r="C8" s="22">
        <v>4</v>
      </c>
      <c r="D8" s="11" t="s">
        <v>27</v>
      </c>
      <c r="E8" s="17" t="s">
        <v>45</v>
      </c>
      <c r="F8" s="17">
        <v>628</v>
      </c>
      <c r="G8" s="17" t="s">
        <v>46</v>
      </c>
      <c r="H8" s="14">
        <v>46267</v>
      </c>
      <c r="I8" s="14">
        <v>46267</v>
      </c>
      <c r="J8" s="15" t="str">
        <f>+VLOOKUP(K8,[1]Datos!$A:$C,3,FALSE)</f>
        <v>CENTRO ATLANTICO</v>
      </c>
      <c r="K8" s="22">
        <v>7</v>
      </c>
      <c r="L8" s="15" t="str">
        <f>+VLOOKUP(K8,[1]Datos!$A:$C,2,FALSE)</f>
        <v>ZONA 8</v>
      </c>
      <c r="M8" s="17">
        <v>90015672</v>
      </c>
      <c r="N8" s="17" t="str">
        <f>+VLOOKUP(M8,[1]Datos!$F:$G,2,FALSE)</f>
        <v>Erick Geovanny Castellanos Perez</v>
      </c>
      <c r="O8" s="18">
        <f>IFERROR(IF(A8="SI",VLOOKUP(R8,[1]Datos!$J$1:$K$50,2,FALSE)*C8,VLOOKUP(R8,[1]Datos!$P$1:$T$50,2,FALSE)*C8),0)</f>
        <v>3264</v>
      </c>
      <c r="P8" s="17">
        <v>90023863</v>
      </c>
      <c r="Q8" s="17" t="str">
        <f>+VLOOKUP(P8,[1]Datos!$F:$G,2,FALSE)</f>
        <v>Sandra Patricia Luna Rodriguez Miramontes</v>
      </c>
      <c r="R8" s="11" t="s">
        <v>30</v>
      </c>
      <c r="S8" s="11">
        <f t="shared" si="0"/>
        <v>1</v>
      </c>
      <c r="T8" s="11">
        <f>+VLOOKUP(M8,[1]Datos!$F:$H,3,FALSE)</f>
        <v>0</v>
      </c>
      <c r="U8" s="11">
        <v>0</v>
      </c>
      <c r="V8" s="19" t="s">
        <v>47</v>
      </c>
    </row>
    <row r="9" spans="1:26" hidden="1">
      <c r="A9" s="11" t="s">
        <v>25</v>
      </c>
      <c r="B9" s="11" t="s">
        <v>26</v>
      </c>
      <c r="C9" s="11">
        <v>4</v>
      </c>
      <c r="D9" s="11" t="s">
        <v>27</v>
      </c>
      <c r="E9" s="12" t="s">
        <v>48</v>
      </c>
      <c r="F9" s="12">
        <v>629</v>
      </c>
      <c r="G9" s="12" t="s">
        <v>49</v>
      </c>
      <c r="H9" s="14">
        <v>46267</v>
      </c>
      <c r="I9" s="14">
        <v>46267</v>
      </c>
      <c r="J9" s="15" t="str">
        <f>+VLOOKUP(K9,[1]Datos!$A:$C,3,FALSE)</f>
        <v>CENTRO ATLANTICO</v>
      </c>
      <c r="K9" s="22">
        <v>1</v>
      </c>
      <c r="L9" s="15" t="str">
        <f>+VLOOKUP(K9,[1]Datos!$A:$C,2,FALSE)</f>
        <v>FUNDACION</v>
      </c>
      <c r="M9" s="16">
        <v>90064272</v>
      </c>
      <c r="N9" s="17" t="str">
        <f>+VLOOKUP(M9,[1]Datos!$F:$G,2,FALSE)</f>
        <v>MARIA CELESTE DIAZ FAJARDO</v>
      </c>
      <c r="O9" s="18">
        <f>IFERROR(IF(A9="SI",VLOOKUP(R9,[1]Datos!$J$1:$K$50,2,FALSE)*C9,VLOOKUP(R9,[1]Datos!$P$1:$T$50,2,FALSE)*C9),0)</f>
        <v>3264</v>
      </c>
      <c r="P9" s="12">
        <v>300999</v>
      </c>
      <c r="Q9" s="17" t="str">
        <f>+VLOOKUP(P9,[1]Datos!$F:$G,2,FALSE)</f>
        <v>Victor Adolfo Barrios Monzon</v>
      </c>
      <c r="R9" s="11" t="s">
        <v>30</v>
      </c>
      <c r="S9" s="11">
        <f t="shared" si="0"/>
        <v>1</v>
      </c>
      <c r="T9" s="11">
        <f>+VLOOKUP(M9,[1]Datos!$F:$H,3,FALSE)</f>
        <v>0</v>
      </c>
      <c r="U9" s="11">
        <v>0</v>
      </c>
      <c r="V9" s="19" t="s">
        <v>47</v>
      </c>
    </row>
    <row r="10" spans="1:26" hidden="1">
      <c r="A10" s="11" t="s">
        <v>25</v>
      </c>
      <c r="B10" s="11" t="s">
        <v>33</v>
      </c>
      <c r="C10" s="11">
        <v>1</v>
      </c>
      <c r="D10" s="11" t="s">
        <v>27</v>
      </c>
      <c r="E10" s="12" t="s">
        <v>50</v>
      </c>
      <c r="F10" s="12">
        <v>2941</v>
      </c>
      <c r="G10" s="12" t="s">
        <v>51</v>
      </c>
      <c r="H10" s="14">
        <v>46267</v>
      </c>
      <c r="I10" s="14">
        <v>46267</v>
      </c>
      <c r="J10" s="15" t="str">
        <f>+VLOOKUP(K10,[1]Datos!$A:$C,3,FALSE)</f>
        <v>CENTRO ATLANTICO</v>
      </c>
      <c r="K10" s="22">
        <v>103</v>
      </c>
      <c r="L10" s="15" t="str">
        <f>+VLOOKUP(K10,[1]Datos!$A:$C,2,FALSE)</f>
        <v>LOS ALAMOS</v>
      </c>
      <c r="M10" s="23">
        <v>90066231</v>
      </c>
      <c r="N10" s="17" t="str">
        <f>+VLOOKUP(M10,[1]Datos!$F:$G,2,FALSE)</f>
        <v>EVELYN YUNIRY URIZAR</v>
      </c>
      <c r="O10" s="18">
        <f>IFERROR(IF(A10="SI",VLOOKUP(R10,[1]Datos!$J$1:$K$50,2,FALSE)*C10,VLOOKUP(R10,[1]Datos!$P$1:$T$50,2,FALSE)*C10),0)</f>
        <v>1428</v>
      </c>
      <c r="P10" s="12">
        <v>305989</v>
      </c>
      <c r="Q10" s="17" t="str">
        <f>+VLOOKUP(P10,[1]Datos!$F:$G,2,FALSE)</f>
        <v>Wuilson Ottoniel Hernandez Alonzo</v>
      </c>
      <c r="R10" s="11" t="s">
        <v>36</v>
      </c>
      <c r="S10" s="11">
        <f t="shared" si="0"/>
        <v>1</v>
      </c>
      <c r="T10" s="11">
        <f>+VLOOKUP(M10,[1]Datos!$F:$H,3,FALSE)</f>
        <v>0</v>
      </c>
      <c r="U10" s="11">
        <v>0</v>
      </c>
      <c r="V10" s="19" t="s">
        <v>47</v>
      </c>
    </row>
    <row r="11" spans="1:26" hidden="1">
      <c r="A11" s="11" t="s">
        <v>25</v>
      </c>
      <c r="B11" s="11" t="s">
        <v>26</v>
      </c>
      <c r="C11" s="11">
        <v>2</v>
      </c>
      <c r="D11" s="11" t="s">
        <v>27</v>
      </c>
      <c r="E11" s="12" t="s">
        <v>52</v>
      </c>
      <c r="F11" s="12">
        <v>1113</v>
      </c>
      <c r="G11" s="12" t="s">
        <v>53</v>
      </c>
      <c r="H11" s="14">
        <v>46267</v>
      </c>
      <c r="I11" s="14">
        <v>46267</v>
      </c>
      <c r="J11" s="15" t="str">
        <f>+VLOOKUP(K11,[1]Datos!$A:$C,3,FALSE)</f>
        <v>REFORMA</v>
      </c>
      <c r="K11" s="22">
        <v>12</v>
      </c>
      <c r="L11" s="15" t="str">
        <f>+VLOOKUP(K11,[1]Datos!$A:$C,2,FALSE)</f>
        <v>PLAZA FLORIDA</v>
      </c>
      <c r="M11" s="24">
        <v>90046220</v>
      </c>
      <c r="N11" s="17" t="str">
        <f>+VLOOKUP(M11,[1]Datos!$F:$G,2,FALSE)</f>
        <v>Katherin Jazmin Lemus Marcos</v>
      </c>
      <c r="O11" s="25">
        <f>IFERROR(IF(A11="SI",VLOOKUP(R11,[1]Datos!$J$1:$K$50,2,FALSE)*C11,VLOOKUP(R11,[1]Datos!$P$1:$T$50,2,FALSE)*C11),0)</f>
        <v>1632</v>
      </c>
      <c r="P11" s="12">
        <v>301534</v>
      </c>
      <c r="Q11" s="17" t="str">
        <f>+VLOOKUP(P11,[1]Datos!$F:$G,2,FALSE)</f>
        <v>Donald Alejandro Mendez Mayen</v>
      </c>
      <c r="R11" s="11" t="s">
        <v>30</v>
      </c>
      <c r="S11" s="11">
        <f t="shared" si="0"/>
        <v>1</v>
      </c>
      <c r="T11" s="11">
        <f>+VLOOKUP(M11,[1]Datos!$F:$H,3,FALSE)</f>
        <v>0</v>
      </c>
      <c r="U11" s="11">
        <v>0</v>
      </c>
      <c r="V11" s="19" t="s">
        <v>47</v>
      </c>
    </row>
    <row r="12" spans="1:26" hidden="1">
      <c r="A12" s="11" t="s">
        <v>25</v>
      </c>
      <c r="B12" s="11" t="s">
        <v>33</v>
      </c>
      <c r="C12" s="11">
        <v>1</v>
      </c>
      <c r="D12" s="11" t="s">
        <v>27</v>
      </c>
      <c r="E12" s="17" t="s">
        <v>50</v>
      </c>
      <c r="F12" s="17">
        <v>2942</v>
      </c>
      <c r="G12" s="17" t="s">
        <v>54</v>
      </c>
      <c r="H12" s="14">
        <v>46267</v>
      </c>
      <c r="I12" s="14">
        <v>46267</v>
      </c>
      <c r="J12" s="17" t="str">
        <f>+VLOOKUP(K12,[1]Datos!$A:$C,3,FALSE)</f>
        <v>CENTRO ATLANTICO</v>
      </c>
      <c r="K12" s="15">
        <v>19</v>
      </c>
      <c r="L12" s="15" t="str">
        <f>+VLOOKUP(K12,[1]Datos!$A:$C,2,FALSE)</f>
        <v>MORAZAN ZONA 2</v>
      </c>
      <c r="M12" s="17">
        <v>90060071</v>
      </c>
      <c r="N12" s="17" t="str">
        <f>+VLOOKUP(M12,[1]Datos!$F:$G,2,FALSE)</f>
        <v>Maria Galilea Pascual Lic</v>
      </c>
      <c r="O12" s="25">
        <f>IFERROR(IF(A12="SI",VLOOKUP(R12,[1]Datos!$J$1:$K$50,2,FALSE)*C12,VLOOKUP(R12,[1]Datos!$P$1:$T$50,2,FALSE)*C12),0)</f>
        <v>2004</v>
      </c>
      <c r="P12" s="17">
        <v>316080</v>
      </c>
      <c r="Q12" s="17" t="str">
        <f>+VLOOKUP(P12,[1]Datos!$F:$G,2,FALSE)</f>
        <v>Sergio David Espana Velasquez</v>
      </c>
      <c r="R12" s="11" t="s">
        <v>55</v>
      </c>
      <c r="S12" s="11">
        <f t="shared" si="0"/>
        <v>1</v>
      </c>
      <c r="T12" s="11">
        <f>+VLOOKUP(M12,[1]Datos!$F:$H,3,FALSE)</f>
        <v>0</v>
      </c>
      <c r="U12" s="11">
        <v>0</v>
      </c>
      <c r="V12" s="19" t="s">
        <v>47</v>
      </c>
    </row>
    <row r="13" spans="1:26" hidden="1">
      <c r="A13" s="11" t="s">
        <v>25</v>
      </c>
      <c r="B13" s="11" t="s">
        <v>26</v>
      </c>
      <c r="C13" s="11">
        <v>1</v>
      </c>
      <c r="D13" s="11" t="s">
        <v>27</v>
      </c>
      <c r="E13" s="12" t="s">
        <v>56</v>
      </c>
      <c r="F13" s="12">
        <v>4318</v>
      </c>
      <c r="G13" s="12" t="s">
        <v>57</v>
      </c>
      <c r="H13" s="14">
        <v>46267</v>
      </c>
      <c r="I13" s="14">
        <v>46267</v>
      </c>
      <c r="J13" s="17" t="str">
        <f>+VLOOKUP(K13,[1]Datos!$A:$C,3,FALSE)</f>
        <v>CENTRO ATLANTICO</v>
      </c>
      <c r="K13" s="11">
        <v>87</v>
      </c>
      <c r="L13" s="15" t="str">
        <f>+VLOOKUP(K13,[1]Datos!$A:$C,2,FALSE)</f>
        <v>EL NARANJO</v>
      </c>
      <c r="M13" s="17">
        <v>90087628</v>
      </c>
      <c r="N13" s="17" t="str">
        <f>+VLOOKUP(M13,[1]Datos!$F:$G,2,FALSE)</f>
        <v>MARTHA DIAZ</v>
      </c>
      <c r="O13" s="25">
        <f>IFERROR(IF(A13="SI",VLOOKUP(R13,[1]Datos!$J$1:$K$50,2,FALSE)*C13,VLOOKUP(R13,[1]Datos!$P$1:$T$50,2,FALSE)*C13),0)</f>
        <v>816</v>
      </c>
      <c r="P13" s="12">
        <v>310538</v>
      </c>
      <c r="Q13" s="17" t="str">
        <f>+VLOOKUP(P13,[1]Datos!$F:$G,2,FALSE)</f>
        <v>Kevin Orlando Ventura Lopez</v>
      </c>
      <c r="R13" s="11" t="s">
        <v>30</v>
      </c>
      <c r="S13" s="11">
        <f t="shared" si="0"/>
        <v>1</v>
      </c>
      <c r="T13" s="11">
        <f>+VLOOKUP(M13,[1]Datos!$F:$H,3,FALSE)</f>
        <v>0</v>
      </c>
      <c r="U13" s="11">
        <v>0</v>
      </c>
      <c r="V13" s="19" t="s">
        <v>47</v>
      </c>
    </row>
    <row r="14" spans="1:26" hidden="1">
      <c r="A14" s="11" t="s">
        <v>25</v>
      </c>
      <c r="B14" s="11" t="s">
        <v>26</v>
      </c>
      <c r="C14" s="11">
        <v>4</v>
      </c>
      <c r="D14" s="11" t="s">
        <v>27</v>
      </c>
      <c r="E14" s="12" t="s">
        <v>58</v>
      </c>
      <c r="F14" s="12">
        <v>632</v>
      </c>
      <c r="G14" s="12" t="s">
        <v>59</v>
      </c>
      <c r="H14" s="14">
        <v>46267</v>
      </c>
      <c r="I14" s="14">
        <v>46267</v>
      </c>
      <c r="J14" s="17" t="str">
        <f>+VLOOKUP(K14,[1]Datos!$A:$C,3,FALSE)</f>
        <v>CENTRO ATLANTICO</v>
      </c>
      <c r="K14" s="22">
        <v>148</v>
      </c>
      <c r="L14" s="15" t="str">
        <f>+VLOOKUP(K14,[1]Datos!$A:$C,2,FALSE)</f>
        <v>SANARATE</v>
      </c>
      <c r="M14" s="26">
        <v>312044</v>
      </c>
      <c r="N14" s="17" t="str">
        <f>+VLOOKUP(M14,[1]Datos!$F:$G,2,FALSE)</f>
        <v>Magda Danira Catalan Paz</v>
      </c>
      <c r="O14" s="25">
        <f>IFERROR(IF(A14="SI",VLOOKUP(R14,[1]Datos!$J$1:$K$50,2,FALSE)*C14,VLOOKUP(R14,[1]Datos!$P$1:$T$50,2,FALSE)*C14),0)</f>
        <v>10944</v>
      </c>
      <c r="P14" s="12">
        <v>306444</v>
      </c>
      <c r="Q14" s="17" t="str">
        <f>+VLOOKUP(P14,[1]Datos!$F:$G,2,FALSE)</f>
        <v>Claudia Dolores Barcenas Guillen</v>
      </c>
      <c r="R14" s="11" t="s">
        <v>60</v>
      </c>
      <c r="S14" s="11">
        <f t="shared" si="0"/>
        <v>1</v>
      </c>
      <c r="T14" s="11">
        <f>+VLOOKUP(M14,[1]Datos!$F:$H,3,FALSE)</f>
        <v>0</v>
      </c>
      <c r="U14" s="11">
        <v>0</v>
      </c>
      <c r="V14" s="19" t="s">
        <v>47</v>
      </c>
    </row>
    <row r="15" spans="1:26" hidden="1">
      <c r="A15" s="11" t="s">
        <v>25</v>
      </c>
      <c r="B15" s="11" t="s">
        <v>26</v>
      </c>
      <c r="C15" s="11">
        <v>2</v>
      </c>
      <c r="D15" s="11" t="s">
        <v>27</v>
      </c>
      <c r="E15" s="12" t="s">
        <v>52</v>
      </c>
      <c r="F15" s="12">
        <v>1098</v>
      </c>
      <c r="G15" s="21" t="s">
        <v>61</v>
      </c>
      <c r="H15" s="14">
        <v>46267</v>
      </c>
      <c r="I15" s="14">
        <v>46267</v>
      </c>
      <c r="J15" s="17" t="str">
        <f>+VLOOKUP(K15,[1]Datos!$A:$C,3,FALSE)</f>
        <v>CENTRO ATLANTICO</v>
      </c>
      <c r="K15" s="22">
        <v>2</v>
      </c>
      <c r="L15" s="15" t="str">
        <f>+VLOOKUP(K15,[1]Datos!$A:$C,2,FALSE)</f>
        <v>ZONA 1</v>
      </c>
      <c r="M15" s="24">
        <v>90063417</v>
      </c>
      <c r="N15" s="17" t="str">
        <f>+VLOOKUP(M15,[1]Datos!$F:$G,2,FALSE)</f>
        <v>LIDIA GRICELDA DIAZ TORRES</v>
      </c>
      <c r="O15" s="25">
        <f>IFERROR(IF(A15="SI",VLOOKUP(R15,[1]Datos!$J$1:$K$50,2,FALSE)*C15,VLOOKUP(R15,[1]Datos!$P$1:$T$50,2,FALSE)*C15),0)</f>
        <v>10920</v>
      </c>
      <c r="P15" s="12">
        <v>315179</v>
      </c>
      <c r="Q15" s="17" t="str">
        <f>+VLOOKUP(P15,[1]Datos!$F:$G,2,FALSE)</f>
        <v>Ricardo Alfonso Chan Lopez</v>
      </c>
      <c r="R15" s="11" t="s">
        <v>62</v>
      </c>
      <c r="S15" s="11">
        <f t="shared" si="0"/>
        <v>1</v>
      </c>
      <c r="T15" s="11">
        <f>+VLOOKUP(M15,[1]Datos!$F:$H,3,FALSE)</f>
        <v>0</v>
      </c>
      <c r="U15" s="11">
        <v>0</v>
      </c>
      <c r="V15" s="19" t="s">
        <v>47</v>
      </c>
    </row>
    <row r="16" spans="1:26" hidden="1">
      <c r="A16" s="11" t="s">
        <v>25</v>
      </c>
      <c r="B16" s="11" t="s">
        <v>26</v>
      </c>
      <c r="C16" s="11">
        <v>4</v>
      </c>
      <c r="D16" s="11" t="s">
        <v>27</v>
      </c>
      <c r="E16" s="12" t="s">
        <v>58</v>
      </c>
      <c r="F16" s="12">
        <v>636</v>
      </c>
      <c r="G16" s="12" t="s">
        <v>63</v>
      </c>
      <c r="H16" s="27">
        <v>46268</v>
      </c>
      <c r="I16" s="27">
        <v>46268</v>
      </c>
      <c r="J16" s="17" t="str">
        <f>+VLOOKUP(K16,[1]Datos!$A:$C,3,FALSE)</f>
        <v>CENTRO ATLANTICO</v>
      </c>
      <c r="K16" s="11">
        <v>134</v>
      </c>
      <c r="L16" s="15" t="str">
        <f>+VLOOKUP(K16,[1]Datos!$A:$C,2,FALSE)</f>
        <v>GUASTATOYA</v>
      </c>
      <c r="M16" s="12">
        <v>90025188</v>
      </c>
      <c r="N16" s="17" t="str">
        <f>+VLOOKUP(M16,[1]Datos!$F:$G,2,FALSE)</f>
        <v>Sindy Gabriela Rivas Ochoa</v>
      </c>
      <c r="O16" s="25">
        <f>IFERROR(IF(A16="SI",VLOOKUP(R16,[1]Datos!$J$1:$K$50,2,FALSE)*C16,VLOOKUP(R16,[1]Datos!$P$1:$T$50,2,FALSE)*C16),0)</f>
        <v>3264</v>
      </c>
      <c r="P16" s="12">
        <v>315408</v>
      </c>
      <c r="Q16" s="17" t="str">
        <f>+VLOOKUP(P16,[1]Datos!$F:$G,2,FALSE)</f>
        <v>Sandy Suset Morales Barrientos</v>
      </c>
      <c r="R16" s="11" t="s">
        <v>30</v>
      </c>
      <c r="S16" s="11">
        <f t="shared" si="0"/>
        <v>1</v>
      </c>
      <c r="T16" s="11">
        <f>+VLOOKUP(M16,[1]Datos!$F:$H,3,FALSE)</f>
        <v>0</v>
      </c>
      <c r="U16" s="11">
        <v>0</v>
      </c>
      <c r="V16" s="19" t="s">
        <v>47</v>
      </c>
    </row>
    <row r="17" spans="1:22" hidden="1">
      <c r="A17" s="11" t="s">
        <v>25</v>
      </c>
      <c r="B17" s="11" t="s">
        <v>33</v>
      </c>
      <c r="C17" s="11">
        <v>1</v>
      </c>
      <c r="D17" s="11" t="s">
        <v>27</v>
      </c>
      <c r="E17" s="12" t="s">
        <v>28</v>
      </c>
      <c r="F17" s="12">
        <v>4218</v>
      </c>
      <c r="G17" s="12" t="s">
        <v>64</v>
      </c>
      <c r="H17" s="27">
        <v>46268</v>
      </c>
      <c r="I17" s="27">
        <v>46268</v>
      </c>
      <c r="J17" s="17" t="str">
        <f>+VLOOKUP(K17,[1]Datos!$A:$C,3,FALSE)</f>
        <v>CENTRO ATLANTICO</v>
      </c>
      <c r="K17" s="22">
        <v>13</v>
      </c>
      <c r="L17" s="15" t="str">
        <f>+VLOOKUP(K17,[1]Datos!$A:$C,2,FALSE)</f>
        <v>METANORTE</v>
      </c>
      <c r="M17" s="12">
        <v>314696</v>
      </c>
      <c r="N17" s="17" t="str">
        <f>+VLOOKUP(M17,[1]Datos!$F:$G,2,FALSE)</f>
        <v>Angelica Sol Ortiz</v>
      </c>
      <c r="O17" s="25">
        <f>IFERROR(IF(A17="SI",VLOOKUP(R17,[1]Datos!$J$1:$K$50,2,FALSE)*C17,VLOOKUP(R17,[1]Datos!$P$1:$T$50,2,FALSE)*C17),0)</f>
        <v>816</v>
      </c>
      <c r="P17" s="17">
        <v>315624</v>
      </c>
      <c r="Q17" s="17" t="str">
        <f>+VLOOKUP(P17,[1]Datos!$F:$G,2,FALSE)</f>
        <v>Damaris Azucena Canahui Barillas</v>
      </c>
      <c r="R17" s="11" t="s">
        <v>30</v>
      </c>
      <c r="S17" s="11">
        <f t="shared" si="0"/>
        <v>1</v>
      </c>
      <c r="T17" s="11">
        <f>+VLOOKUP(M17,[1]Datos!$F:$H,3,FALSE)</f>
        <v>0</v>
      </c>
      <c r="U17" s="11">
        <v>0</v>
      </c>
      <c r="V17" s="19" t="s">
        <v>47</v>
      </c>
    </row>
    <row r="18" spans="1:22" hidden="1">
      <c r="A18" s="11" t="s">
        <v>25</v>
      </c>
      <c r="B18" s="11" t="s">
        <v>26</v>
      </c>
      <c r="C18" s="11">
        <v>4</v>
      </c>
      <c r="D18" s="11" t="s">
        <v>27</v>
      </c>
      <c r="E18" s="12" t="s">
        <v>65</v>
      </c>
      <c r="F18" s="12">
        <v>35</v>
      </c>
      <c r="G18" s="12" t="s">
        <v>66</v>
      </c>
      <c r="H18" s="27">
        <v>46268</v>
      </c>
      <c r="I18" s="27">
        <v>46268</v>
      </c>
      <c r="J18" s="17" t="str">
        <f>+VLOOKUP(K18,[1]Datos!$A:$C,3,FALSE)</f>
        <v>CENTRO ATLANTICO</v>
      </c>
      <c r="K18" s="22">
        <v>98</v>
      </c>
      <c r="L18" s="15" t="str">
        <f>+VLOOKUP(K18,[1]Datos!$A:$C,2,FALSE)</f>
        <v>CALLE MARTI</v>
      </c>
      <c r="M18" s="28">
        <v>316322</v>
      </c>
      <c r="N18" s="17" t="str">
        <f>+VLOOKUP(M18,[1]Datos!$F:$G,2,FALSE)</f>
        <v xml:space="preserve">Gabriela Janet Crisostomo Xuya </v>
      </c>
      <c r="O18" s="25">
        <f>IFERROR(IF(A18="SI",VLOOKUP(R18,[1]Datos!$J$1:$K$50,2,FALSE)*C18,VLOOKUP(R18,[1]Datos!$P$1:$T$50,2,FALSE)*C18),0)</f>
        <v>4032</v>
      </c>
      <c r="P18" s="12">
        <v>313528</v>
      </c>
      <c r="Q18" s="17" t="str">
        <f>+VLOOKUP(P18,[1]Datos!$F:$G,2,FALSE)</f>
        <v>Amairani Lilibeth Escobar Maquin</v>
      </c>
      <c r="R18" s="11" t="s">
        <v>67</v>
      </c>
      <c r="S18" s="11">
        <f t="shared" si="0"/>
        <v>2</v>
      </c>
      <c r="T18" s="11">
        <f>+VLOOKUP(M18,[1]Datos!$F:$H,3,FALSE)</f>
        <v>0</v>
      </c>
      <c r="U18" s="11">
        <v>0</v>
      </c>
      <c r="V18" s="19" t="s">
        <v>47</v>
      </c>
    </row>
    <row r="19" spans="1:22" hidden="1">
      <c r="A19" s="11" t="s">
        <v>25</v>
      </c>
      <c r="B19" s="11" t="s">
        <v>33</v>
      </c>
      <c r="C19" s="11">
        <v>4</v>
      </c>
      <c r="D19" s="11" t="s">
        <v>27</v>
      </c>
      <c r="E19" s="12" t="s">
        <v>58</v>
      </c>
      <c r="F19" s="12">
        <v>638</v>
      </c>
      <c r="G19" s="12" t="s">
        <v>68</v>
      </c>
      <c r="H19" s="27">
        <v>46268</v>
      </c>
      <c r="I19" s="27">
        <v>46268</v>
      </c>
      <c r="J19" s="17" t="str">
        <f>+VLOOKUP(K19,[1]Datos!$A:$C,3,FALSE)</f>
        <v>CENTRO ATLANTICO</v>
      </c>
      <c r="K19" s="22">
        <v>134</v>
      </c>
      <c r="L19" s="15" t="str">
        <f>+VLOOKUP(K19,[1]Datos!$A:$C,2,FALSE)</f>
        <v>GUASTATOYA</v>
      </c>
      <c r="M19" s="12">
        <v>90025188</v>
      </c>
      <c r="N19" s="17" t="str">
        <f>+VLOOKUP(M19,[1]Datos!$F:$G,2,FALSE)</f>
        <v>Sindy Gabriela Rivas Ochoa</v>
      </c>
      <c r="O19" s="25">
        <f>IFERROR(IF(A19="SI",VLOOKUP(R19,[1]Datos!$J$1:$K$50,2,FALSE)*C19,VLOOKUP(R19,[1]Datos!$P$1:$T$50,2,FALSE)*C19),0)</f>
        <v>3264</v>
      </c>
      <c r="P19" s="12">
        <v>315408</v>
      </c>
      <c r="Q19" s="17" t="str">
        <f>+VLOOKUP(P19,[1]Datos!$F:$G,2,FALSE)</f>
        <v>Sandy Suset Morales Barrientos</v>
      </c>
      <c r="R19" s="11" t="s">
        <v>30</v>
      </c>
      <c r="S19" s="11">
        <f t="shared" si="0"/>
        <v>1</v>
      </c>
      <c r="T19" s="11">
        <f>+VLOOKUP(M19,[1]Datos!$F:$H,3,FALSE)</f>
        <v>0</v>
      </c>
      <c r="U19" s="11">
        <v>0</v>
      </c>
      <c r="V19" s="19" t="s">
        <v>47</v>
      </c>
    </row>
    <row r="20" spans="1:22" hidden="1">
      <c r="A20" s="11" t="s">
        <v>25</v>
      </c>
      <c r="B20" s="11" t="s">
        <v>33</v>
      </c>
      <c r="C20" s="11">
        <v>2</v>
      </c>
      <c r="D20" s="11" t="s">
        <v>27</v>
      </c>
      <c r="E20" s="12" t="s">
        <v>69</v>
      </c>
      <c r="F20" s="12">
        <v>1118</v>
      </c>
      <c r="G20" s="12" t="s">
        <v>70</v>
      </c>
      <c r="H20" s="27">
        <v>46268</v>
      </c>
      <c r="I20" s="27">
        <v>46268</v>
      </c>
      <c r="J20" s="17" t="str">
        <f>+VLOOKUP(K20,[1]Datos!$A:$C,3,FALSE)</f>
        <v>CENTRO ATLANTICO</v>
      </c>
      <c r="K20" s="11">
        <v>166</v>
      </c>
      <c r="L20" s="15" t="str">
        <f>+VLOOKUP(K20,[1]Datos!$A:$C,2,FALSE)</f>
        <v>23 CALLE</v>
      </c>
      <c r="M20" s="24">
        <v>90082796</v>
      </c>
      <c r="N20" s="17" t="str">
        <f>+VLOOKUP(M20,[1]Datos!$F:$G,2,FALSE)</f>
        <v>LILIBETH ALEGRIA</v>
      </c>
      <c r="O20" s="25">
        <f>IFERROR(IF(A20="SI",VLOOKUP(R20,[1]Datos!$J$1:$K$50,2,FALSE)*C20,VLOOKUP(R20,[1]Datos!$P$1:$T$50,2,FALSE)*C20),0)</f>
        <v>1632</v>
      </c>
      <c r="P20" s="12">
        <v>303971</v>
      </c>
      <c r="Q20" s="17" t="str">
        <f>+VLOOKUP(P20,[1]Datos!$F:$G,2,FALSE)</f>
        <v>Leidy Marisol Perez Arias</v>
      </c>
      <c r="R20" s="11" t="s">
        <v>30</v>
      </c>
      <c r="S20" s="11">
        <f t="shared" si="0"/>
        <v>1</v>
      </c>
      <c r="T20" s="11">
        <f>+VLOOKUP(M20,[1]Datos!$F:$H,3,FALSE)</f>
        <v>0</v>
      </c>
      <c r="U20" s="11">
        <v>0</v>
      </c>
      <c r="V20" s="19" t="s">
        <v>47</v>
      </c>
    </row>
    <row r="21" spans="1:22" hidden="1">
      <c r="A21" s="11" t="s">
        <v>25</v>
      </c>
      <c r="B21" s="11" t="s">
        <v>26</v>
      </c>
      <c r="C21" s="11">
        <v>1</v>
      </c>
      <c r="D21" s="11" t="s">
        <v>27</v>
      </c>
      <c r="E21" s="12" t="s">
        <v>37</v>
      </c>
      <c r="F21" s="12">
        <v>4220</v>
      </c>
      <c r="G21" s="21" t="s">
        <v>71</v>
      </c>
      <c r="H21" s="27">
        <v>46268</v>
      </c>
      <c r="I21" s="27">
        <v>46268</v>
      </c>
      <c r="J21" s="17" t="str">
        <f>+VLOOKUP(K21,[1]Datos!$A:$C,3,FALSE)</f>
        <v>CENTRO ATLANTICO</v>
      </c>
      <c r="K21" s="22">
        <v>2</v>
      </c>
      <c r="L21" s="15" t="str">
        <f>+VLOOKUP(K21,[1]Datos!$A:$C,2,FALSE)</f>
        <v>ZONA 1</v>
      </c>
      <c r="M21" s="24">
        <v>90084043</v>
      </c>
      <c r="N21" s="17" t="str">
        <f>+VLOOKUP(M21,[1]Datos!$F:$G,2,FALSE)</f>
        <v>FRANCOS ASUSENA CUCUL RAXTUN</v>
      </c>
      <c r="O21" s="25">
        <f>IFERROR(IF(A21="SI",VLOOKUP(R21,[1]Datos!$J$1:$K$50,2,FALSE)*C21,VLOOKUP(R21,[1]Datos!$P$1:$T$50,2,FALSE)*C21),0)</f>
        <v>816</v>
      </c>
      <c r="P21" s="12">
        <v>315179</v>
      </c>
      <c r="Q21" s="17" t="str">
        <f>+VLOOKUP(P21,[1]Datos!$F:$G,2,FALSE)</f>
        <v>Ricardo Alfonso Chan Lopez</v>
      </c>
      <c r="R21" s="11" t="s">
        <v>30</v>
      </c>
      <c r="S21" s="11">
        <f t="shared" si="0"/>
        <v>1</v>
      </c>
      <c r="T21" s="11">
        <f>+VLOOKUP(M21,[1]Datos!$F:$H,3,FALSE)</f>
        <v>0</v>
      </c>
      <c r="U21" s="11">
        <v>0</v>
      </c>
      <c r="V21" s="19" t="s">
        <v>47</v>
      </c>
    </row>
    <row r="22" spans="1:22" hidden="1">
      <c r="A22" s="11" t="s">
        <v>25</v>
      </c>
      <c r="B22" s="11" t="s">
        <v>26</v>
      </c>
      <c r="C22" s="11">
        <v>1</v>
      </c>
      <c r="D22" s="11" t="s">
        <v>27</v>
      </c>
      <c r="E22" s="12" t="s">
        <v>37</v>
      </c>
      <c r="F22" s="12">
        <v>4187</v>
      </c>
      <c r="G22" s="21" t="s">
        <v>72</v>
      </c>
      <c r="H22" s="27">
        <v>46268</v>
      </c>
      <c r="I22" s="27">
        <v>46268</v>
      </c>
      <c r="J22" s="17" t="str">
        <f>+VLOOKUP(K22,[1]Datos!$A:$C,3,FALSE)</f>
        <v>CENTRO ATLANTICO</v>
      </c>
      <c r="K22" s="11">
        <v>2</v>
      </c>
      <c r="L22" s="15" t="str">
        <f>+VLOOKUP(K22,[1]Datos!$A:$C,2,FALSE)</f>
        <v>ZONA 1</v>
      </c>
      <c r="M22" s="24">
        <v>90049037</v>
      </c>
      <c r="N22" s="17" t="str">
        <f>+VLOOKUP(M22,[1]Datos!$F:$G,2,FALSE)</f>
        <v>Flor Estefany Cun Lopez</v>
      </c>
      <c r="O22" s="25">
        <f>IFERROR(IF(A22="SI",VLOOKUP(R22,[1]Datos!$J$1:$K$50,2,FALSE)*C22,VLOOKUP(R22,[1]Datos!$P$1:$T$50,2,FALSE)*C22),0)</f>
        <v>816</v>
      </c>
      <c r="P22" s="12">
        <v>315179</v>
      </c>
      <c r="Q22" s="17" t="str">
        <f>+VLOOKUP(P22,[1]Datos!$F:$G,2,FALSE)</f>
        <v>Ricardo Alfonso Chan Lopez</v>
      </c>
      <c r="R22" s="11" t="s">
        <v>30</v>
      </c>
      <c r="S22" s="11">
        <f t="shared" si="0"/>
        <v>1</v>
      </c>
      <c r="T22" s="11">
        <f>+VLOOKUP(M22,[1]Datos!$F:$H,3,FALSE)</f>
        <v>0</v>
      </c>
      <c r="U22" s="11">
        <v>0</v>
      </c>
      <c r="V22" s="19" t="s">
        <v>47</v>
      </c>
    </row>
    <row r="23" spans="1:22" hidden="1">
      <c r="A23" s="11" t="s">
        <v>25</v>
      </c>
      <c r="B23" s="11" t="s">
        <v>33</v>
      </c>
      <c r="C23" s="11">
        <v>2</v>
      </c>
      <c r="D23" s="11" t="s">
        <v>73</v>
      </c>
      <c r="E23" s="17" t="s">
        <v>52</v>
      </c>
      <c r="F23" s="17">
        <v>1119</v>
      </c>
      <c r="G23" s="17" t="s">
        <v>74</v>
      </c>
      <c r="H23" s="27">
        <v>46268</v>
      </c>
      <c r="I23" s="27">
        <v>46268</v>
      </c>
      <c r="J23" s="17" t="str">
        <f>+VLOOKUP(K23,[1]Datos!$A:$C,3,FALSE)</f>
        <v>CENTRO ATLANTICO</v>
      </c>
      <c r="K23" s="15">
        <v>19</v>
      </c>
      <c r="L23" s="15" t="str">
        <f>+VLOOKUP(K23,[1]Datos!$A:$C,2,FALSE)</f>
        <v>MORAZAN ZONA 2</v>
      </c>
      <c r="M23" s="17">
        <v>90063727</v>
      </c>
      <c r="N23" s="17" t="str">
        <f>+VLOOKUP(M23,[1]Datos!$F:$G,2,FALSE)</f>
        <v>Karla Aracely Esquipulas Coc</v>
      </c>
      <c r="O23" s="25">
        <f>IFERROR(IF(A23="SI",VLOOKUP(R23,[1]Datos!$J$1:$K$50,2,FALSE)*C23,VLOOKUP(R23,[1]Datos!$P$1:$T$50,2,FALSE)*C23),0)</f>
        <v>1632</v>
      </c>
      <c r="P23" s="17">
        <v>316080</v>
      </c>
      <c r="Q23" s="17" t="str">
        <f>+VLOOKUP(P23,[1]Datos!$F:$G,2,FALSE)</f>
        <v>Sergio David Espana Velasquez</v>
      </c>
      <c r="R23" s="11" t="s">
        <v>30</v>
      </c>
      <c r="S23" s="11">
        <f t="shared" si="0"/>
        <v>1</v>
      </c>
      <c r="T23" s="11">
        <f>+VLOOKUP(M23,[1]Datos!$F:$H,3,FALSE)</f>
        <v>0</v>
      </c>
      <c r="U23" s="11">
        <v>0</v>
      </c>
      <c r="V23" s="19"/>
    </row>
    <row r="24" spans="1:22" hidden="1">
      <c r="A24" s="11" t="s">
        <v>25</v>
      </c>
      <c r="B24" s="11" t="s">
        <v>26</v>
      </c>
      <c r="C24" s="11">
        <v>4</v>
      </c>
      <c r="D24" s="11" t="s">
        <v>73</v>
      </c>
      <c r="E24" s="17" t="s">
        <v>45</v>
      </c>
      <c r="F24" s="17">
        <v>645</v>
      </c>
      <c r="G24" s="17" t="s">
        <v>75</v>
      </c>
      <c r="H24" s="27">
        <v>46268</v>
      </c>
      <c r="I24" s="27">
        <v>46268</v>
      </c>
      <c r="J24" s="17" t="str">
        <f>+VLOOKUP(K24,[1]Datos!$A:$C,3,FALSE)</f>
        <v>CENTRO ATLANTICO</v>
      </c>
      <c r="K24" s="22">
        <v>7</v>
      </c>
      <c r="L24" s="15" t="str">
        <f>+VLOOKUP(K24,[1]Datos!$A:$C,2,FALSE)</f>
        <v>ZONA 8</v>
      </c>
      <c r="M24" s="17">
        <v>90015672</v>
      </c>
      <c r="N24" s="17" t="str">
        <f>+VLOOKUP(M24,[1]Datos!$F:$G,2,FALSE)</f>
        <v>Erick Geovanny Castellanos Perez</v>
      </c>
      <c r="O24" s="25">
        <f>IFERROR(IF(A24="SI",VLOOKUP(R24,[1]Datos!$J$1:$K$50,2,FALSE)*C24,VLOOKUP(R24,[1]Datos!$P$1:$T$50,2,FALSE)*C24),0)</f>
        <v>3264</v>
      </c>
      <c r="P24" s="17">
        <v>90023863</v>
      </c>
      <c r="Q24" s="17" t="str">
        <f>+VLOOKUP(P24,[1]Datos!$F:$G,2,FALSE)</f>
        <v>Sandra Patricia Luna Rodriguez Miramontes</v>
      </c>
      <c r="R24" s="11" t="s">
        <v>30</v>
      </c>
      <c r="S24" s="11">
        <f t="shared" si="0"/>
        <v>1</v>
      </c>
      <c r="T24" s="11">
        <f>+VLOOKUP(M24,[1]Datos!$F:$H,3,FALSE)</f>
        <v>0</v>
      </c>
      <c r="U24" s="11">
        <v>0</v>
      </c>
      <c r="V24" s="19"/>
    </row>
    <row r="25" spans="1:22" hidden="1">
      <c r="A25" s="11" t="s">
        <v>25</v>
      </c>
      <c r="B25" s="11" t="s">
        <v>33</v>
      </c>
      <c r="C25" s="11">
        <v>4</v>
      </c>
      <c r="D25" s="11" t="s">
        <v>27</v>
      </c>
      <c r="E25" s="12" t="s">
        <v>58</v>
      </c>
      <c r="F25" s="12">
        <v>644</v>
      </c>
      <c r="G25" s="12" t="s">
        <v>76</v>
      </c>
      <c r="H25" s="27">
        <v>46268</v>
      </c>
      <c r="I25" s="27">
        <v>46268</v>
      </c>
      <c r="J25" s="17" t="str">
        <f>+VLOOKUP(K25,[1]Datos!$A:$C,3,FALSE)</f>
        <v>CENTRO ATLANTICO</v>
      </c>
      <c r="K25" s="22">
        <v>134</v>
      </c>
      <c r="L25" s="15" t="str">
        <f>+VLOOKUP(K25,[1]Datos!$A:$C,2,FALSE)</f>
        <v>GUASTATOYA</v>
      </c>
      <c r="M25" s="17">
        <v>90025188</v>
      </c>
      <c r="N25" s="17" t="str">
        <f>+VLOOKUP(M25,[1]Datos!$F:$G,2,FALSE)</f>
        <v>Sindy Gabriela Rivas Ochoa</v>
      </c>
      <c r="O25" s="25">
        <f>IFERROR(IF(A25="SI",VLOOKUP(R25,[1]Datos!$J$1:$K$50,2,FALSE)*C25,VLOOKUP(R25,[1]Datos!$P$1:$T$50,2,FALSE)*C25),0)</f>
        <v>3264</v>
      </c>
      <c r="P25" s="12">
        <v>315408</v>
      </c>
      <c r="Q25" s="17" t="str">
        <f>+VLOOKUP(P25,[1]Datos!$F:$G,2,FALSE)</f>
        <v>Sandy Suset Morales Barrientos</v>
      </c>
      <c r="R25" s="11" t="s">
        <v>30</v>
      </c>
      <c r="S25" s="11">
        <f t="shared" si="0"/>
        <v>1</v>
      </c>
      <c r="T25" s="11">
        <f>+VLOOKUP(M25,[1]Datos!$F:$H,3,FALSE)</f>
        <v>0</v>
      </c>
      <c r="U25" s="11">
        <v>0</v>
      </c>
      <c r="V25" s="19"/>
    </row>
    <row r="26" spans="1:22" hidden="1">
      <c r="A26" s="11" t="s">
        <v>25</v>
      </c>
      <c r="B26" s="11" t="s">
        <v>33</v>
      </c>
      <c r="C26" s="11">
        <v>1</v>
      </c>
      <c r="D26" s="11" t="s">
        <v>27</v>
      </c>
      <c r="E26" s="12" t="s">
        <v>77</v>
      </c>
      <c r="F26" s="12">
        <v>4199</v>
      </c>
      <c r="G26" s="12" t="s">
        <v>78</v>
      </c>
      <c r="H26" s="27">
        <v>46268</v>
      </c>
      <c r="I26" s="27">
        <v>46268</v>
      </c>
      <c r="J26" s="17" t="str">
        <f>+VLOOKUP(K26,[1]Datos!$A:$C,3,FALSE)</f>
        <v>CENTRO ATLANTICO</v>
      </c>
      <c r="K26" s="11">
        <v>103</v>
      </c>
      <c r="L26" s="15" t="str">
        <f>+VLOOKUP(K26,[1]Datos!$A:$C,2,FALSE)</f>
        <v>LOS ALAMOS</v>
      </c>
      <c r="M26" s="28">
        <v>90066231</v>
      </c>
      <c r="N26" s="17" t="str">
        <f>+VLOOKUP(M26,[1]Datos!$F:$G,2,FALSE)</f>
        <v>EVELYN YUNIRY URIZAR</v>
      </c>
      <c r="O26" s="25">
        <f>IFERROR(IF(A26="SI",VLOOKUP(R26,[1]Datos!$J$1:$K$50,2,FALSE)*C26,VLOOKUP(R26,[1]Datos!$P$1:$T$50,2,FALSE)*C26),0)</f>
        <v>816</v>
      </c>
      <c r="P26" s="12">
        <v>305989</v>
      </c>
      <c r="Q26" s="17" t="str">
        <f>+VLOOKUP(P26,[1]Datos!$F:$G,2,FALSE)</f>
        <v>Wuilson Ottoniel Hernandez Alonzo</v>
      </c>
      <c r="R26" s="11" t="s">
        <v>30</v>
      </c>
      <c r="S26" s="11">
        <f t="shared" si="0"/>
        <v>1</v>
      </c>
      <c r="T26" s="11">
        <f>+VLOOKUP(M26,[1]Datos!$F:$H,3,FALSE)</f>
        <v>0</v>
      </c>
      <c r="U26" s="11">
        <v>0</v>
      </c>
      <c r="V26" s="19"/>
    </row>
    <row r="27" spans="1:22" hidden="1">
      <c r="A27" s="11" t="s">
        <v>25</v>
      </c>
      <c r="B27" s="11" t="s">
        <v>33</v>
      </c>
      <c r="C27" s="11">
        <v>3</v>
      </c>
      <c r="D27" s="11" t="s">
        <v>27</v>
      </c>
      <c r="E27" s="20" t="s">
        <v>79</v>
      </c>
      <c r="F27" s="17">
        <v>339</v>
      </c>
      <c r="G27" s="17" t="s">
        <v>80</v>
      </c>
      <c r="H27" s="13">
        <v>46269</v>
      </c>
      <c r="I27" s="14">
        <v>46269</v>
      </c>
      <c r="J27" s="15" t="str">
        <f>+VLOOKUP(K27,[1]Datos!$A:$C,3,FALSE)</f>
        <v>CENTRO ATLANTICO</v>
      </c>
      <c r="K27" s="29">
        <v>19</v>
      </c>
      <c r="L27" s="15" t="str">
        <f>+VLOOKUP(K27,[1]Datos!$A:$C,2,FALSE)</f>
        <v>MORAZAN ZONA 2</v>
      </c>
      <c r="M27" s="17">
        <v>90060071</v>
      </c>
      <c r="N27" s="17" t="str">
        <f>+VLOOKUP(M27,[1]Datos!$F:$G,2,FALSE)</f>
        <v>Maria Galilea Pascual Lic</v>
      </c>
      <c r="O27" s="18">
        <f>IFERROR(IF(A27="SI",VLOOKUP(R27,[1]Datos!$J$1:$K$50,2,FALSE)*C27,VLOOKUP(R27,[1]Datos!$P$1:$T$50,2,FALSE)*C27),0)</f>
        <v>4284</v>
      </c>
      <c r="P27" s="17">
        <v>316080</v>
      </c>
      <c r="Q27" s="17" t="str">
        <f>+VLOOKUP(P27,[1]Datos!$F:$G,2,FALSE)</f>
        <v>Sergio David Espana Velasquez</v>
      </c>
      <c r="R27" s="11" t="s">
        <v>36</v>
      </c>
      <c r="S27" s="11">
        <f t="shared" si="0"/>
        <v>1</v>
      </c>
      <c r="T27" s="11">
        <f>+VLOOKUP(M27,[1]Datos!$F:$H,3,FALSE)</f>
        <v>0</v>
      </c>
      <c r="U27" s="11">
        <v>0</v>
      </c>
      <c r="V27" s="19"/>
    </row>
    <row r="28" spans="1:22" hidden="1">
      <c r="A28" s="11" t="s">
        <v>25</v>
      </c>
      <c r="B28" s="11" t="s">
        <v>33</v>
      </c>
      <c r="C28" s="11">
        <v>1</v>
      </c>
      <c r="D28" s="11" t="s">
        <v>27</v>
      </c>
      <c r="E28" s="20" t="s">
        <v>37</v>
      </c>
      <c r="F28" s="17">
        <v>4248</v>
      </c>
      <c r="G28" s="17" t="s">
        <v>81</v>
      </c>
      <c r="H28" s="14">
        <v>46269</v>
      </c>
      <c r="I28" s="14">
        <v>46269</v>
      </c>
      <c r="J28" s="15" t="str">
        <f>+VLOOKUP(K28,[1]Datos!$A:$C,3,FALSE)</f>
        <v>CENTRO ATLANTICO</v>
      </c>
      <c r="K28" s="29">
        <v>19</v>
      </c>
      <c r="L28" s="15" t="str">
        <f>+VLOOKUP(K28,[1]Datos!$A:$C,2,FALSE)</f>
        <v>MORAZAN ZONA 2</v>
      </c>
      <c r="M28" s="17">
        <v>90063535</v>
      </c>
      <c r="N28" s="17" t="str">
        <f>+VLOOKUP(M28,[1]Datos!$F:$G,2,FALSE)</f>
        <v>NATALIA MARCELA CORTEZ</v>
      </c>
      <c r="O28" s="18">
        <f>IFERROR(IF(A28="SI",VLOOKUP(R28,[1]Datos!$J$1:$K$50,2,FALSE)*C28,VLOOKUP(R28,[1]Datos!$P$1:$T$50,2,FALSE)*C28),0)</f>
        <v>816</v>
      </c>
      <c r="P28" s="17">
        <v>316080</v>
      </c>
      <c r="Q28" s="17" t="str">
        <f>+VLOOKUP(P28,[1]Datos!$F:$G,2,FALSE)</f>
        <v>Sergio David Espana Velasquez</v>
      </c>
      <c r="R28" s="11" t="s">
        <v>30</v>
      </c>
      <c r="S28" s="11">
        <f t="shared" si="0"/>
        <v>1</v>
      </c>
      <c r="T28" s="11">
        <f>+VLOOKUP(M28,[1]Datos!$F:$H,3,FALSE)</f>
        <v>0</v>
      </c>
      <c r="U28" s="11">
        <v>0</v>
      </c>
      <c r="V28" s="19"/>
    </row>
    <row r="29" spans="1:22" hidden="1">
      <c r="A29" s="11" t="s">
        <v>25</v>
      </c>
      <c r="B29" s="11" t="s">
        <v>33</v>
      </c>
      <c r="C29" s="11">
        <v>4</v>
      </c>
      <c r="D29" s="11" t="s">
        <v>73</v>
      </c>
      <c r="E29" s="17" t="s">
        <v>45</v>
      </c>
      <c r="F29" s="17">
        <v>649</v>
      </c>
      <c r="G29" s="17" t="s">
        <v>82</v>
      </c>
      <c r="H29" s="14">
        <v>46269</v>
      </c>
      <c r="I29" s="14">
        <v>46269</v>
      </c>
      <c r="J29" s="15" t="str">
        <f>+VLOOKUP(K29,[1]Datos!$A:$C,3,FALSE)</f>
        <v>CENTRO ATLANTICO</v>
      </c>
      <c r="K29" s="22">
        <v>7</v>
      </c>
      <c r="L29" s="15" t="str">
        <f>+VLOOKUP(K29,[1]Datos!$A:$C,2,FALSE)</f>
        <v>ZONA 8</v>
      </c>
      <c r="M29" s="17">
        <v>90015672</v>
      </c>
      <c r="N29" s="17" t="str">
        <f>+VLOOKUP(M29,[1]Datos!$F:$G,2,FALSE)</f>
        <v>Erick Geovanny Castellanos Perez</v>
      </c>
      <c r="O29" s="18">
        <f>IFERROR(IF(A29="SI",VLOOKUP(R29,[1]Datos!$J$1:$K$50,2,FALSE)*C29,VLOOKUP(R29,[1]Datos!$P$1:$T$50,2,FALSE)*C29),0)</f>
        <v>3264</v>
      </c>
      <c r="P29" s="17">
        <v>90023863</v>
      </c>
      <c r="Q29" s="17" t="str">
        <f>+VLOOKUP(P29,[1]Datos!$F:$G,2,FALSE)</f>
        <v>Sandra Patricia Luna Rodriguez Miramontes</v>
      </c>
      <c r="R29" s="11" t="s">
        <v>30</v>
      </c>
      <c r="S29" s="11">
        <f t="shared" si="0"/>
        <v>1</v>
      </c>
      <c r="T29" s="11">
        <f>+VLOOKUP(M29,[1]Datos!$F:$H,3,FALSE)</f>
        <v>0</v>
      </c>
      <c r="U29" s="11">
        <v>0</v>
      </c>
      <c r="V29" s="19"/>
    </row>
    <row r="30" spans="1:22" hidden="1">
      <c r="A30" s="11" t="s">
        <v>25</v>
      </c>
      <c r="B30" s="11" t="s">
        <v>33</v>
      </c>
      <c r="C30" s="22">
        <v>1</v>
      </c>
      <c r="D30" s="11" t="s">
        <v>27</v>
      </c>
      <c r="E30" s="12" t="s">
        <v>28</v>
      </c>
      <c r="F30" s="12">
        <v>4258</v>
      </c>
      <c r="G30" s="12" t="s">
        <v>83</v>
      </c>
      <c r="H30" s="14">
        <v>46269</v>
      </c>
      <c r="I30" s="14">
        <v>46269</v>
      </c>
      <c r="J30" s="17" t="str">
        <f>+VLOOKUP(K30,[1]Datos!$A:$C,3,FALSE)</f>
        <v>CENTRO ATLANTICO</v>
      </c>
      <c r="K30" s="22">
        <v>166</v>
      </c>
      <c r="L30" s="15" t="str">
        <f>+VLOOKUP(K30,[1]Datos!$A:$C,2,FALSE)</f>
        <v>23 CALLE</v>
      </c>
      <c r="M30" s="24">
        <v>90082796</v>
      </c>
      <c r="N30" s="17" t="str">
        <f>+VLOOKUP(M30,[1]Datos!$F:$G,2,FALSE)</f>
        <v>LILIBETH ALEGRIA</v>
      </c>
      <c r="O30" s="25">
        <f>IFERROR(IF(A30="SI",VLOOKUP(R30,[1]Datos!$J$1:$K$50,2,FALSE)*C30,VLOOKUP(R30,[1]Datos!$P$1:$T$50,2,FALSE)*C30),0)</f>
        <v>816</v>
      </c>
      <c r="P30" s="12">
        <v>303971</v>
      </c>
      <c r="Q30" s="17" t="str">
        <f>+VLOOKUP(P30,[1]Datos!$F:$G,2,FALSE)</f>
        <v>Leidy Marisol Perez Arias</v>
      </c>
      <c r="R30" s="30" t="s">
        <v>30</v>
      </c>
      <c r="S30" s="11">
        <f t="shared" si="0"/>
        <v>1</v>
      </c>
      <c r="T30" s="11">
        <f>+VLOOKUP(M30,[1]Datos!$F:$H,3,FALSE)</f>
        <v>0</v>
      </c>
      <c r="U30" s="11">
        <v>0</v>
      </c>
      <c r="V30" s="19" t="s">
        <v>47</v>
      </c>
    </row>
    <row r="31" spans="1:22" hidden="1">
      <c r="A31" s="11" t="s">
        <v>25</v>
      </c>
      <c r="B31" s="11" t="s">
        <v>33</v>
      </c>
      <c r="C31" s="22">
        <v>1</v>
      </c>
      <c r="D31" s="11" t="s">
        <v>73</v>
      </c>
      <c r="E31" s="17" t="s">
        <v>37</v>
      </c>
      <c r="F31" s="17">
        <v>4267</v>
      </c>
      <c r="G31" s="17" t="s">
        <v>84</v>
      </c>
      <c r="H31" s="14">
        <v>46269</v>
      </c>
      <c r="I31" s="14">
        <v>46269</v>
      </c>
      <c r="J31" s="17" t="str">
        <f>+VLOOKUP(K31,[1]Datos!$A:$C,3,FALSE)</f>
        <v>CENTRO ATLANTICO</v>
      </c>
      <c r="K31" s="15">
        <v>7</v>
      </c>
      <c r="L31" s="15" t="str">
        <f>+VLOOKUP(K31,[1]Datos!$A:$C,2,FALSE)</f>
        <v>ZONA 8</v>
      </c>
      <c r="M31" s="17">
        <v>90048557</v>
      </c>
      <c r="N31" s="17" t="str">
        <f>+VLOOKUP(M31,[1]Datos!$F:$G,2,FALSE)</f>
        <v>Yefri Carmelo Ortega Lopez</v>
      </c>
      <c r="O31" s="25">
        <f>IFERROR(IF(A31="SI",VLOOKUP(R31,[1]Datos!$J$1:$K$50,2,FALSE)*C31,VLOOKUP(R31,[1]Datos!$P$1:$T$50,2,FALSE)*C31),0)</f>
        <v>816</v>
      </c>
      <c r="P31" s="17">
        <v>90023863</v>
      </c>
      <c r="Q31" s="17" t="str">
        <f>+VLOOKUP(P31,[1]Datos!$F:$G,2,FALSE)</f>
        <v>Sandra Patricia Luna Rodriguez Miramontes</v>
      </c>
      <c r="R31" s="30" t="s">
        <v>30</v>
      </c>
      <c r="S31" s="11">
        <f t="shared" si="0"/>
        <v>1</v>
      </c>
      <c r="T31" s="11">
        <f>+VLOOKUP(M31,[1]Datos!$F:$H,3,FALSE)</f>
        <v>0</v>
      </c>
      <c r="U31" s="11">
        <v>0</v>
      </c>
      <c r="V31" s="19" t="s">
        <v>47</v>
      </c>
    </row>
    <row r="32" spans="1:22" hidden="1">
      <c r="A32" s="11" t="s">
        <v>25</v>
      </c>
      <c r="B32" s="11" t="s">
        <v>33</v>
      </c>
      <c r="C32" s="11">
        <v>4</v>
      </c>
      <c r="D32" s="11" t="s">
        <v>73</v>
      </c>
      <c r="E32" s="17" t="s">
        <v>45</v>
      </c>
      <c r="F32" s="17">
        <v>653</v>
      </c>
      <c r="G32" s="17" t="s">
        <v>85</v>
      </c>
      <c r="H32" s="14">
        <v>46269</v>
      </c>
      <c r="I32" s="14">
        <v>46269</v>
      </c>
      <c r="J32" s="17" t="str">
        <f>+VLOOKUP(K32,[1]Datos!$A:$C,3,FALSE)</f>
        <v>CENTRO ATLANTICO</v>
      </c>
      <c r="K32" s="22">
        <v>7</v>
      </c>
      <c r="L32" s="15" t="str">
        <f>+VLOOKUP(K32,[1]Datos!$A:$C,2,FALSE)</f>
        <v>ZONA 8</v>
      </c>
      <c r="M32" s="17">
        <v>90080262</v>
      </c>
      <c r="N32" s="17" t="str">
        <f>+VLOOKUP(M32,[1]Datos!$F:$G,2,FALSE)</f>
        <v xml:space="preserve">LIDIA LORENA TICAS HUINIL </v>
      </c>
      <c r="O32" s="25">
        <f>IFERROR(IF(A32="SI",VLOOKUP(R32,[1]Datos!$J$1:$K$50,2,FALSE)*C32,VLOOKUP(R32,[1]Datos!$P$1:$T$50,2,FALSE)*C32),0)</f>
        <v>3264</v>
      </c>
      <c r="P32" s="17">
        <v>90023863</v>
      </c>
      <c r="Q32" s="17" t="str">
        <f>+VLOOKUP(P32,[1]Datos!$F:$G,2,FALSE)</f>
        <v>Sandra Patricia Luna Rodriguez Miramontes</v>
      </c>
      <c r="R32" s="30" t="s">
        <v>30</v>
      </c>
      <c r="S32" s="11">
        <f t="shared" si="0"/>
        <v>1</v>
      </c>
      <c r="T32" s="11">
        <f>+VLOOKUP(M32,[1]Datos!$F:$H,3,FALSE)</f>
        <v>0</v>
      </c>
      <c r="U32" s="11">
        <v>0</v>
      </c>
      <c r="V32" s="19"/>
    </row>
    <row r="33" spans="1:22" hidden="1">
      <c r="A33" s="11" t="s">
        <v>25</v>
      </c>
      <c r="B33" s="11" t="s">
        <v>26</v>
      </c>
      <c r="C33" s="11">
        <v>1</v>
      </c>
      <c r="D33" s="11" t="s">
        <v>27</v>
      </c>
      <c r="E33" s="12" t="s">
        <v>28</v>
      </c>
      <c r="F33" s="12">
        <v>4268</v>
      </c>
      <c r="G33" s="12" t="s">
        <v>86</v>
      </c>
      <c r="H33" s="14">
        <v>46269</v>
      </c>
      <c r="I33" s="14">
        <v>46269</v>
      </c>
      <c r="J33" s="17" t="str">
        <f>+VLOOKUP(K33,[1]Datos!$A:$C,3,FALSE)</f>
        <v>CENTRO ATLANTICO</v>
      </c>
      <c r="K33" s="22">
        <v>1</v>
      </c>
      <c r="L33" s="15" t="str">
        <f>+VLOOKUP(K33,[1]Datos!$A:$C,2,FALSE)</f>
        <v>FUNDACION</v>
      </c>
      <c r="M33" s="24">
        <v>90064272</v>
      </c>
      <c r="N33" s="17" t="str">
        <f>+VLOOKUP(M33,[1]Datos!$F:$G,2,FALSE)</f>
        <v>MARIA CELESTE DIAZ FAJARDO</v>
      </c>
      <c r="O33" s="25">
        <f>IFERROR(IF(A33="SI",VLOOKUP(R33,[1]Datos!$J$1:$K$50,2,FALSE)*C33,VLOOKUP(R33,[1]Datos!$P$1:$T$50,2,FALSE)*C33),0)</f>
        <v>1428</v>
      </c>
      <c r="P33" s="12">
        <v>300999</v>
      </c>
      <c r="Q33" s="17" t="str">
        <f>+VLOOKUP(P33,[1]Datos!$F:$G,2,FALSE)</f>
        <v>Victor Adolfo Barrios Monzon</v>
      </c>
      <c r="R33" s="30" t="s">
        <v>36</v>
      </c>
      <c r="S33" s="11">
        <f t="shared" si="0"/>
        <v>1</v>
      </c>
      <c r="T33" s="11">
        <f>+VLOOKUP(M33,[1]Datos!$F:$H,3,FALSE)</f>
        <v>0</v>
      </c>
      <c r="U33" s="11">
        <v>0</v>
      </c>
      <c r="V33" s="19"/>
    </row>
    <row r="34" spans="1:22" ht="16" hidden="1">
      <c r="A34" s="11" t="s">
        <v>25</v>
      </c>
      <c r="B34" s="11" t="s">
        <v>33</v>
      </c>
      <c r="C34" s="11">
        <v>1</v>
      </c>
      <c r="D34" s="11" t="s">
        <v>73</v>
      </c>
      <c r="E34" s="12" t="s">
        <v>37</v>
      </c>
      <c r="F34" s="12">
        <v>4252</v>
      </c>
      <c r="G34" s="12" t="s">
        <v>87</v>
      </c>
      <c r="H34" s="14">
        <v>46269</v>
      </c>
      <c r="I34" s="14">
        <v>46269</v>
      </c>
      <c r="J34" s="17" t="str">
        <f>+VLOOKUP(K34,[1]Datos!$A:$C,3,FALSE)</f>
        <v>CENTRO ATLANTICO</v>
      </c>
      <c r="K34" s="11">
        <v>7</v>
      </c>
      <c r="L34" s="15" t="str">
        <f>+VLOOKUP(K34,[1]Datos!$A:$C,2,FALSE)</f>
        <v>ZONA 8</v>
      </c>
      <c r="M34" s="31">
        <v>90084526</v>
      </c>
      <c r="N34" s="17" t="str">
        <f>+VLOOKUP(M34,[1]Datos!$F:$G,2,FALSE)</f>
        <v xml:space="preserve">KEVYN JOSE RODRIGUEZ GOMEZ </v>
      </c>
      <c r="O34" s="25">
        <f>IFERROR(IF(A34="SI",VLOOKUP(R34,[1]Datos!$J$1:$K$50,2,FALSE)*C34,VLOOKUP(R34,[1]Datos!$P$1:$T$50,2,FALSE)*C34),0)</f>
        <v>816</v>
      </c>
      <c r="P34" s="12">
        <v>90066250</v>
      </c>
      <c r="Q34" s="17" t="str">
        <f>+VLOOKUP(P34,[1]Datos!$F:$G,2,FALSE)</f>
        <v>ANA MARIA LOPEZ</v>
      </c>
      <c r="R34" s="30" t="s">
        <v>30</v>
      </c>
      <c r="S34" s="11">
        <f t="shared" si="0"/>
        <v>1</v>
      </c>
      <c r="T34" s="11">
        <f>+VLOOKUP(M34,[1]Datos!$F:$H,3,FALSE)</f>
        <v>0</v>
      </c>
      <c r="U34" s="11">
        <v>0</v>
      </c>
      <c r="V34" s="19"/>
    </row>
    <row r="35" spans="1:22" hidden="1">
      <c r="A35" s="11" t="s">
        <v>25</v>
      </c>
      <c r="B35" s="11" t="s">
        <v>33</v>
      </c>
      <c r="C35" s="22">
        <v>1</v>
      </c>
      <c r="D35" s="11" t="s">
        <v>27</v>
      </c>
      <c r="E35" s="12" t="s">
        <v>28</v>
      </c>
      <c r="F35" s="12">
        <v>4271</v>
      </c>
      <c r="G35" s="12" t="s">
        <v>88</v>
      </c>
      <c r="H35" s="14">
        <v>46269</v>
      </c>
      <c r="I35" s="14">
        <v>46269</v>
      </c>
      <c r="J35" s="17" t="str">
        <f>+VLOOKUP(K35,[1]Datos!$A:$C,3,FALSE)</f>
        <v>REFORMA</v>
      </c>
      <c r="K35" s="22">
        <v>12</v>
      </c>
      <c r="L35" s="15" t="str">
        <f>+VLOOKUP(K35,[1]Datos!$A:$C,2,FALSE)</f>
        <v>PLAZA FLORIDA</v>
      </c>
      <c r="M35" s="12">
        <v>90084037</v>
      </c>
      <c r="N35" s="17" t="str">
        <f>+VLOOKUP(M35,[1]Datos!$F:$G,2,FALSE)</f>
        <v>NATALIA SOFIA VASQUEZ</v>
      </c>
      <c r="O35" s="25">
        <f>IFERROR(IF(A35="SI",VLOOKUP(R35,[1]Datos!$J$1:$K$50,2,FALSE)*C35,VLOOKUP(R35,[1]Datos!$P$1:$T$50,2,FALSE)*C35),0)</f>
        <v>816</v>
      </c>
      <c r="P35" s="17">
        <v>315274</v>
      </c>
      <c r="Q35" s="17" t="str">
        <f>+VLOOKUP(P35,[1]Datos!$F:$G,2,FALSE)</f>
        <v>Karen Rubi Perez Calderon</v>
      </c>
      <c r="R35" s="30" t="s">
        <v>30</v>
      </c>
      <c r="S35" s="11">
        <f t="shared" si="0"/>
        <v>1</v>
      </c>
      <c r="T35" s="11">
        <f>+VLOOKUP(M35,[1]Datos!$F:$H,3,FALSE)</f>
        <v>0</v>
      </c>
      <c r="U35" s="11">
        <v>0</v>
      </c>
      <c r="V35" s="19" t="s">
        <v>42</v>
      </c>
    </row>
    <row r="36" spans="1:22" hidden="1">
      <c r="A36" s="11" t="s">
        <v>25</v>
      </c>
      <c r="B36" s="11" t="s">
        <v>33</v>
      </c>
      <c r="C36" s="22">
        <v>2</v>
      </c>
      <c r="D36" s="11" t="s">
        <v>27</v>
      </c>
      <c r="E36" s="12" t="s">
        <v>89</v>
      </c>
      <c r="F36" s="12">
        <v>161</v>
      </c>
      <c r="G36" s="12" t="s">
        <v>90</v>
      </c>
      <c r="H36" s="13">
        <v>46270</v>
      </c>
      <c r="I36" s="14">
        <v>46270</v>
      </c>
      <c r="J36" s="15" t="str">
        <f>+VLOOKUP(K36,[1]Datos!$A:$C,3,FALSE)</f>
        <v>CENTRO ATLANTICO</v>
      </c>
      <c r="K36" s="22">
        <v>13</v>
      </c>
      <c r="L36" s="15" t="str">
        <f>+VLOOKUP(K36,[1]Datos!$A:$C,2,FALSE)</f>
        <v>METANORTE</v>
      </c>
      <c r="M36" s="12">
        <v>90048645</v>
      </c>
      <c r="N36" s="17" t="str">
        <f>+VLOOKUP(M36,[1]Datos!$F:$G,2,FALSE)</f>
        <v>SHIRLEN CIPRIAN</v>
      </c>
      <c r="O36" s="18">
        <f>IFERROR(IF(A36="SI",VLOOKUP(R36,[1]Datos!$J$1:$K$50,2,FALSE)*C36,VLOOKUP(R36,[1]Datos!$P$1:$T$50,2,FALSE)*C36),0)</f>
        <v>2016</v>
      </c>
      <c r="P36" s="17">
        <v>315624</v>
      </c>
      <c r="Q36" s="17" t="str">
        <f>+VLOOKUP(P36,[1]Datos!$F:$G,2,FALSE)</f>
        <v>Damaris Azucena Canahui Barillas</v>
      </c>
      <c r="R36" s="11" t="s">
        <v>67</v>
      </c>
      <c r="S36" s="11">
        <f t="shared" si="0"/>
        <v>1</v>
      </c>
      <c r="T36" s="11">
        <f>+VLOOKUP(M36,[1]Datos!$F:$H,3,FALSE)</f>
        <v>0</v>
      </c>
      <c r="U36" s="11">
        <v>0</v>
      </c>
      <c r="V36" s="19" t="s">
        <v>47</v>
      </c>
    </row>
    <row r="37" spans="1:22" hidden="1">
      <c r="A37" s="11" t="s">
        <v>25</v>
      </c>
      <c r="B37" s="11" t="s">
        <v>33</v>
      </c>
      <c r="C37" s="22">
        <v>4</v>
      </c>
      <c r="D37" s="11" t="s">
        <v>73</v>
      </c>
      <c r="E37" s="20" t="s">
        <v>45</v>
      </c>
      <c r="F37" s="20">
        <v>654</v>
      </c>
      <c r="G37" s="17" t="s">
        <v>91</v>
      </c>
      <c r="H37" s="14">
        <v>46270</v>
      </c>
      <c r="I37" s="14">
        <v>46270</v>
      </c>
      <c r="J37" s="15" t="str">
        <f>+VLOOKUP(K37,[1]Datos!$A:$C,3,FALSE)</f>
        <v>CENTRO ATLANTICO</v>
      </c>
      <c r="K37" s="22">
        <v>7</v>
      </c>
      <c r="L37" s="15" t="str">
        <f>+VLOOKUP(K37,[1]Datos!$A:$C,2,FALSE)</f>
        <v>ZONA 8</v>
      </c>
      <c r="M37" s="17">
        <v>90015672</v>
      </c>
      <c r="N37" s="17" t="str">
        <f>+VLOOKUP(M37,[1]Datos!$F:$G,2,FALSE)</f>
        <v>Erick Geovanny Castellanos Perez</v>
      </c>
      <c r="O37" s="18">
        <f>IFERROR(IF(A37="SI",VLOOKUP(R37,[1]Datos!$J$1:$K$50,2,FALSE)*C37,VLOOKUP(R37,[1]Datos!$P$1:$T$50,2,FALSE)*C37),0)</f>
        <v>3264</v>
      </c>
      <c r="P37" s="17">
        <v>90023863</v>
      </c>
      <c r="Q37" s="17" t="str">
        <f>+VLOOKUP(P37,[1]Datos!$F:$G,2,FALSE)</f>
        <v>Sandra Patricia Luna Rodriguez Miramontes</v>
      </c>
      <c r="R37" s="11" t="s">
        <v>30</v>
      </c>
      <c r="S37" s="11">
        <f t="shared" si="0"/>
        <v>1</v>
      </c>
      <c r="T37" s="11">
        <f>+VLOOKUP(M37,[1]Datos!$F:$H,3,FALSE)</f>
        <v>0</v>
      </c>
      <c r="U37" s="11">
        <v>0</v>
      </c>
      <c r="V37" s="19" t="s">
        <v>47</v>
      </c>
    </row>
    <row r="38" spans="1:22" hidden="1">
      <c r="A38" s="11" t="s">
        <v>25</v>
      </c>
      <c r="B38" s="11" t="s">
        <v>33</v>
      </c>
      <c r="C38" s="11">
        <v>2</v>
      </c>
      <c r="D38" s="11" t="s">
        <v>27</v>
      </c>
      <c r="E38" s="20" t="s">
        <v>52</v>
      </c>
      <c r="F38" s="17">
        <v>1142</v>
      </c>
      <c r="G38" s="17" t="s">
        <v>92</v>
      </c>
      <c r="H38" s="14">
        <v>46270</v>
      </c>
      <c r="I38" s="14">
        <v>46270</v>
      </c>
      <c r="J38" s="15" t="str">
        <f>+VLOOKUP(K38,[1]Datos!$A:$C,3,FALSE)</f>
        <v>CENTRO ATLANTICO</v>
      </c>
      <c r="K38" s="11">
        <v>19</v>
      </c>
      <c r="L38" s="15" t="str">
        <f>+VLOOKUP(K38,[1]Datos!$A:$C,2,FALSE)</f>
        <v>MORAZAN ZONA 2</v>
      </c>
      <c r="M38" s="17">
        <v>90085258</v>
      </c>
      <c r="N38" s="17" t="str">
        <f>+VLOOKUP(M38,[1]Datos!$F:$G,2,FALSE)</f>
        <v>EMILY DAYANA GUZMÁN CANTÉ</v>
      </c>
      <c r="O38" s="18">
        <f>IFERROR(IF(A38="SI",VLOOKUP(R38,[1]Datos!$J$1:$K$50,2,FALSE)*C38,VLOOKUP(R38,[1]Datos!$P$1:$T$50,2,FALSE)*C38),0)</f>
        <v>5472</v>
      </c>
      <c r="P38" s="17">
        <v>316080</v>
      </c>
      <c r="Q38" s="17" t="str">
        <f>+VLOOKUP(P38,[1]Datos!$F:$G,2,FALSE)</f>
        <v>Sergio David Espana Velasquez</v>
      </c>
      <c r="R38" s="11" t="s">
        <v>60</v>
      </c>
      <c r="S38" s="11">
        <f t="shared" si="0"/>
        <v>1</v>
      </c>
      <c r="T38" s="11">
        <f>+VLOOKUP(M38,[1]Datos!$F:$H,3,FALSE)</f>
        <v>0</v>
      </c>
      <c r="U38" s="11">
        <v>0</v>
      </c>
      <c r="V38" s="19" t="s">
        <v>47</v>
      </c>
    </row>
    <row r="39" spans="1:22" hidden="1">
      <c r="A39" s="11" t="s">
        <v>25</v>
      </c>
      <c r="B39" s="11" t="s">
        <v>33</v>
      </c>
      <c r="C39" s="11">
        <v>4</v>
      </c>
      <c r="D39" s="11" t="s">
        <v>27</v>
      </c>
      <c r="E39" s="17" t="s">
        <v>45</v>
      </c>
      <c r="F39" s="17">
        <v>659</v>
      </c>
      <c r="G39" s="17" t="s">
        <v>93</v>
      </c>
      <c r="H39" s="14">
        <v>46270</v>
      </c>
      <c r="I39" s="14">
        <v>46270</v>
      </c>
      <c r="J39" s="15" t="str">
        <f>+VLOOKUP(K39,[1]Datos!$A:$C,3,FALSE)</f>
        <v>CENTRO ATLANTICO</v>
      </c>
      <c r="K39" s="11">
        <v>19</v>
      </c>
      <c r="L39" s="15" t="str">
        <f>+VLOOKUP(K39,[1]Datos!$A:$C,2,FALSE)</f>
        <v>MORAZAN ZONA 2</v>
      </c>
      <c r="M39" s="17">
        <v>90060071</v>
      </c>
      <c r="N39" s="17" t="str">
        <f>+VLOOKUP(M39,[1]Datos!$F:$G,2,FALSE)</f>
        <v>Maria Galilea Pascual Lic</v>
      </c>
      <c r="O39" s="18">
        <f>IFERROR(IF(A39="SI",VLOOKUP(R39,[1]Datos!$J$1:$K$50,2,FALSE)*C39,VLOOKUP(R39,[1]Datos!$P$1:$T$50,2,FALSE)*C39),0)</f>
        <v>3264</v>
      </c>
      <c r="P39" s="17">
        <v>316080</v>
      </c>
      <c r="Q39" s="17" t="str">
        <f>+VLOOKUP(P39,[1]Datos!$F:$G,2,FALSE)</f>
        <v>Sergio David Espana Velasquez</v>
      </c>
      <c r="R39" s="11" t="s">
        <v>30</v>
      </c>
      <c r="S39" s="11">
        <f t="shared" si="0"/>
        <v>1</v>
      </c>
      <c r="T39" s="11">
        <f>+VLOOKUP(M39,[1]Datos!$F:$H,3,FALSE)</f>
        <v>0</v>
      </c>
      <c r="U39" s="11">
        <v>0</v>
      </c>
      <c r="V39" s="19" t="s">
        <v>47</v>
      </c>
    </row>
    <row r="40" spans="1:22" hidden="1">
      <c r="A40" s="11" t="s">
        <v>25</v>
      </c>
      <c r="B40" s="11" t="s">
        <v>26</v>
      </c>
      <c r="C40" s="11">
        <v>3</v>
      </c>
      <c r="D40" s="11" t="s">
        <v>27</v>
      </c>
      <c r="E40" s="17" t="s">
        <v>39</v>
      </c>
      <c r="F40" s="17">
        <v>607</v>
      </c>
      <c r="G40" s="17" t="s">
        <v>94</v>
      </c>
      <c r="H40" s="14">
        <v>46270</v>
      </c>
      <c r="I40" s="14">
        <v>46270</v>
      </c>
      <c r="J40" s="15" t="str">
        <f>+VLOOKUP(K40,[1]Datos!$A:$C,3,FALSE)</f>
        <v>CENTRO ATLANTICO</v>
      </c>
      <c r="K40" s="11">
        <v>19</v>
      </c>
      <c r="L40" s="15" t="str">
        <f>+VLOOKUP(K40,[1]Datos!$A:$C,2,FALSE)</f>
        <v>MORAZAN ZONA 2</v>
      </c>
      <c r="M40" s="17">
        <v>90063727</v>
      </c>
      <c r="N40" s="17" t="str">
        <f>+VLOOKUP(M40,[1]Datos!$F:$G,2,FALSE)</f>
        <v>Karla Aracely Esquipulas Coc</v>
      </c>
      <c r="O40" s="18">
        <f>IFERROR(IF(A40="SI",VLOOKUP(R40,[1]Datos!$J$1:$K$50,2,FALSE)*C40,VLOOKUP(R40,[1]Datos!$P$1:$T$50,2,FALSE)*C40),0)</f>
        <v>2448</v>
      </c>
      <c r="P40" s="17">
        <v>316080</v>
      </c>
      <c r="Q40" s="17" t="str">
        <f>+VLOOKUP(P40,[1]Datos!$F:$G,2,FALSE)</f>
        <v>Sergio David Espana Velasquez</v>
      </c>
      <c r="R40" s="11" t="s">
        <v>30</v>
      </c>
      <c r="S40" s="11">
        <f t="shared" si="0"/>
        <v>1</v>
      </c>
      <c r="T40" s="11">
        <f>+VLOOKUP(M40,[1]Datos!$F:$H,3,FALSE)</f>
        <v>0</v>
      </c>
      <c r="U40" s="11">
        <v>0</v>
      </c>
      <c r="V40" s="19" t="s">
        <v>42</v>
      </c>
    </row>
    <row r="41" spans="1:22" hidden="1">
      <c r="A41" s="11" t="s">
        <v>25</v>
      </c>
      <c r="B41" s="11" t="s">
        <v>26</v>
      </c>
      <c r="C41" s="11">
        <v>3</v>
      </c>
      <c r="D41" s="11" t="s">
        <v>27</v>
      </c>
      <c r="E41" s="12" t="s">
        <v>95</v>
      </c>
      <c r="F41" s="12">
        <v>107</v>
      </c>
      <c r="G41" s="12" t="s">
        <v>96</v>
      </c>
      <c r="H41" s="14">
        <v>46270</v>
      </c>
      <c r="I41" s="14">
        <v>46270</v>
      </c>
      <c r="J41" s="15" t="str">
        <f>+VLOOKUP(K41,[1]Datos!$A:$C,3,FALSE)</f>
        <v>CENTRO ATLANTICO</v>
      </c>
      <c r="K41" s="22">
        <v>1</v>
      </c>
      <c r="L41" s="15" t="str">
        <f>+VLOOKUP(K41,[1]Datos!$A:$C,2,FALSE)</f>
        <v>FUNDACION</v>
      </c>
      <c r="M41" s="12">
        <v>314306</v>
      </c>
      <c r="N41" s="17" t="str">
        <f>+VLOOKUP(M41,[1]Datos!$F:$G,2,FALSE)</f>
        <v>Jennifer Noemi Soch Castro</v>
      </c>
      <c r="O41" s="18">
        <f>IFERROR(IF(A41="SI",VLOOKUP(R41,[1]Datos!$J$1:$K$50,2,FALSE)*C41,VLOOKUP(R41,[1]Datos!$P$1:$T$50,2,FALSE)*C41),0)</f>
        <v>3276</v>
      </c>
      <c r="P41" s="12">
        <v>300999</v>
      </c>
      <c r="Q41" s="17" t="str">
        <f>+VLOOKUP(P41,[1]Datos!$F:$G,2,FALSE)</f>
        <v>Victor Adolfo Barrios Monzon</v>
      </c>
      <c r="R41" s="11" t="s">
        <v>97</v>
      </c>
      <c r="S41" s="11">
        <f t="shared" si="0"/>
        <v>1</v>
      </c>
      <c r="T41" s="11">
        <f>+VLOOKUP(M41,[1]Datos!$F:$H,3,FALSE)</f>
        <v>0</v>
      </c>
      <c r="U41" s="11">
        <v>0</v>
      </c>
      <c r="V41" s="19" t="s">
        <v>47</v>
      </c>
    </row>
    <row r="42" spans="1:22" hidden="1">
      <c r="A42" s="11" t="s">
        <v>25</v>
      </c>
      <c r="B42" s="11" t="s">
        <v>33</v>
      </c>
      <c r="C42" s="11">
        <v>2</v>
      </c>
      <c r="D42" s="11" t="s">
        <v>27</v>
      </c>
      <c r="E42" s="12" t="s">
        <v>89</v>
      </c>
      <c r="F42" s="12">
        <v>162</v>
      </c>
      <c r="G42" s="12" t="s">
        <v>98</v>
      </c>
      <c r="H42" s="14">
        <v>46270</v>
      </c>
      <c r="I42" s="14">
        <v>46270</v>
      </c>
      <c r="J42" s="15" t="str">
        <f>+VLOOKUP(K42,[1]Datos!$A:$C,3,FALSE)</f>
        <v>CENTRO ATLANTICO</v>
      </c>
      <c r="K42" s="11">
        <v>87</v>
      </c>
      <c r="L42" s="15" t="str">
        <f>+VLOOKUP(K42,[1]Datos!$A:$C,2,FALSE)</f>
        <v>EL NARANJO</v>
      </c>
      <c r="M42" s="17">
        <v>90087628</v>
      </c>
      <c r="N42" s="17" t="str">
        <f>+VLOOKUP(M42,[1]Datos!$F:$G,2,FALSE)</f>
        <v>MARTHA DIAZ</v>
      </c>
      <c r="O42" s="18">
        <f>IFERROR(IF(A42="SI",VLOOKUP(R42,[1]Datos!$J$1:$K$50,2,FALSE)*C42,VLOOKUP(R42,[1]Datos!$P$1:$T$50,2,FALSE)*C42),0)</f>
        <v>2016</v>
      </c>
      <c r="P42" s="12">
        <v>310538</v>
      </c>
      <c r="Q42" s="17" t="str">
        <f>+VLOOKUP(P42,[1]Datos!$F:$G,2,FALSE)</f>
        <v>Kevin Orlando Ventura Lopez</v>
      </c>
      <c r="R42" s="11" t="s">
        <v>67</v>
      </c>
      <c r="S42" s="11">
        <f t="shared" si="0"/>
        <v>1</v>
      </c>
      <c r="T42" s="11">
        <f>+VLOOKUP(M42,[1]Datos!$F:$H,3,FALSE)</f>
        <v>0</v>
      </c>
      <c r="U42" s="11">
        <v>0</v>
      </c>
      <c r="V42" s="19"/>
    </row>
    <row r="43" spans="1:22" hidden="1">
      <c r="A43" s="11" t="s">
        <v>25</v>
      </c>
      <c r="B43" s="11" t="s">
        <v>33</v>
      </c>
      <c r="C43" s="11">
        <v>1</v>
      </c>
      <c r="D43" s="11" t="s">
        <v>27</v>
      </c>
      <c r="E43" s="12" t="s">
        <v>99</v>
      </c>
      <c r="F43" s="12">
        <v>2581</v>
      </c>
      <c r="G43" s="12" t="s">
        <v>100</v>
      </c>
      <c r="H43" s="14">
        <v>46270</v>
      </c>
      <c r="I43" s="14">
        <v>46270</v>
      </c>
      <c r="J43" s="15" t="str">
        <f>+VLOOKUP(K43,[1]Datos!$A:$C,3,FALSE)</f>
        <v>CENTRO ATLANTICO</v>
      </c>
      <c r="K43" s="11">
        <v>87</v>
      </c>
      <c r="L43" s="15" t="str">
        <f>+VLOOKUP(K43,[1]Datos!$A:$C,2,FALSE)</f>
        <v>EL NARANJO</v>
      </c>
      <c r="M43" s="17">
        <v>303594</v>
      </c>
      <c r="N43" s="17" t="str">
        <f>+VLOOKUP(M43,[1]Datos!$F:$G,2,FALSE)</f>
        <v>Ligia Iveth Marroquin Lechuga</v>
      </c>
      <c r="O43" s="18">
        <f>IFERROR(IF(A43="SI",VLOOKUP(R43,[1]Datos!$J$1:$K$50,2,FALSE)*C43,VLOOKUP(R43,[1]Datos!$P$1:$T$50,2,FALSE)*C43),0)</f>
        <v>1008</v>
      </c>
      <c r="P43" s="12">
        <v>310538</v>
      </c>
      <c r="Q43" s="17" t="str">
        <f>+VLOOKUP(P43,[1]Datos!$F:$G,2,FALSE)</f>
        <v>Kevin Orlando Ventura Lopez</v>
      </c>
      <c r="R43" s="11" t="s">
        <v>67</v>
      </c>
      <c r="S43" s="11">
        <f t="shared" si="0"/>
        <v>1</v>
      </c>
      <c r="T43" s="11">
        <f>+VLOOKUP(M43,[1]Datos!$F:$H,3,FALSE)</f>
        <v>0</v>
      </c>
      <c r="U43" s="11">
        <v>0</v>
      </c>
      <c r="V43" s="19" t="s">
        <v>47</v>
      </c>
    </row>
    <row r="44" spans="1:22" hidden="1">
      <c r="A44" s="11" t="s">
        <v>25</v>
      </c>
      <c r="B44" s="11" t="s">
        <v>33</v>
      </c>
      <c r="C44" s="11">
        <v>2</v>
      </c>
      <c r="D44" s="11" t="s">
        <v>27</v>
      </c>
      <c r="E44" s="12" t="s">
        <v>52</v>
      </c>
      <c r="F44" s="12">
        <v>1138</v>
      </c>
      <c r="G44" s="12" t="s">
        <v>101</v>
      </c>
      <c r="H44" s="14">
        <v>46270</v>
      </c>
      <c r="I44" s="14">
        <v>46270</v>
      </c>
      <c r="J44" s="15" t="str">
        <f>+VLOOKUP(K44,[1]Datos!$A:$C,3,FALSE)</f>
        <v>CENTRO ATLANTICO</v>
      </c>
      <c r="K44" s="11">
        <v>87</v>
      </c>
      <c r="L44" s="15" t="str">
        <f>+VLOOKUP(K44,[1]Datos!$A:$C,2,FALSE)</f>
        <v>EL NARANJO</v>
      </c>
      <c r="M44" s="17">
        <v>303594</v>
      </c>
      <c r="N44" s="17" t="str">
        <f>+VLOOKUP(M44,[1]Datos!$F:$G,2,FALSE)</f>
        <v>Ligia Iveth Marroquin Lechuga</v>
      </c>
      <c r="O44" s="18">
        <f>IFERROR(IF(A44="SI",VLOOKUP(R44,[1]Datos!$J$1:$K$50,2,FALSE)*C44,VLOOKUP(R44,[1]Datos!$P$1:$T$50,2,FALSE)*C44),0)</f>
        <v>2736</v>
      </c>
      <c r="P44" s="12">
        <v>310538</v>
      </c>
      <c r="Q44" s="17" t="str">
        <f>+VLOOKUP(P44,[1]Datos!$F:$G,2,FALSE)</f>
        <v>Kevin Orlando Ventura Lopez</v>
      </c>
      <c r="R44" s="11" t="s">
        <v>41</v>
      </c>
      <c r="S44" s="11">
        <f t="shared" si="0"/>
        <v>1</v>
      </c>
      <c r="T44" s="11">
        <f>+VLOOKUP(M44,[1]Datos!$F:$H,3,FALSE)</f>
        <v>0</v>
      </c>
      <c r="U44" s="11">
        <v>0</v>
      </c>
      <c r="V44" s="19" t="s">
        <v>47</v>
      </c>
    </row>
    <row r="45" spans="1:22" hidden="1">
      <c r="A45" s="11" t="s">
        <v>25</v>
      </c>
      <c r="B45" s="11" t="s">
        <v>33</v>
      </c>
      <c r="C45" s="22">
        <v>1</v>
      </c>
      <c r="D45" s="11" t="s">
        <v>27</v>
      </c>
      <c r="E45" s="12" t="s">
        <v>77</v>
      </c>
      <c r="F45" s="12">
        <v>4298</v>
      </c>
      <c r="G45" s="12" t="s">
        <v>102</v>
      </c>
      <c r="H45" s="14">
        <v>46270</v>
      </c>
      <c r="I45" s="14">
        <v>46270</v>
      </c>
      <c r="J45" s="15" t="str">
        <f>+VLOOKUP(K45,[1]Datos!$A:$C,3,FALSE)</f>
        <v>CENTRO ATLANTICO</v>
      </c>
      <c r="K45" s="11">
        <v>87</v>
      </c>
      <c r="L45" s="15" t="str">
        <f>+VLOOKUP(K45,[1]Datos!$A:$C,2,FALSE)</f>
        <v>EL NARANJO</v>
      </c>
      <c r="M45" s="17">
        <v>90050052</v>
      </c>
      <c r="N45" s="17" t="str">
        <f>+VLOOKUP(M45,[1]Datos!$F:$G,2,FALSE)</f>
        <v>ANDREA ROXANA SANTOS GALLARDO</v>
      </c>
      <c r="O45" s="18">
        <f>IFERROR(IF(A45="SI",VLOOKUP(R45,[1]Datos!$J$1:$K$50,2,FALSE)*C45,VLOOKUP(R45,[1]Datos!$P$1:$T$50,2,FALSE)*C45),0)</f>
        <v>1368</v>
      </c>
      <c r="P45" s="12">
        <v>310538</v>
      </c>
      <c r="Q45" s="17" t="str">
        <f>+VLOOKUP(P45,[1]Datos!$F:$G,2,FALSE)</f>
        <v>Kevin Orlando Ventura Lopez</v>
      </c>
      <c r="R45" s="11" t="s">
        <v>41</v>
      </c>
      <c r="S45" s="11">
        <f t="shared" si="0"/>
        <v>1</v>
      </c>
      <c r="T45" s="11">
        <f>+VLOOKUP(M45,[1]Datos!$F:$H,3,FALSE)</f>
        <v>0</v>
      </c>
      <c r="U45" s="11">
        <v>0</v>
      </c>
      <c r="V45" s="19"/>
    </row>
    <row r="46" spans="1:22" hidden="1">
      <c r="A46" s="11" t="s">
        <v>25</v>
      </c>
      <c r="B46" s="11" t="s">
        <v>33</v>
      </c>
      <c r="C46" s="22">
        <v>4</v>
      </c>
      <c r="D46" s="11" t="s">
        <v>27</v>
      </c>
      <c r="E46" s="12" t="s">
        <v>52</v>
      </c>
      <c r="F46" s="12">
        <v>1147</v>
      </c>
      <c r="G46" s="12" t="s">
        <v>103</v>
      </c>
      <c r="H46" s="14">
        <v>46270</v>
      </c>
      <c r="I46" s="14">
        <v>46270</v>
      </c>
      <c r="J46" s="15" t="str">
        <f>+VLOOKUP(K46,[1]Datos!$A:$C,3,FALSE)</f>
        <v>CENTRO ATLANTICO</v>
      </c>
      <c r="K46" s="22">
        <v>87</v>
      </c>
      <c r="L46" s="15" t="str">
        <f>+VLOOKUP(K46,[1]Datos!$A:$C,2,FALSE)</f>
        <v>EL NARANJO</v>
      </c>
      <c r="M46" s="17">
        <v>310734</v>
      </c>
      <c r="N46" s="17" t="str">
        <f>+VLOOKUP(M46,[1]Datos!$F:$G,2,FALSE)</f>
        <v>Lupita Genesis Granados Valenzuela</v>
      </c>
      <c r="O46" s="18">
        <f>IFERROR(IF(A46="SI",VLOOKUP(R46,[1]Datos!$J$1:$K$50,2,FALSE)*C46,VLOOKUP(R46,[1]Datos!$P$1:$T$50,2,FALSE)*C46),0)</f>
        <v>5472</v>
      </c>
      <c r="P46" s="12">
        <v>310538</v>
      </c>
      <c r="Q46" s="17" t="str">
        <f>+VLOOKUP(P46,[1]Datos!$F:$G,2,FALSE)</f>
        <v>Kevin Orlando Ventura Lopez</v>
      </c>
      <c r="R46" s="11" t="s">
        <v>41</v>
      </c>
      <c r="S46" s="11">
        <f t="shared" si="0"/>
        <v>1</v>
      </c>
      <c r="T46" s="11">
        <f>+VLOOKUP(M46,[1]Datos!$F:$H,3,FALSE)</f>
        <v>0</v>
      </c>
      <c r="U46" s="11">
        <v>0</v>
      </c>
      <c r="V46" s="19"/>
    </row>
    <row r="47" spans="1:22" hidden="1">
      <c r="A47" s="11" t="s">
        <v>25</v>
      </c>
      <c r="B47" s="11" t="s">
        <v>33</v>
      </c>
      <c r="C47" s="11">
        <v>1</v>
      </c>
      <c r="D47" s="11" t="s">
        <v>27</v>
      </c>
      <c r="E47" s="12" t="s">
        <v>37</v>
      </c>
      <c r="F47" s="12">
        <v>4302</v>
      </c>
      <c r="G47" s="12" t="s">
        <v>104</v>
      </c>
      <c r="H47" s="14">
        <v>46270</v>
      </c>
      <c r="I47" s="14">
        <v>46270</v>
      </c>
      <c r="J47" s="15" t="str">
        <f>+VLOOKUP(K47,[1]Datos!$A:$C,3,FALSE)</f>
        <v>CENTRO ATLANTICO</v>
      </c>
      <c r="K47" s="11">
        <v>103</v>
      </c>
      <c r="L47" s="15" t="str">
        <f>+VLOOKUP(K47,[1]Datos!$A:$C,2,FALSE)</f>
        <v>LOS ALAMOS</v>
      </c>
      <c r="M47" s="23">
        <v>90028127</v>
      </c>
      <c r="N47" s="17" t="str">
        <f>+VLOOKUP(M47,[1]Datos!$F:$G,2,FALSE)</f>
        <v xml:space="preserve">Lesly Mishel Herrera Maldonado </v>
      </c>
      <c r="O47" s="18">
        <f>IFERROR(IF(A47="SI",VLOOKUP(R47,[1]Datos!$J$1:$K$50,2,FALSE)*C47,VLOOKUP(R47,[1]Datos!$P$1:$T$50,2,FALSE)*C47),0)</f>
        <v>816</v>
      </c>
      <c r="P47" s="12">
        <v>305989</v>
      </c>
      <c r="Q47" s="17" t="str">
        <f>+VLOOKUP(P47,[1]Datos!$F:$G,2,FALSE)</f>
        <v>Wuilson Ottoniel Hernandez Alonzo</v>
      </c>
      <c r="R47" s="11" t="s">
        <v>30</v>
      </c>
      <c r="S47" s="11">
        <f t="shared" si="0"/>
        <v>1</v>
      </c>
      <c r="T47" s="11">
        <f>+VLOOKUP(M47,[1]Datos!$F:$H,3,FALSE)</f>
        <v>0</v>
      </c>
      <c r="U47" s="11">
        <v>0</v>
      </c>
      <c r="V47" s="19"/>
    </row>
    <row r="48" spans="1:22" hidden="1">
      <c r="A48" s="11" t="s">
        <v>25</v>
      </c>
      <c r="B48" s="11" t="s">
        <v>33</v>
      </c>
      <c r="C48" s="11">
        <v>4</v>
      </c>
      <c r="D48" s="15" t="s">
        <v>27</v>
      </c>
      <c r="E48" s="12" t="s">
        <v>58</v>
      </c>
      <c r="F48" s="12">
        <v>646</v>
      </c>
      <c r="G48" s="12" t="s">
        <v>105</v>
      </c>
      <c r="H48" s="13">
        <v>46272</v>
      </c>
      <c r="I48" s="14">
        <v>46272</v>
      </c>
      <c r="J48" s="15" t="str">
        <f>+VLOOKUP(K48,[1]Datos!$A:$C,3,FALSE)</f>
        <v>CENTRO ATLANTICO</v>
      </c>
      <c r="K48" s="11">
        <v>166</v>
      </c>
      <c r="L48" s="15" t="str">
        <f>+VLOOKUP(K48,[1]Datos!$A:$C,2,FALSE)</f>
        <v>23 CALLE</v>
      </c>
      <c r="M48" s="23">
        <v>90033849</v>
      </c>
      <c r="N48" s="17" t="str">
        <f>+VLOOKUP(M48,[1]Datos!$F:$G,2,FALSE)</f>
        <v>Paola Yanet Chet Martinez</v>
      </c>
      <c r="O48" s="18">
        <f>IFERROR(IF(A48="SI",VLOOKUP(R48,[1]Datos!$J$1:$K$50,2,FALSE)*C48,VLOOKUP(R48,[1]Datos!$P$1:$T$50,2,FALSE)*C48),0)</f>
        <v>5472</v>
      </c>
      <c r="P48" s="12">
        <v>314028</v>
      </c>
      <c r="Q48" s="17" t="str">
        <f>+VLOOKUP(P48,[1]Datos!$F:$G,2,FALSE)</f>
        <v>Cindy Paola Garcia Monroy</v>
      </c>
      <c r="R48" s="11" t="s">
        <v>41</v>
      </c>
      <c r="S48" s="11">
        <f t="shared" si="0"/>
        <v>1</v>
      </c>
      <c r="T48" s="11">
        <f>+VLOOKUP(M48,[1]Datos!$F:$H,3,FALSE)</f>
        <v>0</v>
      </c>
      <c r="U48" s="11">
        <v>0</v>
      </c>
      <c r="V48" s="19"/>
    </row>
    <row r="49" spans="1:23" hidden="1">
      <c r="A49" s="11" t="s">
        <v>25</v>
      </c>
      <c r="B49" s="11" t="s">
        <v>26</v>
      </c>
      <c r="C49" s="11">
        <v>1</v>
      </c>
      <c r="D49" s="15" t="s">
        <v>27</v>
      </c>
      <c r="E49" s="12" t="s">
        <v>37</v>
      </c>
      <c r="F49" s="12">
        <v>4303</v>
      </c>
      <c r="G49" s="21" t="s">
        <v>106</v>
      </c>
      <c r="H49" s="14">
        <v>46272</v>
      </c>
      <c r="I49" s="14">
        <v>46272</v>
      </c>
      <c r="J49" s="15" t="str">
        <f>+VLOOKUP(K49,[1]Datos!$A:$C,3,FALSE)</f>
        <v>CENTRO ATLANTICO</v>
      </c>
      <c r="K49" s="11">
        <v>103</v>
      </c>
      <c r="L49" s="15" t="str">
        <f>+VLOOKUP(K49,[1]Datos!$A:$C,2,FALSE)</f>
        <v>LOS ALAMOS</v>
      </c>
      <c r="M49" s="17">
        <v>90085539</v>
      </c>
      <c r="N49" s="17" t="str">
        <f>+VLOOKUP(M49,[1]Datos!$F:$G,2,FALSE)</f>
        <v>ARIANA RODAS</v>
      </c>
      <c r="O49" s="18">
        <f>IFERROR(IF(A49="SI",VLOOKUP(R49,[1]Datos!$J$1:$K$50,2,FALSE)*C49,VLOOKUP(R49,[1]Datos!$P$1:$T$50,2,FALSE)*C49),0)</f>
        <v>816</v>
      </c>
      <c r="P49" s="12">
        <v>310318</v>
      </c>
      <c r="Q49" s="17" t="str">
        <f>+VLOOKUP(P49,[1]Datos!$F:$G,2,FALSE)</f>
        <v>Yeimi Yareli Moscoso Guzman</v>
      </c>
      <c r="R49" s="11" t="s">
        <v>30</v>
      </c>
      <c r="S49" s="11">
        <f t="shared" si="0"/>
        <v>1</v>
      </c>
      <c r="T49" s="11">
        <f>+VLOOKUP(M49,[1]Datos!$F:$H,3,FALSE)</f>
        <v>0</v>
      </c>
      <c r="U49" s="11">
        <v>0</v>
      </c>
      <c r="V49" s="19"/>
    </row>
    <row r="50" spans="1:23" hidden="1">
      <c r="A50" s="11" t="s">
        <v>25</v>
      </c>
      <c r="B50" s="11" t="s">
        <v>26</v>
      </c>
      <c r="C50" s="11">
        <v>1</v>
      </c>
      <c r="D50" s="11" t="s">
        <v>27</v>
      </c>
      <c r="E50" s="12" t="s">
        <v>37</v>
      </c>
      <c r="F50" s="12">
        <v>4322</v>
      </c>
      <c r="G50" s="12" t="s">
        <v>29</v>
      </c>
      <c r="H50" s="14">
        <v>46272</v>
      </c>
      <c r="I50" s="14">
        <v>46272</v>
      </c>
      <c r="J50" s="15" t="str">
        <f>+VLOOKUP(K50,[1]Datos!$A:$C,3,FALSE)</f>
        <v>CENTRO ATLANTICO</v>
      </c>
      <c r="K50" s="22">
        <v>166</v>
      </c>
      <c r="L50" s="15" t="str">
        <f>+VLOOKUP(K50,[1]Datos!$A:$C,2,FALSE)</f>
        <v>23 CALLE</v>
      </c>
      <c r="M50" s="16">
        <v>90082796</v>
      </c>
      <c r="N50" s="17" t="str">
        <f>+VLOOKUP(M50,[1]Datos!$F:$G,2,FALSE)</f>
        <v>LILIBETH ALEGRIA</v>
      </c>
      <c r="O50" s="18">
        <f>IFERROR(IF(A50="SI",VLOOKUP(R50,[1]Datos!$J$1:$K$50,2,FALSE)*C50,VLOOKUP(R50,[1]Datos!$P$1:$T$50,2,FALSE)*C50),0)</f>
        <v>1368</v>
      </c>
      <c r="P50" s="12">
        <v>303971</v>
      </c>
      <c r="Q50" s="17" t="str">
        <f>+VLOOKUP(P50,[1]Datos!$F:$G,2,FALSE)</f>
        <v>Leidy Marisol Perez Arias</v>
      </c>
      <c r="R50" s="11" t="s">
        <v>41</v>
      </c>
      <c r="S50" s="11">
        <f t="shared" si="0"/>
        <v>2</v>
      </c>
      <c r="T50" s="11">
        <f>+VLOOKUP(M50,[1]Datos!$F:$H,3,FALSE)</f>
        <v>0</v>
      </c>
      <c r="U50" s="11">
        <v>0</v>
      </c>
      <c r="V50" s="19"/>
      <c r="W50" s="11" t="s">
        <v>31</v>
      </c>
    </row>
    <row r="51" spans="1:23" hidden="1">
      <c r="A51" s="11" t="s">
        <v>25</v>
      </c>
      <c r="B51" s="11" t="s">
        <v>33</v>
      </c>
      <c r="C51" s="11">
        <v>1</v>
      </c>
      <c r="D51" s="11" t="s">
        <v>27</v>
      </c>
      <c r="E51" s="12" t="s">
        <v>50</v>
      </c>
      <c r="F51" s="12">
        <v>2946</v>
      </c>
      <c r="G51" s="12" t="s">
        <v>107</v>
      </c>
      <c r="H51" s="14">
        <v>46272</v>
      </c>
      <c r="I51" s="14">
        <v>46272</v>
      </c>
      <c r="J51" s="15" t="str">
        <f>+VLOOKUP(K51,[1]Datos!$A:$C,3,FALSE)</f>
        <v>REFORMA</v>
      </c>
      <c r="K51" s="22">
        <v>10</v>
      </c>
      <c r="L51" s="15" t="str">
        <f>+VLOOKUP(K51,[1]Datos!$A:$C,2,FALSE)</f>
        <v>MARGARITAS</v>
      </c>
      <c r="M51" s="12">
        <v>90012192</v>
      </c>
      <c r="N51" s="17" t="str">
        <f>+VLOOKUP(M51,[1]Datos!$F:$G,2,FALSE)</f>
        <v xml:space="preserve">Keili Pablo </v>
      </c>
      <c r="O51" s="18">
        <f>IFERROR(IF(A51="SI",VLOOKUP(R51,[1]Datos!$J$1:$K$50,2,FALSE)*C51,VLOOKUP(R51,[1]Datos!$P$1:$T$50,2,FALSE)*C51),0)</f>
        <v>2004</v>
      </c>
      <c r="P51" s="12">
        <v>315062</v>
      </c>
      <c r="Q51" s="17" t="str">
        <f>+VLOOKUP(P51,[1]Datos!$F:$G,2,FALSE)</f>
        <v>Keili Yanira Arceno Solano</v>
      </c>
      <c r="R51" s="11" t="s">
        <v>55</v>
      </c>
      <c r="S51" s="11">
        <f t="shared" si="0"/>
        <v>1</v>
      </c>
      <c r="T51" s="11">
        <f>+VLOOKUP(M51,[1]Datos!$F:$H,3,FALSE)</f>
        <v>0</v>
      </c>
      <c r="U51" s="11">
        <v>0</v>
      </c>
      <c r="V51" s="19"/>
    </row>
    <row r="52" spans="1:23" hidden="1">
      <c r="A52" s="11" t="s">
        <v>25</v>
      </c>
      <c r="B52" s="11" t="s">
        <v>33</v>
      </c>
      <c r="C52" s="11">
        <v>4</v>
      </c>
      <c r="D52" s="11" t="s">
        <v>27</v>
      </c>
      <c r="E52" s="12" t="s">
        <v>58</v>
      </c>
      <c r="F52" s="12">
        <v>678</v>
      </c>
      <c r="G52" s="12" t="s">
        <v>108</v>
      </c>
      <c r="H52" s="14">
        <v>46272</v>
      </c>
      <c r="I52" s="14">
        <v>46272</v>
      </c>
      <c r="J52" s="15" t="str">
        <f>+VLOOKUP(K52,[1]Datos!$A:$C,3,FALSE)</f>
        <v>CENTRO ATLANTICO</v>
      </c>
      <c r="K52" s="11">
        <v>134</v>
      </c>
      <c r="L52" s="15" t="str">
        <f>+VLOOKUP(K52,[1]Datos!$A:$C,2,FALSE)</f>
        <v>GUASTATOYA</v>
      </c>
      <c r="M52" s="17">
        <v>90025188</v>
      </c>
      <c r="N52" s="17" t="str">
        <f>+VLOOKUP(M52,[1]Datos!$F:$G,2,FALSE)</f>
        <v>Sindy Gabriela Rivas Ochoa</v>
      </c>
      <c r="O52" s="18">
        <f>IFERROR(IF(A52="SI",VLOOKUP(R52,[1]Datos!$J$1:$K$50,2,FALSE)*C52,VLOOKUP(R52,[1]Datos!$P$1:$T$50,2,FALSE)*C52),0)</f>
        <v>3264</v>
      </c>
      <c r="P52" s="12">
        <v>315408</v>
      </c>
      <c r="Q52" s="17" t="str">
        <f>+VLOOKUP(P52,[1]Datos!$F:$G,2,FALSE)</f>
        <v>Sandy Suset Morales Barrientos</v>
      </c>
      <c r="R52" s="11" t="s">
        <v>30</v>
      </c>
      <c r="S52" s="11">
        <f t="shared" si="0"/>
        <v>1</v>
      </c>
      <c r="T52" s="11">
        <f>+VLOOKUP(M52,[1]Datos!$F:$H,3,FALSE)</f>
        <v>0</v>
      </c>
      <c r="U52" s="11">
        <v>0</v>
      </c>
      <c r="V52" s="19"/>
    </row>
    <row r="53" spans="1:23" hidden="1">
      <c r="A53" s="11" t="s">
        <v>25</v>
      </c>
      <c r="B53" s="11" t="s">
        <v>26</v>
      </c>
      <c r="C53" s="11">
        <v>4</v>
      </c>
      <c r="D53" s="11" t="s">
        <v>27</v>
      </c>
      <c r="E53" s="12" t="s">
        <v>45</v>
      </c>
      <c r="F53" s="12">
        <v>674</v>
      </c>
      <c r="G53" s="12" t="s">
        <v>109</v>
      </c>
      <c r="H53" s="14">
        <v>46272</v>
      </c>
      <c r="I53" s="14">
        <v>46272</v>
      </c>
      <c r="J53" s="15" t="str">
        <f>+VLOOKUP(K53,[1]Datos!$A:$C,3,FALSE)</f>
        <v>CENTRO ATLANTICO</v>
      </c>
      <c r="K53" s="11">
        <v>1</v>
      </c>
      <c r="L53" s="15" t="str">
        <f>+VLOOKUP(K53,[1]Datos!$A:$C,2,FALSE)</f>
        <v>FUNDACION</v>
      </c>
      <c r="M53" s="16">
        <v>90064272</v>
      </c>
      <c r="N53" s="17" t="str">
        <f>+VLOOKUP(M53,[1]Datos!$F:$G,2,FALSE)</f>
        <v>MARIA CELESTE DIAZ FAJARDO</v>
      </c>
      <c r="O53" s="18">
        <f>IFERROR(IF(A53="SI",VLOOKUP(R53,[1]Datos!$J$1:$K$50,2,FALSE)*C53,VLOOKUP(R53,[1]Datos!$P$1:$T$50,2,FALSE)*C53),0)</f>
        <v>3264</v>
      </c>
      <c r="P53" s="12">
        <v>300999</v>
      </c>
      <c r="Q53" s="17" t="str">
        <f>+VLOOKUP(P53,[1]Datos!$F:$G,2,FALSE)</f>
        <v>Victor Adolfo Barrios Monzon</v>
      </c>
      <c r="R53" s="11" t="s">
        <v>30</v>
      </c>
      <c r="S53" s="11">
        <f t="shared" si="0"/>
        <v>1</v>
      </c>
      <c r="T53" s="11">
        <f>+VLOOKUP(M53,[1]Datos!$F:$H,3,FALSE)</f>
        <v>0</v>
      </c>
      <c r="U53" s="11">
        <v>0</v>
      </c>
      <c r="V53" s="19"/>
    </row>
    <row r="54" spans="1:23" hidden="1">
      <c r="A54" s="11" t="s">
        <v>25</v>
      </c>
      <c r="B54" s="11" t="s">
        <v>33</v>
      </c>
      <c r="C54" s="11">
        <v>4</v>
      </c>
      <c r="D54" s="11" t="s">
        <v>27</v>
      </c>
      <c r="E54" s="12" t="s">
        <v>45</v>
      </c>
      <c r="F54" s="12">
        <v>660</v>
      </c>
      <c r="G54" s="12" t="s">
        <v>110</v>
      </c>
      <c r="H54" s="14">
        <v>46272</v>
      </c>
      <c r="I54" s="14">
        <v>46270</v>
      </c>
      <c r="J54" s="15" t="str">
        <f>+VLOOKUP(K54,[1]Datos!$A:$C,3,FALSE)</f>
        <v>CENTRO ATLANTICO</v>
      </c>
      <c r="K54" s="22">
        <v>134</v>
      </c>
      <c r="L54" s="15" t="str">
        <f>+VLOOKUP(K54,[1]Datos!$A:$C,2,FALSE)</f>
        <v>GUASTATOYA</v>
      </c>
      <c r="M54" s="12">
        <v>90084545</v>
      </c>
      <c r="N54" s="17" t="str">
        <f>+VLOOKUP(M54,[1]Datos!$F:$G,2,FALSE)</f>
        <v>LIMNY ABIGAIL MORALES GONZALEZ</v>
      </c>
      <c r="O54" s="18">
        <f>IFERROR(IF(A54="SI",VLOOKUP(R54,[1]Datos!$J$1:$K$50,2,FALSE)*C54,VLOOKUP(R54,[1]Datos!$P$1:$T$50,2,FALSE)*C54),0)</f>
        <v>3264</v>
      </c>
      <c r="P54" s="12">
        <v>315408</v>
      </c>
      <c r="Q54" s="17" t="str">
        <f>+VLOOKUP(P54,[1]Datos!$F:$G,2,FALSE)</f>
        <v>Sandy Suset Morales Barrientos</v>
      </c>
      <c r="R54" s="11" t="s">
        <v>30</v>
      </c>
      <c r="S54" s="11">
        <f t="shared" si="0"/>
        <v>1</v>
      </c>
      <c r="T54" s="11">
        <f>+VLOOKUP(M54,[1]Datos!$F:$H,3,FALSE)</f>
        <v>0</v>
      </c>
      <c r="U54" s="11">
        <v>0</v>
      </c>
      <c r="V54" s="19" t="s">
        <v>47</v>
      </c>
    </row>
    <row r="55" spans="1:23" hidden="1">
      <c r="A55" s="11" t="s">
        <v>111</v>
      </c>
      <c r="B55" s="11" t="s">
        <v>33</v>
      </c>
      <c r="C55" s="11">
        <v>3</v>
      </c>
      <c r="D55" s="11" t="s">
        <v>27</v>
      </c>
      <c r="E55" s="12" t="s">
        <v>112</v>
      </c>
      <c r="F55" s="12">
        <v>1</v>
      </c>
      <c r="G55" s="12" t="s">
        <v>113</v>
      </c>
      <c r="H55" s="14">
        <v>46272</v>
      </c>
      <c r="I55" s="14">
        <v>46271</v>
      </c>
      <c r="J55" s="15" t="str">
        <f>+VLOOKUP(K55,[1]Datos!$A:$C,3,FALSE)</f>
        <v>CENTRO ATLANTICO</v>
      </c>
      <c r="K55" s="11">
        <v>302</v>
      </c>
      <c r="L55" s="15" t="str">
        <f>+VLOOKUP(K55,[1]Datos!$A:$C,2,FALSE)</f>
        <v>CENTRANORTE</v>
      </c>
      <c r="M55" s="23">
        <v>316198</v>
      </c>
      <c r="N55" s="17" t="str">
        <f>+VLOOKUP(M55,[1]Datos!$F:$G,2,FALSE)</f>
        <v xml:space="preserve">Karen Mishel Gomez Meda </v>
      </c>
      <c r="O55" s="32">
        <v>4500</v>
      </c>
      <c r="P55" s="12">
        <v>312178</v>
      </c>
      <c r="Q55" s="17" t="str">
        <f>+VLOOKUP(P55,[1]Datos!$F:$G,2,FALSE)</f>
        <v>Keyla Cristy Dubon Pernillo</v>
      </c>
      <c r="R55" s="11" t="s">
        <v>114</v>
      </c>
      <c r="S55" s="11">
        <f t="shared" si="0"/>
        <v>1</v>
      </c>
      <c r="T55" s="11">
        <f>+VLOOKUP(M55,[1]Datos!$F:$H,3,FALSE)</f>
        <v>0</v>
      </c>
      <c r="U55" s="11">
        <v>0</v>
      </c>
      <c r="V55" s="19"/>
    </row>
    <row r="56" spans="1:23" hidden="1">
      <c r="A56" s="11" t="s">
        <v>25</v>
      </c>
      <c r="B56" s="11" t="s">
        <v>33</v>
      </c>
      <c r="C56" s="22">
        <v>3</v>
      </c>
      <c r="D56" s="11" t="s">
        <v>27</v>
      </c>
      <c r="E56" s="12" t="s">
        <v>115</v>
      </c>
      <c r="F56" s="12">
        <v>615</v>
      </c>
      <c r="G56" s="12" t="s">
        <v>116</v>
      </c>
      <c r="H56" s="14">
        <v>46272</v>
      </c>
      <c r="I56" s="14">
        <v>46272</v>
      </c>
      <c r="J56" s="15" t="str">
        <f>+VLOOKUP(K56,[1]Datos!$A:$C,3,FALSE)</f>
        <v>REFORMA</v>
      </c>
      <c r="K56" s="22">
        <v>12</v>
      </c>
      <c r="L56" s="15" t="str">
        <f>+VLOOKUP(K56,[1]Datos!$A:$C,2,FALSE)</f>
        <v>PLAZA FLORIDA</v>
      </c>
      <c r="M56" s="12">
        <v>314344</v>
      </c>
      <c r="N56" s="17" t="str">
        <f>+VLOOKUP(M56,[1]Datos!$F:$G,2,FALSE)</f>
        <v>Katherin Maria Curiales Catalan</v>
      </c>
      <c r="O56" s="18">
        <f>IFERROR(IF(A56="SI",VLOOKUP(R56,[1]Datos!$J$1:$K$50,2,FALSE)*C56,VLOOKUP(R56,[1]Datos!$P$1:$T$50,2,FALSE)*C56),0)</f>
        <v>2448</v>
      </c>
      <c r="P56" s="17">
        <v>301534</v>
      </c>
      <c r="Q56" s="17" t="str">
        <f>+VLOOKUP(P56,[1]Datos!$F:$G,2,FALSE)</f>
        <v>Donald Alejandro Mendez Mayen</v>
      </c>
      <c r="R56" s="11" t="s">
        <v>30</v>
      </c>
      <c r="S56" s="11">
        <f t="shared" si="0"/>
        <v>1</v>
      </c>
      <c r="T56" s="11">
        <f>+VLOOKUP(M56,[1]Datos!$F:$H,3,FALSE)</f>
        <v>0</v>
      </c>
      <c r="U56" s="11">
        <v>0</v>
      </c>
      <c r="V56" s="19"/>
    </row>
    <row r="57" spans="1:23" ht="15.5" hidden="1">
      <c r="A57" s="11" t="s">
        <v>25</v>
      </c>
      <c r="B57" s="11" t="s">
        <v>33</v>
      </c>
      <c r="C57" s="22">
        <v>1</v>
      </c>
      <c r="D57" s="11" t="s">
        <v>27</v>
      </c>
      <c r="E57" s="12" t="s">
        <v>37</v>
      </c>
      <c r="F57" s="12">
        <v>4337</v>
      </c>
      <c r="G57" s="12" t="s">
        <v>117</v>
      </c>
      <c r="H57" s="14">
        <v>46272</v>
      </c>
      <c r="I57" s="14">
        <v>46272</v>
      </c>
      <c r="J57" s="15" t="str">
        <f>+VLOOKUP(K57,[1]Datos!$A:$C,3,FALSE)</f>
        <v>CENTRO ATLANTICO</v>
      </c>
      <c r="K57" s="22">
        <v>302</v>
      </c>
      <c r="L57" s="15" t="str">
        <f>+VLOOKUP(K57,[1]Datos!$A:$C,2,FALSE)</f>
        <v>CENTRANORTE</v>
      </c>
      <c r="M57" s="12">
        <v>90065518</v>
      </c>
      <c r="N57" s="17" t="str">
        <f>+VLOOKUP(M57,[1]Datos!$F:$G,2,FALSE)</f>
        <v>Melani Sarai Avalos Orellana</v>
      </c>
      <c r="O57" s="18">
        <f>IFERROR(IF(A57="SI",VLOOKUP(R57,[1]Datos!$J$1:$K$50,2,FALSE)*C57,VLOOKUP(R57,[1]Datos!$P$1:$T$50,2,FALSE)*C57),0)</f>
        <v>1368</v>
      </c>
      <c r="P57" s="33">
        <v>313441</v>
      </c>
      <c r="Q57" s="17" t="str">
        <f>+VLOOKUP(P57,[1]Datos!$F:$G,2,FALSE)</f>
        <v>Moises Dario Flores Amaya</v>
      </c>
      <c r="R57" s="11" t="s">
        <v>41</v>
      </c>
      <c r="S57" s="11">
        <f t="shared" si="0"/>
        <v>1</v>
      </c>
      <c r="T57" s="11">
        <f>+VLOOKUP(M57,[1]Datos!$F:$H,3,FALSE)</f>
        <v>0</v>
      </c>
      <c r="U57" s="11">
        <v>0</v>
      </c>
      <c r="V57" s="19"/>
    </row>
    <row r="58" spans="1:23" hidden="1">
      <c r="A58" s="11" t="s">
        <v>25</v>
      </c>
      <c r="B58" s="11" t="s">
        <v>33</v>
      </c>
      <c r="C58" s="11">
        <v>4</v>
      </c>
      <c r="D58" s="11" t="s">
        <v>27</v>
      </c>
      <c r="E58" s="12" t="s">
        <v>45</v>
      </c>
      <c r="F58" s="12">
        <v>685</v>
      </c>
      <c r="G58" s="12" t="s">
        <v>118</v>
      </c>
      <c r="H58" s="13">
        <v>46273</v>
      </c>
      <c r="I58" s="14">
        <v>46273</v>
      </c>
      <c r="J58" s="15" t="str">
        <f>+VLOOKUP(K58,[1]Datos!$A:$C,3,FALSE)</f>
        <v>CENTRO ATLANTICO</v>
      </c>
      <c r="K58" s="22">
        <v>1</v>
      </c>
      <c r="L58" s="15" t="str">
        <f>+VLOOKUP(K58,[1]Datos!$A:$C,2,FALSE)</f>
        <v>FUNDACION</v>
      </c>
      <c r="M58" s="16">
        <v>90064272</v>
      </c>
      <c r="N58" s="17" t="str">
        <f>+VLOOKUP(M58,[1]Datos!$F:$G,2,FALSE)</f>
        <v>MARIA CELESTE DIAZ FAJARDO</v>
      </c>
      <c r="O58" s="18">
        <f>IFERROR(IF(A58="SI",VLOOKUP(R58,[1]Datos!$J$1:$K$50,2,FALSE)*C58,VLOOKUP(R58,[1]Datos!$P$1:$T$50,2,FALSE)*C58),0)</f>
        <v>3264</v>
      </c>
      <c r="P58" s="12">
        <v>300999</v>
      </c>
      <c r="Q58" s="17" t="str">
        <f>+VLOOKUP(P58,[1]Datos!$F:$G,2,FALSE)</f>
        <v>Victor Adolfo Barrios Monzon</v>
      </c>
      <c r="R58" s="11" t="s">
        <v>30</v>
      </c>
      <c r="S58" s="11">
        <f t="shared" si="0"/>
        <v>1</v>
      </c>
      <c r="T58" s="11">
        <f>+VLOOKUP(M58,[1]Datos!$F:$H,3,FALSE)</f>
        <v>0</v>
      </c>
      <c r="U58" s="11">
        <v>0</v>
      </c>
      <c r="V58" s="19"/>
    </row>
    <row r="59" spans="1:23" hidden="1">
      <c r="A59" s="11" t="s">
        <v>25</v>
      </c>
      <c r="B59" s="11" t="s">
        <v>26</v>
      </c>
      <c r="C59" s="11">
        <v>4</v>
      </c>
      <c r="D59" s="11" t="s">
        <v>27</v>
      </c>
      <c r="E59" s="12" t="s">
        <v>119</v>
      </c>
      <c r="F59" s="12">
        <v>37</v>
      </c>
      <c r="G59" s="12" t="s">
        <v>120</v>
      </c>
      <c r="H59" s="14">
        <v>46273</v>
      </c>
      <c r="I59" s="14">
        <v>46273</v>
      </c>
      <c r="J59" s="15" t="str">
        <f>+VLOOKUP(K59,[1]Datos!$A:$C,3,FALSE)</f>
        <v>CENTRO ATLANTICO</v>
      </c>
      <c r="K59" s="11">
        <v>98</v>
      </c>
      <c r="L59" s="15" t="str">
        <f>+VLOOKUP(K59,[1]Datos!$A:$C,2,FALSE)</f>
        <v>CALLE MARTI</v>
      </c>
      <c r="M59" s="12">
        <v>316322</v>
      </c>
      <c r="N59" s="17" t="str">
        <f>+VLOOKUP(M59,[1]Datos!$F:$G,2,FALSE)</f>
        <v xml:space="preserve">Gabriela Janet Crisostomo Xuya </v>
      </c>
      <c r="O59" s="18">
        <f>IFERROR(IF(A59="SI",VLOOKUP(R59,[1]Datos!$J$1:$K$50,2,FALSE)*C59,VLOOKUP(R59,[1]Datos!$P$1:$T$50,2,FALSE)*C59),0)</f>
        <v>6816</v>
      </c>
      <c r="P59" s="12">
        <v>313528</v>
      </c>
      <c r="Q59" s="17" t="str">
        <f>+VLOOKUP(P59,[1]Datos!$F:$G,2,FALSE)</f>
        <v>Amairani Lilibeth Escobar Maquin</v>
      </c>
      <c r="R59" s="11" t="s">
        <v>121</v>
      </c>
      <c r="S59" s="11">
        <f t="shared" si="0"/>
        <v>1</v>
      </c>
      <c r="T59" s="11">
        <f>+VLOOKUP(M59,[1]Datos!$F:$H,3,FALSE)</f>
        <v>0</v>
      </c>
      <c r="U59" s="11">
        <v>0</v>
      </c>
      <c r="V59" s="19"/>
    </row>
    <row r="60" spans="1:23" hidden="1">
      <c r="A60" s="11" t="s">
        <v>25</v>
      </c>
      <c r="B60" s="11" t="s">
        <v>33</v>
      </c>
      <c r="C60" s="11">
        <v>2</v>
      </c>
      <c r="D60" s="22" t="s">
        <v>27</v>
      </c>
      <c r="E60" s="12" t="s">
        <v>52</v>
      </c>
      <c r="F60" s="12">
        <v>1173</v>
      </c>
      <c r="G60" s="12" t="s">
        <v>122</v>
      </c>
      <c r="H60" s="14">
        <v>46273</v>
      </c>
      <c r="I60" s="14">
        <v>46273</v>
      </c>
      <c r="J60" s="15" t="str">
        <f>+VLOOKUP(K60,[1]Datos!$A:$C,3,FALSE)</f>
        <v>CENTRO ATLANTICO</v>
      </c>
      <c r="K60" s="22">
        <v>302</v>
      </c>
      <c r="L60" s="15" t="str">
        <f>+VLOOKUP(K60,[1]Datos!$A:$C,2,FALSE)</f>
        <v>CENTRANORTE</v>
      </c>
      <c r="M60" s="23">
        <v>316198</v>
      </c>
      <c r="N60" s="17" t="str">
        <f>+VLOOKUP(M60,[1]Datos!$F:$G,2,FALSE)</f>
        <v xml:space="preserve">Karen Mishel Gomez Meda </v>
      </c>
      <c r="O60" s="18">
        <f>IFERROR(IF(A60="SI",VLOOKUP(R60,[1]Datos!$J$1:$K$50,2,FALSE)*C60,VLOOKUP(R60,[1]Datos!$P$1:$T$50,2,FALSE)*C60),0)</f>
        <v>2736</v>
      </c>
      <c r="P60" s="12">
        <v>313441</v>
      </c>
      <c r="Q60" s="17" t="str">
        <f>+VLOOKUP(P60,[1]Datos!$F:$G,2,FALSE)</f>
        <v>Moises Dario Flores Amaya</v>
      </c>
      <c r="R60" s="11" t="s">
        <v>41</v>
      </c>
      <c r="S60" s="11">
        <f t="shared" si="0"/>
        <v>1</v>
      </c>
      <c r="T60" s="11">
        <f>+VLOOKUP(M60,[1]Datos!$F:$H,3,FALSE)</f>
        <v>0</v>
      </c>
      <c r="U60" s="11">
        <v>0</v>
      </c>
      <c r="V60" s="19"/>
    </row>
    <row r="61" spans="1:23" hidden="1">
      <c r="A61" s="11" t="s">
        <v>25</v>
      </c>
      <c r="B61" s="11" t="s">
        <v>26</v>
      </c>
      <c r="C61" s="11">
        <v>1</v>
      </c>
      <c r="D61" s="11" t="s">
        <v>27</v>
      </c>
      <c r="E61" s="12" t="s">
        <v>123</v>
      </c>
      <c r="F61" s="12">
        <v>413</v>
      </c>
      <c r="G61" s="12" t="s">
        <v>124</v>
      </c>
      <c r="H61" s="14">
        <v>46273</v>
      </c>
      <c r="I61" s="14">
        <v>46273</v>
      </c>
      <c r="J61" s="15" t="str">
        <f>+VLOOKUP(K61,[1]Datos!$A:$C,3,FALSE)</f>
        <v>CENTRO ATLANTICO</v>
      </c>
      <c r="K61" s="22">
        <v>13</v>
      </c>
      <c r="L61" s="15" t="str">
        <f>+VLOOKUP(K61,[1]Datos!$A:$C,2,FALSE)</f>
        <v>METANORTE</v>
      </c>
      <c r="M61" s="12">
        <v>90063527</v>
      </c>
      <c r="N61" s="17" t="str">
        <f>+VLOOKUP(M61,[1]Datos!$F:$G,2,FALSE)</f>
        <v xml:space="preserve">SARA ELIZABETH SOL CHAVEZ </v>
      </c>
      <c r="O61" s="18">
        <f>IFERROR(IF(A61="SI",VLOOKUP(R61,[1]Datos!$J$1:$K$50,2,FALSE)*C61,VLOOKUP(R61,[1]Datos!$P$1:$T$50,2,FALSE)*C61),0)</f>
        <v>1092</v>
      </c>
      <c r="P61" s="12">
        <v>314420</v>
      </c>
      <c r="Q61" s="17" t="str">
        <f>+VLOOKUP(P61,[1]Datos!$F:$G,2,FALSE)</f>
        <v>Sandra Jeaneth Ajcuc Garcia</v>
      </c>
      <c r="R61" s="11" t="s">
        <v>97</v>
      </c>
      <c r="S61" s="11">
        <f t="shared" si="0"/>
        <v>1</v>
      </c>
      <c r="T61" s="11">
        <f>+VLOOKUP(M61,[1]Datos!$F:$H,3,FALSE)</f>
        <v>0</v>
      </c>
      <c r="U61" s="11">
        <v>0</v>
      </c>
      <c r="V61" s="19"/>
    </row>
    <row r="62" spans="1:23" hidden="1">
      <c r="A62" s="11" t="s">
        <v>25</v>
      </c>
      <c r="B62" s="11" t="s">
        <v>33</v>
      </c>
      <c r="C62" s="11">
        <v>4</v>
      </c>
      <c r="D62" s="11" t="s">
        <v>73</v>
      </c>
      <c r="E62" s="17" t="s">
        <v>45</v>
      </c>
      <c r="F62" s="17">
        <v>689</v>
      </c>
      <c r="G62" s="17" t="s">
        <v>125</v>
      </c>
      <c r="H62" s="14">
        <v>46273</v>
      </c>
      <c r="I62" s="14">
        <v>46273</v>
      </c>
      <c r="J62" s="15" t="str">
        <f>+VLOOKUP(K62,[1]Datos!$A:$C,3,FALSE)</f>
        <v>CENTRO ATLANTICO</v>
      </c>
      <c r="K62" s="34">
        <v>7</v>
      </c>
      <c r="L62" s="15" t="str">
        <f>+VLOOKUP(K62,[1]Datos!$A:$C,2,FALSE)</f>
        <v>ZONA 8</v>
      </c>
      <c r="M62" s="17">
        <v>90015672</v>
      </c>
      <c r="N62" s="17" t="str">
        <f>+VLOOKUP(M62,[1]Datos!$F:$G,2,FALSE)</f>
        <v>Erick Geovanny Castellanos Perez</v>
      </c>
      <c r="O62" s="18">
        <f>IFERROR(IF(A62="SI",VLOOKUP(R62,[1]Datos!$J$1:$K$50,2,FALSE)*C62,VLOOKUP(R62,[1]Datos!$P$1:$T$50,2,FALSE)*C62),0)</f>
        <v>3264</v>
      </c>
      <c r="P62" s="17">
        <v>90023863</v>
      </c>
      <c r="Q62" s="17" t="str">
        <f>+VLOOKUP(P62,[1]Datos!$F:$G,2,FALSE)</f>
        <v>Sandra Patricia Luna Rodriguez Miramontes</v>
      </c>
      <c r="R62" s="11" t="s">
        <v>30</v>
      </c>
      <c r="S62" s="11">
        <f t="shared" si="0"/>
        <v>1</v>
      </c>
      <c r="T62" s="11">
        <f>+VLOOKUP(M62,[1]Datos!$F:$H,3,FALSE)</f>
        <v>0</v>
      </c>
      <c r="U62" s="11">
        <v>0</v>
      </c>
      <c r="V62" s="19"/>
    </row>
    <row r="63" spans="1:23" hidden="1">
      <c r="A63" s="11" t="s">
        <v>25</v>
      </c>
      <c r="B63" s="11" t="s">
        <v>26</v>
      </c>
      <c r="C63" s="11">
        <v>3</v>
      </c>
      <c r="D63" s="11" t="s">
        <v>27</v>
      </c>
      <c r="E63" s="12" t="s">
        <v>95</v>
      </c>
      <c r="F63" s="12">
        <v>109</v>
      </c>
      <c r="G63" s="12" t="s">
        <v>126</v>
      </c>
      <c r="H63" s="14">
        <v>46273</v>
      </c>
      <c r="I63" s="14">
        <v>46273</v>
      </c>
      <c r="J63" s="15" t="str">
        <f>+VLOOKUP(K63,[1]Datos!$A:$C,3,FALSE)</f>
        <v>CENTRO ATLANTICO</v>
      </c>
      <c r="K63" s="11">
        <v>13</v>
      </c>
      <c r="L63" s="15" t="str">
        <f>+VLOOKUP(K63,[1]Datos!$A:$C,2,FALSE)</f>
        <v>METANORTE</v>
      </c>
      <c r="M63" s="12">
        <v>314696</v>
      </c>
      <c r="N63" s="17" t="str">
        <f>+VLOOKUP(M63,[1]Datos!$F:$G,2,FALSE)</f>
        <v>Angelica Sol Ortiz</v>
      </c>
      <c r="O63" s="18">
        <f>IFERROR(IF(A63="SI",VLOOKUP(R63,[1]Datos!$J$1:$K$50,2,FALSE)*C63,VLOOKUP(R63,[1]Datos!$P$1:$T$50,2,FALSE)*C63),0)</f>
        <v>3276</v>
      </c>
      <c r="P63" s="17">
        <v>314420</v>
      </c>
      <c r="Q63" s="17" t="str">
        <f>+VLOOKUP(P63,[1]Datos!$F:$G,2,FALSE)</f>
        <v>Sandra Jeaneth Ajcuc Garcia</v>
      </c>
      <c r="R63" s="11" t="s">
        <v>97</v>
      </c>
      <c r="S63" s="11">
        <f t="shared" si="0"/>
        <v>1</v>
      </c>
      <c r="T63" s="11">
        <f>+VLOOKUP(M63,[1]Datos!$F:$H,3,FALSE)</f>
        <v>0</v>
      </c>
      <c r="U63" s="11">
        <v>0</v>
      </c>
      <c r="V63" s="19"/>
    </row>
    <row r="64" spans="1:23" hidden="1">
      <c r="A64" s="11" t="s">
        <v>25</v>
      </c>
      <c r="B64" s="11" t="s">
        <v>33</v>
      </c>
      <c r="C64" s="11">
        <v>3</v>
      </c>
      <c r="D64" s="11" t="s">
        <v>27</v>
      </c>
      <c r="E64" s="12" t="s">
        <v>79</v>
      </c>
      <c r="F64" s="12">
        <v>342</v>
      </c>
      <c r="G64" s="12" t="s">
        <v>127</v>
      </c>
      <c r="H64" s="14">
        <v>46273</v>
      </c>
      <c r="I64" s="14">
        <v>46273</v>
      </c>
      <c r="J64" s="15" t="str">
        <f>+VLOOKUP(K64,[1]Datos!$A:$C,3,FALSE)</f>
        <v>REFORMA</v>
      </c>
      <c r="K64" s="11">
        <v>16</v>
      </c>
      <c r="L64" s="15" t="str">
        <f>+VLOOKUP(K64,[1]Datos!$A:$C,2,FALSE)</f>
        <v>AGENCIA CENTRAL</v>
      </c>
      <c r="M64" s="35">
        <v>312811</v>
      </c>
      <c r="N64" s="17" t="str">
        <f>+VLOOKUP(M64,[1]Datos!$F:$G,2,FALSE)</f>
        <v>Evelyn Maritza Chumil Monroy</v>
      </c>
      <c r="O64" s="18">
        <f>IFERROR(IF(A64="SI",VLOOKUP(R64,[1]Datos!$J$1:$K$50,2,FALSE)*C64,VLOOKUP(R64,[1]Datos!$P$1:$T$50,2,FALSE)*C64),0)</f>
        <v>6012</v>
      </c>
      <c r="P64" s="20">
        <v>316083</v>
      </c>
      <c r="Q64" s="17" t="str">
        <f>+VLOOKUP(P64,[1]Datos!$F:$G,2,FALSE)</f>
        <v>Marlen Erendida Rivas Gonzalez</v>
      </c>
      <c r="R64" s="11" t="s">
        <v>55</v>
      </c>
      <c r="S64" s="11">
        <f t="shared" si="0"/>
        <v>1</v>
      </c>
      <c r="T64" s="11">
        <f>+VLOOKUP(M64,[1]Datos!$F:$H,3,FALSE)</f>
        <v>0</v>
      </c>
      <c r="U64" s="11">
        <v>0</v>
      </c>
      <c r="V64" s="19"/>
    </row>
    <row r="65" spans="1:22" hidden="1">
      <c r="A65" s="11" t="s">
        <v>25</v>
      </c>
      <c r="B65" s="11" t="s">
        <v>26</v>
      </c>
      <c r="C65" s="11">
        <v>2</v>
      </c>
      <c r="D65" s="11" t="s">
        <v>27</v>
      </c>
      <c r="E65" s="17" t="s">
        <v>128</v>
      </c>
      <c r="F65" s="17">
        <v>136</v>
      </c>
      <c r="G65" s="17" t="s">
        <v>129</v>
      </c>
      <c r="H65" s="14">
        <v>46273</v>
      </c>
      <c r="I65" s="14">
        <v>46273</v>
      </c>
      <c r="J65" s="15" t="str">
        <f>+VLOOKUP(K65,[1]Datos!$A:$C,3,FALSE)</f>
        <v>CENTRO ATLANTICO</v>
      </c>
      <c r="K65" s="11">
        <v>19</v>
      </c>
      <c r="L65" s="15" t="str">
        <f>+VLOOKUP(K65,[1]Datos!$A:$C,2,FALSE)</f>
        <v>MORAZAN ZONA 2</v>
      </c>
      <c r="M65" s="17">
        <v>90063727</v>
      </c>
      <c r="N65" s="17" t="str">
        <f>+VLOOKUP(M65,[1]Datos!$F:$G,2,FALSE)</f>
        <v>Karla Aracely Esquipulas Coc</v>
      </c>
      <c r="O65" s="18">
        <f>IFERROR(IF(A65="SI",VLOOKUP(R65,[1]Datos!$J$1:$K$50,2,FALSE)*C65,VLOOKUP(R65,[1]Datos!$P$1:$T$50,2,FALSE)*C65),0)</f>
        <v>2184</v>
      </c>
      <c r="P65" s="17">
        <v>316080</v>
      </c>
      <c r="Q65" s="17" t="str">
        <f>+VLOOKUP(P65,[1]Datos!$F:$G,2,FALSE)</f>
        <v>Sergio David Espana Velasquez</v>
      </c>
      <c r="R65" s="11" t="s">
        <v>97</v>
      </c>
      <c r="S65" s="11">
        <f t="shared" si="0"/>
        <v>1</v>
      </c>
      <c r="T65" s="11">
        <f>+VLOOKUP(M65,[1]Datos!$F:$H,3,FALSE)</f>
        <v>0</v>
      </c>
      <c r="U65" s="11">
        <v>0</v>
      </c>
      <c r="V65" s="19"/>
    </row>
    <row r="66" spans="1:22" hidden="1">
      <c r="A66" s="11" t="s">
        <v>25</v>
      </c>
      <c r="B66" s="11" t="s">
        <v>33</v>
      </c>
      <c r="C66" s="11">
        <v>1</v>
      </c>
      <c r="D66" s="11" t="s">
        <v>27</v>
      </c>
      <c r="E66" s="12" t="s">
        <v>37</v>
      </c>
      <c r="F66" s="12">
        <v>4357</v>
      </c>
      <c r="G66" s="12" t="s">
        <v>130</v>
      </c>
      <c r="H66" s="13">
        <v>46274</v>
      </c>
      <c r="I66" s="14">
        <v>46273</v>
      </c>
      <c r="J66" s="15" t="str">
        <f>+VLOOKUP(K66,[1]Datos!$A:$C,3,FALSE)</f>
        <v>CENTRO ATLANTICO</v>
      </c>
      <c r="K66" s="11">
        <v>87</v>
      </c>
      <c r="L66" s="15" t="str">
        <f>+VLOOKUP(K66,[1]Datos!$A:$C,2,FALSE)</f>
        <v>EL NARANJO</v>
      </c>
      <c r="M66" s="17">
        <v>90087628</v>
      </c>
      <c r="N66" s="17" t="str">
        <f>+VLOOKUP(M66,[1]Datos!$F:$G,2,FALSE)</f>
        <v>MARTHA DIAZ</v>
      </c>
      <c r="O66" s="18">
        <f>IFERROR(IF(A66="SI",VLOOKUP(R66,[1]Datos!$J$1:$K$50,2,FALSE)*C66,VLOOKUP(R66,[1]Datos!$P$1:$T$50,2,FALSE)*C66),0)</f>
        <v>816</v>
      </c>
      <c r="P66" s="12">
        <v>310538</v>
      </c>
      <c r="Q66" s="17" t="str">
        <f>+VLOOKUP(P66,[1]Datos!$F:$G,2,FALSE)</f>
        <v>Kevin Orlando Ventura Lopez</v>
      </c>
      <c r="R66" s="11" t="s">
        <v>30</v>
      </c>
      <c r="S66" s="11">
        <f t="shared" ref="S66:S129" si="1">+COUNTIFS($G$2:$G$607,G66)</f>
        <v>1</v>
      </c>
      <c r="T66" s="11">
        <f>+VLOOKUP(M66,[1]Datos!$F:$H,3,FALSE)</f>
        <v>0</v>
      </c>
      <c r="U66" s="11">
        <v>0</v>
      </c>
      <c r="V66" s="19" t="s">
        <v>47</v>
      </c>
    </row>
    <row r="67" spans="1:22" ht="16" hidden="1">
      <c r="A67" s="11" t="s">
        <v>25</v>
      </c>
      <c r="B67" s="11" t="s">
        <v>33</v>
      </c>
      <c r="C67" s="11">
        <v>1</v>
      </c>
      <c r="D67" s="11" t="s">
        <v>27</v>
      </c>
      <c r="E67" s="12" t="s">
        <v>37</v>
      </c>
      <c r="F67" s="12">
        <v>4368</v>
      </c>
      <c r="G67" s="12" t="s">
        <v>131</v>
      </c>
      <c r="H67" s="14">
        <v>46274</v>
      </c>
      <c r="I67" s="14">
        <v>46274</v>
      </c>
      <c r="J67" s="15" t="str">
        <f>+VLOOKUP(K67,[1]Datos!$A:$C,3,FALSE)</f>
        <v>CENTRO ATLANTICO</v>
      </c>
      <c r="K67" s="22">
        <v>7</v>
      </c>
      <c r="L67" s="15" t="str">
        <f>+VLOOKUP(K67,[1]Datos!$A:$C,2,FALSE)</f>
        <v>ZONA 8</v>
      </c>
      <c r="M67" s="36">
        <v>90084526</v>
      </c>
      <c r="N67" s="17" t="str">
        <f>+VLOOKUP(M67,[1]Datos!$F:$G,2,FALSE)</f>
        <v xml:space="preserve">KEVYN JOSE RODRIGUEZ GOMEZ </v>
      </c>
      <c r="O67" s="18">
        <f>IFERROR(IF(A67="SI",VLOOKUP(R67,[1]Datos!$J$1:$K$50,2,FALSE)*C67,VLOOKUP(R67,[1]Datos!$P$1:$T$50,2,FALSE)*C67),0)</f>
        <v>816</v>
      </c>
      <c r="P67" s="12">
        <v>90066250</v>
      </c>
      <c r="Q67" s="17" t="str">
        <f>+VLOOKUP(P67,[1]Datos!$F:$G,2,FALSE)</f>
        <v>ANA MARIA LOPEZ</v>
      </c>
      <c r="R67" s="11" t="s">
        <v>30</v>
      </c>
      <c r="S67" s="11">
        <f t="shared" si="1"/>
        <v>1</v>
      </c>
      <c r="T67" s="11">
        <f>+VLOOKUP(M67,[1]Datos!$F:$H,3,FALSE)</f>
        <v>0</v>
      </c>
      <c r="U67" s="11">
        <v>0</v>
      </c>
      <c r="V67" s="19"/>
    </row>
    <row r="68" spans="1:22" ht="15.5" hidden="1">
      <c r="A68" s="11" t="s">
        <v>25</v>
      </c>
      <c r="B68" s="11" t="s">
        <v>26</v>
      </c>
      <c r="C68" s="11">
        <v>1</v>
      </c>
      <c r="D68" s="11" t="s">
        <v>27</v>
      </c>
      <c r="E68" s="12" t="s">
        <v>77</v>
      </c>
      <c r="F68" s="12">
        <v>4370</v>
      </c>
      <c r="G68" s="37" t="s">
        <v>132</v>
      </c>
      <c r="H68" s="14">
        <v>46274</v>
      </c>
      <c r="I68" s="14">
        <v>46274</v>
      </c>
      <c r="J68" s="15" t="str">
        <f>+VLOOKUP(K68,[1]Datos!$A:$C,3,FALSE)</f>
        <v>CENTRO ATLANTICO</v>
      </c>
      <c r="K68" s="11">
        <v>103</v>
      </c>
      <c r="L68" s="15" t="str">
        <f>+VLOOKUP(K68,[1]Datos!$A:$C,2,FALSE)</f>
        <v>LOS ALAMOS</v>
      </c>
      <c r="M68" s="38">
        <v>316184</v>
      </c>
      <c r="N68" s="17" t="str">
        <f>+VLOOKUP(M68,[1]Datos!$F:$G,2,FALSE)</f>
        <v>Reymon Steve Ortiz Chavez</v>
      </c>
      <c r="O68" s="18">
        <f>IFERROR(IF(A68="SI",VLOOKUP(R68,[1]Datos!$J$1:$K$50,2,FALSE)*C68,VLOOKUP(R68,[1]Datos!$P$1:$T$50,2,FALSE)*C68),0)</f>
        <v>816</v>
      </c>
      <c r="P68" s="12">
        <v>310318</v>
      </c>
      <c r="Q68" s="17" t="str">
        <f>+VLOOKUP(P68,[1]Datos!$F:$G,2,FALSE)</f>
        <v>Yeimi Yareli Moscoso Guzman</v>
      </c>
      <c r="R68" s="11" t="s">
        <v>30</v>
      </c>
      <c r="S68" s="11">
        <f t="shared" si="1"/>
        <v>1</v>
      </c>
      <c r="T68" s="11">
        <f>+VLOOKUP(M68,[1]Datos!$F:$H,3,FALSE)</f>
        <v>0</v>
      </c>
      <c r="U68" s="11">
        <v>0</v>
      </c>
      <c r="V68" s="19"/>
    </row>
    <row r="69" spans="1:22" hidden="1">
      <c r="A69" s="11" t="s">
        <v>25</v>
      </c>
      <c r="B69" s="11" t="s">
        <v>26</v>
      </c>
      <c r="C69" s="11">
        <v>4</v>
      </c>
      <c r="D69" s="11" t="s">
        <v>73</v>
      </c>
      <c r="E69" s="12" t="s">
        <v>45</v>
      </c>
      <c r="F69" s="17">
        <v>694</v>
      </c>
      <c r="G69" s="12" t="s">
        <v>133</v>
      </c>
      <c r="H69" s="14">
        <v>46274</v>
      </c>
      <c r="I69" s="14">
        <v>46274</v>
      </c>
      <c r="J69" s="15" t="str">
        <f>+VLOOKUP(K69,[1]Datos!$A:$C,3,FALSE)</f>
        <v>CENTRO ATLANTICO</v>
      </c>
      <c r="K69" s="11">
        <v>7</v>
      </c>
      <c r="L69" s="15" t="str">
        <f>+VLOOKUP(K69,[1]Datos!$A:$C,2,FALSE)</f>
        <v>ZONA 8</v>
      </c>
      <c r="M69" s="17">
        <v>90080262</v>
      </c>
      <c r="N69" s="17" t="str">
        <f>+VLOOKUP(M69,[1]Datos!$F:$G,2,FALSE)</f>
        <v xml:space="preserve">LIDIA LORENA TICAS HUINIL </v>
      </c>
      <c r="O69" s="18">
        <f>IFERROR(IF(A69="SI",VLOOKUP(R69,[1]Datos!$J$1:$K$50,2,FALSE)*C69,VLOOKUP(R69,[1]Datos!$P$1:$T$50,2,FALSE)*C69),0)</f>
        <v>3264</v>
      </c>
      <c r="P69" s="17">
        <v>90023863</v>
      </c>
      <c r="Q69" s="17" t="str">
        <f>+VLOOKUP(P69,[1]Datos!$F:$G,2,FALSE)</f>
        <v>Sandra Patricia Luna Rodriguez Miramontes</v>
      </c>
      <c r="R69" s="11" t="s">
        <v>30</v>
      </c>
      <c r="S69" s="11">
        <f t="shared" si="1"/>
        <v>1</v>
      </c>
      <c r="T69" s="11">
        <f>+VLOOKUP(M69,[1]Datos!$F:$H,3,FALSE)</f>
        <v>0</v>
      </c>
      <c r="U69" s="11">
        <v>0</v>
      </c>
      <c r="V69" s="19"/>
    </row>
    <row r="70" spans="1:22" hidden="1">
      <c r="A70" s="11" t="s">
        <v>25</v>
      </c>
      <c r="B70" s="11" t="s">
        <v>33</v>
      </c>
      <c r="C70" s="11">
        <v>3</v>
      </c>
      <c r="D70" s="11" t="s">
        <v>27</v>
      </c>
      <c r="E70" s="12" t="s">
        <v>134</v>
      </c>
      <c r="F70" s="12">
        <v>64</v>
      </c>
      <c r="G70" s="12" t="s">
        <v>135</v>
      </c>
      <c r="H70" s="14">
        <v>46274</v>
      </c>
      <c r="I70" s="14">
        <v>46274</v>
      </c>
      <c r="J70" s="15" t="str">
        <f>+VLOOKUP(K70,[1]Datos!$A:$C,3,FALSE)</f>
        <v>CENTRO ATLANTICO</v>
      </c>
      <c r="K70" s="11">
        <v>13</v>
      </c>
      <c r="L70" s="15" t="str">
        <f>+VLOOKUP(K70,[1]Datos!$A:$C,2,FALSE)</f>
        <v>METANORTE</v>
      </c>
      <c r="M70" s="12">
        <v>90048645</v>
      </c>
      <c r="N70" s="17" t="str">
        <f>+VLOOKUP(M70,[1]Datos!$F:$G,2,FALSE)</f>
        <v>SHIRLEN CIPRIAN</v>
      </c>
      <c r="O70" s="18">
        <f>IFERROR(IF(A70="SI",VLOOKUP(R70,[1]Datos!$J$1:$K$50,2,FALSE)*C70,VLOOKUP(R70,[1]Datos!$P$1:$T$50,2,FALSE)*C70),0)</f>
        <v>3024</v>
      </c>
      <c r="P70" s="17">
        <v>315624</v>
      </c>
      <c r="Q70" s="17" t="str">
        <f>+VLOOKUP(P70,[1]Datos!$F:$G,2,FALSE)</f>
        <v>Damaris Azucena Canahui Barillas</v>
      </c>
      <c r="R70" s="11" t="s">
        <v>67</v>
      </c>
      <c r="S70" s="11">
        <f t="shared" si="1"/>
        <v>1</v>
      </c>
      <c r="T70" s="11">
        <f>+VLOOKUP(M70,[1]Datos!$F:$H,3,FALSE)</f>
        <v>0</v>
      </c>
      <c r="U70" s="11">
        <v>0</v>
      </c>
      <c r="V70" s="19"/>
    </row>
    <row r="71" spans="1:22" hidden="1">
      <c r="A71" s="11" t="s">
        <v>25</v>
      </c>
      <c r="B71" s="11" t="s">
        <v>26</v>
      </c>
      <c r="C71" s="11">
        <v>1</v>
      </c>
      <c r="D71" s="11" t="s">
        <v>27</v>
      </c>
      <c r="E71" s="12" t="s">
        <v>136</v>
      </c>
      <c r="F71" s="12">
        <v>1</v>
      </c>
      <c r="G71" s="12" t="s">
        <v>137</v>
      </c>
      <c r="H71" s="14">
        <v>46274</v>
      </c>
      <c r="I71" s="14">
        <v>46274</v>
      </c>
      <c r="J71" s="15" t="str">
        <f>+VLOOKUP(K71,[1]Datos!$A:$C,3,FALSE)</f>
        <v>REFORMA</v>
      </c>
      <c r="K71" s="11">
        <v>16</v>
      </c>
      <c r="L71" s="15" t="str">
        <f>+VLOOKUP(K71,[1]Datos!$A:$C,2,FALSE)</f>
        <v>AGENCIA CENTRAL</v>
      </c>
      <c r="M71" s="12">
        <v>303509</v>
      </c>
      <c r="N71" s="17" t="str">
        <f>+VLOOKUP(M71,[1]Datos!$F:$G,2,FALSE)</f>
        <v>Florencia Vanessa Enriquez Galvez</v>
      </c>
      <c r="O71" s="18">
        <f>IFERROR(IF(A71="SI",VLOOKUP(R71,[1]Datos!$J$1:$K$50,2,FALSE)*C71,VLOOKUP(R71,[1]Datos!$P$1:$T$50,2,FALSE)*C71),0)</f>
        <v>2052</v>
      </c>
      <c r="P71" s="12">
        <v>316083</v>
      </c>
      <c r="Q71" s="17" t="str">
        <f>+VLOOKUP(P71,[1]Datos!$F:$G,2,FALSE)</f>
        <v>Marlen Erendida Rivas Gonzalez</v>
      </c>
      <c r="R71" s="11" t="s">
        <v>138</v>
      </c>
      <c r="S71" s="11">
        <f t="shared" si="1"/>
        <v>1</v>
      </c>
      <c r="T71" s="11">
        <f>+VLOOKUP(M71,[1]Datos!$F:$H,3,FALSE)</f>
        <v>0</v>
      </c>
      <c r="U71" s="11">
        <v>0</v>
      </c>
      <c r="V71" s="19"/>
    </row>
    <row r="72" spans="1:22" hidden="1">
      <c r="A72" s="11" t="s">
        <v>25</v>
      </c>
      <c r="B72" s="11" t="s">
        <v>26</v>
      </c>
      <c r="C72" s="11">
        <v>1</v>
      </c>
      <c r="D72" s="11" t="s">
        <v>27</v>
      </c>
      <c r="E72" s="12" t="s">
        <v>77</v>
      </c>
      <c r="F72" s="12">
        <v>4377</v>
      </c>
      <c r="G72" s="12" t="s">
        <v>139</v>
      </c>
      <c r="H72" s="14">
        <v>46274</v>
      </c>
      <c r="I72" s="14">
        <v>46274</v>
      </c>
      <c r="J72" s="15" t="str">
        <f>+VLOOKUP(K72,[1]Datos!$A:$C,3,FALSE)</f>
        <v>CENTRO ATLANTICO</v>
      </c>
      <c r="K72" s="11">
        <v>134</v>
      </c>
      <c r="L72" s="15" t="str">
        <f>+VLOOKUP(K72,[1]Datos!$A:$C,2,FALSE)</f>
        <v>GUASTATOYA</v>
      </c>
      <c r="M72" s="16">
        <v>90025188</v>
      </c>
      <c r="N72" s="17" t="str">
        <f>+VLOOKUP(M72,[1]Datos!$F:$G,2,FALSE)</f>
        <v>Sindy Gabriela Rivas Ochoa</v>
      </c>
      <c r="O72" s="18">
        <f>IFERROR(IF(A72="SI",VLOOKUP(R72,[1]Datos!$J$1:$K$50,2,FALSE)*C72,VLOOKUP(R72,[1]Datos!$P$1:$T$50,2,FALSE)*C72),0)</f>
        <v>816</v>
      </c>
      <c r="P72" s="12">
        <v>315408</v>
      </c>
      <c r="Q72" s="17" t="str">
        <f>+VLOOKUP(P72,[1]Datos!$F:$G,2,FALSE)</f>
        <v>Sandy Suset Morales Barrientos</v>
      </c>
      <c r="R72" s="11" t="s">
        <v>30</v>
      </c>
      <c r="S72" s="11">
        <f t="shared" si="1"/>
        <v>1</v>
      </c>
      <c r="T72" s="11">
        <f>+VLOOKUP(M72,[1]Datos!$F:$H,3,FALSE)</f>
        <v>0</v>
      </c>
      <c r="U72" s="11">
        <v>0</v>
      </c>
      <c r="V72" s="19"/>
    </row>
    <row r="73" spans="1:22" hidden="1">
      <c r="A73" s="11" t="s">
        <v>25</v>
      </c>
      <c r="B73" s="11" t="s">
        <v>33</v>
      </c>
      <c r="C73" s="11">
        <v>1</v>
      </c>
      <c r="D73" s="11" t="s">
        <v>27</v>
      </c>
      <c r="E73" s="12" t="s">
        <v>37</v>
      </c>
      <c r="F73" s="12">
        <v>4366</v>
      </c>
      <c r="G73" s="39" t="s">
        <v>140</v>
      </c>
      <c r="H73" s="14">
        <v>46274</v>
      </c>
      <c r="I73" s="14">
        <v>46274</v>
      </c>
      <c r="J73" s="15" t="str">
        <f>+VLOOKUP(K73,[1]Datos!$A:$C,3,FALSE)</f>
        <v>CENTRO ATLANTICO</v>
      </c>
      <c r="K73" s="11">
        <v>2</v>
      </c>
      <c r="L73" s="15" t="str">
        <f>+VLOOKUP(K73,[1]Datos!$A:$C,2,FALSE)</f>
        <v>ZONA 1</v>
      </c>
      <c r="M73" s="16">
        <v>90063417</v>
      </c>
      <c r="N73" s="17" t="str">
        <f>+VLOOKUP(M73,[1]Datos!$F:$G,2,FALSE)</f>
        <v>LIDIA GRICELDA DIAZ TORRES</v>
      </c>
      <c r="O73" s="18">
        <f>IFERROR(IF(A73="SI",VLOOKUP(R73,[1]Datos!$J$1:$K$50,2,FALSE)*C73,VLOOKUP(R73,[1]Datos!$P$1:$T$50,2,FALSE)*C73),0)</f>
        <v>816</v>
      </c>
      <c r="P73" s="12">
        <v>300999</v>
      </c>
      <c r="Q73" s="17" t="str">
        <f>+VLOOKUP(P73,[1]Datos!$F:$G,2,FALSE)</f>
        <v>Victor Adolfo Barrios Monzon</v>
      </c>
      <c r="R73" s="11" t="s">
        <v>30</v>
      </c>
      <c r="S73" s="11">
        <f t="shared" si="1"/>
        <v>1</v>
      </c>
      <c r="T73" s="11">
        <f>+VLOOKUP(M73,[1]Datos!$F:$H,3,FALSE)</f>
        <v>0</v>
      </c>
      <c r="U73" s="11">
        <v>0</v>
      </c>
      <c r="V73" s="19"/>
    </row>
    <row r="74" spans="1:22" hidden="1">
      <c r="A74" s="11" t="s">
        <v>25</v>
      </c>
      <c r="B74" s="11" t="s">
        <v>33</v>
      </c>
      <c r="C74" s="11">
        <v>4</v>
      </c>
      <c r="D74" s="11" t="s">
        <v>27</v>
      </c>
      <c r="E74" s="12" t="s">
        <v>45</v>
      </c>
      <c r="F74" s="12">
        <v>698</v>
      </c>
      <c r="G74" s="12" t="s">
        <v>141</v>
      </c>
      <c r="H74" s="14">
        <v>46274</v>
      </c>
      <c r="I74" s="14">
        <v>46274</v>
      </c>
      <c r="J74" s="15" t="str">
        <f>+VLOOKUP(K74,[1]Datos!$A:$C,3,FALSE)</f>
        <v>CENTRO ATLANTICO</v>
      </c>
      <c r="K74" s="22">
        <v>98</v>
      </c>
      <c r="L74" s="15" t="str">
        <f>+VLOOKUP(K74,[1]Datos!$A:$C,2,FALSE)</f>
        <v>CALLE MARTI</v>
      </c>
      <c r="M74" s="17">
        <v>316322</v>
      </c>
      <c r="N74" s="17" t="str">
        <f>+VLOOKUP(M74,[1]Datos!$F:$G,2,FALSE)</f>
        <v xml:space="preserve">Gabriela Janet Crisostomo Xuya </v>
      </c>
      <c r="O74" s="18">
        <f>IFERROR(IF(A74="SI",VLOOKUP(R74,[1]Datos!$J$1:$K$50,2,FALSE)*C74,VLOOKUP(R74,[1]Datos!$P$1:$T$50,2,FALSE)*C74),0)</f>
        <v>3264</v>
      </c>
      <c r="P74" s="40">
        <v>313528</v>
      </c>
      <c r="Q74" s="17" t="str">
        <f>+VLOOKUP(P74,[1]Datos!$F:$G,2,FALSE)</f>
        <v>Amairani Lilibeth Escobar Maquin</v>
      </c>
      <c r="R74" s="11" t="s">
        <v>30</v>
      </c>
      <c r="S74" s="11">
        <f t="shared" si="1"/>
        <v>1</v>
      </c>
      <c r="T74" s="11">
        <f>+VLOOKUP(M74,[1]Datos!$F:$H,3,FALSE)</f>
        <v>0</v>
      </c>
      <c r="U74" s="11">
        <v>0</v>
      </c>
      <c r="V74" s="19"/>
    </row>
    <row r="75" spans="1:22" hidden="1">
      <c r="A75" s="11" t="s">
        <v>25</v>
      </c>
      <c r="B75" s="11" t="s">
        <v>26</v>
      </c>
      <c r="C75" s="11">
        <v>1</v>
      </c>
      <c r="D75" s="11" t="s">
        <v>27</v>
      </c>
      <c r="E75" s="12" t="s">
        <v>37</v>
      </c>
      <c r="F75" s="12">
        <v>4382</v>
      </c>
      <c r="G75" s="12" t="s">
        <v>142</v>
      </c>
      <c r="H75" s="14">
        <v>46274</v>
      </c>
      <c r="I75" s="14">
        <v>46274</v>
      </c>
      <c r="J75" s="15" t="str">
        <f>+VLOOKUP(K75,[1]Datos!$A:$C,3,FALSE)</f>
        <v>CENTRO ATLANTICO</v>
      </c>
      <c r="K75" s="22">
        <v>166</v>
      </c>
      <c r="L75" s="15" t="str">
        <f>+VLOOKUP(K75,[1]Datos!$A:$C,2,FALSE)</f>
        <v>23 CALLE</v>
      </c>
      <c r="M75" s="16">
        <v>90082796</v>
      </c>
      <c r="N75" s="17" t="str">
        <f>+VLOOKUP(M75,[1]Datos!$F:$G,2,FALSE)</f>
        <v>LILIBETH ALEGRIA</v>
      </c>
      <c r="O75" s="18">
        <f>IFERROR(IF(A75="SI",VLOOKUP(R75,[1]Datos!$J$1:$K$50,2,FALSE)*C75,VLOOKUP(R75,[1]Datos!$P$1:$T$50,2,FALSE)*C75),0)</f>
        <v>816</v>
      </c>
      <c r="P75" s="12">
        <v>303971</v>
      </c>
      <c r="Q75" s="17" t="str">
        <f>+VLOOKUP(P75,[1]Datos!$F:$G,2,FALSE)</f>
        <v>Leidy Marisol Perez Arias</v>
      </c>
      <c r="R75" s="11" t="s">
        <v>30</v>
      </c>
      <c r="S75" s="11">
        <f t="shared" si="1"/>
        <v>1</v>
      </c>
      <c r="T75" s="11">
        <f>+VLOOKUP(M75,[1]Datos!$F:$H,3,FALSE)</f>
        <v>0</v>
      </c>
      <c r="U75" s="11">
        <v>0</v>
      </c>
      <c r="V75" s="19"/>
    </row>
    <row r="76" spans="1:22" hidden="1">
      <c r="A76" s="11" t="s">
        <v>25</v>
      </c>
      <c r="B76" s="11" t="s">
        <v>33</v>
      </c>
      <c r="C76" s="11">
        <v>4</v>
      </c>
      <c r="D76" s="11" t="s">
        <v>27</v>
      </c>
      <c r="E76" s="12" t="s">
        <v>58</v>
      </c>
      <c r="F76" s="12">
        <v>695</v>
      </c>
      <c r="G76" s="12" t="s">
        <v>143</v>
      </c>
      <c r="H76" s="14">
        <v>46274</v>
      </c>
      <c r="I76" s="14">
        <v>46274</v>
      </c>
      <c r="J76" s="15" t="str">
        <f>+VLOOKUP(K76,[1]Datos!$A:$C,3,FALSE)</f>
        <v>CENTRO ATLANTICO</v>
      </c>
      <c r="K76" s="11">
        <v>87</v>
      </c>
      <c r="L76" s="15" t="str">
        <f>+VLOOKUP(K76,[1]Datos!$A:$C,2,FALSE)</f>
        <v>EL NARANJO</v>
      </c>
      <c r="M76" s="17">
        <v>310734</v>
      </c>
      <c r="N76" s="17" t="str">
        <f>+VLOOKUP(M76,[1]Datos!$F:$G,2,FALSE)</f>
        <v>Lupita Genesis Granados Valenzuela</v>
      </c>
      <c r="O76" s="18">
        <f>IFERROR(IF(A76="SI",VLOOKUP(R76,[1]Datos!$J$1:$K$50,2,FALSE)*C76,VLOOKUP(R76,[1]Datos!$P$1:$T$50,2,FALSE)*C76),0)</f>
        <v>10944</v>
      </c>
      <c r="P76" s="12">
        <v>310538</v>
      </c>
      <c r="Q76" s="17" t="str">
        <f>+VLOOKUP(P76,[1]Datos!$F:$G,2,FALSE)</f>
        <v>Kevin Orlando Ventura Lopez</v>
      </c>
      <c r="R76" s="11" t="s">
        <v>60</v>
      </c>
      <c r="S76" s="11">
        <f t="shared" si="1"/>
        <v>1</v>
      </c>
      <c r="T76" s="11">
        <f>+VLOOKUP(M76,[1]Datos!$F:$H,3,FALSE)</f>
        <v>0</v>
      </c>
      <c r="U76" s="11">
        <v>0</v>
      </c>
      <c r="V76" s="19"/>
    </row>
    <row r="77" spans="1:22" hidden="1">
      <c r="A77" s="11" t="s">
        <v>25</v>
      </c>
      <c r="B77" s="11" t="s">
        <v>33</v>
      </c>
      <c r="C77" s="11">
        <v>1</v>
      </c>
      <c r="D77" s="11" t="s">
        <v>27</v>
      </c>
      <c r="E77" s="12" t="s">
        <v>37</v>
      </c>
      <c r="F77" s="12">
        <v>4389</v>
      </c>
      <c r="G77" s="12" t="s">
        <v>144</v>
      </c>
      <c r="H77" s="13">
        <v>46275</v>
      </c>
      <c r="I77" s="14">
        <v>46275</v>
      </c>
      <c r="J77" s="15" t="str">
        <f>+VLOOKUP(K77,[1]Datos!$A:$C,3,FALSE)</f>
        <v>CENTRO ATLANTICO</v>
      </c>
      <c r="K77" s="22">
        <v>302</v>
      </c>
      <c r="L77" s="15" t="str">
        <f>+VLOOKUP(K77,[1]Datos!$A:$C,2,FALSE)</f>
        <v>CENTRANORTE</v>
      </c>
      <c r="M77" s="23">
        <v>316198</v>
      </c>
      <c r="N77" s="17" t="str">
        <f>+VLOOKUP(M77,[1]Datos!$F:$G,2,FALSE)</f>
        <v xml:space="preserve">Karen Mishel Gomez Meda </v>
      </c>
      <c r="O77" s="18">
        <f>IFERROR(IF(A77="SI",VLOOKUP(R77,[1]Datos!$J$1:$K$50,2,FALSE)*C77,VLOOKUP(R77,[1]Datos!$P$1:$T$50,2,FALSE)*C77),0)</f>
        <v>816</v>
      </c>
      <c r="P77" s="12">
        <v>313441</v>
      </c>
      <c r="Q77" s="17" t="str">
        <f>+VLOOKUP(P77,[1]Datos!$F:$G,2,FALSE)</f>
        <v>Moises Dario Flores Amaya</v>
      </c>
      <c r="R77" s="11" t="s">
        <v>30</v>
      </c>
      <c r="S77" s="11">
        <f t="shared" si="1"/>
        <v>1</v>
      </c>
      <c r="T77" s="11">
        <f>+VLOOKUP(M77,[1]Datos!$F:$H,3,FALSE)</f>
        <v>0</v>
      </c>
      <c r="U77" s="11">
        <v>0</v>
      </c>
      <c r="V77" s="19"/>
    </row>
    <row r="78" spans="1:22" hidden="1">
      <c r="A78" s="11" t="s">
        <v>25</v>
      </c>
      <c r="B78" s="11" t="s">
        <v>26</v>
      </c>
      <c r="C78" s="11">
        <v>1</v>
      </c>
      <c r="D78" s="11" t="s">
        <v>27</v>
      </c>
      <c r="E78" s="12" t="s">
        <v>99</v>
      </c>
      <c r="F78" s="12">
        <v>2586</v>
      </c>
      <c r="G78" s="12" t="s">
        <v>145</v>
      </c>
      <c r="H78" s="14">
        <v>46275</v>
      </c>
      <c r="I78" s="14">
        <v>46275</v>
      </c>
      <c r="J78" s="15" t="str">
        <f>+VLOOKUP(K78,[1]Datos!$A:$C,3,FALSE)</f>
        <v>CENTRO ATLANTICO</v>
      </c>
      <c r="K78" s="11">
        <v>13</v>
      </c>
      <c r="L78" s="15" t="str">
        <f>+VLOOKUP(K78,[1]Datos!$A:$C,2,FALSE)</f>
        <v>METANORTE</v>
      </c>
      <c r="M78" s="12">
        <v>90048645</v>
      </c>
      <c r="N78" s="17" t="str">
        <f>+VLOOKUP(M78,[1]Datos!$F:$G,2,FALSE)</f>
        <v>SHIRLEN CIPRIAN</v>
      </c>
      <c r="O78" s="18">
        <f>IFERROR(IF(A78="SI",VLOOKUP(R78,[1]Datos!$J$1:$K$50,2,FALSE)*C78,VLOOKUP(R78,[1]Datos!$P$1:$T$50,2,FALSE)*C78),0)</f>
        <v>1008</v>
      </c>
      <c r="P78" s="12">
        <v>315624</v>
      </c>
      <c r="Q78" s="17" t="str">
        <f>+VLOOKUP(P78,[1]Datos!$F:$G,2,FALSE)</f>
        <v>Damaris Azucena Canahui Barillas</v>
      </c>
      <c r="R78" s="11" t="s">
        <v>67</v>
      </c>
      <c r="S78" s="11">
        <f t="shared" si="1"/>
        <v>1</v>
      </c>
      <c r="T78" s="11">
        <f>+VLOOKUP(M78,[1]Datos!$F:$H,3,FALSE)</f>
        <v>0</v>
      </c>
      <c r="U78" s="11">
        <v>0</v>
      </c>
      <c r="V78" s="19"/>
    </row>
    <row r="79" spans="1:22" ht="16" hidden="1">
      <c r="A79" s="11" t="s">
        <v>25</v>
      </c>
      <c r="B79" s="11" t="s">
        <v>26</v>
      </c>
      <c r="C79" s="11">
        <v>4</v>
      </c>
      <c r="D79" s="11" t="s">
        <v>27</v>
      </c>
      <c r="E79" s="12" t="s">
        <v>146</v>
      </c>
      <c r="F79" s="12">
        <v>244</v>
      </c>
      <c r="G79" s="12" t="s">
        <v>147</v>
      </c>
      <c r="H79" s="14">
        <v>46275</v>
      </c>
      <c r="I79" s="14">
        <v>46275</v>
      </c>
      <c r="J79" s="15" t="str">
        <f>+VLOOKUP(K79,[1]Datos!$A:$C,3,FALSE)</f>
        <v>CENTRO ATLANTICO</v>
      </c>
      <c r="K79" s="11">
        <v>98</v>
      </c>
      <c r="L79" s="15" t="str">
        <f>+VLOOKUP(K79,[1]Datos!$A:$C,2,FALSE)</f>
        <v>CALLE MARTI</v>
      </c>
      <c r="M79" s="36">
        <v>316041</v>
      </c>
      <c r="N79" s="17" t="str">
        <f>+VLOOKUP(M79,[1]Datos!$F:$G,2,FALSE)</f>
        <v>Wendy Paola Salvatierra Garcia</v>
      </c>
      <c r="O79" s="18">
        <f>IFERROR(IF(A79="SI",VLOOKUP(R79,[1]Datos!$J$1:$K$50,2,FALSE)*C79,VLOOKUP(R79,[1]Datos!$P$1:$T$50,2,FALSE)*C79),0)</f>
        <v>5712</v>
      </c>
      <c r="P79" s="12">
        <v>315597</v>
      </c>
      <c r="Q79" s="17" t="str">
        <f>+VLOOKUP(P79,[1]Datos!$F:$G,2,FALSE)</f>
        <v>Edgar Jhonatan Contreras Garcia</v>
      </c>
      <c r="R79" s="11" t="s">
        <v>36</v>
      </c>
      <c r="S79" s="11">
        <f t="shared" si="1"/>
        <v>1</v>
      </c>
      <c r="T79" s="11">
        <f>+VLOOKUP(M79,[1]Datos!$F:$H,3,FALSE)</f>
        <v>0</v>
      </c>
      <c r="U79" s="11">
        <v>0</v>
      </c>
      <c r="V79" s="19"/>
    </row>
    <row r="80" spans="1:22" hidden="1">
      <c r="A80" s="11" t="s">
        <v>25</v>
      </c>
      <c r="B80" s="11" t="s">
        <v>26</v>
      </c>
      <c r="C80" s="11">
        <v>1</v>
      </c>
      <c r="D80" s="11" t="s">
        <v>27</v>
      </c>
      <c r="E80" s="12" t="s">
        <v>37</v>
      </c>
      <c r="F80" s="12">
        <v>4391</v>
      </c>
      <c r="G80" s="12" t="s">
        <v>148</v>
      </c>
      <c r="H80" s="14">
        <v>46275</v>
      </c>
      <c r="I80" s="14">
        <v>46275</v>
      </c>
      <c r="J80" s="15" t="str">
        <f>+VLOOKUP(K80,[1]Datos!$A:$C,3,FALSE)</f>
        <v>CENTRO ATLANTICO</v>
      </c>
      <c r="K80" s="22">
        <v>166</v>
      </c>
      <c r="L80" s="15" t="str">
        <f>+VLOOKUP(K80,[1]Datos!$A:$C,2,FALSE)</f>
        <v>23 CALLE</v>
      </c>
      <c r="M80" s="41">
        <v>90082796</v>
      </c>
      <c r="N80" s="17" t="str">
        <f>+VLOOKUP(M80,[1]Datos!$F:$G,2,FALSE)</f>
        <v>LILIBETH ALEGRIA</v>
      </c>
      <c r="O80" s="18">
        <f>IFERROR(IF(A80="SI",VLOOKUP(R80,[1]Datos!$J$1:$K$50,2,FALSE)*C80,VLOOKUP(R80,[1]Datos!$P$1:$T$50,2,FALSE)*C80),0)</f>
        <v>816</v>
      </c>
      <c r="P80" s="12">
        <v>303971</v>
      </c>
      <c r="Q80" s="17" t="str">
        <f>+VLOOKUP(P80,[1]Datos!$F:$G,2,FALSE)</f>
        <v>Leidy Marisol Perez Arias</v>
      </c>
      <c r="R80" s="11" t="s">
        <v>30</v>
      </c>
      <c r="S80" s="11">
        <f t="shared" si="1"/>
        <v>1</v>
      </c>
      <c r="T80" s="11">
        <f>+VLOOKUP(M80,[1]Datos!$F:$H,3,FALSE)</f>
        <v>0</v>
      </c>
      <c r="U80" s="11">
        <v>0</v>
      </c>
      <c r="V80" s="19"/>
    </row>
    <row r="81" spans="1:22" hidden="1">
      <c r="A81" s="11" t="s">
        <v>25</v>
      </c>
      <c r="B81" s="11" t="s">
        <v>26</v>
      </c>
      <c r="C81" s="11">
        <v>4</v>
      </c>
      <c r="D81" s="11" t="s">
        <v>73</v>
      </c>
      <c r="E81" s="17" t="s">
        <v>45</v>
      </c>
      <c r="F81" s="17">
        <v>711</v>
      </c>
      <c r="G81" s="17" t="s">
        <v>149</v>
      </c>
      <c r="H81" s="14">
        <v>46275</v>
      </c>
      <c r="I81" s="14">
        <v>46275</v>
      </c>
      <c r="J81" s="15" t="str">
        <f>+VLOOKUP(K81,[1]Datos!$A:$C,3,FALSE)</f>
        <v>CENTRO ATLANTICO</v>
      </c>
      <c r="K81" s="29">
        <v>7</v>
      </c>
      <c r="L81" s="15" t="str">
        <f>+VLOOKUP(K81,[1]Datos!$A:$C,2,FALSE)</f>
        <v>ZONA 8</v>
      </c>
      <c r="M81" s="17">
        <v>90015672</v>
      </c>
      <c r="N81" s="17" t="str">
        <f>+VLOOKUP(M81,[1]Datos!$F:$G,2,FALSE)</f>
        <v>Erick Geovanny Castellanos Perez</v>
      </c>
      <c r="O81" s="18">
        <f>IFERROR(IF(A81="SI",VLOOKUP(R81,[1]Datos!$J$1:$K$50,2,FALSE)*C81,VLOOKUP(R81,[1]Datos!$P$1:$T$50,2,FALSE)*C81),0)</f>
        <v>3264</v>
      </c>
      <c r="P81" s="17">
        <v>90023863</v>
      </c>
      <c r="Q81" s="17" t="str">
        <f>+VLOOKUP(P81,[1]Datos!$F:$G,2,FALSE)</f>
        <v>Sandra Patricia Luna Rodriguez Miramontes</v>
      </c>
      <c r="R81" s="11" t="s">
        <v>30</v>
      </c>
      <c r="S81" s="11">
        <f t="shared" si="1"/>
        <v>1</v>
      </c>
      <c r="T81" s="11">
        <f>+VLOOKUP(M81,[1]Datos!$F:$H,3,FALSE)</f>
        <v>0</v>
      </c>
      <c r="U81" s="11">
        <v>0</v>
      </c>
      <c r="V81" s="19"/>
    </row>
    <row r="82" spans="1:22" hidden="1">
      <c r="A82" s="11" t="s">
        <v>25</v>
      </c>
      <c r="B82" s="11" t="s">
        <v>33</v>
      </c>
      <c r="C82" s="11">
        <v>1</v>
      </c>
      <c r="D82" s="11" t="s">
        <v>27</v>
      </c>
      <c r="E82" s="12" t="s">
        <v>37</v>
      </c>
      <c r="F82" s="12">
        <v>4405</v>
      </c>
      <c r="G82" s="12" t="s">
        <v>150</v>
      </c>
      <c r="H82" s="14">
        <v>46275</v>
      </c>
      <c r="I82" s="14">
        <v>46275</v>
      </c>
      <c r="J82" s="15" t="str">
        <f>+VLOOKUP(K82,[1]Datos!$A:$C,3,FALSE)</f>
        <v>CENTRO ATLANTICO</v>
      </c>
      <c r="K82" s="22">
        <v>98</v>
      </c>
      <c r="L82" s="15" t="str">
        <f>+VLOOKUP(K82,[1]Datos!$A:$C,2,FALSE)</f>
        <v>CALLE MARTI</v>
      </c>
      <c r="M82" s="17">
        <v>316041</v>
      </c>
      <c r="N82" s="17" t="str">
        <f>+VLOOKUP(M82,[1]Datos!$F:$G,2,FALSE)</f>
        <v>Wendy Paola Salvatierra Garcia</v>
      </c>
      <c r="O82" s="18">
        <f>IFERROR(IF(A82="SI",VLOOKUP(R82,[1]Datos!$J$1:$K$50,2,FALSE)*C82,VLOOKUP(R82,[1]Datos!$P$1:$T$50,2,FALSE)*C82),0)</f>
        <v>816</v>
      </c>
      <c r="P82" s="12">
        <v>313528</v>
      </c>
      <c r="Q82" s="17" t="str">
        <f>+VLOOKUP(P82,[1]Datos!$F:$G,2,FALSE)</f>
        <v>Amairani Lilibeth Escobar Maquin</v>
      </c>
      <c r="R82" s="11" t="s">
        <v>30</v>
      </c>
      <c r="S82" s="11">
        <f t="shared" si="1"/>
        <v>1</v>
      </c>
      <c r="T82" s="11">
        <f>+VLOOKUP(M82,[1]Datos!$F:$H,3,FALSE)</f>
        <v>0</v>
      </c>
      <c r="U82" s="11">
        <v>0</v>
      </c>
      <c r="V82" s="19"/>
    </row>
    <row r="83" spans="1:22" hidden="1">
      <c r="A83" s="11" t="s">
        <v>25</v>
      </c>
      <c r="B83" s="11" t="s">
        <v>33</v>
      </c>
      <c r="C83" s="11">
        <v>1</v>
      </c>
      <c r="D83" s="11" t="s">
        <v>27</v>
      </c>
      <c r="E83" s="12" t="s">
        <v>37</v>
      </c>
      <c r="F83" s="12">
        <v>4398</v>
      </c>
      <c r="G83" s="12" t="s">
        <v>151</v>
      </c>
      <c r="H83" s="14">
        <v>46275</v>
      </c>
      <c r="I83" s="14">
        <v>46275</v>
      </c>
      <c r="J83" s="15" t="str">
        <f>+VLOOKUP(K83,[1]Datos!$A:$C,3,FALSE)</f>
        <v>CENTRO ATLANTICO</v>
      </c>
      <c r="K83" s="22">
        <v>1</v>
      </c>
      <c r="L83" s="15" t="str">
        <f>+VLOOKUP(K83,[1]Datos!$A:$C,2,FALSE)</f>
        <v>FUNDACION</v>
      </c>
      <c r="M83" s="12">
        <v>90084541</v>
      </c>
      <c r="N83" s="17" t="str">
        <f>+VLOOKUP(M83,[1]Datos!$F:$G,2,FALSE)</f>
        <v>Rubi Ixcoy</v>
      </c>
      <c r="O83" s="18">
        <f>IFERROR(IF(A83="SI",VLOOKUP(R83,[1]Datos!$J$1:$K$50,2,FALSE)*C83,VLOOKUP(R83,[1]Datos!$P$1:$T$50,2,FALSE)*C83),0)</f>
        <v>816</v>
      </c>
      <c r="P83" s="12">
        <v>315170</v>
      </c>
      <c r="Q83" s="17" t="str">
        <f>+VLOOKUP(P83,[1]Datos!$F:$G,2,FALSE)</f>
        <v>Ricardo Alexander Morales Moran</v>
      </c>
      <c r="R83" s="11" t="s">
        <v>30</v>
      </c>
      <c r="S83" s="11">
        <f t="shared" si="1"/>
        <v>1</v>
      </c>
      <c r="T83" s="11">
        <f>+VLOOKUP(M83,[1]Datos!$F:$H,3,FALSE)</f>
        <v>0</v>
      </c>
      <c r="U83" s="11">
        <v>0</v>
      </c>
      <c r="V83" s="19"/>
    </row>
    <row r="84" spans="1:22" hidden="1">
      <c r="A84" s="11" t="s">
        <v>25</v>
      </c>
      <c r="B84" s="11" t="s">
        <v>33</v>
      </c>
      <c r="C84" s="11">
        <v>1</v>
      </c>
      <c r="D84" s="11" t="s">
        <v>27</v>
      </c>
      <c r="E84" s="12" t="s">
        <v>77</v>
      </c>
      <c r="F84" s="12">
        <v>4386</v>
      </c>
      <c r="G84" s="21" t="s">
        <v>152</v>
      </c>
      <c r="H84" s="14">
        <v>46275</v>
      </c>
      <c r="I84" s="14">
        <v>46275</v>
      </c>
      <c r="J84" s="15" t="str">
        <f>+VLOOKUP(K84,[1]Datos!$A:$C,3,FALSE)</f>
        <v>CENTRO ATLANTICO</v>
      </c>
      <c r="K84" s="22">
        <v>166</v>
      </c>
      <c r="L84" s="15" t="str">
        <f>+VLOOKUP(K84,[1]Datos!$A:$C,2,FALSE)</f>
        <v>23 CALLE</v>
      </c>
      <c r="M84" s="28">
        <v>90068775</v>
      </c>
      <c r="N84" s="17" t="str">
        <f>+VLOOKUP(M84,[1]Datos!$F:$G,2,FALSE)</f>
        <v>BRIAN STEVEN VALENZUELA DE PAZ</v>
      </c>
      <c r="O84" s="18">
        <f>IFERROR(IF(A84="SI",VLOOKUP(R84,[1]Datos!$J$1:$K$50,2,FALSE)*C84,VLOOKUP(R84,[1]Datos!$P$1:$T$50,2,FALSE)*C84),0)</f>
        <v>1368</v>
      </c>
      <c r="P84" s="12">
        <v>314028</v>
      </c>
      <c r="Q84" s="17" t="str">
        <f>+VLOOKUP(P84,[1]Datos!$F:$G,2,FALSE)</f>
        <v>Cindy Paola Garcia Monroy</v>
      </c>
      <c r="R84" s="11" t="s">
        <v>41</v>
      </c>
      <c r="S84" s="11">
        <f t="shared" si="1"/>
        <v>1</v>
      </c>
      <c r="T84" s="11">
        <f>+VLOOKUP(M84,[1]Datos!$F:$H,3,FALSE)</f>
        <v>0</v>
      </c>
      <c r="U84" s="11">
        <v>0</v>
      </c>
      <c r="V84" s="19"/>
    </row>
    <row r="85" spans="1:22" hidden="1">
      <c r="A85" s="11" t="s">
        <v>25</v>
      </c>
      <c r="B85" s="11" t="s">
        <v>33</v>
      </c>
      <c r="C85" s="11">
        <v>4</v>
      </c>
      <c r="D85" s="11" t="s">
        <v>27</v>
      </c>
      <c r="E85" s="12" t="s">
        <v>58</v>
      </c>
      <c r="F85" s="12">
        <v>710</v>
      </c>
      <c r="G85" s="21" t="s">
        <v>153</v>
      </c>
      <c r="H85" s="14">
        <v>46275</v>
      </c>
      <c r="I85" s="14">
        <v>46275</v>
      </c>
      <c r="J85" s="15" t="str">
        <f>+VLOOKUP(K85,[1]Datos!$A:$C,3,FALSE)</f>
        <v>CENTRO ATLANTICO</v>
      </c>
      <c r="K85" s="22">
        <v>166</v>
      </c>
      <c r="L85" s="15" t="str">
        <f>+VLOOKUP(K85,[1]Datos!$A:$C,2,FALSE)</f>
        <v>23 CALLE</v>
      </c>
      <c r="M85" s="28">
        <v>90068775</v>
      </c>
      <c r="N85" s="17" t="str">
        <f>+VLOOKUP(M85,[1]Datos!$F:$G,2,FALSE)</f>
        <v>BRIAN STEVEN VALENZUELA DE PAZ</v>
      </c>
      <c r="O85" s="18">
        <f>IFERROR(IF(A85="SI",VLOOKUP(R85,[1]Datos!$J$1:$K$50,2,FALSE)*C85,VLOOKUP(R85,[1]Datos!$P$1:$T$50,2,FALSE)*C85),0)</f>
        <v>3264</v>
      </c>
      <c r="P85" s="12">
        <v>314028</v>
      </c>
      <c r="Q85" s="17" t="str">
        <f>+VLOOKUP(P85,[1]Datos!$F:$G,2,FALSE)</f>
        <v>Cindy Paola Garcia Monroy</v>
      </c>
      <c r="R85" s="11" t="s">
        <v>30</v>
      </c>
      <c r="S85" s="11">
        <f t="shared" si="1"/>
        <v>1</v>
      </c>
      <c r="T85" s="11">
        <f>+VLOOKUP(M85,[1]Datos!$F:$H,3,FALSE)</f>
        <v>0</v>
      </c>
      <c r="U85" s="11">
        <v>0</v>
      </c>
      <c r="V85" s="19"/>
    </row>
    <row r="86" spans="1:22" hidden="1">
      <c r="A86" s="11" t="s">
        <v>25</v>
      </c>
      <c r="B86" s="11" t="s">
        <v>26</v>
      </c>
      <c r="C86" s="11">
        <v>3</v>
      </c>
      <c r="D86" s="11" t="s">
        <v>27</v>
      </c>
      <c r="E86" s="12" t="s">
        <v>154</v>
      </c>
      <c r="F86" s="12">
        <v>627</v>
      </c>
      <c r="G86" s="12" t="s">
        <v>155</v>
      </c>
      <c r="H86" s="14">
        <v>46275</v>
      </c>
      <c r="I86" s="14">
        <v>46275</v>
      </c>
      <c r="J86" s="15" t="str">
        <f>+VLOOKUP(K86,[1]Datos!$A:$C,3,FALSE)</f>
        <v>CENTRO ATLANTICO</v>
      </c>
      <c r="K86" s="11">
        <v>103</v>
      </c>
      <c r="L86" s="15" t="str">
        <f>+VLOOKUP(K86,[1]Datos!$A:$C,2,FALSE)</f>
        <v>LOS ALAMOS</v>
      </c>
      <c r="M86" s="28">
        <v>90066231</v>
      </c>
      <c r="N86" s="17" t="str">
        <f>+VLOOKUP(M86,[1]Datos!$F:$G,2,FALSE)</f>
        <v>EVELYN YUNIRY URIZAR</v>
      </c>
      <c r="O86" s="18">
        <f>IFERROR(IF(A86="SI",VLOOKUP(R86,[1]Datos!$J$1:$K$50,2,FALSE)*C86,VLOOKUP(R86,[1]Datos!$P$1:$T$50,2,FALSE)*C86),0)</f>
        <v>4104</v>
      </c>
      <c r="P86" s="12">
        <v>305989</v>
      </c>
      <c r="Q86" s="17" t="str">
        <f>+VLOOKUP(P86,[1]Datos!$F:$G,2,FALSE)</f>
        <v>Wuilson Ottoniel Hernandez Alonzo</v>
      </c>
      <c r="R86" s="11" t="s">
        <v>41</v>
      </c>
      <c r="S86" s="11">
        <f t="shared" si="1"/>
        <v>1</v>
      </c>
      <c r="T86" s="11">
        <f>+VLOOKUP(M86,[1]Datos!$F:$H,3,FALSE)</f>
        <v>0</v>
      </c>
      <c r="U86" s="11">
        <v>0</v>
      </c>
      <c r="V86" s="19"/>
    </row>
    <row r="87" spans="1:22" hidden="1">
      <c r="A87" s="11" t="s">
        <v>25</v>
      </c>
      <c r="B87" s="11" t="s">
        <v>33</v>
      </c>
      <c r="C87" s="11">
        <v>2</v>
      </c>
      <c r="D87" s="11" t="s">
        <v>27</v>
      </c>
      <c r="E87" s="12" t="s">
        <v>52</v>
      </c>
      <c r="F87" s="12">
        <v>1192</v>
      </c>
      <c r="G87" s="21" t="s">
        <v>156</v>
      </c>
      <c r="H87" s="14">
        <v>46275</v>
      </c>
      <c r="I87" s="14">
        <v>46275</v>
      </c>
      <c r="J87" s="15" t="str">
        <f>+VLOOKUP(K87,[1]Datos!$A:$C,3,FALSE)</f>
        <v>CENTRO ATLANTICO</v>
      </c>
      <c r="K87" s="22">
        <v>2</v>
      </c>
      <c r="L87" s="15" t="str">
        <f>+VLOOKUP(K87,[1]Datos!$A:$C,2,FALSE)</f>
        <v>ZONA 1</v>
      </c>
      <c r="M87" s="24">
        <v>90063417</v>
      </c>
      <c r="N87" s="17" t="str">
        <f>+VLOOKUP(M87,[1]Datos!$F:$G,2,FALSE)</f>
        <v>LIDIA GRICELDA DIAZ TORRES</v>
      </c>
      <c r="O87" s="18">
        <f>IFERROR(IF(A87="SI",VLOOKUP(R87,[1]Datos!$J$1:$K$50,2,FALSE)*C87,VLOOKUP(R87,[1]Datos!$P$1:$T$50,2,FALSE)*C87),0)</f>
        <v>1632</v>
      </c>
      <c r="P87" s="12">
        <v>300999</v>
      </c>
      <c r="Q87" s="17" t="str">
        <f>+VLOOKUP(P87,[1]Datos!$F:$G,2,FALSE)</f>
        <v>Victor Adolfo Barrios Monzon</v>
      </c>
      <c r="R87" s="11" t="s">
        <v>30</v>
      </c>
      <c r="S87" s="11">
        <f t="shared" si="1"/>
        <v>1</v>
      </c>
      <c r="T87" s="11">
        <f>+VLOOKUP(M87,[1]Datos!$F:$H,3,FALSE)</f>
        <v>0</v>
      </c>
      <c r="U87" s="11">
        <v>0</v>
      </c>
      <c r="V87" s="19"/>
    </row>
    <row r="88" spans="1:22" hidden="1">
      <c r="A88" s="11" t="s">
        <v>25</v>
      </c>
      <c r="B88" s="11" t="s">
        <v>33</v>
      </c>
      <c r="C88" s="11">
        <v>4</v>
      </c>
      <c r="D88" s="11" t="s">
        <v>27</v>
      </c>
      <c r="E88" s="12" t="s">
        <v>58</v>
      </c>
      <c r="F88" s="12">
        <v>715</v>
      </c>
      <c r="G88" s="12" t="s">
        <v>157</v>
      </c>
      <c r="H88" s="14">
        <v>46275</v>
      </c>
      <c r="I88" s="14">
        <v>46275</v>
      </c>
      <c r="J88" s="15" t="str">
        <f>+VLOOKUP(K88,[1]Datos!$A:$C,3,FALSE)</f>
        <v>CENTRO ATLANTICO</v>
      </c>
      <c r="K88" s="22">
        <v>148</v>
      </c>
      <c r="L88" s="15" t="str">
        <f>+VLOOKUP(K88,[1]Datos!$A:$C,2,FALSE)</f>
        <v>SANARATE</v>
      </c>
      <c r="M88" s="28">
        <v>310510</v>
      </c>
      <c r="N88" s="17" t="str">
        <f>+VLOOKUP(M88,[1]Datos!$F:$G,2,FALSE)</f>
        <v>Nancy Paola Morales Rodriguez De Morales</v>
      </c>
      <c r="O88" s="18">
        <f>IFERROR(IF(A88="SI",VLOOKUP(R88,[1]Datos!$J$1:$K$50,2,FALSE)*C88,VLOOKUP(R88,[1]Datos!$P$1:$T$50,2,FALSE)*C88),0)</f>
        <v>3264</v>
      </c>
      <c r="P88" s="12">
        <v>306444</v>
      </c>
      <c r="Q88" s="17" t="str">
        <f>+VLOOKUP(P88,[1]Datos!$F:$G,2,FALSE)</f>
        <v>Claudia Dolores Barcenas Guillen</v>
      </c>
      <c r="R88" s="11" t="s">
        <v>30</v>
      </c>
      <c r="S88" s="11">
        <f t="shared" si="1"/>
        <v>1</v>
      </c>
      <c r="T88" s="11">
        <f>+VLOOKUP(M88,[1]Datos!$F:$H,3,FALSE)</f>
        <v>0</v>
      </c>
      <c r="U88" s="11">
        <v>0</v>
      </c>
      <c r="V88" s="19"/>
    </row>
    <row r="89" spans="1:22" hidden="1">
      <c r="A89" s="11" t="s">
        <v>25</v>
      </c>
      <c r="B89" s="11" t="s">
        <v>33</v>
      </c>
      <c r="C89" s="11">
        <v>4</v>
      </c>
      <c r="D89" s="11" t="s">
        <v>73</v>
      </c>
      <c r="E89" s="17" t="s">
        <v>45</v>
      </c>
      <c r="F89" s="17">
        <v>718</v>
      </c>
      <c r="G89" s="17" t="s">
        <v>158</v>
      </c>
      <c r="H89" s="14">
        <v>46275</v>
      </c>
      <c r="I89" s="14">
        <v>46275</v>
      </c>
      <c r="J89" s="15" t="str">
        <f>+VLOOKUP(K89,[1]Datos!$A:$C,3,FALSE)</f>
        <v>CENTRO ATLANTICO</v>
      </c>
      <c r="K89" s="22">
        <v>7</v>
      </c>
      <c r="L89" s="15" t="str">
        <f>+VLOOKUP(K89,[1]Datos!$A:$C,2,FALSE)</f>
        <v>ZONA 8</v>
      </c>
      <c r="M89" s="17">
        <v>90048557</v>
      </c>
      <c r="N89" s="17" t="str">
        <f>+VLOOKUP(M89,[1]Datos!$F:$G,2,FALSE)</f>
        <v>Yefri Carmelo Ortega Lopez</v>
      </c>
      <c r="O89" s="18">
        <f>IFERROR(IF(A89="SI",VLOOKUP(R89,[1]Datos!$J$1:$K$50,2,FALSE)*C89,VLOOKUP(R89,[1]Datos!$P$1:$T$50,2,FALSE)*C89),0)</f>
        <v>3264</v>
      </c>
      <c r="P89" s="17">
        <v>90023863</v>
      </c>
      <c r="Q89" s="17" t="str">
        <f>+VLOOKUP(P89,[1]Datos!$F:$G,2,FALSE)</f>
        <v>Sandra Patricia Luna Rodriguez Miramontes</v>
      </c>
      <c r="R89" s="11" t="s">
        <v>30</v>
      </c>
      <c r="S89" s="11">
        <f t="shared" si="1"/>
        <v>1</v>
      </c>
      <c r="T89" s="11">
        <f>+VLOOKUP(M89,[1]Datos!$F:$H,3,FALSE)</f>
        <v>0</v>
      </c>
      <c r="U89" s="11">
        <v>0</v>
      </c>
      <c r="V89" s="19"/>
    </row>
    <row r="90" spans="1:22" hidden="1">
      <c r="A90" s="11" t="s">
        <v>25</v>
      </c>
      <c r="B90" s="11" t="s">
        <v>33</v>
      </c>
      <c r="C90" s="11">
        <v>4</v>
      </c>
      <c r="D90" s="11" t="s">
        <v>27</v>
      </c>
      <c r="E90" s="12" t="s">
        <v>58</v>
      </c>
      <c r="F90" s="12">
        <v>717</v>
      </c>
      <c r="G90" s="12" t="s">
        <v>159</v>
      </c>
      <c r="H90" s="14">
        <v>46275</v>
      </c>
      <c r="I90" s="14">
        <v>46275</v>
      </c>
      <c r="J90" s="15" t="str">
        <f>+VLOOKUP(K90,[1]Datos!$A:$C,3,FALSE)</f>
        <v>CENTRO ATLANTICO</v>
      </c>
      <c r="K90" s="11">
        <v>134</v>
      </c>
      <c r="L90" s="15" t="str">
        <f>+VLOOKUP(K90,[1]Datos!$A:$C,2,FALSE)</f>
        <v>GUASTATOYA</v>
      </c>
      <c r="M90" s="12">
        <v>90025188</v>
      </c>
      <c r="N90" s="17" t="str">
        <f>+VLOOKUP(M90,[1]Datos!$F:$G,2,FALSE)</f>
        <v>Sindy Gabriela Rivas Ochoa</v>
      </c>
      <c r="O90" s="18">
        <f>IFERROR(IF(A90="SI",VLOOKUP(R90,[1]Datos!$J$1:$K$50,2,FALSE)*C90,VLOOKUP(R90,[1]Datos!$P$1:$T$50,2,FALSE)*C90),0)</f>
        <v>3264</v>
      </c>
      <c r="P90" s="12">
        <v>315408</v>
      </c>
      <c r="Q90" s="17" t="str">
        <f>+VLOOKUP(P90,[1]Datos!$F:$G,2,FALSE)</f>
        <v>Sandy Suset Morales Barrientos</v>
      </c>
      <c r="R90" s="11" t="s">
        <v>30</v>
      </c>
      <c r="S90" s="11">
        <f t="shared" si="1"/>
        <v>1</v>
      </c>
      <c r="T90" s="11">
        <f>+VLOOKUP(M90,[1]Datos!$F:$H,3,FALSE)</f>
        <v>0</v>
      </c>
      <c r="U90" s="11">
        <v>0</v>
      </c>
      <c r="V90" s="19"/>
    </row>
    <row r="91" spans="1:22" hidden="1">
      <c r="A91" s="11" t="s">
        <v>25</v>
      </c>
      <c r="B91" s="11" t="s">
        <v>26</v>
      </c>
      <c r="C91" s="11">
        <v>4</v>
      </c>
      <c r="D91" s="11" t="s">
        <v>73</v>
      </c>
      <c r="E91" s="12" t="s">
        <v>58</v>
      </c>
      <c r="F91" s="12">
        <v>719</v>
      </c>
      <c r="G91" s="12" t="s">
        <v>160</v>
      </c>
      <c r="H91" s="14">
        <v>46275</v>
      </c>
      <c r="I91" s="14">
        <v>46275</v>
      </c>
      <c r="J91" s="15" t="str">
        <f>+VLOOKUP(K91,[1]Datos!$A:$C,3,FALSE)</f>
        <v>CENTRO ATLANTICO</v>
      </c>
      <c r="K91" s="11">
        <v>148</v>
      </c>
      <c r="L91" s="15" t="str">
        <f>+VLOOKUP(K91,[1]Datos!$A:$C,2,FALSE)</f>
        <v>SANARATE</v>
      </c>
      <c r="M91" s="26">
        <v>312044</v>
      </c>
      <c r="N91" s="17" t="str">
        <f>+VLOOKUP(M91,[1]Datos!$F:$G,2,FALSE)</f>
        <v>Magda Danira Catalan Paz</v>
      </c>
      <c r="O91" s="18">
        <f>IFERROR(IF(A91="SI",VLOOKUP(R91,[1]Datos!$J$1:$K$50,2,FALSE)*C91,VLOOKUP(R91,[1]Datos!$P$1:$T$50,2,FALSE)*C91),0)</f>
        <v>5472</v>
      </c>
      <c r="P91" s="12">
        <v>306444</v>
      </c>
      <c r="Q91" s="17" t="str">
        <f>+VLOOKUP(P91,[1]Datos!$F:$G,2,FALSE)</f>
        <v>Claudia Dolores Barcenas Guillen</v>
      </c>
      <c r="R91" s="11" t="s">
        <v>41</v>
      </c>
      <c r="S91" s="11">
        <f t="shared" si="1"/>
        <v>1</v>
      </c>
      <c r="T91" s="11">
        <f>+VLOOKUP(M91,[1]Datos!$F:$H,3,FALSE)</f>
        <v>0</v>
      </c>
      <c r="U91" s="11">
        <v>0</v>
      </c>
      <c r="V91" s="19"/>
    </row>
    <row r="92" spans="1:22" hidden="1">
      <c r="A92" s="11" t="s">
        <v>25</v>
      </c>
      <c r="B92" s="11" t="s">
        <v>26</v>
      </c>
      <c r="C92" s="11">
        <v>4</v>
      </c>
      <c r="D92" s="11" t="s">
        <v>27</v>
      </c>
      <c r="E92" s="12" t="s">
        <v>58</v>
      </c>
      <c r="F92" s="12">
        <v>712</v>
      </c>
      <c r="G92" s="12" t="s">
        <v>161</v>
      </c>
      <c r="H92" s="14">
        <v>46275</v>
      </c>
      <c r="I92" s="14">
        <v>46275</v>
      </c>
      <c r="J92" s="15" t="str">
        <f>+VLOOKUP(K92,[1]Datos!$A:$C,3,FALSE)</f>
        <v>CENTRO ATLANTICO</v>
      </c>
      <c r="K92" s="22">
        <v>148</v>
      </c>
      <c r="L92" s="15" t="str">
        <f>+VLOOKUP(K92,[1]Datos!$A:$C,2,FALSE)</f>
        <v>SANARATE</v>
      </c>
      <c r="M92" s="26">
        <v>312044</v>
      </c>
      <c r="N92" s="17" t="str">
        <f>+VLOOKUP(M92,[1]Datos!$F:$G,2,FALSE)</f>
        <v>Magda Danira Catalan Paz</v>
      </c>
      <c r="O92" s="18">
        <f>IFERROR(IF(A92="SI",VLOOKUP(R92,[1]Datos!$J$1:$K$50,2,FALSE)*C92,VLOOKUP(R92,[1]Datos!$P$1:$T$50,2,FALSE)*C92),0)</f>
        <v>3264</v>
      </c>
      <c r="P92" s="12">
        <v>306444</v>
      </c>
      <c r="Q92" s="17" t="str">
        <f>+VLOOKUP(P92,[1]Datos!$F:$G,2,FALSE)</f>
        <v>Claudia Dolores Barcenas Guillen</v>
      </c>
      <c r="R92" s="11" t="s">
        <v>30</v>
      </c>
      <c r="S92" s="11">
        <f t="shared" si="1"/>
        <v>1</v>
      </c>
      <c r="T92" s="11">
        <f>+VLOOKUP(M92,[1]Datos!$F:$H,3,FALSE)</f>
        <v>0</v>
      </c>
      <c r="U92" s="11">
        <v>0</v>
      </c>
      <c r="V92" s="19"/>
    </row>
    <row r="93" spans="1:22" hidden="1">
      <c r="A93" s="11" t="s">
        <v>25</v>
      </c>
      <c r="B93" s="11" t="s">
        <v>26</v>
      </c>
      <c r="C93" s="11">
        <v>4</v>
      </c>
      <c r="D93" s="11" t="s">
        <v>27</v>
      </c>
      <c r="E93" s="42" t="s">
        <v>45</v>
      </c>
      <c r="F93" s="12">
        <v>714</v>
      </c>
      <c r="G93" s="12" t="s">
        <v>162</v>
      </c>
      <c r="H93" s="14">
        <v>46275</v>
      </c>
      <c r="I93" s="14">
        <v>46275</v>
      </c>
      <c r="J93" s="15" t="str">
        <f>+VLOOKUP(K93,[1]Datos!$A:$C,3,FALSE)</f>
        <v>CENTRO ATLANTICO</v>
      </c>
      <c r="K93" s="22">
        <v>87</v>
      </c>
      <c r="L93" s="15" t="str">
        <f>+VLOOKUP(K93,[1]Datos!$A:$C,2,FALSE)</f>
        <v>EL NARANJO</v>
      </c>
      <c r="M93" s="17">
        <v>303594</v>
      </c>
      <c r="N93" s="17" t="str">
        <f>+VLOOKUP(M93,[1]Datos!$F:$G,2,FALSE)</f>
        <v>Ligia Iveth Marroquin Lechuga</v>
      </c>
      <c r="O93" s="18">
        <f>IFERROR(IF(A93="SI",VLOOKUP(R93,[1]Datos!$J$1:$K$50,2,FALSE)*C93,VLOOKUP(R93,[1]Datos!$P$1:$T$50,2,FALSE)*C93),0)</f>
        <v>3264</v>
      </c>
      <c r="P93" s="12">
        <v>310538</v>
      </c>
      <c r="Q93" s="17" t="str">
        <f>+VLOOKUP(P93,[1]Datos!$F:$G,2,FALSE)</f>
        <v>Kevin Orlando Ventura Lopez</v>
      </c>
      <c r="R93" s="11" t="s">
        <v>30</v>
      </c>
      <c r="S93" s="11">
        <f t="shared" si="1"/>
        <v>1</v>
      </c>
      <c r="T93" s="11">
        <f>+VLOOKUP(M93,[1]Datos!$F:$H,3,FALSE)</f>
        <v>0</v>
      </c>
      <c r="U93" s="11">
        <v>0</v>
      </c>
      <c r="V93" s="19"/>
    </row>
    <row r="94" spans="1:22" hidden="1">
      <c r="A94" s="11" t="s">
        <v>25</v>
      </c>
      <c r="B94" s="11" t="s">
        <v>26</v>
      </c>
      <c r="C94" s="11">
        <v>2</v>
      </c>
      <c r="D94" s="11" t="s">
        <v>27</v>
      </c>
      <c r="E94" s="12" t="s">
        <v>163</v>
      </c>
      <c r="F94" s="12">
        <v>1195</v>
      </c>
      <c r="G94" s="12" t="s">
        <v>164</v>
      </c>
      <c r="H94" s="14">
        <v>46275</v>
      </c>
      <c r="I94" s="14">
        <v>46275</v>
      </c>
      <c r="J94" s="15" t="str">
        <f>+VLOOKUP(K94,[1]Datos!$A:$C,3,FALSE)</f>
        <v>CENTRO ATLANTICO</v>
      </c>
      <c r="K94" s="15">
        <v>87</v>
      </c>
      <c r="L94" s="15" t="str">
        <f>+VLOOKUP(K94,[1]Datos!$A:$C,2,FALSE)</f>
        <v>EL NARANJO</v>
      </c>
      <c r="M94" s="17">
        <v>310734</v>
      </c>
      <c r="N94" s="17" t="str">
        <f>+VLOOKUP(M94,[1]Datos!$F:$G,2,FALSE)</f>
        <v>Lupita Genesis Granados Valenzuela</v>
      </c>
      <c r="O94" s="18">
        <f>IFERROR(IF(A94="SI",VLOOKUP(R94,[1]Datos!$J$1:$K$50,2,FALSE)*C94,VLOOKUP(R94,[1]Datos!$P$1:$T$50,2,FALSE)*C94),0)</f>
        <v>5472</v>
      </c>
      <c r="P94" s="12">
        <v>310538</v>
      </c>
      <c r="Q94" s="17" t="str">
        <f>+VLOOKUP(P94,[1]Datos!$F:$G,2,FALSE)</f>
        <v>Kevin Orlando Ventura Lopez</v>
      </c>
      <c r="R94" s="11" t="s">
        <v>60</v>
      </c>
      <c r="S94" s="11">
        <f t="shared" si="1"/>
        <v>1</v>
      </c>
      <c r="T94" s="11">
        <f>+VLOOKUP(M94,[1]Datos!$F:$H,3,FALSE)</f>
        <v>0</v>
      </c>
      <c r="U94" s="11">
        <v>0</v>
      </c>
      <c r="V94" s="19"/>
    </row>
    <row r="95" spans="1:22" ht="15.5" hidden="1">
      <c r="A95" s="11" t="s">
        <v>25</v>
      </c>
      <c r="B95" s="11" t="s">
        <v>33</v>
      </c>
      <c r="C95" s="11">
        <v>1</v>
      </c>
      <c r="D95" s="11" t="s">
        <v>27</v>
      </c>
      <c r="E95" s="12" t="s">
        <v>77</v>
      </c>
      <c r="F95" s="12">
        <v>4374</v>
      </c>
      <c r="G95" s="12" t="s">
        <v>165</v>
      </c>
      <c r="H95" s="13">
        <v>46276</v>
      </c>
      <c r="I95" s="14">
        <v>46274</v>
      </c>
      <c r="J95" s="15" t="str">
        <f>+VLOOKUP(K95,[1]Datos!$A:$C,3,FALSE)</f>
        <v>CENTRO ATLANTICO</v>
      </c>
      <c r="K95" s="11">
        <v>302</v>
      </c>
      <c r="L95" s="15" t="str">
        <f>+VLOOKUP(K95,[1]Datos!$A:$C,2,FALSE)</f>
        <v>CENTRANORTE</v>
      </c>
      <c r="M95" s="12">
        <v>90084299</v>
      </c>
      <c r="N95" s="17" t="str">
        <f>+VLOOKUP(M95,[1]Datos!$F:$G,2,FALSE)</f>
        <v xml:space="preserve">ENRIQUE MARDOQUEO AGUILAR RODRIGUEZ </v>
      </c>
      <c r="O95" s="18">
        <f>IFERROR(IF(A95="SI",VLOOKUP(R95,[1]Datos!$J$1:$K$50,2,FALSE)*C95,VLOOKUP(R95,[1]Datos!$P$1:$T$50,2,FALSE)*C95),0)</f>
        <v>1368</v>
      </c>
      <c r="P95" s="33">
        <v>312178</v>
      </c>
      <c r="Q95" s="17" t="str">
        <f>+VLOOKUP(P95,[1]Datos!$F:$G,2,FALSE)</f>
        <v>Keyla Cristy Dubon Pernillo</v>
      </c>
      <c r="R95" s="11" t="s">
        <v>41</v>
      </c>
      <c r="S95" s="11">
        <f t="shared" si="1"/>
        <v>1</v>
      </c>
      <c r="T95" s="11">
        <f>+VLOOKUP(M95,[1]Datos!$F:$H,3,FALSE)</f>
        <v>0</v>
      </c>
      <c r="U95" s="11">
        <v>0</v>
      </c>
      <c r="V95" s="19"/>
    </row>
    <row r="96" spans="1:22" ht="15.5" hidden="1">
      <c r="A96" s="11" t="s">
        <v>25</v>
      </c>
      <c r="B96" s="11" t="s">
        <v>33</v>
      </c>
      <c r="C96" s="11">
        <v>1</v>
      </c>
      <c r="D96" s="11" t="s">
        <v>27</v>
      </c>
      <c r="E96" s="12" t="s">
        <v>77</v>
      </c>
      <c r="F96" s="12">
        <v>4376</v>
      </c>
      <c r="G96" s="12" t="s">
        <v>166</v>
      </c>
      <c r="H96" s="14">
        <v>46276</v>
      </c>
      <c r="I96" s="14">
        <v>46274</v>
      </c>
      <c r="J96" s="15" t="str">
        <f>+VLOOKUP(K96,[1]Datos!$A:$C,3,FALSE)</f>
        <v>CENTRO ATLANTICO</v>
      </c>
      <c r="K96" s="11">
        <v>302</v>
      </c>
      <c r="L96" s="15" t="str">
        <f>+VLOOKUP(K96,[1]Datos!$A:$C,2,FALSE)</f>
        <v>CENTRANORTE</v>
      </c>
      <c r="M96" s="12">
        <v>90084299</v>
      </c>
      <c r="N96" s="17" t="str">
        <f>+VLOOKUP(M96,[1]Datos!$F:$G,2,FALSE)</f>
        <v xml:space="preserve">ENRIQUE MARDOQUEO AGUILAR RODRIGUEZ </v>
      </c>
      <c r="O96" s="18">
        <f>IFERROR(IF(A96="SI",VLOOKUP(R96,[1]Datos!$J$1:$K$50,2,FALSE)*C96,VLOOKUP(R96,[1]Datos!$P$1:$T$50,2,FALSE)*C96),0)</f>
        <v>1368</v>
      </c>
      <c r="P96" s="33">
        <v>312178</v>
      </c>
      <c r="Q96" s="17" t="str">
        <f>+VLOOKUP(P96,[1]Datos!$F:$G,2,FALSE)</f>
        <v>Keyla Cristy Dubon Pernillo</v>
      </c>
      <c r="R96" s="11" t="s">
        <v>41</v>
      </c>
      <c r="S96" s="11">
        <f t="shared" si="1"/>
        <v>1</v>
      </c>
      <c r="T96" s="11">
        <f>+VLOOKUP(M96,[1]Datos!$F:$H,3,FALSE)</f>
        <v>0</v>
      </c>
      <c r="U96" s="11">
        <v>0</v>
      </c>
      <c r="V96" s="19"/>
    </row>
    <row r="97" spans="1:22" hidden="1">
      <c r="A97" s="11" t="s">
        <v>25</v>
      </c>
      <c r="B97" s="11" t="s">
        <v>33</v>
      </c>
      <c r="C97" s="11">
        <v>4</v>
      </c>
      <c r="D97" s="11" t="s">
        <v>27</v>
      </c>
      <c r="E97" s="17" t="s">
        <v>146</v>
      </c>
      <c r="F97" s="17">
        <v>245</v>
      </c>
      <c r="G97" s="17" t="s">
        <v>167</v>
      </c>
      <c r="H97" s="14">
        <v>46276</v>
      </c>
      <c r="I97" s="14">
        <v>46276</v>
      </c>
      <c r="J97" s="15" t="str">
        <f>+VLOOKUP(K97,[1]Datos!$A:$C,3,FALSE)</f>
        <v>CENTRO ATLANTICO</v>
      </c>
      <c r="K97" s="29">
        <v>19</v>
      </c>
      <c r="L97" s="15" t="str">
        <f>+VLOOKUP(K97,[1]Datos!$A:$C,2,FALSE)</f>
        <v>MORAZAN ZONA 2</v>
      </c>
      <c r="M97" s="17">
        <v>90060071</v>
      </c>
      <c r="N97" s="17" t="str">
        <f>+VLOOKUP(M97,[1]Datos!$F:$G,2,FALSE)</f>
        <v>Maria Galilea Pascual Lic</v>
      </c>
      <c r="O97" s="18">
        <f>IFERROR(IF(A97="SI",VLOOKUP(R97,[1]Datos!$J$1:$K$50,2,FALSE)*C97,VLOOKUP(R97,[1]Datos!$P$1:$T$50,2,FALSE)*C97),0)</f>
        <v>8016</v>
      </c>
      <c r="P97" s="17">
        <v>316080</v>
      </c>
      <c r="Q97" s="17" t="str">
        <f>+VLOOKUP(P97,[1]Datos!$F:$G,2,FALSE)</f>
        <v>Sergio David Espana Velasquez</v>
      </c>
      <c r="R97" s="11" t="s">
        <v>55</v>
      </c>
      <c r="S97" s="11">
        <f t="shared" si="1"/>
        <v>1</v>
      </c>
      <c r="T97" s="11">
        <f>+VLOOKUP(M97,[1]Datos!$F:$H,3,FALSE)</f>
        <v>0</v>
      </c>
      <c r="U97" s="11">
        <v>0</v>
      </c>
      <c r="V97" s="19"/>
    </row>
    <row r="98" spans="1:22" ht="15.5" hidden="1">
      <c r="A98" s="11" t="s">
        <v>25</v>
      </c>
      <c r="B98" s="11" t="s">
        <v>26</v>
      </c>
      <c r="C98" s="11">
        <v>1</v>
      </c>
      <c r="D98" s="11" t="s">
        <v>27</v>
      </c>
      <c r="E98" s="12" t="s">
        <v>77</v>
      </c>
      <c r="F98" s="12">
        <v>4400</v>
      </c>
      <c r="G98" s="21" t="s">
        <v>168</v>
      </c>
      <c r="H98" s="14">
        <v>46276</v>
      </c>
      <c r="I98" s="14">
        <v>46276</v>
      </c>
      <c r="J98" s="15" t="str">
        <f>+VLOOKUP(K98,[1]Datos!$A:$C,3,FALSE)</f>
        <v>CENTRO ATLANTICO</v>
      </c>
      <c r="K98" s="11">
        <v>103</v>
      </c>
      <c r="L98" s="15" t="str">
        <f>+VLOOKUP(K98,[1]Datos!$A:$C,2,FALSE)</f>
        <v>LOS ALAMOS</v>
      </c>
      <c r="M98" s="38">
        <v>316184</v>
      </c>
      <c r="N98" s="17" t="str">
        <f>+VLOOKUP(M98,[1]Datos!$F:$G,2,FALSE)</f>
        <v>Reymon Steve Ortiz Chavez</v>
      </c>
      <c r="O98" s="18">
        <f>IFERROR(IF(A98="SI",VLOOKUP(R98,[1]Datos!$J$1:$K$50,2,FALSE)*C98,VLOOKUP(R98,[1]Datos!$P$1:$T$50,2,FALSE)*C98),0)</f>
        <v>1368</v>
      </c>
      <c r="P98" s="12">
        <v>310318</v>
      </c>
      <c r="Q98" s="17" t="str">
        <f>+VLOOKUP(P98,[1]Datos!$F:$G,2,FALSE)</f>
        <v>Yeimi Yareli Moscoso Guzman</v>
      </c>
      <c r="R98" s="11" t="s">
        <v>41</v>
      </c>
      <c r="S98" s="11">
        <f t="shared" si="1"/>
        <v>1</v>
      </c>
      <c r="T98" s="11">
        <f>+VLOOKUP(M98,[1]Datos!$F:$H,3,FALSE)</f>
        <v>0</v>
      </c>
      <c r="U98" s="11">
        <v>0</v>
      </c>
      <c r="V98" s="19"/>
    </row>
    <row r="99" spans="1:22" hidden="1">
      <c r="A99" s="11" t="s">
        <v>25</v>
      </c>
      <c r="B99" s="11" t="s">
        <v>33</v>
      </c>
      <c r="C99" s="11">
        <v>1</v>
      </c>
      <c r="D99" s="11" t="s">
        <v>73</v>
      </c>
      <c r="E99" s="17" t="s">
        <v>37</v>
      </c>
      <c r="F99" s="17">
        <v>4424</v>
      </c>
      <c r="G99" s="17" t="s">
        <v>169</v>
      </c>
      <c r="H99" s="14">
        <v>46276</v>
      </c>
      <c r="I99" s="14">
        <v>46276</v>
      </c>
      <c r="J99" s="15" t="str">
        <f>+VLOOKUP(K99,[1]Datos!$A:$C,3,FALSE)</f>
        <v>CENTRO ATLANTICO</v>
      </c>
      <c r="K99" s="22">
        <v>7</v>
      </c>
      <c r="L99" s="15" t="str">
        <f>+VLOOKUP(K99,[1]Datos!$A:$C,2,FALSE)</f>
        <v>ZONA 8</v>
      </c>
      <c r="M99" s="17">
        <v>90048557</v>
      </c>
      <c r="N99" s="17" t="str">
        <f>+VLOOKUP(M99,[1]Datos!$F:$G,2,FALSE)</f>
        <v>Yefri Carmelo Ortega Lopez</v>
      </c>
      <c r="O99" s="18">
        <f>IFERROR(IF(A99="SI",VLOOKUP(R99,[1]Datos!$J$1:$K$50,2,FALSE)*C99,VLOOKUP(R99,[1]Datos!$P$1:$T$50,2,FALSE)*C99),0)</f>
        <v>816</v>
      </c>
      <c r="P99" s="17">
        <v>90023863</v>
      </c>
      <c r="Q99" s="17" t="str">
        <f>+VLOOKUP(P99,[1]Datos!$F:$G,2,FALSE)</f>
        <v>Sandra Patricia Luna Rodriguez Miramontes</v>
      </c>
      <c r="R99" s="11" t="s">
        <v>30</v>
      </c>
      <c r="S99" s="11">
        <f t="shared" si="1"/>
        <v>1</v>
      </c>
      <c r="T99" s="11">
        <f>+VLOOKUP(M99,[1]Datos!$F:$H,3,FALSE)</f>
        <v>0</v>
      </c>
      <c r="U99" s="11">
        <v>0</v>
      </c>
      <c r="V99" s="19"/>
    </row>
    <row r="100" spans="1:22" hidden="1">
      <c r="A100" s="11" t="s">
        <v>25</v>
      </c>
      <c r="B100" s="11" t="s">
        <v>26</v>
      </c>
      <c r="C100" s="11">
        <v>4</v>
      </c>
      <c r="D100" s="11" t="s">
        <v>27</v>
      </c>
      <c r="E100" s="12" t="s">
        <v>65</v>
      </c>
      <c r="F100" s="12">
        <v>37</v>
      </c>
      <c r="G100" s="12" t="s">
        <v>170</v>
      </c>
      <c r="H100" s="14">
        <v>46276</v>
      </c>
      <c r="I100" s="14">
        <v>46276</v>
      </c>
      <c r="J100" s="15" t="str">
        <f>+VLOOKUP(K100,[1]Datos!$A:$C,3,FALSE)</f>
        <v>CENTRO ATLANTICO</v>
      </c>
      <c r="K100" s="11">
        <v>98</v>
      </c>
      <c r="L100" s="15" t="str">
        <f>+VLOOKUP(K100,[1]Datos!$A:$C,2,FALSE)</f>
        <v>CALLE MARTI</v>
      </c>
      <c r="M100" s="12">
        <v>316322</v>
      </c>
      <c r="N100" s="17" t="str">
        <f>+VLOOKUP(M100,[1]Datos!$F:$G,2,FALSE)</f>
        <v xml:space="preserve">Gabriela Janet Crisostomo Xuya </v>
      </c>
      <c r="O100" s="18">
        <f>IFERROR(IF(A100="SI",VLOOKUP(R100,[1]Datos!$J$1:$K$50,2,FALSE)*C100,VLOOKUP(R100,[1]Datos!$P$1:$T$50,2,FALSE)*C100),0)</f>
        <v>4032</v>
      </c>
      <c r="P100" s="12">
        <v>315597</v>
      </c>
      <c r="Q100" s="17" t="str">
        <f>+VLOOKUP(P100,[1]Datos!$F:$G,2,FALSE)</f>
        <v>Edgar Jhonatan Contreras Garcia</v>
      </c>
      <c r="R100" s="11" t="s">
        <v>67</v>
      </c>
      <c r="S100" s="11">
        <f t="shared" si="1"/>
        <v>1</v>
      </c>
      <c r="T100" s="11">
        <f>+VLOOKUP(M100,[1]Datos!$F:$H,3,FALSE)</f>
        <v>0</v>
      </c>
      <c r="U100" s="11">
        <v>0</v>
      </c>
      <c r="V100" s="19"/>
    </row>
    <row r="101" spans="1:22" hidden="1">
      <c r="A101" s="11" t="s">
        <v>25</v>
      </c>
      <c r="B101" s="11" t="s">
        <v>26</v>
      </c>
      <c r="C101" s="11">
        <v>4</v>
      </c>
      <c r="D101" s="11" t="s">
        <v>73</v>
      </c>
      <c r="E101" s="12" t="s">
        <v>58</v>
      </c>
      <c r="F101" s="12">
        <v>721</v>
      </c>
      <c r="G101" s="12" t="s">
        <v>171</v>
      </c>
      <c r="H101" s="14">
        <v>46276</v>
      </c>
      <c r="I101" s="14">
        <v>46276</v>
      </c>
      <c r="J101" s="15" t="str">
        <f>+VLOOKUP(K101,[1]Datos!$A:$C,3,FALSE)</f>
        <v>CENTRO ATLANTICO</v>
      </c>
      <c r="K101" s="22">
        <v>148</v>
      </c>
      <c r="L101" s="15" t="str">
        <f>+VLOOKUP(K101,[1]Datos!$A:$C,2,FALSE)</f>
        <v>SANARATE</v>
      </c>
      <c r="M101" s="43">
        <v>312044</v>
      </c>
      <c r="N101" s="17" t="str">
        <f>+VLOOKUP(M101,[1]Datos!$F:$G,2,FALSE)</f>
        <v>Magda Danira Catalan Paz</v>
      </c>
      <c r="O101" s="18">
        <f>IFERROR(IF(A101="SI",VLOOKUP(R101,[1]Datos!$J$1:$K$50,2,FALSE)*C101,VLOOKUP(R101,[1]Datos!$P$1:$T$50,2,FALSE)*C101),0)</f>
        <v>3264</v>
      </c>
      <c r="P101" s="12">
        <v>306444</v>
      </c>
      <c r="Q101" s="17" t="str">
        <f>+VLOOKUP(P101,[1]Datos!$F:$G,2,FALSE)</f>
        <v>Claudia Dolores Barcenas Guillen</v>
      </c>
      <c r="R101" s="11" t="s">
        <v>30</v>
      </c>
      <c r="S101" s="11">
        <f t="shared" si="1"/>
        <v>1</v>
      </c>
      <c r="T101" s="11">
        <f>+VLOOKUP(M101,[1]Datos!$F:$H,3,FALSE)</f>
        <v>0</v>
      </c>
      <c r="U101" s="11">
        <v>0</v>
      </c>
      <c r="V101" s="19"/>
    </row>
    <row r="102" spans="1:22" hidden="1">
      <c r="A102" s="11" t="s">
        <v>25</v>
      </c>
      <c r="B102" s="11" t="s">
        <v>26</v>
      </c>
      <c r="C102" s="11">
        <v>1</v>
      </c>
      <c r="D102" s="11" t="s">
        <v>27</v>
      </c>
      <c r="E102" s="12" t="s">
        <v>99</v>
      </c>
      <c r="F102" s="12">
        <v>2588</v>
      </c>
      <c r="G102" s="12" t="s">
        <v>172</v>
      </c>
      <c r="H102" s="14">
        <v>46276</v>
      </c>
      <c r="I102" s="14">
        <v>46276</v>
      </c>
      <c r="J102" s="15" t="str">
        <f>+VLOOKUP(K102,[1]Datos!$A:$C,3,FALSE)</f>
        <v>CENTRO ATLANTICO</v>
      </c>
      <c r="K102" s="22">
        <v>1</v>
      </c>
      <c r="L102" s="15" t="str">
        <f>+VLOOKUP(K102,[1]Datos!$A:$C,2,FALSE)</f>
        <v>FUNDACION</v>
      </c>
      <c r="M102" s="12">
        <v>314306</v>
      </c>
      <c r="N102" s="17" t="str">
        <f>+VLOOKUP(M102,[1]Datos!$F:$G,2,FALSE)</f>
        <v>Jennifer Noemi Soch Castro</v>
      </c>
      <c r="O102" s="18">
        <f>IFERROR(IF(A102="SI",VLOOKUP(R102,[1]Datos!$J$1:$K$50,2,FALSE)*C102,VLOOKUP(R102,[1]Datos!$P$1:$T$50,2,FALSE)*C102),0)</f>
        <v>1008</v>
      </c>
      <c r="P102" s="12">
        <v>315170</v>
      </c>
      <c r="Q102" s="17" t="str">
        <f>+VLOOKUP(P102,[1]Datos!$F:$G,2,FALSE)</f>
        <v>Ricardo Alexander Morales Moran</v>
      </c>
      <c r="R102" s="11" t="s">
        <v>67</v>
      </c>
      <c r="S102" s="11">
        <f t="shared" si="1"/>
        <v>1</v>
      </c>
      <c r="T102" s="11">
        <f>+VLOOKUP(M102,[1]Datos!$F:$H,3,FALSE)</f>
        <v>0</v>
      </c>
      <c r="U102" s="11">
        <v>0</v>
      </c>
      <c r="V102" s="19"/>
    </row>
    <row r="103" spans="1:22" hidden="1">
      <c r="A103" s="11" t="s">
        <v>25</v>
      </c>
      <c r="B103" s="11" t="s">
        <v>26</v>
      </c>
      <c r="C103" s="11">
        <v>3</v>
      </c>
      <c r="D103" s="11" t="s">
        <v>27</v>
      </c>
      <c r="E103" s="12" t="s">
        <v>39</v>
      </c>
      <c r="F103" s="12">
        <v>636</v>
      </c>
      <c r="G103" s="12" t="s">
        <v>173</v>
      </c>
      <c r="H103" s="13">
        <v>46277</v>
      </c>
      <c r="I103" s="14">
        <v>46277</v>
      </c>
      <c r="J103" s="15" t="str">
        <f>+VLOOKUP(K103,[1]Datos!$A:$C,3,FALSE)</f>
        <v>CENTRO ATLANTICO</v>
      </c>
      <c r="K103" s="22">
        <v>2</v>
      </c>
      <c r="L103" s="15" t="str">
        <f>+VLOOKUP(K103,[1]Datos!$A:$C,2,FALSE)</f>
        <v>ZONA 1</v>
      </c>
      <c r="M103" s="16">
        <v>90063417</v>
      </c>
      <c r="N103" s="17" t="str">
        <f>+VLOOKUP(M103,[1]Datos!$F:$G,2,FALSE)</f>
        <v>LIDIA GRICELDA DIAZ TORRES</v>
      </c>
      <c r="O103" s="18">
        <f>IFERROR(IF(A103="SI",VLOOKUP(R103,[1]Datos!$J$1:$K$50,2,FALSE)*C103,VLOOKUP(R103,[1]Datos!$P$1:$T$50,2,FALSE)*C103),0)</f>
        <v>2448</v>
      </c>
      <c r="P103" s="12">
        <v>300999</v>
      </c>
      <c r="Q103" s="17" t="str">
        <f>+VLOOKUP(P103,[1]Datos!$F:$G,2,FALSE)</f>
        <v>Victor Adolfo Barrios Monzon</v>
      </c>
      <c r="R103" s="11" t="s">
        <v>30</v>
      </c>
      <c r="S103" s="11">
        <f t="shared" si="1"/>
        <v>1</v>
      </c>
      <c r="T103" s="11">
        <f>+VLOOKUP(M103,[1]Datos!$F:$H,3,FALSE)</f>
        <v>0</v>
      </c>
      <c r="U103" s="11">
        <v>0</v>
      </c>
      <c r="V103" s="19"/>
    </row>
    <row r="104" spans="1:22" ht="15.5" hidden="1">
      <c r="A104" s="11" t="s">
        <v>25</v>
      </c>
      <c r="B104" s="11" t="s">
        <v>33</v>
      </c>
      <c r="C104" s="11">
        <v>1</v>
      </c>
      <c r="D104" s="11" t="s">
        <v>27</v>
      </c>
      <c r="E104" s="12" t="s">
        <v>77</v>
      </c>
      <c r="F104" s="12">
        <v>4395</v>
      </c>
      <c r="G104" s="21" t="s">
        <v>174</v>
      </c>
      <c r="H104" s="14">
        <v>46277</v>
      </c>
      <c r="I104" s="14">
        <v>46277</v>
      </c>
      <c r="J104" s="15" t="str">
        <f>+VLOOKUP(K104,[1]Datos!$A:$C,3,FALSE)</f>
        <v>CENTRO ATLANTICO</v>
      </c>
      <c r="K104" s="22">
        <v>103</v>
      </c>
      <c r="L104" s="15" t="str">
        <f>+VLOOKUP(K104,[1]Datos!$A:$C,2,FALSE)</f>
        <v>LOS ALAMOS</v>
      </c>
      <c r="M104" s="38">
        <v>316184</v>
      </c>
      <c r="N104" s="17" t="str">
        <f>+VLOOKUP(M104,[1]Datos!$F:$G,2,FALSE)</f>
        <v>Reymon Steve Ortiz Chavez</v>
      </c>
      <c r="O104" s="18">
        <f>IFERROR(IF(A104="SI",VLOOKUP(R104,[1]Datos!$J$1:$K$50,2,FALSE)*C104,VLOOKUP(R104,[1]Datos!$P$1:$T$50,2,FALSE)*C104),0)</f>
        <v>816</v>
      </c>
      <c r="P104" s="12">
        <v>310318</v>
      </c>
      <c r="Q104" s="17" t="str">
        <f>+VLOOKUP(P104,[1]Datos!$F:$G,2,FALSE)</f>
        <v>Yeimi Yareli Moscoso Guzman</v>
      </c>
      <c r="R104" s="11" t="s">
        <v>30</v>
      </c>
      <c r="S104" s="11">
        <f t="shared" si="1"/>
        <v>1</v>
      </c>
      <c r="T104" s="11">
        <f>+VLOOKUP(M104,[1]Datos!$F:$H,3,FALSE)</f>
        <v>0</v>
      </c>
      <c r="U104" s="11">
        <v>0</v>
      </c>
      <c r="V104" s="19"/>
    </row>
    <row r="105" spans="1:22" hidden="1">
      <c r="A105" s="11" t="s">
        <v>25</v>
      </c>
      <c r="B105" s="11" t="s">
        <v>33</v>
      </c>
      <c r="C105" s="11">
        <v>1</v>
      </c>
      <c r="D105" s="11" t="s">
        <v>27</v>
      </c>
      <c r="E105" s="12" t="s">
        <v>37</v>
      </c>
      <c r="F105" s="12">
        <v>4431</v>
      </c>
      <c r="G105" s="12" t="s">
        <v>175</v>
      </c>
      <c r="H105" s="14">
        <v>46277</v>
      </c>
      <c r="I105" s="14">
        <v>46277</v>
      </c>
      <c r="J105" s="15" t="str">
        <f>+VLOOKUP(K105,[1]Datos!$A:$C,3,FALSE)</f>
        <v>CENTRO ATLANTICO</v>
      </c>
      <c r="K105" s="22">
        <v>1</v>
      </c>
      <c r="L105" s="15" t="str">
        <f>+VLOOKUP(K105,[1]Datos!$A:$C,2,FALSE)</f>
        <v>FUNDACION</v>
      </c>
      <c r="M105" s="12">
        <v>314306</v>
      </c>
      <c r="N105" s="17" t="str">
        <f>+VLOOKUP(M105,[1]Datos!$F:$G,2,FALSE)</f>
        <v>Jennifer Noemi Soch Castro</v>
      </c>
      <c r="O105" s="18">
        <f>IFERROR(IF(A105="SI",VLOOKUP(R105,[1]Datos!$J$1:$K$50,2,FALSE)*C105,VLOOKUP(R105,[1]Datos!$P$1:$T$50,2,FALSE)*C105),0)</f>
        <v>816</v>
      </c>
      <c r="P105" s="12">
        <v>315170</v>
      </c>
      <c r="Q105" s="17" t="str">
        <f>+VLOOKUP(P105,[1]Datos!$F:$G,2,FALSE)</f>
        <v>Ricardo Alexander Morales Moran</v>
      </c>
      <c r="R105" s="11" t="s">
        <v>30</v>
      </c>
      <c r="S105" s="11">
        <f t="shared" si="1"/>
        <v>1</v>
      </c>
      <c r="T105" s="11">
        <f>+VLOOKUP(M105,[1]Datos!$F:$H,3,FALSE)</f>
        <v>0</v>
      </c>
      <c r="U105" s="11">
        <v>0</v>
      </c>
      <c r="V105" s="19"/>
    </row>
    <row r="106" spans="1:22" ht="15.5" hidden="1">
      <c r="A106" s="11" t="s">
        <v>25</v>
      </c>
      <c r="B106" s="11" t="s">
        <v>26</v>
      </c>
      <c r="C106" s="11">
        <v>3</v>
      </c>
      <c r="D106" s="11" t="s">
        <v>27</v>
      </c>
      <c r="E106" s="12" t="s">
        <v>154</v>
      </c>
      <c r="F106" s="12">
        <v>640</v>
      </c>
      <c r="G106" s="12" t="s">
        <v>176</v>
      </c>
      <c r="H106" s="13">
        <v>46278</v>
      </c>
      <c r="I106" s="14">
        <v>46278</v>
      </c>
      <c r="J106" s="15" t="str">
        <f>+VLOOKUP(K106,[1]Datos!$A:$C,3,FALSE)</f>
        <v>CENTRO ATLANTICO</v>
      </c>
      <c r="K106" s="22">
        <v>302</v>
      </c>
      <c r="L106" s="15" t="str">
        <f>+VLOOKUP(K106,[1]Datos!$A:$C,2,FALSE)</f>
        <v>CENTRANORTE</v>
      </c>
      <c r="M106" s="12">
        <v>313654</v>
      </c>
      <c r="N106" s="17" t="str">
        <f>+VLOOKUP(M106,[1]Datos!$F:$G,2,FALSE)</f>
        <v>Ericka Mabel Choc Vasquez De Boch</v>
      </c>
      <c r="O106" s="18">
        <f>IFERROR(IF(A106="SI",VLOOKUP(R106,[1]Datos!$J$1:$K$50,2,FALSE)*C106,VLOOKUP(R106,[1]Datos!$P$1:$T$50,2,FALSE)*C106),0)</f>
        <v>2448</v>
      </c>
      <c r="P106" s="33">
        <v>313441</v>
      </c>
      <c r="Q106" s="17" t="str">
        <f>+VLOOKUP(P106,[1]Datos!$F:$G,2,FALSE)</f>
        <v>Moises Dario Flores Amaya</v>
      </c>
      <c r="R106" s="11" t="s">
        <v>30</v>
      </c>
      <c r="S106" s="11">
        <f t="shared" si="1"/>
        <v>1</v>
      </c>
      <c r="T106" s="11">
        <f>+VLOOKUP(M106,[1]Datos!$F:$H,3,FALSE)</f>
        <v>0</v>
      </c>
      <c r="U106" s="11">
        <v>0</v>
      </c>
      <c r="V106" s="19"/>
    </row>
    <row r="107" spans="1:22" ht="15.5" hidden="1">
      <c r="A107" s="11" t="s">
        <v>25</v>
      </c>
      <c r="B107" s="11" t="s">
        <v>26</v>
      </c>
      <c r="C107" s="11">
        <v>1</v>
      </c>
      <c r="D107" s="11" t="s">
        <v>27</v>
      </c>
      <c r="E107" s="12" t="s">
        <v>77</v>
      </c>
      <c r="F107" s="12">
        <v>4461</v>
      </c>
      <c r="G107" s="12" t="s">
        <v>177</v>
      </c>
      <c r="H107" s="14">
        <v>46278</v>
      </c>
      <c r="I107" s="14">
        <v>46278</v>
      </c>
      <c r="J107" s="15" t="str">
        <f>+VLOOKUP(K107,[1]Datos!$A:$C,3,FALSE)</f>
        <v>CENTRO ATLANTICO</v>
      </c>
      <c r="K107" s="22">
        <v>302</v>
      </c>
      <c r="L107" s="15" t="str">
        <f>+VLOOKUP(K107,[1]Datos!$A:$C,2,FALSE)</f>
        <v>CENTRANORTE</v>
      </c>
      <c r="M107" s="12">
        <v>313654</v>
      </c>
      <c r="N107" s="17" t="str">
        <f>+VLOOKUP(M107,[1]Datos!$F:$G,2,FALSE)</f>
        <v>Ericka Mabel Choc Vasquez De Boch</v>
      </c>
      <c r="O107" s="18">
        <f>IFERROR(IF(A107="SI",VLOOKUP(R107,[1]Datos!$J$1:$K$50,2,FALSE)*C107,VLOOKUP(R107,[1]Datos!$P$1:$T$50,2,FALSE)*C107),0)</f>
        <v>1368</v>
      </c>
      <c r="P107" s="33">
        <v>313441</v>
      </c>
      <c r="Q107" s="17" t="str">
        <f>+VLOOKUP(P107,[1]Datos!$F:$G,2,FALSE)</f>
        <v>Moises Dario Flores Amaya</v>
      </c>
      <c r="R107" s="11" t="s">
        <v>41</v>
      </c>
      <c r="S107" s="11">
        <f t="shared" si="1"/>
        <v>1</v>
      </c>
      <c r="T107" s="11">
        <f>+VLOOKUP(M107,[1]Datos!$F:$H,3,FALSE)</f>
        <v>0</v>
      </c>
      <c r="U107" s="11">
        <v>0</v>
      </c>
      <c r="V107" s="19"/>
    </row>
    <row r="108" spans="1:22" hidden="1">
      <c r="A108" s="11" t="s">
        <v>25</v>
      </c>
      <c r="B108" s="11" t="s">
        <v>33</v>
      </c>
      <c r="C108" s="11">
        <v>1</v>
      </c>
      <c r="D108" s="11" t="s">
        <v>27</v>
      </c>
      <c r="E108" s="12" t="s">
        <v>37</v>
      </c>
      <c r="F108" s="12">
        <v>4407</v>
      </c>
      <c r="G108" s="12" t="s">
        <v>178</v>
      </c>
      <c r="H108" s="14">
        <v>46278</v>
      </c>
      <c r="I108" s="14">
        <v>46278</v>
      </c>
      <c r="J108" s="15" t="str">
        <f>+VLOOKUP(K108,[1]Datos!$A:$C,3,FALSE)</f>
        <v>CENTRO ATLANTICO</v>
      </c>
      <c r="K108" s="11">
        <v>103</v>
      </c>
      <c r="L108" s="15" t="str">
        <f>+VLOOKUP(K108,[1]Datos!$A:$C,2,FALSE)</f>
        <v>LOS ALAMOS</v>
      </c>
      <c r="M108" s="23">
        <v>90080572</v>
      </c>
      <c r="N108" s="17" t="str">
        <f>+VLOOKUP(M108,[1]Datos!$F:$G,2,FALSE)</f>
        <v>KEVIN SURUY</v>
      </c>
      <c r="O108" s="18">
        <f>IFERROR(IF(A108="SI",VLOOKUP(R108,[1]Datos!$J$1:$K$50,2,FALSE)*C108,VLOOKUP(R108,[1]Datos!$P$1:$T$50,2,FALSE)*C108),0)</f>
        <v>816</v>
      </c>
      <c r="P108" s="12">
        <v>305989</v>
      </c>
      <c r="Q108" s="17" t="str">
        <f>+VLOOKUP(P108,[1]Datos!$F:$G,2,FALSE)</f>
        <v>Wuilson Ottoniel Hernandez Alonzo</v>
      </c>
      <c r="R108" s="11" t="s">
        <v>30</v>
      </c>
      <c r="S108" s="11">
        <f t="shared" si="1"/>
        <v>1</v>
      </c>
      <c r="T108" s="11">
        <f>+VLOOKUP(M108,[1]Datos!$F:$H,3,FALSE)</f>
        <v>0</v>
      </c>
      <c r="U108" s="11">
        <v>0</v>
      </c>
      <c r="V108" s="19"/>
    </row>
    <row r="109" spans="1:22" hidden="1">
      <c r="A109" s="11" t="s">
        <v>25</v>
      </c>
      <c r="B109" s="11" t="s">
        <v>33</v>
      </c>
      <c r="C109" s="11">
        <v>4</v>
      </c>
      <c r="D109" s="11" t="s">
        <v>27</v>
      </c>
      <c r="E109" s="12" t="s">
        <v>45</v>
      </c>
      <c r="F109" s="12">
        <v>729</v>
      </c>
      <c r="G109" s="12" t="s">
        <v>179</v>
      </c>
      <c r="H109" s="13">
        <v>46279</v>
      </c>
      <c r="I109" s="14">
        <v>46279</v>
      </c>
      <c r="J109" s="15" t="str">
        <f>+VLOOKUP(K109,[1]Datos!$A:$C,3,FALSE)</f>
        <v>CENTRO ATLANTICO</v>
      </c>
      <c r="K109" s="22">
        <v>1</v>
      </c>
      <c r="L109" s="15" t="str">
        <f>+VLOOKUP(K109,[1]Datos!$A:$C,2,FALSE)</f>
        <v>FUNDACION</v>
      </c>
      <c r="M109" s="12">
        <v>90064272</v>
      </c>
      <c r="N109" s="17" t="str">
        <f>+VLOOKUP(M109,[1]Datos!$F:$G,2,FALSE)</f>
        <v>MARIA CELESTE DIAZ FAJARDO</v>
      </c>
      <c r="O109" s="18">
        <f>IFERROR(IF(A109="SI",VLOOKUP(R109,[1]Datos!$J$1:$K$50,2,FALSE)*C109,VLOOKUP(R109,[1]Datos!$P$1:$T$50,2,FALSE)*C109),0)</f>
        <v>3264</v>
      </c>
      <c r="P109" s="12">
        <v>315170</v>
      </c>
      <c r="Q109" s="17" t="str">
        <f>+VLOOKUP(P109,[1]Datos!$F:$G,2,FALSE)</f>
        <v>Ricardo Alexander Morales Moran</v>
      </c>
      <c r="R109" s="11" t="s">
        <v>30</v>
      </c>
      <c r="S109" s="11">
        <f t="shared" si="1"/>
        <v>1</v>
      </c>
      <c r="T109" s="11">
        <f>+VLOOKUP(M109,[1]Datos!$F:$H,3,FALSE)</f>
        <v>0</v>
      </c>
      <c r="U109" s="11">
        <v>2</v>
      </c>
      <c r="V109" s="19"/>
    </row>
    <row r="110" spans="1:22" hidden="1">
      <c r="A110" s="11" t="s">
        <v>25</v>
      </c>
      <c r="B110" s="11" t="s">
        <v>26</v>
      </c>
      <c r="C110" s="11">
        <v>3</v>
      </c>
      <c r="D110" s="11" t="s">
        <v>27</v>
      </c>
      <c r="E110" s="12" t="s">
        <v>154</v>
      </c>
      <c r="F110" s="12">
        <v>646</v>
      </c>
      <c r="G110" s="12" t="s">
        <v>180</v>
      </c>
      <c r="H110" s="14">
        <v>46279</v>
      </c>
      <c r="I110" s="14">
        <v>46279</v>
      </c>
      <c r="J110" s="15" t="str">
        <f>+VLOOKUP(K110,[1]Datos!$A:$C,3,FALSE)</f>
        <v>CENTRO ATLANTICO</v>
      </c>
      <c r="K110" s="11">
        <v>166</v>
      </c>
      <c r="L110" s="15" t="str">
        <f>+VLOOKUP(K110,[1]Datos!$A:$C,2,FALSE)</f>
        <v>23 CALLE</v>
      </c>
      <c r="M110" s="23">
        <v>90068775</v>
      </c>
      <c r="N110" s="17" t="str">
        <f>+VLOOKUP(M110,[1]Datos!$F:$G,2,FALSE)</f>
        <v>BRIAN STEVEN VALENZUELA DE PAZ</v>
      </c>
      <c r="O110" s="18">
        <f>IFERROR(IF(A110="SI",VLOOKUP(R110,[1]Datos!$J$1:$K$50,2,FALSE)*C110,VLOOKUP(R110,[1]Datos!$P$1:$T$50,2,FALSE)*C110),0)</f>
        <v>4104</v>
      </c>
      <c r="P110" s="12">
        <v>314028</v>
      </c>
      <c r="Q110" s="17" t="str">
        <f>+VLOOKUP(P110,[1]Datos!$F:$G,2,FALSE)</f>
        <v>Cindy Paola Garcia Monroy</v>
      </c>
      <c r="R110" s="11" t="s">
        <v>41</v>
      </c>
      <c r="S110" s="11">
        <f t="shared" si="1"/>
        <v>1</v>
      </c>
      <c r="T110" s="11">
        <f>+VLOOKUP(M110,[1]Datos!$F:$H,3,FALSE)</f>
        <v>0</v>
      </c>
      <c r="U110" s="11">
        <v>0</v>
      </c>
      <c r="V110" s="19"/>
    </row>
    <row r="111" spans="1:22" hidden="1">
      <c r="A111" s="11" t="s">
        <v>25</v>
      </c>
      <c r="B111" s="11" t="s">
        <v>26</v>
      </c>
      <c r="C111" s="11">
        <v>2</v>
      </c>
      <c r="D111" s="11" t="s">
        <v>27</v>
      </c>
      <c r="E111" s="12" t="s">
        <v>52</v>
      </c>
      <c r="F111" s="12">
        <v>1233</v>
      </c>
      <c r="G111" s="12" t="s">
        <v>181</v>
      </c>
      <c r="H111" s="14">
        <v>46279</v>
      </c>
      <c r="I111" s="14">
        <v>46279</v>
      </c>
      <c r="J111" s="15" t="str">
        <f>+VLOOKUP(K111,[1]Datos!$A:$C,3,FALSE)</f>
        <v>CENTRO ATLANTICO</v>
      </c>
      <c r="K111" s="29">
        <v>302</v>
      </c>
      <c r="L111" s="15" t="str">
        <f>+VLOOKUP(K111,[1]Datos!$A:$C,2,FALSE)</f>
        <v>CENTRANORTE</v>
      </c>
      <c r="M111" s="23">
        <v>316198</v>
      </c>
      <c r="N111" s="17" t="str">
        <f>+VLOOKUP(M111,[1]Datos!$F:$G,2,FALSE)</f>
        <v xml:space="preserve">Karen Mishel Gomez Meda </v>
      </c>
      <c r="O111" s="18">
        <f>IFERROR(IF(A111="SI",VLOOKUP(R111,[1]Datos!$J$1:$K$50,2,FALSE)*C111,VLOOKUP(R111,[1]Datos!$P$1:$T$50,2,FALSE)*C111),0)</f>
        <v>1632</v>
      </c>
      <c r="P111" s="12">
        <v>313441</v>
      </c>
      <c r="Q111" s="17" t="str">
        <f>+VLOOKUP(P111,[1]Datos!$F:$G,2,FALSE)</f>
        <v>Moises Dario Flores Amaya</v>
      </c>
      <c r="R111" s="11" t="s">
        <v>30</v>
      </c>
      <c r="S111" s="11">
        <f t="shared" si="1"/>
        <v>1</v>
      </c>
      <c r="T111" s="11">
        <f>+VLOOKUP(M111,[1]Datos!$F:$H,3,FALSE)</f>
        <v>0</v>
      </c>
      <c r="U111" s="11">
        <v>0</v>
      </c>
      <c r="V111" s="19"/>
    </row>
    <row r="112" spans="1:22" hidden="1">
      <c r="A112" s="11" t="s">
        <v>25</v>
      </c>
      <c r="B112" s="11" t="s">
        <v>33</v>
      </c>
      <c r="C112" s="11">
        <v>1</v>
      </c>
      <c r="D112" s="11" t="s">
        <v>27</v>
      </c>
      <c r="E112" s="12" t="s">
        <v>37</v>
      </c>
      <c r="F112" s="12">
        <v>4396</v>
      </c>
      <c r="G112" s="12" t="s">
        <v>182</v>
      </c>
      <c r="H112" s="14">
        <v>46279</v>
      </c>
      <c r="I112" s="14">
        <v>46279</v>
      </c>
      <c r="J112" s="15" t="str">
        <f>+VLOOKUP(K112,[1]Datos!$A:$C,3,FALSE)</f>
        <v>CENTRO ATLANTICO</v>
      </c>
      <c r="K112" s="29">
        <v>103</v>
      </c>
      <c r="L112" s="15" t="str">
        <f>+VLOOKUP(K112,[1]Datos!$A:$C,2,FALSE)</f>
        <v>LOS ALAMOS</v>
      </c>
      <c r="M112" s="23">
        <v>90028127</v>
      </c>
      <c r="N112" s="17" t="str">
        <f>+VLOOKUP(M112,[1]Datos!$F:$G,2,FALSE)</f>
        <v xml:space="preserve">Lesly Mishel Herrera Maldonado </v>
      </c>
      <c r="O112" s="18">
        <f>IFERROR(IF(A112="SI",VLOOKUP(R112,[1]Datos!$J$1:$K$50,2,FALSE)*C112,VLOOKUP(R112,[1]Datos!$P$1:$T$50,2,FALSE)*C112),0)</f>
        <v>816</v>
      </c>
      <c r="P112" s="12">
        <v>305989</v>
      </c>
      <c r="Q112" s="17" t="str">
        <f>+VLOOKUP(P112,[1]Datos!$F:$G,2,FALSE)</f>
        <v>Wuilson Ottoniel Hernandez Alonzo</v>
      </c>
      <c r="R112" s="11" t="s">
        <v>30</v>
      </c>
      <c r="S112" s="11">
        <f t="shared" si="1"/>
        <v>1</v>
      </c>
      <c r="T112" s="11">
        <f>+VLOOKUP(M112,[1]Datos!$F:$H,3,FALSE)</f>
        <v>0</v>
      </c>
      <c r="U112" s="11">
        <v>0</v>
      </c>
      <c r="V112" s="19"/>
    </row>
    <row r="113" spans="1:23" hidden="1">
      <c r="A113" s="11" t="s">
        <v>25</v>
      </c>
      <c r="B113" s="11" t="s">
        <v>26</v>
      </c>
      <c r="C113" s="11">
        <v>4</v>
      </c>
      <c r="D113" s="11" t="s">
        <v>27</v>
      </c>
      <c r="E113" s="12" t="s">
        <v>45</v>
      </c>
      <c r="F113" s="12">
        <v>742</v>
      </c>
      <c r="G113" s="12" t="s">
        <v>183</v>
      </c>
      <c r="H113" s="14">
        <v>46279</v>
      </c>
      <c r="I113" s="14">
        <v>46279</v>
      </c>
      <c r="J113" s="15" t="str">
        <f>+VLOOKUP(K113,[1]Datos!$A:$C,3,FALSE)</f>
        <v>CENTRO ATLANTICO</v>
      </c>
      <c r="K113" s="22">
        <v>134</v>
      </c>
      <c r="L113" s="15" t="str">
        <f>+VLOOKUP(K113,[1]Datos!$A:$C,2,FALSE)</f>
        <v>GUASTATOYA</v>
      </c>
      <c r="M113" s="17">
        <v>90084545</v>
      </c>
      <c r="N113" s="17" t="str">
        <f>+VLOOKUP(M113,[1]Datos!$F:$G,2,FALSE)</f>
        <v>LIMNY ABIGAIL MORALES GONZALEZ</v>
      </c>
      <c r="O113" s="18">
        <f>IFERROR(IF(A113="SI",VLOOKUP(R113,[1]Datos!$J$1:$K$50,2,FALSE)*C113,VLOOKUP(R113,[1]Datos!$P$1:$T$50,2,FALSE)*C113),0)</f>
        <v>3264</v>
      </c>
      <c r="P113" s="12">
        <v>315408</v>
      </c>
      <c r="Q113" s="17" t="str">
        <f>+VLOOKUP(P113,[1]Datos!$F:$G,2,FALSE)</f>
        <v>Sandy Suset Morales Barrientos</v>
      </c>
      <c r="R113" s="11" t="s">
        <v>30</v>
      </c>
      <c r="S113" s="11">
        <f t="shared" si="1"/>
        <v>1</v>
      </c>
      <c r="T113" s="11">
        <f>+VLOOKUP(M113,[1]Datos!$F:$H,3,FALSE)</f>
        <v>0</v>
      </c>
      <c r="U113" s="11">
        <v>0</v>
      </c>
      <c r="V113" s="19"/>
    </row>
    <row r="114" spans="1:23" hidden="1">
      <c r="A114" s="11" t="s">
        <v>25</v>
      </c>
      <c r="B114" s="11" t="s">
        <v>26</v>
      </c>
      <c r="C114" s="11">
        <v>4</v>
      </c>
      <c r="D114" s="11" t="s">
        <v>73</v>
      </c>
      <c r="E114" s="17" t="s">
        <v>45</v>
      </c>
      <c r="F114" s="17">
        <v>738</v>
      </c>
      <c r="G114" s="17" t="s">
        <v>184</v>
      </c>
      <c r="H114" s="14">
        <v>46279</v>
      </c>
      <c r="I114" s="14">
        <v>46279</v>
      </c>
      <c r="J114" s="15" t="str">
        <f>+VLOOKUP(K114,[1]Datos!$A:$C,3,FALSE)</f>
        <v>CENTRO ATLANTICO</v>
      </c>
      <c r="K114" s="22">
        <v>7</v>
      </c>
      <c r="L114" s="15" t="str">
        <f>+VLOOKUP(K114,[1]Datos!$A:$C,2,FALSE)</f>
        <v>ZONA 8</v>
      </c>
      <c r="M114" s="17">
        <v>90015672</v>
      </c>
      <c r="N114" s="17" t="str">
        <f>+VLOOKUP(M114,[1]Datos!$F:$G,2,FALSE)</f>
        <v>Erick Geovanny Castellanos Perez</v>
      </c>
      <c r="O114" s="18">
        <f>IFERROR(IF(A114="SI",VLOOKUP(R114,[1]Datos!$J$1:$K$50,2,FALSE)*C114,VLOOKUP(R114,[1]Datos!$P$1:$T$50,2,FALSE)*C114),0)</f>
        <v>3264</v>
      </c>
      <c r="P114" s="17">
        <v>90023863</v>
      </c>
      <c r="Q114" s="17" t="str">
        <f>+VLOOKUP(P114,[1]Datos!$F:$G,2,FALSE)</f>
        <v>Sandra Patricia Luna Rodriguez Miramontes</v>
      </c>
      <c r="R114" s="11" t="s">
        <v>30</v>
      </c>
      <c r="S114" s="11">
        <f t="shared" si="1"/>
        <v>1</v>
      </c>
      <c r="T114" s="11">
        <f>+VLOOKUP(M114,[1]Datos!$F:$H,3,FALSE)</f>
        <v>0</v>
      </c>
      <c r="U114" s="11">
        <v>2</v>
      </c>
      <c r="V114" s="19"/>
    </row>
    <row r="115" spans="1:23" ht="16" hidden="1">
      <c r="A115" s="11" t="s">
        <v>25</v>
      </c>
      <c r="B115" s="11" t="s">
        <v>26</v>
      </c>
      <c r="C115" s="11">
        <v>2</v>
      </c>
      <c r="D115" s="11" t="s">
        <v>27</v>
      </c>
      <c r="E115" s="12" t="s">
        <v>185</v>
      </c>
      <c r="F115" s="12">
        <v>1</v>
      </c>
      <c r="G115" s="12" t="s">
        <v>186</v>
      </c>
      <c r="H115" s="14">
        <v>46279</v>
      </c>
      <c r="I115" s="14">
        <v>46279</v>
      </c>
      <c r="J115" s="15" t="str">
        <f>+VLOOKUP(K115,[1]Datos!$A:$C,3,FALSE)</f>
        <v>REFORMA</v>
      </c>
      <c r="K115" s="22">
        <v>74</v>
      </c>
      <c r="L115" s="15" t="str">
        <f>+VLOOKUP(K115,[1]Datos!$A:$C,2,FALSE)</f>
        <v>CALZADA SAN JUAN</v>
      </c>
      <c r="M115" s="36">
        <v>90084011</v>
      </c>
      <c r="N115" s="17" t="str">
        <f>+VLOOKUP(M115,[1]Datos!$F:$G,2,FALSE)</f>
        <v>KATHERYN MARIELA HERRERA</v>
      </c>
      <c r="O115" s="18">
        <f>IFERROR(IF(A115="SI",VLOOKUP(R115,[1]Datos!$J$1:$K$50,2,FALSE)*C115,VLOOKUP(R115,[1]Datos!$P$1:$T$50,2,FALSE)*C115),0)</f>
        <v>4104</v>
      </c>
      <c r="P115" s="44">
        <v>313743</v>
      </c>
      <c r="Q115" s="17" t="str">
        <f>+VLOOKUP(P115,[1]Datos!$F:$G,2,FALSE)</f>
        <v>Hugo Rolando Ruiz Alquijay</v>
      </c>
      <c r="R115" s="11" t="s">
        <v>138</v>
      </c>
      <c r="S115" s="11">
        <f t="shared" si="1"/>
        <v>1</v>
      </c>
      <c r="T115" s="11">
        <f>+VLOOKUP(M115,[1]Datos!$F:$H,3,FALSE)</f>
        <v>0</v>
      </c>
      <c r="U115" s="11">
        <v>0</v>
      </c>
      <c r="V115" s="19"/>
    </row>
    <row r="116" spans="1:23" hidden="1">
      <c r="A116" s="11" t="s">
        <v>25</v>
      </c>
      <c r="B116" s="11" t="s">
        <v>26</v>
      </c>
      <c r="C116" s="11">
        <v>3</v>
      </c>
      <c r="D116" s="11" t="s">
        <v>27</v>
      </c>
      <c r="E116" s="12" t="s">
        <v>39</v>
      </c>
      <c r="F116" s="12">
        <v>641</v>
      </c>
      <c r="G116" s="21" t="s">
        <v>187</v>
      </c>
      <c r="H116" s="14">
        <v>46279</v>
      </c>
      <c r="I116" s="14">
        <v>46279</v>
      </c>
      <c r="J116" s="15" t="str">
        <f>+VLOOKUP(K116,[1]Datos!$A:$C,3,FALSE)</f>
        <v>CENTRO ATLANTICO</v>
      </c>
      <c r="K116" s="22">
        <v>2</v>
      </c>
      <c r="L116" s="15" t="str">
        <f>+VLOOKUP(K116,[1]Datos!$A:$C,2,FALSE)</f>
        <v>ZONA 1</v>
      </c>
      <c r="M116" s="16">
        <v>90063417</v>
      </c>
      <c r="N116" s="17" t="str">
        <f>+VLOOKUP(M116,[1]Datos!$F:$G,2,FALSE)</f>
        <v>LIDIA GRICELDA DIAZ TORRES</v>
      </c>
      <c r="O116" s="18">
        <f>IFERROR(IF(A116="SI",VLOOKUP(R116,[1]Datos!$J$1:$K$50,2,FALSE)*C116,VLOOKUP(R116,[1]Datos!$P$1:$T$50,2,FALSE)*C116),0)</f>
        <v>2448</v>
      </c>
      <c r="P116" s="12">
        <v>300999</v>
      </c>
      <c r="Q116" s="17" t="str">
        <f>+VLOOKUP(P116,[1]Datos!$F:$G,2,FALSE)</f>
        <v>Victor Adolfo Barrios Monzon</v>
      </c>
      <c r="R116" s="11" t="s">
        <v>30</v>
      </c>
      <c r="S116" s="11">
        <f t="shared" si="1"/>
        <v>1</v>
      </c>
      <c r="T116" s="11">
        <f>+VLOOKUP(M116,[1]Datos!$F:$H,3,FALSE)</f>
        <v>0</v>
      </c>
      <c r="U116" s="11">
        <v>0</v>
      </c>
      <c r="V116" s="19"/>
    </row>
    <row r="117" spans="1:23" hidden="1">
      <c r="A117" s="11" t="s">
        <v>25</v>
      </c>
      <c r="B117" s="11" t="s">
        <v>33</v>
      </c>
      <c r="C117" s="11">
        <v>1</v>
      </c>
      <c r="D117" s="11" t="s">
        <v>27</v>
      </c>
      <c r="E117" s="12" t="s">
        <v>37</v>
      </c>
      <c r="F117" s="12">
        <v>4498</v>
      </c>
      <c r="G117" s="12" t="s">
        <v>188</v>
      </c>
      <c r="H117" s="14">
        <v>46279</v>
      </c>
      <c r="I117" s="14">
        <v>46279</v>
      </c>
      <c r="J117" s="15" t="str">
        <f>+VLOOKUP(K117,[1]Datos!$A:$C,3,FALSE)</f>
        <v>CENTRO ATLANTICO</v>
      </c>
      <c r="K117" s="22">
        <v>1</v>
      </c>
      <c r="L117" s="15" t="str">
        <f>+VLOOKUP(K117,[1]Datos!$A:$C,2,FALSE)</f>
        <v>FUNDACION</v>
      </c>
      <c r="M117" s="12">
        <v>90065408</v>
      </c>
      <c r="N117" s="17" t="str">
        <f>+VLOOKUP(M117,[1]Datos!$F:$G,2,FALSE)</f>
        <v>OLGA NINETH GARCIA</v>
      </c>
      <c r="O117" s="18">
        <f>IFERROR(IF(A117="SI",VLOOKUP(R117,[1]Datos!$J$1:$K$50,2,FALSE)*C117,VLOOKUP(R117,[1]Datos!$P$1:$T$50,2,FALSE)*C117),0)</f>
        <v>816</v>
      </c>
      <c r="P117" s="12">
        <v>315170</v>
      </c>
      <c r="Q117" s="17" t="str">
        <f>+VLOOKUP(P117,[1]Datos!$F:$G,2,FALSE)</f>
        <v>Ricardo Alexander Morales Moran</v>
      </c>
      <c r="R117" s="11" t="s">
        <v>30</v>
      </c>
      <c r="S117" s="11">
        <f t="shared" si="1"/>
        <v>1</v>
      </c>
      <c r="T117" s="11">
        <f>+VLOOKUP(M117,[1]Datos!$F:$H,3,FALSE)</f>
        <v>0</v>
      </c>
      <c r="U117" s="11">
        <v>0</v>
      </c>
      <c r="V117" s="19"/>
    </row>
    <row r="118" spans="1:23" hidden="1">
      <c r="A118" s="11" t="s">
        <v>25</v>
      </c>
      <c r="B118" s="11" t="s">
        <v>33</v>
      </c>
      <c r="C118" s="11">
        <v>4</v>
      </c>
      <c r="D118" s="11" t="s">
        <v>27</v>
      </c>
      <c r="E118" s="12" t="s">
        <v>45</v>
      </c>
      <c r="F118" s="12">
        <v>754</v>
      </c>
      <c r="G118" s="12" t="s">
        <v>189</v>
      </c>
      <c r="H118" s="14">
        <v>46279</v>
      </c>
      <c r="I118" s="14">
        <v>46279</v>
      </c>
      <c r="J118" s="15" t="str">
        <f>+VLOOKUP(K118,[1]Datos!$A:$C,3,FALSE)</f>
        <v>CENTRO ATLANTICO</v>
      </c>
      <c r="K118" s="22">
        <v>2</v>
      </c>
      <c r="L118" s="15" t="str">
        <f>+VLOOKUP(K118,[1]Datos!$A:$C,2,FALSE)</f>
        <v>ZONA 1</v>
      </c>
      <c r="M118" s="16">
        <v>309255</v>
      </c>
      <c r="N118" s="17" t="str">
        <f>+VLOOKUP(M118,[1]Datos!$F:$G,2,FALSE)</f>
        <v>Katerin Mariela Miranda Perez</v>
      </c>
      <c r="O118" s="18">
        <f>IFERROR(IF(A118="SI",VLOOKUP(R118,[1]Datos!$J$1:$K$50,2,FALSE)*C118,VLOOKUP(R118,[1]Datos!$P$1:$T$50,2,FALSE)*C118),0)</f>
        <v>5472</v>
      </c>
      <c r="P118" s="12">
        <v>300999</v>
      </c>
      <c r="Q118" s="17" t="str">
        <f>+VLOOKUP(P118,[1]Datos!$F:$G,2,FALSE)</f>
        <v>Victor Adolfo Barrios Monzon</v>
      </c>
      <c r="R118" s="11" t="s">
        <v>41</v>
      </c>
      <c r="S118" s="11">
        <f t="shared" si="1"/>
        <v>1</v>
      </c>
      <c r="T118" s="11">
        <f>+VLOOKUP(M118,[1]Datos!$F:$H,3,FALSE)</f>
        <v>0</v>
      </c>
      <c r="U118" s="11">
        <v>0</v>
      </c>
      <c r="V118" s="19"/>
    </row>
    <row r="119" spans="1:23" hidden="1">
      <c r="A119" s="11" t="s">
        <v>25</v>
      </c>
      <c r="B119" s="11" t="s">
        <v>33</v>
      </c>
      <c r="C119" s="11">
        <v>2</v>
      </c>
      <c r="D119" s="11" t="s">
        <v>27</v>
      </c>
      <c r="E119" s="12" t="s">
        <v>163</v>
      </c>
      <c r="F119" s="12">
        <v>1249</v>
      </c>
      <c r="G119" s="12" t="s">
        <v>190</v>
      </c>
      <c r="H119" s="14">
        <v>46279</v>
      </c>
      <c r="I119" s="14">
        <v>46279</v>
      </c>
      <c r="J119" s="15" t="str">
        <f>+VLOOKUP(K119,[1]Datos!$A:$C,3,FALSE)</f>
        <v>CENTRO ATLANTICO</v>
      </c>
      <c r="K119" s="22">
        <v>148</v>
      </c>
      <c r="L119" s="15" t="str">
        <f>+VLOOKUP(K119,[1]Datos!$A:$C,2,FALSE)</f>
        <v>SANARATE</v>
      </c>
      <c r="M119" s="23">
        <v>310510</v>
      </c>
      <c r="N119" s="17" t="str">
        <f>+VLOOKUP(M119,[1]Datos!$F:$G,2,FALSE)</f>
        <v>Nancy Paola Morales Rodriguez De Morales</v>
      </c>
      <c r="O119" s="18">
        <f>IFERROR(IF(A119="SI",VLOOKUP(R119,[1]Datos!$J$1:$K$50,2,FALSE)*C119,VLOOKUP(R119,[1]Datos!$P$1:$T$50,2,FALSE)*C119),0)</f>
        <v>1632</v>
      </c>
      <c r="P119" s="12">
        <v>306444</v>
      </c>
      <c r="Q119" s="17" t="str">
        <f>+VLOOKUP(P119,[1]Datos!$F:$G,2,FALSE)</f>
        <v>Claudia Dolores Barcenas Guillen</v>
      </c>
      <c r="R119" s="11" t="s">
        <v>30</v>
      </c>
      <c r="S119" s="11">
        <f t="shared" si="1"/>
        <v>1</v>
      </c>
      <c r="T119" s="11">
        <f>+VLOOKUP(M119,[1]Datos!$F:$H,3,FALSE)</f>
        <v>0</v>
      </c>
      <c r="U119" s="11">
        <v>0</v>
      </c>
      <c r="V119" s="19"/>
    </row>
    <row r="120" spans="1:23" hidden="1">
      <c r="A120" s="11" t="s">
        <v>25</v>
      </c>
      <c r="B120" s="11" t="s">
        <v>26</v>
      </c>
      <c r="C120" s="11">
        <v>4</v>
      </c>
      <c r="D120" s="11" t="s">
        <v>27</v>
      </c>
      <c r="E120" s="12" t="s">
        <v>58</v>
      </c>
      <c r="F120" s="12">
        <v>753</v>
      </c>
      <c r="G120" s="12" t="s">
        <v>191</v>
      </c>
      <c r="H120" s="14">
        <v>46279</v>
      </c>
      <c r="I120" s="14">
        <v>46279</v>
      </c>
      <c r="J120" s="15" t="str">
        <f>+VLOOKUP(K120,[1]Datos!$A:$C,3,FALSE)</f>
        <v>CENTRO ATLANTICO</v>
      </c>
      <c r="K120" s="22">
        <v>19</v>
      </c>
      <c r="L120" s="15" t="str">
        <f>+VLOOKUP(K120,[1]Datos!$A:$C,2,FALSE)</f>
        <v>MORAZAN ZONA 2</v>
      </c>
      <c r="M120" s="12">
        <v>90060071</v>
      </c>
      <c r="N120" s="17" t="str">
        <f>+VLOOKUP(M120,[1]Datos!$F:$G,2,FALSE)</f>
        <v>Maria Galilea Pascual Lic</v>
      </c>
      <c r="O120" s="18">
        <f>IFERROR(IF(A120="SI",VLOOKUP(R120,[1]Datos!$J$1:$K$50,2,FALSE)*C120,VLOOKUP(R120,[1]Datos!$P$1:$T$50,2,FALSE)*C120),0)</f>
        <v>10944</v>
      </c>
      <c r="P120" s="12">
        <v>313528</v>
      </c>
      <c r="Q120" s="17" t="str">
        <f>+VLOOKUP(P120,[1]Datos!$F:$G,2,FALSE)</f>
        <v>Amairani Lilibeth Escobar Maquin</v>
      </c>
      <c r="R120" s="11" t="s">
        <v>60</v>
      </c>
      <c r="S120" s="11">
        <f t="shared" si="1"/>
        <v>1</v>
      </c>
      <c r="T120" s="11">
        <f>+VLOOKUP(M120,[1]Datos!$F:$H,3,FALSE)</f>
        <v>0</v>
      </c>
      <c r="U120" s="11">
        <v>2</v>
      </c>
      <c r="V120" s="19"/>
    </row>
    <row r="121" spans="1:23" hidden="1">
      <c r="A121" s="11" t="s">
        <v>25</v>
      </c>
      <c r="B121" s="11" t="s">
        <v>26</v>
      </c>
      <c r="C121" s="11">
        <v>2</v>
      </c>
      <c r="D121" s="11" t="s">
        <v>27</v>
      </c>
      <c r="E121" s="12" t="s">
        <v>163</v>
      </c>
      <c r="F121" s="12">
        <v>1250</v>
      </c>
      <c r="G121" s="12" t="s">
        <v>192</v>
      </c>
      <c r="H121" s="14">
        <v>46279</v>
      </c>
      <c r="I121" s="14">
        <v>46279</v>
      </c>
      <c r="J121" s="15" t="str">
        <f>+VLOOKUP(K121,[1]Datos!$A:$C,3,FALSE)</f>
        <v>CENTRO ATLANTICO</v>
      </c>
      <c r="K121" s="22">
        <v>19</v>
      </c>
      <c r="L121" s="15" t="str">
        <f>+VLOOKUP(K121,[1]Datos!$A:$C,2,FALSE)</f>
        <v>MORAZAN ZONA 2</v>
      </c>
      <c r="M121" s="23">
        <v>90063535</v>
      </c>
      <c r="N121" s="17" t="str">
        <f>+VLOOKUP(M121,[1]Datos!$F:$G,2,FALSE)</f>
        <v>NATALIA MARCELA CORTEZ</v>
      </c>
      <c r="O121" s="18">
        <f>IFERROR(IF(A121="SI",VLOOKUP(R121,[1]Datos!$J$1:$K$50,2,FALSE)*C121,VLOOKUP(R121,[1]Datos!$P$1:$T$50,2,FALSE)*C121),0)</f>
        <v>5472</v>
      </c>
      <c r="P121" s="12">
        <v>313528</v>
      </c>
      <c r="Q121" s="17" t="str">
        <f>+VLOOKUP(P121,[1]Datos!$F:$G,2,FALSE)</f>
        <v>Amairani Lilibeth Escobar Maquin</v>
      </c>
      <c r="R121" s="11" t="s">
        <v>60</v>
      </c>
      <c r="S121" s="11">
        <f t="shared" si="1"/>
        <v>1</v>
      </c>
      <c r="T121" s="11">
        <f>+VLOOKUP(M121,[1]Datos!$F:$H,3,FALSE)</f>
        <v>0</v>
      </c>
      <c r="U121" s="11">
        <v>0</v>
      </c>
      <c r="V121" s="19"/>
    </row>
    <row r="122" spans="1:23" hidden="1">
      <c r="A122" s="11" t="s">
        <v>25</v>
      </c>
      <c r="B122" s="11" t="s">
        <v>33</v>
      </c>
      <c r="C122" s="11">
        <v>4</v>
      </c>
      <c r="D122" s="11" t="s">
        <v>27</v>
      </c>
      <c r="E122" s="12" t="s">
        <v>58</v>
      </c>
      <c r="F122" s="12">
        <v>748</v>
      </c>
      <c r="G122" s="12" t="s">
        <v>193</v>
      </c>
      <c r="H122" s="14">
        <v>46279</v>
      </c>
      <c r="I122" s="14">
        <v>46279</v>
      </c>
      <c r="J122" s="15" t="str">
        <f>+VLOOKUP(K122,[1]Datos!$A:$C,3,FALSE)</f>
        <v>CENTRO ATLANTICO</v>
      </c>
      <c r="K122" s="22">
        <v>148</v>
      </c>
      <c r="L122" s="15" t="str">
        <f>+VLOOKUP(K122,[1]Datos!$A:$C,2,FALSE)</f>
        <v>SANARATE</v>
      </c>
      <c r="M122" s="43">
        <v>90085033</v>
      </c>
      <c r="N122" s="17" t="str">
        <f>+VLOOKUP(M122,[1]Datos!$F:$G,2,FALSE)</f>
        <v>MONICA ABIGAIL HERNANDEZ ALONZO</v>
      </c>
      <c r="O122" s="18">
        <f>IFERROR(IF(A122="SI",VLOOKUP(R122,[1]Datos!$J$1:$K$50,2,FALSE)*C122,VLOOKUP(R122,[1]Datos!$P$1:$T$50,2,FALSE)*C122),0)</f>
        <v>3264</v>
      </c>
      <c r="P122" s="12">
        <v>301809</v>
      </c>
      <c r="Q122" s="17" t="str">
        <f>+VLOOKUP(P122,[1]Datos!$F:$G,2,FALSE)</f>
        <v>Claudia Eugenia Chavarria Ramos</v>
      </c>
      <c r="R122" s="11" t="s">
        <v>30</v>
      </c>
      <c r="S122" s="11">
        <f t="shared" si="1"/>
        <v>1</v>
      </c>
      <c r="T122" s="11">
        <f>+VLOOKUP(M122,[1]Datos!$F:$H,3,FALSE)</f>
        <v>0</v>
      </c>
      <c r="U122" s="11">
        <v>0</v>
      </c>
      <c r="V122" s="19"/>
    </row>
    <row r="123" spans="1:23" hidden="1">
      <c r="A123" s="11" t="s">
        <v>25</v>
      </c>
      <c r="B123" s="11" t="s">
        <v>26</v>
      </c>
      <c r="C123" s="11">
        <v>1</v>
      </c>
      <c r="D123" s="11" t="s">
        <v>27</v>
      </c>
      <c r="E123" s="12" t="s">
        <v>77</v>
      </c>
      <c r="F123" s="12">
        <v>4483</v>
      </c>
      <c r="G123" s="12" t="s">
        <v>194</v>
      </c>
      <c r="H123" s="14">
        <v>46279</v>
      </c>
      <c r="I123" s="14">
        <v>46279</v>
      </c>
      <c r="J123" s="15" t="str">
        <f>+VLOOKUP(K123,[1]Datos!$A:$C,3,FALSE)</f>
        <v>CENTRO ATLANTICO</v>
      </c>
      <c r="K123" s="11">
        <v>87</v>
      </c>
      <c r="L123" s="15" t="str">
        <f>+VLOOKUP(K123,[1]Datos!$A:$C,2,FALSE)</f>
        <v>EL NARANJO</v>
      </c>
      <c r="M123" s="17">
        <v>310734</v>
      </c>
      <c r="N123" s="17" t="str">
        <f>+VLOOKUP(M123,[1]Datos!$F:$G,2,FALSE)</f>
        <v>Lupita Genesis Granados Valenzuela</v>
      </c>
      <c r="O123" s="18">
        <f>IFERROR(IF(A123="SI",VLOOKUP(R123,[1]Datos!$J$1:$K$50,2,FALSE)*C123,VLOOKUP(R123,[1]Datos!$P$1:$T$50,2,FALSE)*C123),0)</f>
        <v>2736</v>
      </c>
      <c r="P123" s="12">
        <v>310538</v>
      </c>
      <c r="Q123" s="17" t="str">
        <f>+VLOOKUP(P123,[1]Datos!$F:$G,2,FALSE)</f>
        <v>Kevin Orlando Ventura Lopez</v>
      </c>
      <c r="R123" s="11" t="s">
        <v>60</v>
      </c>
      <c r="S123" s="11">
        <f t="shared" si="1"/>
        <v>1</v>
      </c>
      <c r="T123" s="11">
        <f>+VLOOKUP(M123,[1]Datos!$F:$H,3,FALSE)</f>
        <v>0</v>
      </c>
      <c r="U123" s="11">
        <v>0</v>
      </c>
      <c r="V123" s="19"/>
    </row>
    <row r="124" spans="1:23" hidden="1">
      <c r="A124" s="11" t="s">
        <v>25</v>
      </c>
      <c r="B124" s="11" t="s">
        <v>33</v>
      </c>
      <c r="C124" s="11">
        <v>1</v>
      </c>
      <c r="D124" s="11" t="s">
        <v>27</v>
      </c>
      <c r="E124" s="12" t="s">
        <v>99</v>
      </c>
      <c r="F124" s="12">
        <v>2590</v>
      </c>
      <c r="G124" s="12" t="s">
        <v>195</v>
      </c>
      <c r="H124" s="14">
        <v>46279</v>
      </c>
      <c r="I124" s="14">
        <v>46279</v>
      </c>
      <c r="J124" s="15" t="str">
        <f>+VLOOKUP(K124,[1]Datos!$A:$C,3,FALSE)</f>
        <v>CENTRO ATLANTICO</v>
      </c>
      <c r="K124" s="22">
        <v>103</v>
      </c>
      <c r="L124" s="15" t="str">
        <f>+VLOOKUP(K124,[1]Datos!$A:$C,2,FALSE)</f>
        <v>LOS ALAMOS</v>
      </c>
      <c r="M124" s="23">
        <v>90080572</v>
      </c>
      <c r="N124" s="17" t="str">
        <f>+VLOOKUP(M124,[1]Datos!$F:$G,2,FALSE)</f>
        <v>KEVIN SURUY</v>
      </c>
      <c r="O124" s="18">
        <f>IFERROR(IF(A124="SI",VLOOKUP(R124,[1]Datos!$J$1:$K$50,2,FALSE)*C124,VLOOKUP(R124,[1]Datos!$P$1:$T$50,2,FALSE)*C124),0)</f>
        <v>1008</v>
      </c>
      <c r="P124" s="12">
        <v>305989</v>
      </c>
      <c r="Q124" s="17" t="str">
        <f>+VLOOKUP(P124,[1]Datos!$F:$G,2,FALSE)</f>
        <v>Wuilson Ottoniel Hernandez Alonzo</v>
      </c>
      <c r="R124" s="11" t="s">
        <v>67</v>
      </c>
      <c r="S124" s="11">
        <f t="shared" si="1"/>
        <v>1</v>
      </c>
      <c r="T124" s="11">
        <f>+VLOOKUP(M124,[1]Datos!$F:$H,3,FALSE)</f>
        <v>0</v>
      </c>
      <c r="U124" s="11">
        <v>0</v>
      </c>
      <c r="V124" s="19"/>
    </row>
    <row r="125" spans="1:23" hidden="1">
      <c r="A125" s="11" t="s">
        <v>25</v>
      </c>
      <c r="B125" s="11" t="s">
        <v>26</v>
      </c>
      <c r="C125" s="11">
        <v>1</v>
      </c>
      <c r="D125" s="11" t="s">
        <v>27</v>
      </c>
      <c r="E125" s="12" t="s">
        <v>37</v>
      </c>
      <c r="F125" s="12">
        <v>4505</v>
      </c>
      <c r="G125" s="12" t="s">
        <v>196</v>
      </c>
      <c r="H125" s="45">
        <v>46280</v>
      </c>
      <c r="I125" s="46">
        <v>46280</v>
      </c>
      <c r="J125" s="15" t="str">
        <f>+VLOOKUP(K125,[1]Datos!$A:$C,3,FALSE)</f>
        <v>CENTRO ATLANTICO</v>
      </c>
      <c r="K125" s="22">
        <v>302</v>
      </c>
      <c r="L125" s="15" t="str">
        <f>+VLOOKUP(K125,[1]Datos!$A:$C,2,FALSE)</f>
        <v>CENTRANORTE</v>
      </c>
      <c r="M125" s="23">
        <v>316198</v>
      </c>
      <c r="N125" s="17" t="str">
        <f>+VLOOKUP(M125,[1]Datos!$F:$G,2,FALSE)</f>
        <v xml:space="preserve">Karen Mishel Gomez Meda </v>
      </c>
      <c r="O125" s="18">
        <f>IFERROR(IF(A125="SI",VLOOKUP(R125,[1]Datos!$J$1:$K$50,2,FALSE)*C125,VLOOKUP(R125,[1]Datos!$P$1:$T$50,2,FALSE)*C125),0)</f>
        <v>816</v>
      </c>
      <c r="P125" s="12">
        <v>314495</v>
      </c>
      <c r="Q125" s="17" t="str">
        <f>+VLOOKUP(P125,[1]Datos!$F:$G,2,FALSE)</f>
        <v>Bertha Lidia Morataya Diaz</v>
      </c>
      <c r="R125" s="11" t="s">
        <v>30</v>
      </c>
      <c r="S125" s="11">
        <f t="shared" si="1"/>
        <v>1</v>
      </c>
      <c r="T125" s="11">
        <f>+VLOOKUP(M125,[1]Datos!$F:$H,3,FALSE)</f>
        <v>0</v>
      </c>
      <c r="U125" s="11">
        <v>0</v>
      </c>
      <c r="V125" s="19"/>
    </row>
    <row r="126" spans="1:23">
      <c r="A126" s="11" t="s">
        <v>25</v>
      </c>
      <c r="B126" s="11" t="s">
        <v>33</v>
      </c>
      <c r="C126" s="11">
        <v>1</v>
      </c>
      <c r="D126" s="11" t="s">
        <v>27</v>
      </c>
      <c r="E126" s="12" t="s">
        <v>28</v>
      </c>
      <c r="F126" s="12">
        <v>4522</v>
      </c>
      <c r="G126" s="12" t="s">
        <v>66</v>
      </c>
      <c r="H126" s="45">
        <v>46281</v>
      </c>
      <c r="I126" s="46">
        <v>46281</v>
      </c>
      <c r="J126" s="15" t="str">
        <f>+VLOOKUP(K126,[1]Datos!$A:$C,3,FALSE)</f>
        <v>CENTRO ATLANTICO</v>
      </c>
      <c r="K126" s="15">
        <v>98</v>
      </c>
      <c r="L126" s="15" t="str">
        <f>+VLOOKUP(K126,[1]Datos!$A:$C,2,FALSE)</f>
        <v>CALLE MARTI</v>
      </c>
      <c r="M126" s="17">
        <v>316322</v>
      </c>
      <c r="N126" s="17" t="str">
        <f>+VLOOKUP(M126,[1]Datos!$F:$G,2,FALSE)</f>
        <v xml:space="preserve">Gabriela Janet Crisostomo Xuya </v>
      </c>
      <c r="O126" s="18">
        <f>IFERROR(IF(A126="SI",VLOOKUP(R126,[1]Datos!$J$1:$K$50,2,FALSE)*C126,VLOOKUP(R126,[1]Datos!$P$1:$T$50,2,FALSE)*C126),0)</f>
        <v>1368</v>
      </c>
      <c r="P126" s="12">
        <v>315597</v>
      </c>
      <c r="Q126" s="17" t="str">
        <f>+VLOOKUP(P126,[1]Datos!$F:$G,2,FALSE)</f>
        <v>Edgar Jhonatan Contreras Garcia</v>
      </c>
      <c r="R126" s="11" t="s">
        <v>41</v>
      </c>
      <c r="S126" s="11">
        <f t="shared" si="1"/>
        <v>2</v>
      </c>
      <c r="T126" s="11">
        <f>+VLOOKUP(M126,[1]Datos!$F:$H,3,FALSE)</f>
        <v>0</v>
      </c>
      <c r="U126" s="11">
        <v>0</v>
      </c>
      <c r="V126" s="19"/>
      <c r="W126" s="11" t="s">
        <v>31</v>
      </c>
    </row>
    <row r="127" spans="1:23">
      <c r="A127" s="11" t="s">
        <v>25</v>
      </c>
      <c r="B127" s="11" t="s">
        <v>26</v>
      </c>
      <c r="C127" s="11">
        <v>3</v>
      </c>
      <c r="D127" s="11" t="s">
        <v>27</v>
      </c>
      <c r="E127" s="12" t="s">
        <v>197</v>
      </c>
      <c r="F127" s="12">
        <v>113</v>
      </c>
      <c r="G127" s="12" t="s">
        <v>198</v>
      </c>
      <c r="H127" s="46">
        <v>46281</v>
      </c>
      <c r="I127" s="46">
        <v>46281</v>
      </c>
      <c r="J127" s="15" t="str">
        <f>+VLOOKUP(K127,[1]Datos!$A:$C,3,FALSE)</f>
        <v>CENTRO ATLANTICO</v>
      </c>
      <c r="K127" s="22">
        <v>13</v>
      </c>
      <c r="L127" s="15" t="str">
        <f>+VLOOKUP(K127,[1]Datos!$A:$C,2,FALSE)</f>
        <v>METANORTE</v>
      </c>
      <c r="M127" s="12">
        <v>90063527</v>
      </c>
      <c r="N127" s="17" t="str">
        <f>+VLOOKUP(M127,[1]Datos!$F:$G,2,FALSE)</f>
        <v xml:space="preserve">SARA ELIZABETH SOL CHAVEZ </v>
      </c>
      <c r="O127" s="18">
        <f>IFERROR(IF(A127="SI",VLOOKUP(R127,[1]Datos!$J$1:$K$50,2,FALSE)*C127,VLOOKUP(R127,[1]Datos!$P$1:$T$50,2,FALSE)*C127),0)</f>
        <v>3276</v>
      </c>
      <c r="P127" s="12">
        <v>314420</v>
      </c>
      <c r="Q127" s="17" t="str">
        <f>+VLOOKUP(P127,[1]Datos!$F:$G,2,FALSE)</f>
        <v>Sandra Jeaneth Ajcuc Garcia</v>
      </c>
      <c r="R127" s="11" t="s">
        <v>97</v>
      </c>
      <c r="S127" s="11">
        <f t="shared" si="1"/>
        <v>1</v>
      </c>
      <c r="T127" s="11">
        <f>+VLOOKUP(M127,[1]Datos!$F:$H,3,FALSE)</f>
        <v>0</v>
      </c>
      <c r="U127" s="11">
        <v>0</v>
      </c>
      <c r="V127" s="19"/>
    </row>
    <row r="128" spans="1:23">
      <c r="A128" s="11" t="s">
        <v>25</v>
      </c>
      <c r="B128" s="11" t="s">
        <v>26</v>
      </c>
      <c r="C128" s="11">
        <v>3</v>
      </c>
      <c r="D128" s="11" t="s">
        <v>27</v>
      </c>
      <c r="E128" s="12" t="s">
        <v>199</v>
      </c>
      <c r="F128" s="17">
        <v>653</v>
      </c>
      <c r="G128" s="12" t="s">
        <v>200</v>
      </c>
      <c r="H128" s="46">
        <v>46281</v>
      </c>
      <c r="I128" s="46">
        <v>46281</v>
      </c>
      <c r="J128" s="15" t="str">
        <f>+VLOOKUP(K128,[1]Datos!$A:$C,3,FALSE)</f>
        <v>CENTRO ATLANTICO</v>
      </c>
      <c r="K128" s="22">
        <v>302</v>
      </c>
      <c r="L128" s="15" t="str">
        <f>+VLOOKUP(K128,[1]Datos!$A:$C,2,FALSE)</f>
        <v>CENTRANORTE</v>
      </c>
      <c r="M128" s="23">
        <v>90087767</v>
      </c>
      <c r="N128" s="17" t="str">
        <f>+VLOOKUP(M128,[1]Datos!$F:$G,2,FALSE)</f>
        <v xml:space="preserve">MEYLIN ANDREA VASQUEZ </v>
      </c>
      <c r="O128" s="18">
        <f>IFERROR(IF(A128="SI",VLOOKUP(R128,[1]Datos!$J$1:$K$50,2,FALSE)*C128,VLOOKUP(R128,[1]Datos!$P$1:$T$50,2,FALSE)*C128),0)</f>
        <v>2448</v>
      </c>
      <c r="P128" s="12">
        <v>314495</v>
      </c>
      <c r="Q128" s="17" t="str">
        <f>+VLOOKUP(P128,[1]Datos!$F:$G,2,FALSE)</f>
        <v>Bertha Lidia Morataya Diaz</v>
      </c>
      <c r="R128" s="11" t="s">
        <v>30</v>
      </c>
      <c r="S128" s="11">
        <f t="shared" si="1"/>
        <v>1</v>
      </c>
      <c r="T128" s="11">
        <f>+VLOOKUP(M128,[1]Datos!$F:$H,3,FALSE)</f>
        <v>0</v>
      </c>
      <c r="U128" s="11">
        <v>0</v>
      </c>
      <c r="V128" s="19"/>
    </row>
    <row r="129" spans="1:22">
      <c r="A129" s="11" t="s">
        <v>25</v>
      </c>
      <c r="B129" s="11" t="s">
        <v>33</v>
      </c>
      <c r="C129" s="11">
        <v>3</v>
      </c>
      <c r="D129" s="11" t="s">
        <v>27</v>
      </c>
      <c r="E129" s="12" t="s">
        <v>154</v>
      </c>
      <c r="F129" s="12">
        <v>657</v>
      </c>
      <c r="G129" s="12" t="s">
        <v>201</v>
      </c>
      <c r="H129" s="46">
        <v>46281</v>
      </c>
      <c r="I129" s="46">
        <v>46281</v>
      </c>
      <c r="J129" s="15" t="str">
        <f>+VLOOKUP(K129,[1]Datos!$A:$C,3,FALSE)</f>
        <v>CENTRO ATLANTICO</v>
      </c>
      <c r="K129" s="15">
        <v>13</v>
      </c>
      <c r="L129" s="15" t="str">
        <f>+VLOOKUP(K129,[1]Datos!$A:$C,2,FALSE)</f>
        <v>METANORTE</v>
      </c>
      <c r="M129" s="12">
        <v>90063527</v>
      </c>
      <c r="N129" s="17" t="str">
        <f>+VLOOKUP(M129,[1]Datos!$F:$G,2,FALSE)</f>
        <v xml:space="preserve">SARA ELIZABETH SOL CHAVEZ </v>
      </c>
      <c r="O129" s="18">
        <f>IFERROR(IF(A129="SI",VLOOKUP(R129,[1]Datos!$J$1:$K$50,2,FALSE)*C129,VLOOKUP(R129,[1]Datos!$P$1:$T$50,2,FALSE)*C129),0)</f>
        <v>4104</v>
      </c>
      <c r="P129" s="12">
        <v>314420</v>
      </c>
      <c r="Q129" s="17" t="str">
        <f>+VLOOKUP(P129,[1]Datos!$F:$G,2,FALSE)</f>
        <v>Sandra Jeaneth Ajcuc Garcia</v>
      </c>
      <c r="R129" s="11" t="s">
        <v>41</v>
      </c>
      <c r="S129" s="11">
        <f t="shared" si="1"/>
        <v>1</v>
      </c>
      <c r="T129" s="11">
        <f>+VLOOKUP(M129,[1]Datos!$F:$H,3,FALSE)</f>
        <v>0</v>
      </c>
      <c r="U129" s="11">
        <v>0</v>
      </c>
      <c r="V129" s="19"/>
    </row>
    <row r="130" spans="1:22">
      <c r="A130" s="11" t="s">
        <v>25</v>
      </c>
      <c r="B130" s="11" t="s">
        <v>26</v>
      </c>
      <c r="C130" s="11">
        <v>2</v>
      </c>
      <c r="D130" s="11" t="s">
        <v>27</v>
      </c>
      <c r="E130" s="12" t="s">
        <v>52</v>
      </c>
      <c r="F130" s="12">
        <v>1258</v>
      </c>
      <c r="G130" s="12" t="s">
        <v>202</v>
      </c>
      <c r="H130" s="46">
        <v>46281</v>
      </c>
      <c r="I130" s="46">
        <v>46281</v>
      </c>
      <c r="J130" s="15" t="str">
        <f>+VLOOKUP(K130,[1]Datos!$A:$C,3,FALSE)</f>
        <v>CENTRO ATLANTICO</v>
      </c>
      <c r="K130" s="11">
        <v>83</v>
      </c>
      <c r="L130" s="15" t="str">
        <f>+VLOOKUP(K130,[1]Datos!$A:$C,2,FALSE)</f>
        <v>DISAGRO</v>
      </c>
      <c r="M130" s="16">
        <v>90082796</v>
      </c>
      <c r="N130" s="17" t="str">
        <f>+VLOOKUP(M130,[1]Datos!$F:$G,2,FALSE)</f>
        <v>LILIBETH ALEGRIA</v>
      </c>
      <c r="O130" s="18">
        <f>IFERROR(IF(A130="SI",VLOOKUP(R130,[1]Datos!$J$1:$K$50,2,FALSE)*C130,VLOOKUP(R130,[1]Datos!$P$1:$T$50,2,FALSE)*C130),0)</f>
        <v>1632</v>
      </c>
      <c r="P130" s="12">
        <v>303971</v>
      </c>
      <c r="Q130" s="17" t="str">
        <f>+VLOOKUP(P130,[1]Datos!$F:$G,2,FALSE)</f>
        <v>Leidy Marisol Perez Arias</v>
      </c>
      <c r="R130" s="11" t="s">
        <v>30</v>
      </c>
      <c r="S130" s="11">
        <f>+COUNTIFS($G$2:$G$607,#REF!)</f>
        <v>0</v>
      </c>
      <c r="T130" s="11">
        <f>+VLOOKUP(M130,[1]Datos!$F:$H,3,FALSE)</f>
        <v>0</v>
      </c>
      <c r="U130" s="11">
        <v>0</v>
      </c>
      <c r="V130" s="19"/>
    </row>
    <row r="131" spans="1:22">
      <c r="A131" s="11" t="s">
        <v>25</v>
      </c>
      <c r="B131" s="11" t="s">
        <v>33</v>
      </c>
      <c r="C131" s="11">
        <v>4</v>
      </c>
      <c r="D131" s="11" t="s">
        <v>27</v>
      </c>
      <c r="E131" s="12" t="s">
        <v>58</v>
      </c>
      <c r="F131" s="12">
        <v>773</v>
      </c>
      <c r="G131" s="12" t="s">
        <v>203</v>
      </c>
      <c r="H131" s="46">
        <v>46281</v>
      </c>
      <c r="I131" s="46">
        <v>46281</v>
      </c>
      <c r="J131" s="15" t="str">
        <f>+VLOOKUP(K131,[1]Datos!$A:$C,3,FALSE)</f>
        <v>CENTRO ATLANTICO</v>
      </c>
      <c r="K131" s="22">
        <v>134</v>
      </c>
      <c r="L131" s="15" t="str">
        <f>+VLOOKUP(K131,[1]Datos!$A:$C,2,FALSE)</f>
        <v>GUASTATOYA</v>
      </c>
      <c r="M131" s="12">
        <v>90025188</v>
      </c>
      <c r="N131" s="17" t="str">
        <f>+VLOOKUP(M131,[1]Datos!$F:$G,2,FALSE)</f>
        <v>Sindy Gabriela Rivas Ochoa</v>
      </c>
      <c r="O131" s="18">
        <f>IFERROR(IF(A131="SI",VLOOKUP(R131,[1]Datos!$J$1:$K$50,2,FALSE)*C131,VLOOKUP(R131,[1]Datos!$P$1:$T$50,2,FALSE)*C131),0)</f>
        <v>5472</v>
      </c>
      <c r="P131" s="12">
        <v>315408</v>
      </c>
      <c r="Q131" s="17" t="str">
        <f>+VLOOKUP(P131,[1]Datos!$F:$G,2,FALSE)</f>
        <v>Sandy Suset Morales Barrientos</v>
      </c>
      <c r="R131" s="11" t="s">
        <v>41</v>
      </c>
      <c r="S131" s="11">
        <f>+COUNTIFS($G$2:$G$607,G131)</f>
        <v>1</v>
      </c>
      <c r="T131" s="11">
        <f>+VLOOKUP(M131,[1]Datos!$F:$H,3,FALSE)</f>
        <v>0</v>
      </c>
      <c r="U131" s="11">
        <v>0</v>
      </c>
      <c r="V131" s="19"/>
    </row>
    <row r="132" spans="1:22">
      <c r="A132" s="11" t="s">
        <v>25</v>
      </c>
      <c r="B132" s="11" t="s">
        <v>33</v>
      </c>
      <c r="C132" s="11">
        <v>2</v>
      </c>
      <c r="D132" s="11" t="s">
        <v>27</v>
      </c>
      <c r="E132" s="12" t="s">
        <v>163</v>
      </c>
      <c r="F132" s="12">
        <v>1230</v>
      </c>
      <c r="G132" s="21" t="s">
        <v>204</v>
      </c>
      <c r="H132" s="46">
        <v>46281</v>
      </c>
      <c r="I132" s="46">
        <v>46281</v>
      </c>
      <c r="J132" s="15" t="str">
        <f>+VLOOKUP(K132,[1]Datos!$A:$C,3,FALSE)</f>
        <v>CENTRO ATLANTICO</v>
      </c>
      <c r="K132" s="22">
        <v>166</v>
      </c>
      <c r="L132" s="15" t="str">
        <f>+VLOOKUP(K132,[1]Datos!$A:$C,2,FALSE)</f>
        <v>23 CALLE</v>
      </c>
      <c r="M132" s="23">
        <v>90068775</v>
      </c>
      <c r="N132" s="17" t="str">
        <f>+VLOOKUP(M132,[1]Datos!$F:$G,2,FALSE)</f>
        <v>BRIAN STEVEN VALENZUELA DE PAZ</v>
      </c>
      <c r="O132" s="18">
        <v>16392</v>
      </c>
      <c r="P132" s="12">
        <v>314028</v>
      </c>
      <c r="Q132" s="17" t="str">
        <f>+VLOOKUP(P132,[1]Datos!$F:$G,2,FALSE)</f>
        <v>Cindy Paola Garcia Monroy</v>
      </c>
      <c r="R132" s="11" t="s">
        <v>205</v>
      </c>
      <c r="S132" s="11">
        <f>+COUNTIFS($G$2:$G$607,G132)</f>
        <v>1</v>
      </c>
      <c r="T132" s="11">
        <f>+VLOOKUP(M132,[1]Datos!$F:$H,3,FALSE)</f>
        <v>0</v>
      </c>
      <c r="U132" s="11">
        <v>0</v>
      </c>
      <c r="V132" s="19"/>
    </row>
    <row r="133" spans="1:22">
      <c r="A133" s="11" t="s">
        <v>25</v>
      </c>
      <c r="B133" s="11" t="s">
        <v>26</v>
      </c>
      <c r="C133" s="11">
        <v>1</v>
      </c>
      <c r="D133" s="11" t="s">
        <v>27</v>
      </c>
      <c r="E133" s="12" t="s">
        <v>99</v>
      </c>
      <c r="F133" s="12">
        <v>2595</v>
      </c>
      <c r="G133" s="12" t="s">
        <v>206</v>
      </c>
      <c r="H133" s="46">
        <v>46281</v>
      </c>
      <c r="I133" s="46">
        <v>46281</v>
      </c>
      <c r="J133" s="15" t="str">
        <f>+VLOOKUP(K133,[1]Datos!$A:$C,3,FALSE)</f>
        <v>CENTRO ATLANTICO</v>
      </c>
      <c r="K133" s="22">
        <v>1</v>
      </c>
      <c r="L133" s="15" t="str">
        <f>+VLOOKUP(K133,[1]Datos!$A:$C,2,FALSE)</f>
        <v>FUNDACION</v>
      </c>
      <c r="M133" s="12">
        <v>314306</v>
      </c>
      <c r="N133" s="17" t="str">
        <f>+VLOOKUP(M133,[1]Datos!$F:$G,2,FALSE)</f>
        <v>Jennifer Noemi Soch Castro</v>
      </c>
      <c r="O133" s="18">
        <f>IFERROR(IF(A133="SI",VLOOKUP(R133,[1]Datos!$J$1:$K$50,2,FALSE)*C133,VLOOKUP(R133,[1]Datos!$P$1:$T$50,2,FALSE)*C133),0)</f>
        <v>1008</v>
      </c>
      <c r="P133" s="12">
        <v>315170</v>
      </c>
      <c r="Q133" s="17" t="str">
        <f>+VLOOKUP(P133,[1]Datos!$F:$G,2,FALSE)</f>
        <v>Ricardo Alexander Morales Moran</v>
      </c>
      <c r="R133" s="11" t="s">
        <v>67</v>
      </c>
      <c r="S133" s="11">
        <f>+COUNTIFS($G$2:$G$607,G133)</f>
        <v>1</v>
      </c>
      <c r="T133" s="11">
        <f>+VLOOKUP(M133,[1]Datos!$F:$H,3,FALSE)</f>
        <v>0</v>
      </c>
      <c r="U133" s="11">
        <v>0</v>
      </c>
      <c r="V133" s="19"/>
    </row>
    <row r="134" spans="1:22">
      <c r="A134" s="11" t="s">
        <v>25</v>
      </c>
      <c r="B134" s="11" t="s">
        <v>26</v>
      </c>
      <c r="C134" s="11">
        <v>1</v>
      </c>
      <c r="D134" s="11" t="s">
        <v>27</v>
      </c>
      <c r="E134" s="12" t="s">
        <v>37</v>
      </c>
      <c r="F134" s="12">
        <v>4510</v>
      </c>
      <c r="G134" s="21" t="s">
        <v>207</v>
      </c>
      <c r="H134" s="46">
        <v>46281</v>
      </c>
      <c r="I134" s="46">
        <v>46281</v>
      </c>
      <c r="J134" s="15" t="str">
        <f>+VLOOKUP(K134,[1]Datos!$A:$C,3,FALSE)</f>
        <v>CENTRO ATLANTICO</v>
      </c>
      <c r="K134" s="11">
        <v>2</v>
      </c>
      <c r="L134" s="15" t="str">
        <f>+VLOOKUP(K134,[1]Datos!$A:$C,2,FALSE)</f>
        <v>ZONA 1</v>
      </c>
      <c r="M134" s="16">
        <v>90063417</v>
      </c>
      <c r="N134" s="17" t="str">
        <f>+VLOOKUP(M134,[1]Datos!$F:$G,2,FALSE)</f>
        <v>LIDIA GRICELDA DIAZ TORRES</v>
      </c>
      <c r="O134" s="18">
        <f>IFERROR(IF(A134="SI",VLOOKUP(R134,[1]Datos!$J$1:$K$50,2,FALSE)*C134,VLOOKUP(R134,[1]Datos!$P$1:$T$50,2,FALSE)*C134),0)</f>
        <v>816</v>
      </c>
      <c r="P134" s="12">
        <v>300999</v>
      </c>
      <c r="Q134" s="17" t="str">
        <f>+VLOOKUP(P134,[1]Datos!$F:$G,2,FALSE)</f>
        <v>Victor Adolfo Barrios Monzon</v>
      </c>
      <c r="R134" s="11" t="s">
        <v>30</v>
      </c>
      <c r="S134" s="11">
        <f>+COUNTIFS($G$2:$G$607,G134)</f>
        <v>1</v>
      </c>
      <c r="T134" s="11">
        <f>+VLOOKUP(M134,[1]Datos!$F:$H,3,FALSE)</f>
        <v>0</v>
      </c>
      <c r="U134" s="11">
        <v>0</v>
      </c>
      <c r="V134" s="19"/>
    </row>
    <row r="135" spans="1:22">
      <c r="A135" s="11" t="s">
        <v>25</v>
      </c>
      <c r="B135" s="11" t="s">
        <v>33</v>
      </c>
      <c r="C135" s="11">
        <v>2</v>
      </c>
      <c r="D135" s="11" t="s">
        <v>27</v>
      </c>
      <c r="E135" s="17" t="s">
        <v>163</v>
      </c>
      <c r="F135" s="17">
        <v>1276</v>
      </c>
      <c r="G135" s="17" t="s">
        <v>208</v>
      </c>
      <c r="H135" s="46">
        <v>46281</v>
      </c>
      <c r="I135" s="46">
        <v>46281</v>
      </c>
      <c r="J135" s="15" t="str">
        <f>+VLOOKUP(K135,[1]Datos!$A:$C,3,FALSE)</f>
        <v>CENTRO ATLANTICO</v>
      </c>
      <c r="K135" s="22">
        <v>19</v>
      </c>
      <c r="L135" s="15" t="str">
        <f>+VLOOKUP(K135,[1]Datos!$A:$C,2,FALSE)</f>
        <v>MORAZAN ZONA 2</v>
      </c>
      <c r="M135" s="17">
        <v>90063535</v>
      </c>
      <c r="N135" s="17" t="str">
        <f>+VLOOKUP(M135,[1]Datos!$F:$G,2,FALSE)</f>
        <v>NATALIA MARCELA CORTEZ</v>
      </c>
      <c r="O135" s="18">
        <f>IFERROR(IF(A135="SI",VLOOKUP(R135,[1]Datos!$J$1:$K$50,2,FALSE)*C135,VLOOKUP(R135,[1]Datos!$P$1:$T$50,2,FALSE)*C135),0)</f>
        <v>2736</v>
      </c>
      <c r="P135" s="17">
        <v>316080</v>
      </c>
      <c r="Q135" s="17" t="str">
        <f>+VLOOKUP(P135,[1]Datos!$F:$G,2,FALSE)</f>
        <v>Sergio David Espana Velasquez</v>
      </c>
      <c r="R135" s="11" t="s">
        <v>41</v>
      </c>
      <c r="S135" s="11">
        <f>+COUNTIFS($G$2:$G$607,#REF!)</f>
        <v>0</v>
      </c>
      <c r="T135" s="11">
        <f>+VLOOKUP(M135,[1]Datos!$F:$H,3,FALSE)</f>
        <v>0</v>
      </c>
      <c r="U135" s="11">
        <v>0</v>
      </c>
      <c r="V135" s="19"/>
    </row>
    <row r="136" spans="1:22">
      <c r="A136" s="11" t="s">
        <v>25</v>
      </c>
      <c r="B136" s="11" t="s">
        <v>33</v>
      </c>
      <c r="C136" s="11">
        <v>4</v>
      </c>
      <c r="D136" s="11" t="s">
        <v>27</v>
      </c>
      <c r="E136" s="12" t="s">
        <v>209</v>
      </c>
      <c r="F136" s="12">
        <v>40</v>
      </c>
      <c r="G136" s="12" t="s">
        <v>210</v>
      </c>
      <c r="H136" s="46">
        <v>46281</v>
      </c>
      <c r="I136" s="46">
        <v>46281</v>
      </c>
      <c r="J136" s="15" t="str">
        <f>+VLOOKUP(K136,[1]Datos!$A:$C,3,FALSE)</f>
        <v>CENTRO ATLANTICO</v>
      </c>
      <c r="K136" s="22">
        <v>98</v>
      </c>
      <c r="L136" s="15" t="str">
        <f>+VLOOKUP(K136,[1]Datos!$A:$C,2,FALSE)</f>
        <v>CALLE MARTI</v>
      </c>
      <c r="M136" s="23">
        <v>316322</v>
      </c>
      <c r="N136" s="17" t="str">
        <f>+VLOOKUP(M136,[1]Datos!$F:$G,2,FALSE)</f>
        <v xml:space="preserve">Gabriela Janet Crisostomo Xuya </v>
      </c>
      <c r="O136" s="18">
        <f>IFERROR(IF(A136="SI",VLOOKUP(R136,[1]Datos!$J$1:$K$50,2,FALSE)*C136,VLOOKUP(R136,[1]Datos!$P$1:$T$50,2,FALSE)*C136),0)</f>
        <v>4032</v>
      </c>
      <c r="P136" s="12">
        <v>315597</v>
      </c>
      <c r="Q136" s="17" t="str">
        <f>+VLOOKUP(P136,[1]Datos!$F:$G,2,FALSE)</f>
        <v>Edgar Jhonatan Contreras Garcia</v>
      </c>
      <c r="R136" s="11" t="s">
        <v>67</v>
      </c>
      <c r="S136" s="11">
        <f t="shared" ref="S136:S199" si="2">+COUNTIFS($G$2:$G$607,G136)</f>
        <v>1</v>
      </c>
      <c r="T136" s="11">
        <f>+VLOOKUP(M136,[1]Datos!$F:$H,3,FALSE)</f>
        <v>0</v>
      </c>
      <c r="U136" s="11">
        <v>0</v>
      </c>
      <c r="V136" s="19"/>
    </row>
    <row r="137" spans="1:22">
      <c r="A137" s="11" t="s">
        <v>25</v>
      </c>
      <c r="B137" s="11" t="s">
        <v>33</v>
      </c>
      <c r="C137" s="11">
        <v>3</v>
      </c>
      <c r="D137" s="11" t="s">
        <v>27</v>
      </c>
      <c r="E137" s="12" t="s">
        <v>211</v>
      </c>
      <c r="F137" s="12">
        <v>348</v>
      </c>
      <c r="G137" s="12" t="s">
        <v>212</v>
      </c>
      <c r="H137" s="46">
        <v>46281</v>
      </c>
      <c r="I137" s="46">
        <v>46281</v>
      </c>
      <c r="J137" s="15" t="str">
        <f>+VLOOKUP(K137,[1]Datos!$A:$C,3,FALSE)</f>
        <v>CENTRO ATLANTICO</v>
      </c>
      <c r="K137" s="22">
        <v>98</v>
      </c>
      <c r="L137" s="15" t="str">
        <f>+VLOOKUP(K137,[1]Datos!$A:$C,2,FALSE)</f>
        <v>CALLE MARTI</v>
      </c>
      <c r="M137" s="23">
        <v>316322</v>
      </c>
      <c r="N137" s="17" t="str">
        <f>+VLOOKUP(M137,[1]Datos!$F:$G,2,FALSE)</f>
        <v xml:space="preserve">Gabriela Janet Crisostomo Xuya </v>
      </c>
      <c r="O137" s="18">
        <f>IFERROR(IF(A137="SI",VLOOKUP(R137,[1]Datos!$J$1:$K$50,2,FALSE)*C137,VLOOKUP(R137,[1]Datos!$P$1:$T$50,2,FALSE)*C137),0)</f>
        <v>5724</v>
      </c>
      <c r="P137" s="12">
        <v>315597</v>
      </c>
      <c r="Q137" s="17" t="str">
        <f>+VLOOKUP(P137,[1]Datos!$F:$G,2,FALSE)</f>
        <v>Edgar Jhonatan Contreras Garcia</v>
      </c>
      <c r="R137" s="11" t="s">
        <v>213</v>
      </c>
      <c r="S137" s="11">
        <f t="shared" si="2"/>
        <v>1</v>
      </c>
      <c r="T137" s="11">
        <f>+VLOOKUP(M137,[1]Datos!$F:$H,3,FALSE)</f>
        <v>0</v>
      </c>
      <c r="U137" s="11">
        <v>0</v>
      </c>
      <c r="V137" s="19"/>
    </row>
    <row r="138" spans="1:22">
      <c r="A138" s="11" t="s">
        <v>25</v>
      </c>
      <c r="B138" s="11" t="s">
        <v>26</v>
      </c>
      <c r="C138" s="11">
        <v>1</v>
      </c>
      <c r="D138" s="11" t="s">
        <v>27</v>
      </c>
      <c r="E138" s="12" t="s">
        <v>28</v>
      </c>
      <c r="F138" s="12">
        <v>4531</v>
      </c>
      <c r="G138" s="12" t="s">
        <v>214</v>
      </c>
      <c r="H138" s="46">
        <v>46281</v>
      </c>
      <c r="I138" s="46">
        <v>46281</v>
      </c>
      <c r="J138" s="15" t="str">
        <f>+VLOOKUP(K138,[1]Datos!$A:$C,3,FALSE)</f>
        <v>CENTRO ATLANTICO</v>
      </c>
      <c r="K138" s="29">
        <v>302</v>
      </c>
      <c r="L138" s="15" t="str">
        <f>+VLOOKUP(K138,[1]Datos!$A:$C,2,FALSE)</f>
        <v>CENTRANORTE</v>
      </c>
      <c r="M138" s="23">
        <v>316198</v>
      </c>
      <c r="N138" s="17" t="str">
        <f>+VLOOKUP(M138,[1]Datos!$F:$G,2,FALSE)</f>
        <v xml:space="preserve">Karen Mishel Gomez Meda </v>
      </c>
      <c r="O138" s="18">
        <f>IFERROR(IF(A138="SI",VLOOKUP(R138,[1]Datos!$J$1:$K$50,2,FALSE)*C138,VLOOKUP(R138,[1]Datos!$P$1:$T$50,2,FALSE)*C138),0)</f>
        <v>816</v>
      </c>
      <c r="P138" s="12">
        <v>312178</v>
      </c>
      <c r="Q138" s="17" t="str">
        <f>+VLOOKUP(P138,[1]Datos!$F:$G,2,FALSE)</f>
        <v>Keyla Cristy Dubon Pernillo</v>
      </c>
      <c r="R138" s="11" t="s">
        <v>30</v>
      </c>
      <c r="S138" s="11">
        <f t="shared" si="2"/>
        <v>1</v>
      </c>
      <c r="T138" s="11">
        <f>+VLOOKUP(M138,[1]Datos!$F:$H,3,FALSE)</f>
        <v>0</v>
      </c>
      <c r="U138" s="11">
        <v>0</v>
      </c>
      <c r="V138" s="19"/>
    </row>
    <row r="139" spans="1:22">
      <c r="A139" s="11" t="s">
        <v>25</v>
      </c>
      <c r="B139" s="11" t="s">
        <v>26</v>
      </c>
      <c r="C139" s="11">
        <v>1</v>
      </c>
      <c r="D139" s="11" t="s">
        <v>27</v>
      </c>
      <c r="E139" s="12" t="s">
        <v>215</v>
      </c>
      <c r="F139" s="12">
        <v>430</v>
      </c>
      <c r="G139" s="12" t="s">
        <v>216</v>
      </c>
      <c r="H139" s="46">
        <v>46281</v>
      </c>
      <c r="I139" s="46">
        <v>46281</v>
      </c>
      <c r="J139" s="15" t="str">
        <f>+VLOOKUP(K139,[1]Datos!$A:$C,3,FALSE)</f>
        <v>CENTRO ATLANTICO</v>
      </c>
      <c r="K139" s="29">
        <v>103</v>
      </c>
      <c r="L139" s="15" t="str">
        <f>+VLOOKUP(K139,[1]Datos!$A:$C,2,FALSE)</f>
        <v>LOS ALAMOS</v>
      </c>
      <c r="M139" s="23">
        <v>316184</v>
      </c>
      <c r="N139" s="17" t="str">
        <f>+VLOOKUP(M139,[1]Datos!$F:$G,2,FALSE)</f>
        <v>Reymon Steve Ortiz Chavez</v>
      </c>
      <c r="O139" s="18">
        <f>IFERROR(IF(A139="SI",VLOOKUP(R139,[1]Datos!$J$1:$K$50,2,FALSE)*C139,VLOOKUP(R139,[1]Datos!$P$1:$T$50,2,FALSE)*C139),0)</f>
        <v>1092</v>
      </c>
      <c r="P139" s="12">
        <v>305989</v>
      </c>
      <c r="Q139" s="17" t="str">
        <f>+VLOOKUP(P139,[1]Datos!$F:$G,2,FALSE)</f>
        <v>Wuilson Ottoniel Hernandez Alonzo</v>
      </c>
      <c r="R139" s="11" t="s">
        <v>97</v>
      </c>
      <c r="S139" s="11">
        <f t="shared" si="2"/>
        <v>1</v>
      </c>
      <c r="T139" s="11">
        <f>+VLOOKUP(M139,[1]Datos!$F:$H,3,FALSE)</f>
        <v>0</v>
      </c>
      <c r="U139" s="11">
        <v>0</v>
      </c>
      <c r="V139" s="19"/>
    </row>
    <row r="140" spans="1:22">
      <c r="A140" s="11" t="s">
        <v>25</v>
      </c>
      <c r="B140" s="11" t="s">
        <v>33</v>
      </c>
      <c r="C140" s="11">
        <v>4</v>
      </c>
      <c r="D140" s="11" t="s">
        <v>27</v>
      </c>
      <c r="E140" s="12" t="s">
        <v>58</v>
      </c>
      <c r="F140" s="12">
        <v>777</v>
      </c>
      <c r="G140" s="12" t="s">
        <v>217</v>
      </c>
      <c r="H140" s="46">
        <v>46281</v>
      </c>
      <c r="I140" s="46">
        <v>46281</v>
      </c>
      <c r="J140" s="15" t="str">
        <f>+VLOOKUP(K140,[1]Datos!$A:$C,3,FALSE)</f>
        <v>CENTRO ATLANTICO</v>
      </c>
      <c r="K140" s="29">
        <v>148</v>
      </c>
      <c r="L140" s="15" t="str">
        <f>+VLOOKUP(K140,[1]Datos!$A:$C,2,FALSE)</f>
        <v>SANARATE</v>
      </c>
      <c r="M140" s="43">
        <v>90085033</v>
      </c>
      <c r="N140" s="17" t="str">
        <f>+VLOOKUP(M140,[1]Datos!$F:$G,2,FALSE)</f>
        <v>MONICA ABIGAIL HERNANDEZ ALONZO</v>
      </c>
      <c r="O140" s="18">
        <f>IFERROR(IF(A140="SI",VLOOKUP(R140,[1]Datos!$J$1:$K$50,2,FALSE)*C140,VLOOKUP(R140,[1]Datos!$P$1:$T$50,2,FALSE)*C140),0)</f>
        <v>5472</v>
      </c>
      <c r="P140" s="12">
        <v>301809</v>
      </c>
      <c r="Q140" s="17" t="str">
        <f>+VLOOKUP(P140,[1]Datos!$F:$G,2,FALSE)</f>
        <v>Claudia Eugenia Chavarria Ramos</v>
      </c>
      <c r="R140" s="11" t="s">
        <v>41</v>
      </c>
      <c r="S140" s="11">
        <f t="shared" si="2"/>
        <v>1</v>
      </c>
      <c r="T140" s="11">
        <f>+VLOOKUP(M140,[1]Datos!$F:$H,3,FALSE)</f>
        <v>0</v>
      </c>
      <c r="U140" s="11">
        <v>0</v>
      </c>
      <c r="V140" s="19"/>
    </row>
    <row r="141" spans="1:22">
      <c r="A141" s="11" t="s">
        <v>25</v>
      </c>
      <c r="B141" s="11" t="s">
        <v>26</v>
      </c>
      <c r="C141" s="11">
        <v>4</v>
      </c>
      <c r="D141" s="11" t="s">
        <v>73</v>
      </c>
      <c r="E141" s="17" t="s">
        <v>58</v>
      </c>
      <c r="F141" s="17">
        <v>782</v>
      </c>
      <c r="G141" s="17" t="s">
        <v>218</v>
      </c>
      <c r="H141" s="45">
        <v>46282</v>
      </c>
      <c r="I141" s="46">
        <v>46282</v>
      </c>
      <c r="J141" s="15" t="str">
        <f>+VLOOKUP(K141,[1]Datos!$A:$C,3,FALSE)</f>
        <v>CENTRO ATLANTICO</v>
      </c>
      <c r="K141" s="11">
        <v>19</v>
      </c>
      <c r="L141" s="15" t="str">
        <f>+VLOOKUP(K141,[1]Datos!$A:$C,2,FALSE)</f>
        <v>MORAZAN ZONA 2</v>
      </c>
      <c r="M141" s="17">
        <v>90060071</v>
      </c>
      <c r="N141" s="17" t="str">
        <f>+VLOOKUP(M141,[1]Datos!$F:$G,2,FALSE)</f>
        <v>Maria Galilea Pascual Lic</v>
      </c>
      <c r="O141" s="18">
        <f>IFERROR(IF(A141="SI",VLOOKUP(R141,[1]Datos!$J$1:$K$50,2,FALSE)*C141,VLOOKUP(R141,[1]Datos!$P$1:$T$50,2,FALSE)*C141),0)</f>
        <v>16416</v>
      </c>
      <c r="P141" s="17">
        <v>316080</v>
      </c>
      <c r="Q141" s="17" t="str">
        <f>+VLOOKUP(P141,[1]Datos!$F:$G,2,FALSE)</f>
        <v>Sergio David Espana Velasquez</v>
      </c>
      <c r="R141" s="11" t="s">
        <v>219</v>
      </c>
      <c r="S141" s="11">
        <f t="shared" si="2"/>
        <v>1</v>
      </c>
      <c r="T141" s="11">
        <f>+VLOOKUP(M141,[1]Datos!$F:$H,3,FALSE)</f>
        <v>0</v>
      </c>
      <c r="U141" s="11">
        <v>0</v>
      </c>
      <c r="V141" s="19"/>
    </row>
    <row r="142" spans="1:22">
      <c r="A142" s="11" t="s">
        <v>25</v>
      </c>
      <c r="B142" s="11" t="s">
        <v>26</v>
      </c>
      <c r="C142" s="11">
        <v>1</v>
      </c>
      <c r="D142" s="11" t="s">
        <v>27</v>
      </c>
      <c r="E142" s="12" t="s">
        <v>220</v>
      </c>
      <c r="F142" s="12">
        <v>1</v>
      </c>
      <c r="G142" s="12" t="s">
        <v>221</v>
      </c>
      <c r="H142" s="46">
        <v>46282</v>
      </c>
      <c r="I142" s="47">
        <v>46190</v>
      </c>
      <c r="J142" s="15" t="str">
        <f>+VLOOKUP(K142,[1]Datos!$A:$C,3,FALSE)</f>
        <v>REFORMA</v>
      </c>
      <c r="K142" s="22">
        <v>90</v>
      </c>
      <c r="L142" s="15" t="str">
        <f>+VLOOKUP(K142,[1]Datos!$A:$C,2,FALSE)</f>
        <v>CENTRO MEDICO</v>
      </c>
      <c r="M142" s="12">
        <v>90064625</v>
      </c>
      <c r="N142" s="17" t="str">
        <f>+VLOOKUP(M142,[1]Datos!$F:$G,2,FALSE)</f>
        <v>MILDRE LETICIA VICENTE LOPEZ</v>
      </c>
      <c r="O142" s="18">
        <f>IFERROR(IF(A142="SI",VLOOKUP(R142,[1]Datos!$J$1:$K$50,2,FALSE)*C142,VLOOKUP(R142,[1]Datos!$P$1:$T$50,2,FALSE)*C142),0)</f>
        <v>2052</v>
      </c>
      <c r="P142" s="17">
        <v>304522</v>
      </c>
      <c r="Q142" s="17" t="str">
        <f>+VLOOKUP(P142,[1]Datos!$F:$G,2,FALSE)</f>
        <v>Carlos Saul Santizo Lopez</v>
      </c>
      <c r="R142" s="11" t="s">
        <v>138</v>
      </c>
      <c r="S142" s="11">
        <f t="shared" si="2"/>
        <v>2</v>
      </c>
      <c r="T142" s="11">
        <f>+VLOOKUP(M142,[1]Datos!$F:$H,3,FALSE)</f>
        <v>0</v>
      </c>
      <c r="U142" s="11">
        <v>0</v>
      </c>
      <c r="V142" s="19"/>
    </row>
    <row r="143" spans="1:22">
      <c r="A143" s="11" t="s">
        <v>25</v>
      </c>
      <c r="B143" s="11" t="s">
        <v>33</v>
      </c>
      <c r="C143" s="11">
        <v>1</v>
      </c>
      <c r="D143" s="11" t="s">
        <v>27</v>
      </c>
      <c r="E143" s="12" t="s">
        <v>222</v>
      </c>
      <c r="F143" s="12">
        <v>1</v>
      </c>
      <c r="G143" s="12" t="s">
        <v>221</v>
      </c>
      <c r="H143" s="46">
        <v>46282</v>
      </c>
      <c r="I143" s="47">
        <v>46190</v>
      </c>
      <c r="J143" s="15" t="str">
        <f>+VLOOKUP(K143,[1]Datos!$A:$C,3,FALSE)</f>
        <v>REFORMA</v>
      </c>
      <c r="K143" s="22">
        <v>90</v>
      </c>
      <c r="L143" s="15" t="str">
        <f>+VLOOKUP(K143,[1]Datos!$A:$C,2,FALSE)</f>
        <v>CENTRO MEDICO</v>
      </c>
      <c r="M143" s="12">
        <v>90064625</v>
      </c>
      <c r="N143" s="17" t="str">
        <f>+VLOOKUP(M143,[1]Datos!$F:$G,2,FALSE)</f>
        <v>MILDRE LETICIA VICENTE LOPEZ</v>
      </c>
      <c r="O143" s="18">
        <f>IFERROR(IF(A143="SI",VLOOKUP(R143,[1]Datos!$J$1:$K$50,2,FALSE)*C143,VLOOKUP(R143,[1]Datos!$P$1:$T$50,2,FALSE)*C143),0)</f>
        <v>2052</v>
      </c>
      <c r="P143" s="17">
        <v>304522</v>
      </c>
      <c r="Q143" s="17" t="str">
        <f>+VLOOKUP(P143,[1]Datos!$F:$G,2,FALSE)</f>
        <v>Carlos Saul Santizo Lopez</v>
      </c>
      <c r="R143" s="11" t="s">
        <v>138</v>
      </c>
      <c r="S143" s="11">
        <f t="shared" si="2"/>
        <v>2</v>
      </c>
      <c r="T143" s="11">
        <f>+VLOOKUP(M143,[1]Datos!$F:$H,3,FALSE)</f>
        <v>0</v>
      </c>
      <c r="U143" s="11">
        <v>0</v>
      </c>
      <c r="V143" s="19"/>
    </row>
    <row r="144" spans="1:22">
      <c r="A144" s="11" t="s">
        <v>25</v>
      </c>
      <c r="B144" s="11" t="s">
        <v>33</v>
      </c>
      <c r="C144" s="11">
        <v>3</v>
      </c>
      <c r="D144" s="11" t="s">
        <v>27</v>
      </c>
      <c r="E144" s="12" t="s">
        <v>223</v>
      </c>
      <c r="F144" s="12">
        <v>114</v>
      </c>
      <c r="G144" s="12" t="s">
        <v>224</v>
      </c>
      <c r="H144" s="46">
        <v>46282</v>
      </c>
      <c r="I144" s="46">
        <v>46282</v>
      </c>
      <c r="J144" s="15" t="str">
        <f>+VLOOKUP(K144,[1]Datos!$A:$C,3,FALSE)</f>
        <v>CENTRO ATLANTICO</v>
      </c>
      <c r="K144" s="22">
        <v>1</v>
      </c>
      <c r="L144" s="15" t="str">
        <f>+VLOOKUP(K144,[1]Datos!$A:$C,2,FALSE)</f>
        <v>FUNDACION</v>
      </c>
      <c r="M144" s="12">
        <v>90065408</v>
      </c>
      <c r="N144" s="17" t="str">
        <f>+VLOOKUP(M144,[1]Datos!$F:$G,2,FALSE)</f>
        <v>OLGA NINETH GARCIA</v>
      </c>
      <c r="O144" s="18">
        <f>IFERROR(IF(A144="SI",VLOOKUP(R144,[1]Datos!$J$1:$K$50,2,FALSE)*C144,VLOOKUP(R144,[1]Datos!$P$1:$T$50,2,FALSE)*C144),0)</f>
        <v>3276</v>
      </c>
      <c r="P144" s="12">
        <v>315170</v>
      </c>
      <c r="Q144" s="17" t="str">
        <f>+VLOOKUP(P144,[1]Datos!$F:$G,2,FALSE)</f>
        <v>Ricardo Alexander Morales Moran</v>
      </c>
      <c r="R144" s="11" t="s">
        <v>97</v>
      </c>
      <c r="S144" s="11">
        <f t="shared" si="2"/>
        <v>1</v>
      </c>
      <c r="T144" s="11">
        <f>+VLOOKUP(M144,[1]Datos!$F:$H,3,FALSE)</f>
        <v>0</v>
      </c>
      <c r="U144" s="11">
        <v>0</v>
      </c>
      <c r="V144" s="19"/>
    </row>
    <row r="145" spans="1:22">
      <c r="A145" s="11" t="s">
        <v>25</v>
      </c>
      <c r="B145" s="11" t="s">
        <v>26</v>
      </c>
      <c r="C145" s="11">
        <v>4</v>
      </c>
      <c r="D145" s="11" t="s">
        <v>27</v>
      </c>
      <c r="E145" s="12" t="s">
        <v>58</v>
      </c>
      <c r="F145" s="12">
        <v>789</v>
      </c>
      <c r="G145" s="12" t="s">
        <v>225</v>
      </c>
      <c r="H145" s="46">
        <v>46282</v>
      </c>
      <c r="I145" s="46">
        <v>46282</v>
      </c>
      <c r="J145" s="15" t="str">
        <f>+VLOOKUP(K145,[1]Datos!$A:$C,3,FALSE)</f>
        <v>CENTRO ATLANTICO</v>
      </c>
      <c r="K145" s="22">
        <v>302</v>
      </c>
      <c r="L145" s="15" t="str">
        <f>+VLOOKUP(K145,[1]Datos!$A:$C,2,FALSE)</f>
        <v>CENTRANORTE</v>
      </c>
      <c r="M145" s="23">
        <v>316198</v>
      </c>
      <c r="N145" s="17" t="str">
        <f>+VLOOKUP(M145,[1]Datos!$F:$G,2,FALSE)</f>
        <v xml:space="preserve">Karen Mishel Gomez Meda </v>
      </c>
      <c r="O145" s="18">
        <f>IFERROR(IF(A145="SI",VLOOKUP(R145,[1]Datos!$J$1:$K$50,2,FALSE)*C145,VLOOKUP(R145,[1]Datos!$P$1:$T$50,2,FALSE)*C145),0)</f>
        <v>10944</v>
      </c>
      <c r="P145" s="12">
        <v>314495</v>
      </c>
      <c r="Q145" s="17" t="str">
        <f>+VLOOKUP(P145,[1]Datos!$F:$G,2,FALSE)</f>
        <v>Bertha Lidia Morataya Diaz</v>
      </c>
      <c r="R145" s="11" t="s">
        <v>60</v>
      </c>
      <c r="S145" s="11">
        <f t="shared" si="2"/>
        <v>1</v>
      </c>
      <c r="T145" s="11">
        <f>+VLOOKUP(M145,[1]Datos!$F:$H,3,FALSE)</f>
        <v>0</v>
      </c>
      <c r="U145" s="11">
        <v>2</v>
      </c>
      <c r="V145" s="19"/>
    </row>
    <row r="146" spans="1:22">
      <c r="A146" s="11" t="s">
        <v>25</v>
      </c>
      <c r="B146" s="11" t="s">
        <v>26</v>
      </c>
      <c r="C146" s="11">
        <v>1</v>
      </c>
      <c r="D146" s="11" t="s">
        <v>27</v>
      </c>
      <c r="E146" s="12" t="s">
        <v>226</v>
      </c>
      <c r="F146" s="12">
        <v>432</v>
      </c>
      <c r="G146" s="12" t="s">
        <v>227</v>
      </c>
      <c r="H146" s="46">
        <v>46282</v>
      </c>
      <c r="I146" s="46">
        <v>46282</v>
      </c>
      <c r="J146" s="15" t="str">
        <f>+VLOOKUP(K146,[1]Datos!$A:$C,3,FALSE)</f>
        <v>CENTRO ATLANTICO</v>
      </c>
      <c r="K146" s="29">
        <v>1</v>
      </c>
      <c r="L146" s="15" t="str">
        <f>+VLOOKUP(K146,[1]Datos!$A:$C,2,FALSE)</f>
        <v>FUNDACION</v>
      </c>
      <c r="M146" s="12">
        <v>314306</v>
      </c>
      <c r="N146" s="17" t="str">
        <f>+VLOOKUP(M146,[1]Datos!$F:$G,2,FALSE)</f>
        <v>Jennifer Noemi Soch Castro</v>
      </c>
      <c r="O146" s="18">
        <f>IFERROR(IF(A146="SI",VLOOKUP(R146,[1]Datos!$J$1:$K$50,2,FALSE)*C146,VLOOKUP(R146,[1]Datos!$P$1:$T$50,2,FALSE)*C146),0)</f>
        <v>1092</v>
      </c>
      <c r="P146" s="12">
        <v>315170</v>
      </c>
      <c r="Q146" s="17" t="str">
        <f>+VLOOKUP(P146,[1]Datos!$F:$G,2,FALSE)</f>
        <v>Ricardo Alexander Morales Moran</v>
      </c>
      <c r="R146" s="11" t="s">
        <v>97</v>
      </c>
      <c r="S146" s="11">
        <f t="shared" si="2"/>
        <v>1</v>
      </c>
      <c r="T146" s="11">
        <f>+VLOOKUP(M146,[1]Datos!$F:$H,3,FALSE)</f>
        <v>0</v>
      </c>
      <c r="U146" s="11">
        <v>0</v>
      </c>
      <c r="V146" s="19"/>
    </row>
    <row r="147" spans="1:22">
      <c r="A147" s="11" t="s">
        <v>25</v>
      </c>
      <c r="B147" s="11" t="s">
        <v>33</v>
      </c>
      <c r="C147" s="11">
        <v>4</v>
      </c>
      <c r="D147" s="11" t="s">
        <v>73</v>
      </c>
      <c r="E147" s="12" t="s">
        <v>45</v>
      </c>
      <c r="F147" s="17">
        <v>795</v>
      </c>
      <c r="G147" s="48" t="s">
        <v>228</v>
      </c>
      <c r="H147" s="46">
        <v>46282</v>
      </c>
      <c r="I147" s="46">
        <v>46282</v>
      </c>
      <c r="J147" s="15" t="str">
        <f>+VLOOKUP(K147,[1]Datos!$A:$C,3,FALSE)</f>
        <v>CENTRO ATLANTICO</v>
      </c>
      <c r="K147" s="29">
        <v>7</v>
      </c>
      <c r="L147" s="15" t="str">
        <f>+VLOOKUP(K147,[1]Datos!$A:$C,2,FALSE)</f>
        <v>ZONA 8</v>
      </c>
      <c r="M147" s="17">
        <v>90080262</v>
      </c>
      <c r="N147" s="17" t="str">
        <f>+VLOOKUP(M147,[1]Datos!$F:$G,2,FALSE)</f>
        <v xml:space="preserve">LIDIA LORENA TICAS HUINIL </v>
      </c>
      <c r="O147" s="18">
        <f>IFERROR(IF(A147="SI",VLOOKUP(R147,[1]Datos!$J$1:$K$50,2,FALSE)*C147,VLOOKUP(R147,[1]Datos!$P$1:$T$50,2,FALSE)*C147),0)</f>
        <v>3264</v>
      </c>
      <c r="P147" s="17">
        <v>90023863</v>
      </c>
      <c r="Q147" s="17" t="str">
        <f>+VLOOKUP(P147,[1]Datos!$F:$G,2,FALSE)</f>
        <v>Sandra Patricia Luna Rodriguez Miramontes</v>
      </c>
      <c r="R147" s="11" t="s">
        <v>30</v>
      </c>
      <c r="S147" s="11">
        <f t="shared" si="2"/>
        <v>1</v>
      </c>
      <c r="T147" s="11">
        <f>+VLOOKUP(M147,[1]Datos!$F:$H,3,FALSE)</f>
        <v>0</v>
      </c>
      <c r="U147" s="11">
        <v>0</v>
      </c>
      <c r="V147" s="19"/>
    </row>
    <row r="148" spans="1:22">
      <c r="A148" s="11" t="s">
        <v>25</v>
      </c>
      <c r="B148" s="11" t="s">
        <v>26</v>
      </c>
      <c r="C148" s="11">
        <v>4</v>
      </c>
      <c r="D148" s="11" t="s">
        <v>27</v>
      </c>
      <c r="E148" s="12" t="s">
        <v>45</v>
      </c>
      <c r="F148" s="12">
        <v>744</v>
      </c>
      <c r="G148" s="12" t="s">
        <v>229</v>
      </c>
      <c r="H148" s="46">
        <v>46282</v>
      </c>
      <c r="I148" s="46">
        <v>46282</v>
      </c>
      <c r="J148" s="15" t="str">
        <f>+VLOOKUP(K148,[1]Datos!$A:$C,3,FALSE)</f>
        <v>CENTRO ATLANTICO</v>
      </c>
      <c r="K148" s="22">
        <v>166</v>
      </c>
      <c r="L148" s="15" t="str">
        <f>+VLOOKUP(K148,[1]Datos!$A:$C,2,FALSE)</f>
        <v>23 CALLE</v>
      </c>
      <c r="M148" s="23">
        <v>90033849</v>
      </c>
      <c r="N148" s="17" t="str">
        <f>+VLOOKUP(M148,[1]Datos!$F:$G,2,FALSE)</f>
        <v>Paola Yanet Chet Martinez</v>
      </c>
      <c r="O148" s="18">
        <f>IFERROR(IF(A148="SI",VLOOKUP(R148,[1]Datos!$J$1:$K$50,2,FALSE)*C148,VLOOKUP(R148,[1]Datos!$P$1:$T$50,2,FALSE)*C148),0)</f>
        <v>3264</v>
      </c>
      <c r="P148" s="12">
        <v>314028</v>
      </c>
      <c r="Q148" s="17" t="str">
        <f>+VLOOKUP(P148,[1]Datos!$F:$G,2,FALSE)</f>
        <v>Cindy Paola Garcia Monroy</v>
      </c>
      <c r="R148" s="11" t="s">
        <v>30</v>
      </c>
      <c r="S148" s="11">
        <f t="shared" si="2"/>
        <v>1</v>
      </c>
      <c r="T148" s="11">
        <f>+VLOOKUP(M148,[1]Datos!$F:$H,3,FALSE)</f>
        <v>0</v>
      </c>
      <c r="U148" s="11">
        <v>0</v>
      </c>
      <c r="V148" s="19"/>
    </row>
    <row r="149" spans="1:22">
      <c r="A149" s="11" t="s">
        <v>25</v>
      </c>
      <c r="B149" s="11" t="s">
        <v>26</v>
      </c>
      <c r="C149" s="11">
        <v>4</v>
      </c>
      <c r="D149" s="11" t="s">
        <v>73</v>
      </c>
      <c r="E149" s="17" t="s">
        <v>230</v>
      </c>
      <c r="F149" s="17">
        <v>804</v>
      </c>
      <c r="G149" s="17" t="s">
        <v>231</v>
      </c>
      <c r="H149" s="46">
        <v>46282</v>
      </c>
      <c r="I149" s="46">
        <v>46282</v>
      </c>
      <c r="J149" s="15" t="str">
        <f>+VLOOKUP(K149,[1]Datos!$A:$C,3,FALSE)</f>
        <v>CENTRO ATLANTICO</v>
      </c>
      <c r="K149" s="22">
        <v>7</v>
      </c>
      <c r="L149" s="15" t="str">
        <f>+VLOOKUP(K149,[1]Datos!$A:$C,2,FALSE)</f>
        <v>ZONA 8</v>
      </c>
      <c r="M149" s="17">
        <v>90015672</v>
      </c>
      <c r="N149" s="17" t="str">
        <f>+VLOOKUP(M149,[1]Datos!$F:$G,2,FALSE)</f>
        <v>Erick Geovanny Castellanos Perez</v>
      </c>
      <c r="O149" s="18">
        <f>IFERROR(IF(A149="SI",VLOOKUP(R149,[1]Datos!$J$1:$K$50,2,FALSE)*C149,VLOOKUP(R149,[1]Datos!$P$1:$T$50,2,FALSE)*C149),0)</f>
        <v>3264</v>
      </c>
      <c r="P149" s="17">
        <v>90023863</v>
      </c>
      <c r="Q149" s="17" t="str">
        <f>+VLOOKUP(P149,[1]Datos!$F:$G,2,FALSE)</f>
        <v>Sandra Patricia Luna Rodriguez Miramontes</v>
      </c>
      <c r="R149" s="11" t="s">
        <v>30</v>
      </c>
      <c r="S149" s="11">
        <f t="shared" si="2"/>
        <v>1</v>
      </c>
      <c r="T149" s="11">
        <f>+VLOOKUP(M149,[1]Datos!$F:$H,3,FALSE)</f>
        <v>0</v>
      </c>
      <c r="U149" s="11">
        <v>0</v>
      </c>
      <c r="V149" s="19"/>
    </row>
    <row r="150" spans="1:22" ht="15.5">
      <c r="A150" s="11" t="s">
        <v>25</v>
      </c>
      <c r="B150" s="11" t="s">
        <v>33</v>
      </c>
      <c r="C150" s="11">
        <v>1</v>
      </c>
      <c r="D150" s="11" t="s">
        <v>27</v>
      </c>
      <c r="E150" s="12" t="s">
        <v>77</v>
      </c>
      <c r="F150" s="12">
        <v>4584</v>
      </c>
      <c r="G150" s="12" t="s">
        <v>232</v>
      </c>
      <c r="H150" s="46">
        <v>46282</v>
      </c>
      <c r="I150" s="46">
        <v>46282</v>
      </c>
      <c r="J150" s="15" t="str">
        <f>+VLOOKUP(K150,[1]Datos!$A:$C,3,FALSE)</f>
        <v>CENTRO ATLANTICO</v>
      </c>
      <c r="K150" s="22">
        <v>166</v>
      </c>
      <c r="L150" s="15" t="str">
        <f>+VLOOKUP(K150,[1]Datos!$A:$C,2,FALSE)</f>
        <v>23 CALLE</v>
      </c>
      <c r="M150" s="16">
        <v>90082796</v>
      </c>
      <c r="N150" s="17" t="str">
        <f>+VLOOKUP(M150,[1]Datos!$F:$G,2,FALSE)</f>
        <v>LILIBETH ALEGRIA</v>
      </c>
      <c r="O150" s="18">
        <f>IFERROR(IF(A150="SI",VLOOKUP(R150,[1]Datos!$J$1:$K$50,2,FALSE)*C150,VLOOKUP(R150,[1]Datos!$P$1:$T$50,2,FALSE)*C150),0)</f>
        <v>1368</v>
      </c>
      <c r="P150" s="44">
        <v>303971</v>
      </c>
      <c r="Q150" s="17" t="str">
        <f>+VLOOKUP(P150,[1]Datos!$F:$G,2,FALSE)</f>
        <v>Leidy Marisol Perez Arias</v>
      </c>
      <c r="R150" s="11" t="s">
        <v>41</v>
      </c>
      <c r="S150" s="11">
        <f t="shared" si="2"/>
        <v>1</v>
      </c>
      <c r="T150" s="11">
        <f>+VLOOKUP(M150,[1]Datos!$F:$H,3,FALSE)</f>
        <v>0</v>
      </c>
      <c r="U150" s="11">
        <v>0</v>
      </c>
      <c r="V150" s="19"/>
    </row>
    <row r="151" spans="1:22">
      <c r="A151" s="11" t="s">
        <v>25</v>
      </c>
      <c r="B151" s="11" t="s">
        <v>26</v>
      </c>
      <c r="C151" s="11">
        <v>4</v>
      </c>
      <c r="D151" s="11" t="s">
        <v>27</v>
      </c>
      <c r="E151" s="12" t="s">
        <v>48</v>
      </c>
      <c r="F151" s="12">
        <v>791</v>
      </c>
      <c r="G151" s="12" t="s">
        <v>233</v>
      </c>
      <c r="H151" s="46">
        <v>46282</v>
      </c>
      <c r="I151" s="46">
        <v>46282</v>
      </c>
      <c r="J151" s="15" t="str">
        <f>+VLOOKUP(K151,[1]Datos!$A:$C,3,FALSE)</f>
        <v>CENTRO ATLANTICO</v>
      </c>
      <c r="K151" s="22">
        <v>98</v>
      </c>
      <c r="L151" s="15" t="str">
        <f>+VLOOKUP(K151,[1]Datos!$A:$C,2,FALSE)</f>
        <v>CALLE MARTI</v>
      </c>
      <c r="M151" s="16">
        <v>316041</v>
      </c>
      <c r="N151" s="17" t="str">
        <f>+VLOOKUP(M151,[1]Datos!$F:$G,2,FALSE)</f>
        <v>Wendy Paola Salvatierra Garcia</v>
      </c>
      <c r="O151" s="18">
        <f>IFERROR(IF(A151="SI",VLOOKUP(R151,[1]Datos!$J$1:$K$50,2,FALSE)*C151,VLOOKUP(R151,[1]Datos!$P$1:$T$50,2,FALSE)*C151),0)</f>
        <v>21840</v>
      </c>
      <c r="P151" s="12">
        <v>315597</v>
      </c>
      <c r="Q151" s="17" t="str">
        <f>+VLOOKUP(P151,[1]Datos!$F:$G,2,FALSE)</f>
        <v>Edgar Jhonatan Contreras Garcia</v>
      </c>
      <c r="R151" s="11" t="s">
        <v>62</v>
      </c>
      <c r="S151" s="11">
        <f t="shared" si="2"/>
        <v>1</v>
      </c>
      <c r="T151" s="11">
        <f>+VLOOKUP(M151,[1]Datos!$F:$H,3,FALSE)</f>
        <v>0</v>
      </c>
      <c r="U151" s="11">
        <v>0</v>
      </c>
      <c r="V151" s="19"/>
    </row>
    <row r="152" spans="1:22">
      <c r="A152" s="11" t="s">
        <v>25</v>
      </c>
      <c r="B152" s="11" t="s">
        <v>33</v>
      </c>
      <c r="C152" s="11">
        <v>2</v>
      </c>
      <c r="D152" s="11" t="s">
        <v>27</v>
      </c>
      <c r="E152" s="12" t="s">
        <v>163</v>
      </c>
      <c r="F152" s="12">
        <v>1225</v>
      </c>
      <c r="G152" s="12" t="s">
        <v>234</v>
      </c>
      <c r="H152" s="46">
        <v>46282</v>
      </c>
      <c r="I152" s="46">
        <v>46282</v>
      </c>
      <c r="J152" s="15" t="str">
        <f>+VLOOKUP(K152,[1]Datos!$A:$C,3,FALSE)</f>
        <v>REFORMA</v>
      </c>
      <c r="K152" s="11">
        <v>12</v>
      </c>
      <c r="L152" s="15" t="str">
        <f>+VLOOKUP(K152,[1]Datos!$A:$C,2,FALSE)</f>
        <v>PLAZA FLORIDA</v>
      </c>
      <c r="M152" s="16">
        <v>315213</v>
      </c>
      <c r="N152" s="17" t="str">
        <f>+VLOOKUP(M152,[1]Datos!$F:$G,2,FALSE)</f>
        <v>Evelyn Susana Hernandez Ambrosio</v>
      </c>
      <c r="O152" s="18">
        <f>IFERROR(IF(A152="SI",VLOOKUP(R152,[1]Datos!$J$1:$K$50,2,FALSE)*C152,VLOOKUP(R152,[1]Datos!$P$1:$T$50,2,FALSE)*C152),0)</f>
        <v>1632</v>
      </c>
      <c r="P152" s="12">
        <v>315274</v>
      </c>
      <c r="Q152" s="17" t="str">
        <f>+VLOOKUP(P152,[1]Datos!$F:$G,2,FALSE)</f>
        <v>Karen Rubi Perez Calderon</v>
      </c>
      <c r="R152" s="11" t="s">
        <v>30</v>
      </c>
      <c r="S152" s="11">
        <f t="shared" si="2"/>
        <v>1</v>
      </c>
      <c r="T152" s="11">
        <f>+VLOOKUP(M152,[1]Datos!$F:$H,3,FALSE)</f>
        <v>0</v>
      </c>
      <c r="U152" s="11">
        <v>0</v>
      </c>
      <c r="V152" s="19"/>
    </row>
    <row r="153" spans="1:22">
      <c r="A153" s="11" t="s">
        <v>25</v>
      </c>
      <c r="B153" s="11" t="s">
        <v>26</v>
      </c>
      <c r="C153" s="11">
        <v>3</v>
      </c>
      <c r="D153" s="11" t="s">
        <v>27</v>
      </c>
      <c r="E153" s="49" t="s">
        <v>115</v>
      </c>
      <c r="F153" s="49">
        <v>648</v>
      </c>
      <c r="G153" s="21" t="s">
        <v>235</v>
      </c>
      <c r="H153" s="46">
        <v>46282</v>
      </c>
      <c r="I153" s="46">
        <v>46282</v>
      </c>
      <c r="J153" s="15" t="str">
        <f>+VLOOKUP(K153,[1]Datos!$A:$C,3,FALSE)</f>
        <v>CENTRO ATLANTICO</v>
      </c>
      <c r="K153" s="50">
        <v>302</v>
      </c>
      <c r="L153" s="15" t="str">
        <f>+VLOOKUP(K153,[1]Datos!$A:$C,2,FALSE)</f>
        <v>CENTRANORTE</v>
      </c>
      <c r="M153" s="51">
        <v>90065518</v>
      </c>
      <c r="N153" s="17" t="str">
        <f>+VLOOKUP(M153,[1]Datos!$F:$G,2,FALSE)</f>
        <v>Melani Sarai Avalos Orellana</v>
      </c>
      <c r="O153" s="18">
        <f>IFERROR(IF(A153="SI",VLOOKUP(R153,[1]Datos!$J$1:$K$50,2,FALSE)*C153,VLOOKUP(R153,[1]Datos!$P$1:$T$50,2,FALSE)*C153),0)</f>
        <v>4104</v>
      </c>
      <c r="P153" s="52">
        <v>313441</v>
      </c>
      <c r="Q153" s="17" t="str">
        <f>+VLOOKUP(P153,[1]Datos!$F:$G,2,FALSE)</f>
        <v>Moises Dario Flores Amaya</v>
      </c>
      <c r="R153" s="11" t="s">
        <v>41</v>
      </c>
      <c r="S153" s="11">
        <f t="shared" si="2"/>
        <v>1</v>
      </c>
      <c r="T153" s="11">
        <f>+VLOOKUP(M153,[1]Datos!$F:$H,3,FALSE)</f>
        <v>0</v>
      </c>
      <c r="U153" s="11">
        <v>0</v>
      </c>
      <c r="V153" s="19"/>
    </row>
    <row r="154" spans="1:22">
      <c r="A154" s="11" t="s">
        <v>25</v>
      </c>
      <c r="B154" s="11" t="s">
        <v>33</v>
      </c>
      <c r="C154" s="11">
        <v>4</v>
      </c>
      <c r="D154" s="11" t="s">
        <v>73</v>
      </c>
      <c r="E154" s="12" t="s">
        <v>45</v>
      </c>
      <c r="F154" s="12">
        <v>799</v>
      </c>
      <c r="G154" s="12" t="s">
        <v>236</v>
      </c>
      <c r="H154" s="46">
        <v>46282</v>
      </c>
      <c r="I154" s="46">
        <v>46282</v>
      </c>
      <c r="J154" s="15" t="str">
        <f>+VLOOKUP(K154,[1]Datos!$A:$C,3,FALSE)</f>
        <v>CENTRO ATLANTICO</v>
      </c>
      <c r="K154" s="22">
        <v>134</v>
      </c>
      <c r="L154" s="15" t="str">
        <f>+VLOOKUP(K154,[1]Datos!$A:$C,2,FALSE)</f>
        <v>GUASTATOYA</v>
      </c>
      <c r="M154" s="23">
        <v>90065411</v>
      </c>
      <c r="N154" s="17" t="str">
        <f>+VLOOKUP(M154,[1]Datos!$F:$G,2,FALSE)</f>
        <v>JOSELIN EDITH LOPEZ OLIVA</v>
      </c>
      <c r="O154" s="18">
        <f>IFERROR(IF(A154="SI",VLOOKUP(R154,[1]Datos!$J$1:$K$50,2,FALSE)*C154,VLOOKUP(R154,[1]Datos!$P$1:$T$50,2,FALSE)*C154),0)</f>
        <v>3264</v>
      </c>
      <c r="P154" s="12">
        <v>315408</v>
      </c>
      <c r="Q154" s="17" t="str">
        <f>+VLOOKUP(P154,[1]Datos!$F:$G,2,FALSE)</f>
        <v>Sandy Suset Morales Barrientos</v>
      </c>
      <c r="R154" s="11" t="s">
        <v>30</v>
      </c>
      <c r="S154" s="11">
        <f t="shared" si="2"/>
        <v>1</v>
      </c>
      <c r="T154" s="11">
        <f>+VLOOKUP(M154,[1]Datos!$F:$H,3,FALSE)</f>
        <v>0</v>
      </c>
      <c r="U154" s="11">
        <v>0</v>
      </c>
      <c r="V154" s="19"/>
    </row>
    <row r="155" spans="1:22" ht="15.5">
      <c r="A155" s="11" t="s">
        <v>25</v>
      </c>
      <c r="B155" s="11" t="s">
        <v>26</v>
      </c>
      <c r="C155" s="11">
        <v>2</v>
      </c>
      <c r="D155" s="11" t="s">
        <v>27</v>
      </c>
      <c r="E155" s="12" t="s">
        <v>163</v>
      </c>
      <c r="F155" s="12">
        <v>1301</v>
      </c>
      <c r="G155" s="12" t="s">
        <v>237</v>
      </c>
      <c r="H155" s="46">
        <v>46282</v>
      </c>
      <c r="I155" s="46">
        <v>46282</v>
      </c>
      <c r="J155" s="15" t="str">
        <f>+VLOOKUP(K155,[1]Datos!$A:$C,3,FALSE)</f>
        <v>CENTRO ATLANTICO</v>
      </c>
      <c r="K155" s="22">
        <v>302</v>
      </c>
      <c r="L155" s="15" t="str">
        <f>+VLOOKUP(K155,[1]Datos!$A:$C,2,FALSE)</f>
        <v>CENTRANORTE</v>
      </c>
      <c r="M155" s="12">
        <v>90086932</v>
      </c>
      <c r="N155" s="17" t="str">
        <f>+VLOOKUP(M155,[1]Datos!$F:$G,2,FALSE)</f>
        <v>MARITZA NOEMI LOPEZ LIMA</v>
      </c>
      <c r="O155" s="18">
        <f>IFERROR(IF(A155="SI",VLOOKUP(R155,[1]Datos!$J$1:$K$50,2,FALSE)*C155,VLOOKUP(R155,[1]Datos!$P$1:$T$50,2,FALSE)*C155),0)</f>
        <v>2736</v>
      </c>
      <c r="P155" s="33">
        <v>312178</v>
      </c>
      <c r="Q155" s="17" t="str">
        <f>+VLOOKUP(P155,[1]Datos!$F:$G,2,FALSE)</f>
        <v>Keyla Cristy Dubon Pernillo</v>
      </c>
      <c r="R155" s="11" t="s">
        <v>41</v>
      </c>
      <c r="S155" s="11">
        <f t="shared" si="2"/>
        <v>1</v>
      </c>
      <c r="T155" s="11">
        <f>+VLOOKUP(M155,[1]Datos!$F:$H,3,FALSE)</f>
        <v>0</v>
      </c>
      <c r="U155" s="11">
        <v>0</v>
      </c>
      <c r="V155" s="19"/>
    </row>
    <row r="156" spans="1:22" ht="15.5">
      <c r="A156" s="11" t="s">
        <v>25</v>
      </c>
      <c r="B156" s="11" t="s">
        <v>26</v>
      </c>
      <c r="C156" s="11">
        <v>1</v>
      </c>
      <c r="D156" s="11" t="s">
        <v>27</v>
      </c>
      <c r="E156" s="12" t="s">
        <v>77</v>
      </c>
      <c r="F156" s="12">
        <v>4589</v>
      </c>
      <c r="G156" s="12" t="s">
        <v>238</v>
      </c>
      <c r="H156" s="46">
        <v>46282</v>
      </c>
      <c r="I156" s="46">
        <v>46282</v>
      </c>
      <c r="J156" s="15" t="str">
        <f>+VLOOKUP(K156,[1]Datos!$A:$C,3,FALSE)</f>
        <v>CENTRO ATLANTICO</v>
      </c>
      <c r="K156" s="22">
        <v>302</v>
      </c>
      <c r="L156" s="15" t="str">
        <f>+VLOOKUP(K156,[1]Datos!$A:$C,2,FALSE)</f>
        <v>CENTRANORTE</v>
      </c>
      <c r="M156" s="12">
        <v>90084299</v>
      </c>
      <c r="N156" s="17" t="str">
        <f>+VLOOKUP(M156,[1]Datos!$F:$G,2,FALSE)</f>
        <v xml:space="preserve">ENRIQUE MARDOQUEO AGUILAR RODRIGUEZ </v>
      </c>
      <c r="O156" s="18">
        <f>IFERROR(IF(A156="SI",VLOOKUP(R156,[1]Datos!$J$1:$K$50,2,FALSE)*C156,VLOOKUP(R156,[1]Datos!$P$1:$T$50,2,FALSE)*C156),0)</f>
        <v>1368</v>
      </c>
      <c r="P156" s="33">
        <v>312178</v>
      </c>
      <c r="Q156" s="17" t="str">
        <f>+VLOOKUP(P156,[1]Datos!$F:$G,2,FALSE)</f>
        <v>Keyla Cristy Dubon Pernillo</v>
      </c>
      <c r="R156" s="11" t="s">
        <v>41</v>
      </c>
      <c r="S156" s="11">
        <f t="shared" si="2"/>
        <v>1</v>
      </c>
      <c r="T156" s="11">
        <f>+VLOOKUP(M156,[1]Datos!$F:$H,3,FALSE)</f>
        <v>0</v>
      </c>
      <c r="U156" s="11">
        <v>0</v>
      </c>
      <c r="V156" s="19"/>
    </row>
    <row r="157" spans="1:22">
      <c r="A157" s="11" t="s">
        <v>25</v>
      </c>
      <c r="B157" s="11" t="s">
        <v>33</v>
      </c>
      <c r="C157" s="11">
        <v>4</v>
      </c>
      <c r="D157" s="11" t="s">
        <v>27</v>
      </c>
      <c r="E157" s="12" t="s">
        <v>45</v>
      </c>
      <c r="F157" s="12">
        <v>790</v>
      </c>
      <c r="G157" s="12" t="s">
        <v>239</v>
      </c>
      <c r="H157" s="46">
        <v>46282</v>
      </c>
      <c r="I157" s="46">
        <v>46282</v>
      </c>
      <c r="J157" s="15" t="str">
        <f>+VLOOKUP(K157,[1]Datos!$A:$C,3,FALSE)</f>
        <v>CENTRO ATLANTICO</v>
      </c>
      <c r="K157" s="11">
        <v>87</v>
      </c>
      <c r="L157" s="15" t="str">
        <f>+VLOOKUP(K157,[1]Datos!$A:$C,2,FALSE)</f>
        <v>EL NARANJO</v>
      </c>
      <c r="M157" s="17">
        <v>303594</v>
      </c>
      <c r="N157" s="17" t="str">
        <f>+VLOOKUP(M157,[1]Datos!$F:$G,2,FALSE)</f>
        <v>Ligia Iveth Marroquin Lechuga</v>
      </c>
      <c r="O157" s="18">
        <f>IFERROR(IF(A157="SI",VLOOKUP(R157,[1]Datos!$J$1:$K$50,2,FALSE)*C157,VLOOKUP(R157,[1]Datos!$P$1:$T$50,2,FALSE)*C157),0)</f>
        <v>3264</v>
      </c>
      <c r="P157" s="12">
        <v>310538</v>
      </c>
      <c r="Q157" s="17" t="str">
        <f>+VLOOKUP(P157,[1]Datos!$F:$G,2,FALSE)</f>
        <v>Kevin Orlando Ventura Lopez</v>
      </c>
      <c r="R157" s="11" t="s">
        <v>30</v>
      </c>
      <c r="S157" s="11">
        <f t="shared" si="2"/>
        <v>1</v>
      </c>
      <c r="T157" s="11">
        <f>+VLOOKUP(M157,[1]Datos!$F:$H,3,FALSE)</f>
        <v>0</v>
      </c>
      <c r="U157" s="11">
        <v>0</v>
      </c>
      <c r="V157" s="19"/>
    </row>
    <row r="158" spans="1:22">
      <c r="A158" s="11" t="s">
        <v>25</v>
      </c>
      <c r="B158" s="11" t="s">
        <v>33</v>
      </c>
      <c r="E158" s="12"/>
      <c r="F158" s="12"/>
      <c r="G158" s="12"/>
      <c r="H158" s="14"/>
      <c r="I158" s="14"/>
      <c r="J158" s="15" t="e">
        <f>+VLOOKUP(K158,[1]Datos!$A:$C,3,FALSE)</f>
        <v>#N/A</v>
      </c>
      <c r="L158" s="15" t="e">
        <f>+VLOOKUP(K158,[1]Datos!$A:$C,2,FALSE)</f>
        <v>#N/A</v>
      </c>
      <c r="M158" s="12"/>
      <c r="N158" s="17" t="e">
        <f>+VLOOKUP(M158,[1]Datos!$F:$G,2,FALSE)</f>
        <v>#N/A</v>
      </c>
      <c r="O158" s="18">
        <f>IFERROR(IF(A158="SI",VLOOKUP(R158,[1]Datos!$J$1:$K$50,2,FALSE)*C158,VLOOKUP(R158,[1]Datos!$P$1:$T$50,2,FALSE)*C158),0)</f>
        <v>0</v>
      </c>
      <c r="P158" s="17"/>
      <c r="Q158" s="17" t="e">
        <f>+VLOOKUP(P158,[1]Datos!$F:$G,2,FALSE)</f>
        <v>#N/A</v>
      </c>
      <c r="R158" s="11" t="s">
        <v>30</v>
      </c>
      <c r="S158" s="11">
        <f t="shared" si="2"/>
        <v>0</v>
      </c>
      <c r="T158" s="11" t="e">
        <f>+VLOOKUP(M158,[1]Datos!$F:$H,3,FALSE)</f>
        <v>#N/A</v>
      </c>
      <c r="U158" s="11">
        <v>0</v>
      </c>
      <c r="V158" s="19"/>
    </row>
    <row r="159" spans="1:22">
      <c r="A159" s="11" t="s">
        <v>25</v>
      </c>
      <c r="B159" s="11" t="s">
        <v>33</v>
      </c>
      <c r="E159" s="12"/>
      <c r="F159" s="12"/>
      <c r="G159" s="12"/>
      <c r="H159" s="14"/>
      <c r="I159" s="14"/>
      <c r="J159" s="15" t="e">
        <f>+VLOOKUP(K159,[1]Datos!$A:$C,3,FALSE)</f>
        <v>#N/A</v>
      </c>
      <c r="K159" s="22"/>
      <c r="L159" s="15" t="e">
        <f>+VLOOKUP(K159,[1]Datos!$A:$C,2,FALSE)</f>
        <v>#N/A</v>
      </c>
      <c r="M159" s="17"/>
      <c r="N159" s="17" t="e">
        <f>+VLOOKUP(M159,[1]Datos!$F:$G,2,FALSE)</f>
        <v>#N/A</v>
      </c>
      <c r="O159" s="18">
        <f>IFERROR(IF(A159="SI",VLOOKUP(R159,[1]Datos!$J$1:$K$50,2,FALSE)*C159,VLOOKUP(R159,[1]Datos!$P$1:$T$50,2,FALSE)*C159),0)</f>
        <v>0</v>
      </c>
      <c r="P159" s="12"/>
      <c r="Q159" s="17" t="e">
        <f>+VLOOKUP(P159,[1]Datos!$F:$G,2,FALSE)</f>
        <v>#N/A</v>
      </c>
      <c r="R159" s="11" t="s">
        <v>30</v>
      </c>
      <c r="S159" s="11">
        <f t="shared" si="2"/>
        <v>0</v>
      </c>
      <c r="T159" s="11" t="e">
        <f>+VLOOKUP(M159,[1]Datos!$F:$H,3,FALSE)</f>
        <v>#N/A</v>
      </c>
      <c r="U159" s="11">
        <v>0</v>
      </c>
      <c r="V159" s="19"/>
    </row>
    <row r="160" spans="1:22">
      <c r="A160" s="11" t="s">
        <v>25</v>
      </c>
      <c r="B160" s="11" t="s">
        <v>33</v>
      </c>
      <c r="E160" s="12"/>
      <c r="F160" s="12"/>
      <c r="G160" s="12"/>
      <c r="H160" s="13"/>
      <c r="I160" s="14"/>
      <c r="J160" s="15" t="e">
        <f>+VLOOKUP(K160,[1]Datos!$A:$C,3,FALSE)</f>
        <v>#N/A</v>
      </c>
      <c r="K160" s="22"/>
      <c r="L160" s="15" t="e">
        <f>+VLOOKUP(K160,[1]Datos!$A:$C,2,FALSE)</f>
        <v>#N/A</v>
      </c>
      <c r="M160" s="12"/>
      <c r="N160" s="17" t="e">
        <f>+VLOOKUP(M160,[1]Datos!$F:$G,2,FALSE)</f>
        <v>#N/A</v>
      </c>
      <c r="O160" s="18">
        <f>IFERROR(IF(A160="SI",VLOOKUP(R160,[1]Datos!$J$1:$K$50,2,FALSE)*C160,VLOOKUP(R160,[1]Datos!$P$1:$T$50,2,FALSE)*C160),0)</f>
        <v>0</v>
      </c>
      <c r="P160" s="17"/>
      <c r="Q160" s="17" t="e">
        <f>+VLOOKUP(P160,[1]Datos!$F:$G,2,FALSE)</f>
        <v>#N/A</v>
      </c>
      <c r="R160" s="11" t="s">
        <v>30</v>
      </c>
      <c r="S160" s="11">
        <f t="shared" si="2"/>
        <v>0</v>
      </c>
      <c r="T160" s="11" t="e">
        <f>+VLOOKUP(M160,[1]Datos!$F:$H,3,FALSE)</f>
        <v>#N/A</v>
      </c>
      <c r="U160" s="11">
        <v>0</v>
      </c>
      <c r="V160" s="19"/>
    </row>
    <row r="161" spans="1:22">
      <c r="A161" s="11" t="s">
        <v>25</v>
      </c>
      <c r="B161" s="11" t="s">
        <v>33</v>
      </c>
      <c r="E161" s="20"/>
      <c r="F161" s="20"/>
      <c r="G161" s="20"/>
      <c r="H161" s="14"/>
      <c r="I161" s="14"/>
      <c r="J161" s="15" t="e">
        <f>+VLOOKUP(K161,[1]Datos!$A:$C,3,FALSE)</f>
        <v>#N/A</v>
      </c>
      <c r="K161" s="22"/>
      <c r="L161" s="15" t="e">
        <f>+VLOOKUP(K161,[1]Datos!$A:$C,2,FALSE)</f>
        <v>#N/A</v>
      </c>
      <c r="M161" s="17"/>
      <c r="N161" s="17" t="e">
        <f>+VLOOKUP(M161,[1]Datos!$F:$G,2,FALSE)</f>
        <v>#N/A</v>
      </c>
      <c r="O161" s="18">
        <f>IFERROR(IF(A161="SI",VLOOKUP(R161,[1]Datos!$J$1:$K$50,2,FALSE)*C161,VLOOKUP(R161,[1]Datos!$P$1:$T$50,2,FALSE)*C161),0)</f>
        <v>0</v>
      </c>
      <c r="P161" s="17"/>
      <c r="Q161" s="17" t="e">
        <f>+VLOOKUP(P161,[1]Datos!$F:$G,2,FALSE)</f>
        <v>#N/A</v>
      </c>
      <c r="R161" s="11" t="s">
        <v>30</v>
      </c>
      <c r="S161" s="11">
        <f t="shared" si="2"/>
        <v>0</v>
      </c>
      <c r="T161" s="11" t="e">
        <f>+VLOOKUP(M161,[1]Datos!$F:$H,3,FALSE)</f>
        <v>#N/A</v>
      </c>
      <c r="U161" s="11">
        <v>0</v>
      </c>
      <c r="V161" s="19"/>
    </row>
    <row r="162" spans="1:22">
      <c r="A162" s="11" t="s">
        <v>111</v>
      </c>
      <c r="B162" s="11" t="s">
        <v>33</v>
      </c>
      <c r="E162" s="12"/>
      <c r="F162" s="12"/>
      <c r="G162" s="12"/>
      <c r="H162" s="14"/>
      <c r="I162" s="14"/>
      <c r="J162" s="15" t="e">
        <f>+VLOOKUP(K162,[1]Datos!$A:$C,3,FALSE)</f>
        <v>#N/A</v>
      </c>
      <c r="K162" s="22"/>
      <c r="L162" s="15" t="e">
        <f>+VLOOKUP(K162,[1]Datos!$A:$C,2,FALSE)</f>
        <v>#N/A</v>
      </c>
      <c r="M162" s="12"/>
      <c r="N162" s="17" t="e">
        <f>+VLOOKUP(M162,[1]Datos!$F:$G,2,FALSE)</f>
        <v>#N/A</v>
      </c>
      <c r="O162" s="18">
        <f>IFERROR(IF(A162="SI",VLOOKUP(R162,[1]Datos!$J$1:$K$50,2,FALSE)*C162,VLOOKUP(R162,[1]Datos!$P$1:$T$50,2,FALSE)*C162),0)</f>
        <v>0</v>
      </c>
      <c r="P162" s="12"/>
      <c r="Q162" s="17" t="e">
        <f>+VLOOKUP(P162,[1]Datos!$F:$G,2,FALSE)</f>
        <v>#N/A</v>
      </c>
      <c r="R162" s="11" t="s">
        <v>138</v>
      </c>
      <c r="S162" s="11">
        <f t="shared" si="2"/>
        <v>0</v>
      </c>
      <c r="T162" s="11" t="e">
        <f>+VLOOKUP(M162,[1]Datos!$F:$H,3,FALSE)</f>
        <v>#N/A</v>
      </c>
      <c r="U162" s="11">
        <v>0</v>
      </c>
      <c r="V162" s="19"/>
    </row>
    <row r="163" spans="1:22">
      <c r="A163" s="11" t="s">
        <v>25</v>
      </c>
      <c r="B163" s="11" t="s">
        <v>26</v>
      </c>
      <c r="E163" s="12"/>
      <c r="F163" s="12"/>
      <c r="G163" s="12"/>
      <c r="H163" s="14"/>
      <c r="I163" s="14"/>
      <c r="J163" s="15" t="e">
        <f>+VLOOKUP(K163,[1]Datos!$A:$C,3,FALSE)</f>
        <v>#N/A</v>
      </c>
      <c r="K163" s="22"/>
      <c r="L163" s="15" t="e">
        <f>+VLOOKUP(K163,[1]Datos!$A:$C,2,FALSE)</f>
        <v>#N/A</v>
      </c>
      <c r="M163" s="17"/>
      <c r="N163" s="17" t="e">
        <f>+VLOOKUP(M163,[1]Datos!$F:$G,2,FALSE)</f>
        <v>#N/A</v>
      </c>
      <c r="O163" s="18">
        <f>IFERROR(IF(A163="SI",VLOOKUP(R163,[1]Datos!$J$1:$K$50,2,FALSE)*C163,VLOOKUP(R163,[1]Datos!$P$1:$T$50,2,FALSE)*C163),0)</f>
        <v>0</v>
      </c>
      <c r="P163" s="12"/>
      <c r="Q163" s="17" t="e">
        <f>+VLOOKUP(P163,[1]Datos!$F:$G,2,FALSE)</f>
        <v>#N/A</v>
      </c>
      <c r="R163" s="11" t="s">
        <v>60</v>
      </c>
      <c r="S163" s="11">
        <f t="shared" si="2"/>
        <v>0</v>
      </c>
      <c r="T163" s="11" t="e">
        <f>+VLOOKUP(M163,[1]Datos!$F:$H,3,FALSE)</f>
        <v>#N/A</v>
      </c>
      <c r="U163" s="11">
        <v>0</v>
      </c>
      <c r="V163" s="19"/>
    </row>
    <row r="164" spans="1:22">
      <c r="A164" s="11" t="s">
        <v>25</v>
      </c>
      <c r="B164" s="11" t="s">
        <v>33</v>
      </c>
      <c r="E164" s="12"/>
      <c r="F164" s="12"/>
      <c r="G164" s="12"/>
      <c r="H164" s="14"/>
      <c r="I164" s="14"/>
      <c r="J164" s="15" t="e">
        <f>+VLOOKUP(K164,[1]Datos!$A:$C,3,FALSE)</f>
        <v>#N/A</v>
      </c>
      <c r="K164" s="22"/>
      <c r="L164" s="15" t="e">
        <f>+VLOOKUP(K164,[1]Datos!$A:$C,2,FALSE)</f>
        <v>#N/A</v>
      </c>
      <c r="M164" s="23"/>
      <c r="N164" s="17" t="e">
        <f>+VLOOKUP(M164,[1]Datos!$F:$G,2,FALSE)</f>
        <v>#N/A</v>
      </c>
      <c r="O164" s="18">
        <f>IFERROR(IF(A164="SI",VLOOKUP(R164,[1]Datos!$J$1:$K$50,2,FALSE)*C164,VLOOKUP(R164,[1]Datos!$P$1:$T$50,2,FALSE)*C164),0)</f>
        <v>0</v>
      </c>
      <c r="P164" s="12"/>
      <c r="Q164" s="17" t="e">
        <f>+VLOOKUP(P164,[1]Datos!$F:$G,2,FALSE)</f>
        <v>#N/A</v>
      </c>
      <c r="R164" s="11" t="s">
        <v>30</v>
      </c>
      <c r="S164" s="11">
        <f t="shared" si="2"/>
        <v>0</v>
      </c>
      <c r="T164" s="11" t="e">
        <f>+VLOOKUP(M164,[1]Datos!$F:$H,3,FALSE)</f>
        <v>#N/A</v>
      </c>
      <c r="U164" s="11">
        <v>0</v>
      </c>
      <c r="V164" s="19"/>
    </row>
    <row r="165" spans="1:22">
      <c r="A165" s="11" t="s">
        <v>25</v>
      </c>
      <c r="B165" s="11" t="s">
        <v>33</v>
      </c>
      <c r="E165" s="12"/>
      <c r="F165" s="12"/>
      <c r="G165" s="12"/>
      <c r="H165" s="14"/>
      <c r="I165" s="14"/>
      <c r="J165" s="15" t="e">
        <f>+VLOOKUP(K165,[1]Datos!$A:$C,3,FALSE)</f>
        <v>#N/A</v>
      </c>
      <c r="L165" s="15" t="e">
        <f>+VLOOKUP(K165,[1]Datos!$A:$C,2,FALSE)</f>
        <v>#N/A</v>
      </c>
      <c r="M165" s="16"/>
      <c r="N165" s="17" t="e">
        <f>+VLOOKUP(M165,[1]Datos!$F:$G,2,FALSE)</f>
        <v>#N/A</v>
      </c>
      <c r="O165" s="18">
        <f>IFERROR(IF(A165="SI",VLOOKUP(R165,[1]Datos!$J$1:$K$50,2,FALSE)*C165,VLOOKUP(R165,[1]Datos!$P$1:$T$50,2,FALSE)*C165),0)</f>
        <v>0</v>
      </c>
      <c r="P165" s="12"/>
      <c r="Q165" s="17" t="e">
        <f>+VLOOKUP(P165,[1]Datos!$F:$G,2,FALSE)</f>
        <v>#N/A</v>
      </c>
      <c r="R165" s="11" t="s">
        <v>30</v>
      </c>
      <c r="S165" s="11">
        <f t="shared" si="2"/>
        <v>0</v>
      </c>
      <c r="T165" s="11" t="e">
        <f>+VLOOKUP(M165,[1]Datos!$F:$H,3,FALSE)</f>
        <v>#N/A</v>
      </c>
      <c r="U165" s="11">
        <v>0</v>
      </c>
      <c r="V165" s="19"/>
    </row>
    <row r="166" spans="1:22">
      <c r="A166" s="11" t="s">
        <v>25</v>
      </c>
      <c r="B166" s="11" t="s">
        <v>26</v>
      </c>
      <c r="E166" s="12"/>
      <c r="F166" s="12"/>
      <c r="G166" s="12"/>
      <c r="H166" s="14"/>
      <c r="I166" s="14"/>
      <c r="J166" s="15" t="e">
        <f>+VLOOKUP(K166,[1]Datos!$A:$C,3,FALSE)</f>
        <v>#N/A</v>
      </c>
      <c r="K166" s="22"/>
      <c r="L166" s="15" t="e">
        <f>+VLOOKUP(K166,[1]Datos!$A:$C,2,FALSE)</f>
        <v>#N/A</v>
      </c>
      <c r="M166" s="12"/>
      <c r="N166" s="17" t="e">
        <f>+VLOOKUP(M166,[1]Datos!$F:$G,2,FALSE)</f>
        <v>#N/A</v>
      </c>
      <c r="O166" s="18">
        <f>IFERROR(IF(A166="SI",VLOOKUP(R166,[1]Datos!$J$1:$K$50,2,FALSE)*C166,VLOOKUP(R166,[1]Datos!$P$1:$T$50,2,FALSE)*C166),0)</f>
        <v>0</v>
      </c>
      <c r="P166" s="17"/>
      <c r="Q166" s="17" t="e">
        <f>+VLOOKUP(P166,[1]Datos!$F:$G,2,FALSE)</f>
        <v>#N/A</v>
      </c>
      <c r="R166" s="11" t="s">
        <v>41</v>
      </c>
      <c r="S166" s="11">
        <f t="shared" si="2"/>
        <v>0</v>
      </c>
      <c r="T166" s="11" t="e">
        <f>+VLOOKUP(M166,[1]Datos!$F:$H,3,FALSE)</f>
        <v>#N/A</v>
      </c>
      <c r="U166" s="11">
        <v>0</v>
      </c>
      <c r="V166" s="19"/>
    </row>
    <row r="167" spans="1:22">
      <c r="A167" s="11" t="s">
        <v>25</v>
      </c>
      <c r="B167" s="11" t="s">
        <v>33</v>
      </c>
      <c r="E167" s="12"/>
      <c r="F167" s="12"/>
      <c r="G167" s="12"/>
      <c r="H167" s="14"/>
      <c r="I167" s="14"/>
      <c r="J167" s="15" t="e">
        <f>+VLOOKUP(K167,[1]Datos!$A:$C,3,FALSE)</f>
        <v>#N/A</v>
      </c>
      <c r="K167" s="22"/>
      <c r="L167" s="15" t="e">
        <f>+VLOOKUP(K167,[1]Datos!$A:$C,2,FALSE)</f>
        <v>#N/A</v>
      </c>
      <c r="M167" s="23"/>
      <c r="N167" s="17" t="e">
        <f>+VLOOKUP(M167,[1]Datos!$F:$G,2,FALSE)</f>
        <v>#N/A</v>
      </c>
      <c r="O167" s="18">
        <f>IFERROR(IF(A167="SI",VLOOKUP(R167,[1]Datos!$J$1:$K$50,2,FALSE)*C167,VLOOKUP(R167,[1]Datos!$P$1:$T$50,2,FALSE)*C167),0)</f>
        <v>0</v>
      </c>
      <c r="P167" s="12"/>
      <c r="Q167" s="17" t="e">
        <f>+VLOOKUP(P167,[1]Datos!$F:$G,2,FALSE)</f>
        <v>#N/A</v>
      </c>
      <c r="R167" s="11" t="s">
        <v>67</v>
      </c>
      <c r="S167" s="11">
        <f t="shared" si="2"/>
        <v>0</v>
      </c>
      <c r="T167" s="11" t="e">
        <f>+VLOOKUP(M167,[1]Datos!$F:$H,3,FALSE)</f>
        <v>#N/A</v>
      </c>
      <c r="U167" s="11">
        <v>0</v>
      </c>
      <c r="V167" s="19"/>
    </row>
    <row r="168" spans="1:22">
      <c r="A168" s="11" t="s">
        <v>25</v>
      </c>
      <c r="B168" s="11" t="s">
        <v>33</v>
      </c>
      <c r="E168" s="12"/>
      <c r="F168" s="12"/>
      <c r="G168" s="12"/>
      <c r="H168" s="13"/>
      <c r="I168" s="14"/>
      <c r="J168" s="15" t="e">
        <f>+VLOOKUP(K168,[1]Datos!$A:$C,3,FALSE)</f>
        <v>#N/A</v>
      </c>
      <c r="K168" s="22"/>
      <c r="L168" s="15" t="e">
        <f>+VLOOKUP(K168,[1]Datos!$A:$C,2,FALSE)</f>
        <v>#N/A</v>
      </c>
      <c r="M168" s="23"/>
      <c r="N168" s="17" t="e">
        <f>+VLOOKUP(M168,[1]Datos!$F:$G,2,FALSE)</f>
        <v>#N/A</v>
      </c>
      <c r="O168" s="18">
        <f>IFERROR(IF(A168="SI",VLOOKUP(R168,[1]Datos!$J$1:$K$50,2,FALSE)*C168,VLOOKUP(R168,[1]Datos!$P$1:$T$50,2,FALSE)*C168),0)</f>
        <v>0</v>
      </c>
      <c r="P168" s="12"/>
      <c r="Q168" s="17" t="e">
        <f>+VLOOKUP(P168,[1]Datos!$F:$G,2,FALSE)</f>
        <v>#N/A</v>
      </c>
      <c r="R168" s="11" t="s">
        <v>30</v>
      </c>
      <c r="S168" s="11">
        <f t="shared" si="2"/>
        <v>0</v>
      </c>
      <c r="T168" s="11" t="e">
        <f>+VLOOKUP(M168,[1]Datos!$F:$H,3,FALSE)</f>
        <v>#N/A</v>
      </c>
      <c r="U168" s="11">
        <v>0</v>
      </c>
      <c r="V168" s="19"/>
    </row>
    <row r="169" spans="1:22">
      <c r="A169" s="11" t="s">
        <v>25</v>
      </c>
      <c r="B169" s="11" t="s">
        <v>33</v>
      </c>
      <c r="E169" s="12"/>
      <c r="F169" s="12"/>
      <c r="G169" s="12"/>
      <c r="H169" s="14"/>
      <c r="I169" s="14"/>
      <c r="J169" s="15" t="e">
        <f>+VLOOKUP(K169,[1]Datos!$A:$C,3,FALSE)</f>
        <v>#N/A</v>
      </c>
      <c r="L169" s="15" t="e">
        <f>+VLOOKUP(K169,[1]Datos!$A:$C,2,FALSE)</f>
        <v>#N/A</v>
      </c>
      <c r="M169" s="12"/>
      <c r="N169" s="17" t="e">
        <f>+VLOOKUP(M169,[1]Datos!$F:$G,2,FALSE)</f>
        <v>#N/A</v>
      </c>
      <c r="O169" s="18">
        <f>IFERROR(IF(A169="SI",VLOOKUP(R169,[1]Datos!$J$1:$K$50,2,FALSE)*C169,VLOOKUP(R169,[1]Datos!$P$1:$T$50,2,FALSE)*C169),0)</f>
        <v>0</v>
      </c>
      <c r="P169" s="12"/>
      <c r="Q169" s="17" t="e">
        <f>+VLOOKUP(P169,[1]Datos!$F:$G,2,FALSE)</f>
        <v>#N/A</v>
      </c>
      <c r="R169" s="11" t="s">
        <v>30</v>
      </c>
      <c r="S169" s="11">
        <f t="shared" si="2"/>
        <v>0</v>
      </c>
      <c r="T169" s="11" t="e">
        <f>+VLOOKUP(M169,[1]Datos!$F:$H,3,FALSE)</f>
        <v>#N/A</v>
      </c>
      <c r="U169" s="11">
        <v>0</v>
      </c>
      <c r="V169" s="19"/>
    </row>
    <row r="170" spans="1:22">
      <c r="A170" s="11" t="s">
        <v>25</v>
      </c>
      <c r="B170" s="11" t="s">
        <v>26</v>
      </c>
      <c r="E170" s="12"/>
      <c r="F170" s="12"/>
      <c r="G170" s="53"/>
      <c r="H170" s="14"/>
      <c r="I170" s="14"/>
      <c r="J170" s="15" t="e">
        <f>+VLOOKUP(K170,[1]Datos!$A:$C,3,FALSE)</f>
        <v>#N/A</v>
      </c>
      <c r="K170" s="22"/>
      <c r="L170" s="15" t="e">
        <f>+VLOOKUP(K170,[1]Datos!$A:$C,2,FALSE)</f>
        <v>#N/A</v>
      </c>
      <c r="M170" s="12"/>
      <c r="N170" s="17" t="e">
        <f>+VLOOKUP(M170,[1]Datos!$F:$G,2,FALSE)</f>
        <v>#N/A</v>
      </c>
      <c r="O170" s="18">
        <f>IFERROR(IF(A170="SI",VLOOKUP(R170,[1]Datos!$J$1:$K$50,2,FALSE)*C170,VLOOKUP(R170,[1]Datos!$P$1:$T$50,2,FALSE)*C170),0)</f>
        <v>0</v>
      </c>
      <c r="P170" s="17"/>
      <c r="Q170" s="17" t="e">
        <f>+VLOOKUP(P170,[1]Datos!$F:$G,2,FALSE)</f>
        <v>#N/A</v>
      </c>
      <c r="R170" s="11" t="s">
        <v>41</v>
      </c>
      <c r="S170" s="11">
        <f t="shared" si="2"/>
        <v>0</v>
      </c>
      <c r="T170" s="11" t="e">
        <f>+VLOOKUP(M170,[1]Datos!$F:$H,3,FALSE)</f>
        <v>#N/A</v>
      </c>
      <c r="U170" s="11">
        <v>0</v>
      </c>
      <c r="V170" s="19"/>
    </row>
    <row r="171" spans="1:22">
      <c r="A171" s="11" t="s">
        <v>25</v>
      </c>
      <c r="B171" s="11" t="s">
        <v>26</v>
      </c>
      <c r="E171" s="12"/>
      <c r="F171" s="12"/>
      <c r="G171" s="53"/>
      <c r="H171" s="14"/>
      <c r="I171" s="14"/>
      <c r="J171" s="15" t="e">
        <f>+VLOOKUP(K171,[1]Datos!$A:$C,3,FALSE)</f>
        <v>#N/A</v>
      </c>
      <c r="K171" s="22"/>
      <c r="L171" s="15" t="e">
        <f>+VLOOKUP(K171,[1]Datos!$A:$C,2,FALSE)</f>
        <v>#N/A</v>
      </c>
      <c r="M171" s="12"/>
      <c r="N171" s="17" t="e">
        <f>+VLOOKUP(M171,[1]Datos!$F:$G,2,FALSE)</f>
        <v>#N/A</v>
      </c>
      <c r="O171" s="54">
        <f>IFERROR(IF(A171="SI",VLOOKUP(R171,[1]Datos!$J$1:$K$50,2,FALSE)*C171,VLOOKUP(R171,[1]Datos!$P$1:$T$50,2,FALSE)*C171),0)</f>
        <v>0</v>
      </c>
      <c r="P171" s="17"/>
      <c r="Q171" s="17" t="e">
        <f>+VLOOKUP(P171,[1]Datos!$F:$G,2,FALSE)</f>
        <v>#N/A</v>
      </c>
      <c r="R171" s="11" t="s">
        <v>41</v>
      </c>
      <c r="S171" s="11">
        <f t="shared" si="2"/>
        <v>0</v>
      </c>
      <c r="T171" s="11" t="e">
        <f>+VLOOKUP(M171,[1]Datos!$F:$H,3,FALSE)</f>
        <v>#N/A</v>
      </c>
      <c r="U171" s="11">
        <v>0</v>
      </c>
      <c r="V171" s="19"/>
    </row>
    <row r="172" spans="1:22">
      <c r="A172" s="11" t="s">
        <v>25</v>
      </c>
      <c r="B172" s="11" t="s">
        <v>33</v>
      </c>
      <c r="E172" s="12"/>
      <c r="F172" s="12"/>
      <c r="G172" s="12"/>
      <c r="H172" s="14"/>
      <c r="I172" s="14"/>
      <c r="J172" s="15" t="e">
        <f>+VLOOKUP(K172,[1]Datos!$A:$C,3,FALSE)</f>
        <v>#N/A</v>
      </c>
      <c r="K172" s="22"/>
      <c r="L172" s="15" t="e">
        <f>+VLOOKUP(K172,[1]Datos!$A:$C,2,FALSE)</f>
        <v>#N/A</v>
      </c>
      <c r="M172" s="17"/>
      <c r="N172" s="17" t="e">
        <f>+VLOOKUP(M172,[1]Datos!$F:$G,2,FALSE)</f>
        <v>#N/A</v>
      </c>
      <c r="O172" s="54">
        <f>IFERROR(IF(A172="SI",VLOOKUP(R172,[1]Datos!$J$1:$K$50,2,FALSE)*C172,VLOOKUP(R172,[1]Datos!$P$1:$T$50,2,FALSE)*C172),0)</f>
        <v>0</v>
      </c>
      <c r="P172" s="17"/>
      <c r="Q172" s="17" t="e">
        <f>+VLOOKUP(P172,[1]Datos!$F:$G,2,FALSE)</f>
        <v>#N/A</v>
      </c>
      <c r="R172" s="11" t="s">
        <v>30</v>
      </c>
      <c r="S172" s="11">
        <f t="shared" si="2"/>
        <v>0</v>
      </c>
      <c r="T172" s="11" t="e">
        <f>+VLOOKUP(M172,[1]Datos!$F:$H,3,FALSE)</f>
        <v>#N/A</v>
      </c>
      <c r="U172" s="11">
        <v>0</v>
      </c>
      <c r="V172" s="19"/>
    </row>
    <row r="173" spans="1:22">
      <c r="A173" s="11" t="s">
        <v>25</v>
      </c>
      <c r="B173" s="11" t="s">
        <v>33</v>
      </c>
      <c r="E173" s="12"/>
      <c r="F173" s="12"/>
      <c r="G173" s="12"/>
      <c r="H173" s="14"/>
      <c r="I173" s="14"/>
      <c r="J173" s="15" t="e">
        <f>+VLOOKUP(K173,[1]Datos!$A:$C,3,FALSE)</f>
        <v>#N/A</v>
      </c>
      <c r="K173" s="22"/>
      <c r="L173" s="15" t="e">
        <f>+VLOOKUP(K173,[1]Datos!$A:$C,2,FALSE)</f>
        <v>#N/A</v>
      </c>
      <c r="M173" s="12"/>
      <c r="N173" s="17" t="e">
        <f>+VLOOKUP(M173,[1]Datos!$F:$G,2,FALSE)</f>
        <v>#N/A</v>
      </c>
      <c r="O173" s="54">
        <f>IFERROR(IF(A173="SI",VLOOKUP(R173,[1]Datos!$J$1:$K$50,2,FALSE)*C173,VLOOKUP(R173,[1]Datos!$P$1:$T$50,2,FALSE)*C173),0)</f>
        <v>0</v>
      </c>
      <c r="P173" s="17"/>
      <c r="Q173" s="17" t="e">
        <f>+VLOOKUP(P173,[1]Datos!$F:$G,2,FALSE)</f>
        <v>#N/A</v>
      </c>
      <c r="R173" s="11" t="s">
        <v>41</v>
      </c>
      <c r="S173" s="11">
        <f t="shared" si="2"/>
        <v>0</v>
      </c>
      <c r="T173" s="11" t="e">
        <f>+VLOOKUP(M173,[1]Datos!$F:$H,3,FALSE)</f>
        <v>#N/A</v>
      </c>
      <c r="U173" s="11">
        <v>0</v>
      </c>
      <c r="V173" s="19"/>
    </row>
    <row r="174" spans="1:22">
      <c r="A174" s="11" t="s">
        <v>25</v>
      </c>
      <c r="B174" s="11" t="s">
        <v>33</v>
      </c>
      <c r="E174" s="12"/>
      <c r="F174" s="12"/>
      <c r="G174" s="12"/>
      <c r="H174" s="14"/>
      <c r="I174" s="14"/>
      <c r="J174" s="15" t="e">
        <f>+VLOOKUP(K174,[1]Datos!$A:$C,3,FALSE)</f>
        <v>#N/A</v>
      </c>
      <c r="K174" s="22"/>
      <c r="L174" s="15" t="e">
        <f>+VLOOKUP(K174,[1]Datos!$A:$C,2,FALSE)</f>
        <v>#N/A</v>
      </c>
      <c r="M174" s="28"/>
      <c r="N174" s="17" t="e">
        <f>+VLOOKUP(M174,[1]Datos!$F:$G,2,FALSE)</f>
        <v>#N/A</v>
      </c>
      <c r="O174" s="54">
        <f>IFERROR(IF(A174="SI",VLOOKUP(R174,[1]Datos!$J$1:$K$50,2,FALSE)*C174,VLOOKUP(R174,[1]Datos!$P$1:$T$50,2,FALSE)*C174),0)</f>
        <v>0</v>
      </c>
      <c r="P174" s="12"/>
      <c r="Q174" s="17" t="e">
        <f>+VLOOKUP(P174,[1]Datos!$F:$G,2,FALSE)</f>
        <v>#N/A</v>
      </c>
      <c r="R174" s="11" t="s">
        <v>30</v>
      </c>
      <c r="S174" s="11">
        <f t="shared" si="2"/>
        <v>0</v>
      </c>
      <c r="T174" s="11" t="e">
        <f>+VLOOKUP(M174,[1]Datos!$F:$H,3,FALSE)</f>
        <v>#N/A</v>
      </c>
      <c r="U174" s="11">
        <v>0</v>
      </c>
      <c r="V174" s="19"/>
    </row>
    <row r="175" spans="1:22">
      <c r="A175" s="11" t="s">
        <v>25</v>
      </c>
      <c r="B175" s="11" t="s">
        <v>33</v>
      </c>
      <c r="E175" s="12"/>
      <c r="F175" s="12"/>
      <c r="G175" s="12"/>
      <c r="H175" s="14"/>
      <c r="I175" s="14"/>
      <c r="J175" s="15" t="e">
        <f>+VLOOKUP(K175,[1]Datos!$A:$C,3,FALSE)</f>
        <v>#N/A</v>
      </c>
      <c r="K175" s="22"/>
      <c r="L175" s="15" t="e">
        <f>+VLOOKUP(K175,[1]Datos!$A:$C,2,FALSE)</f>
        <v>#N/A</v>
      </c>
      <c r="M175" s="12"/>
      <c r="N175" s="17" t="e">
        <f>+VLOOKUP(M175,[1]Datos!$F:$G,2,FALSE)</f>
        <v>#N/A</v>
      </c>
      <c r="O175" s="54">
        <f>IFERROR(IF(A175="SI",VLOOKUP(R175,[1]Datos!$J$1:$K$50,2,FALSE)*C175,VLOOKUP(R175,[1]Datos!$P$1:$T$50,2,FALSE)*C175),0)</f>
        <v>0</v>
      </c>
      <c r="P175" s="17"/>
      <c r="Q175" s="17" t="e">
        <f>+VLOOKUP(P175,[1]Datos!$F:$G,2,FALSE)</f>
        <v>#N/A</v>
      </c>
      <c r="R175" s="11" t="s">
        <v>30</v>
      </c>
      <c r="S175" s="11">
        <f t="shared" si="2"/>
        <v>0</v>
      </c>
      <c r="T175" s="11" t="e">
        <f>+VLOOKUP(M175,[1]Datos!$F:$H,3,FALSE)</f>
        <v>#N/A</v>
      </c>
      <c r="U175" s="11">
        <v>0</v>
      </c>
      <c r="V175" s="19"/>
    </row>
    <row r="176" spans="1:22">
      <c r="A176" s="11" t="s">
        <v>25</v>
      </c>
      <c r="B176" s="11" t="s">
        <v>26</v>
      </c>
      <c r="E176" s="12"/>
      <c r="F176" s="12"/>
      <c r="G176" s="12"/>
      <c r="H176" s="14"/>
      <c r="I176" s="14"/>
      <c r="J176" s="15" t="e">
        <f>+VLOOKUP(K176,[1]Datos!$A:$C,3,FALSE)</f>
        <v>#N/A</v>
      </c>
      <c r="K176" s="22"/>
      <c r="L176" s="15" t="e">
        <f>+VLOOKUP(K176,[1]Datos!$A:$C,2,FALSE)</f>
        <v>#N/A</v>
      </c>
      <c r="M176" s="28"/>
      <c r="N176" s="17" t="e">
        <f>+VLOOKUP(M176,[1]Datos!$F:$G,2,FALSE)</f>
        <v>#N/A</v>
      </c>
      <c r="O176" s="54">
        <f>IFERROR(IF(A176="SI",VLOOKUP(R176,[1]Datos!$J$1:$K$50,2,FALSE)*C176,VLOOKUP(R176,[1]Datos!$P$1:$T$50,2,FALSE)*C176),0)</f>
        <v>0</v>
      </c>
      <c r="P176" s="12"/>
      <c r="Q176" s="17" t="e">
        <f>+VLOOKUP(P176,[1]Datos!$F:$G,2,FALSE)</f>
        <v>#N/A</v>
      </c>
      <c r="R176" s="11" t="s">
        <v>30</v>
      </c>
      <c r="S176" s="11">
        <f t="shared" si="2"/>
        <v>0</v>
      </c>
      <c r="T176" s="11" t="e">
        <f>+VLOOKUP(M176,[1]Datos!$F:$H,3,FALSE)</f>
        <v>#N/A</v>
      </c>
      <c r="U176" s="11">
        <v>0</v>
      </c>
      <c r="V176" s="19"/>
    </row>
    <row r="177" spans="1:22">
      <c r="A177" s="11" t="s">
        <v>25</v>
      </c>
      <c r="B177" s="11" t="s">
        <v>33</v>
      </c>
      <c r="E177" s="17"/>
      <c r="F177" s="17"/>
      <c r="G177" s="17"/>
      <c r="H177" s="14"/>
      <c r="I177" s="55"/>
      <c r="J177" s="15" t="e">
        <f>+VLOOKUP(K177,[1]Datos!$A:$C,3,FALSE)</f>
        <v>#N/A</v>
      </c>
      <c r="K177" s="15"/>
      <c r="L177" s="15" t="e">
        <f>+VLOOKUP(K177,[1]Datos!$A:$C,2,FALSE)</f>
        <v>#N/A</v>
      </c>
      <c r="M177" s="17"/>
      <c r="N177" s="17" t="e">
        <f>+VLOOKUP(M177,[1]Datos!$F:$G,2,FALSE)</f>
        <v>#N/A</v>
      </c>
      <c r="O177" s="54">
        <f>IFERROR(IF(A177="SI",VLOOKUP(R177,[1]Datos!$J$1:$K$50,2,FALSE)*C177,VLOOKUP(R177,[1]Datos!$P$1:$T$50,2,FALSE)*C177),0)</f>
        <v>0</v>
      </c>
      <c r="P177" s="17"/>
      <c r="Q177" s="17" t="e">
        <f>+VLOOKUP(P177,[1]Datos!$F:$G,2,FALSE)</f>
        <v>#N/A</v>
      </c>
      <c r="R177" s="11" t="s">
        <v>30</v>
      </c>
      <c r="S177" s="11">
        <f t="shared" si="2"/>
        <v>0</v>
      </c>
      <c r="T177" s="11" t="e">
        <f>+VLOOKUP(M177,[1]Datos!$F:$H,3,FALSE)</f>
        <v>#N/A</v>
      </c>
      <c r="U177" s="11">
        <v>0</v>
      </c>
      <c r="V177" s="19" t="s">
        <v>47</v>
      </c>
    </row>
    <row r="178" spans="1:22">
      <c r="A178" s="11" t="s">
        <v>25</v>
      </c>
      <c r="B178" s="11" t="s">
        <v>33</v>
      </c>
      <c r="E178" s="12"/>
      <c r="F178" s="12"/>
      <c r="G178" s="12"/>
      <c r="H178" s="14"/>
      <c r="I178" s="27"/>
      <c r="J178" s="15" t="e">
        <f>+VLOOKUP(K178,[1]Datos!$A:$C,3,FALSE)</f>
        <v>#N/A</v>
      </c>
      <c r="K178" s="22"/>
      <c r="L178" s="15" t="e">
        <f>+VLOOKUP(K178,[1]Datos!$A:$C,2,FALSE)</f>
        <v>#N/A</v>
      </c>
      <c r="M178" s="12"/>
      <c r="N178" s="17" t="e">
        <f>+VLOOKUP(M178,[1]Datos!$F:$G,2,FALSE)</f>
        <v>#N/A</v>
      </c>
      <c r="O178" s="54">
        <f>IFERROR(IF(A178="SI",VLOOKUP(R178,[1]Datos!$J$1:$K$50,2,FALSE)*C178,VLOOKUP(R178,[1]Datos!$P$1:$T$50,2,FALSE)*C178),0)</f>
        <v>0</v>
      </c>
      <c r="P178" s="17"/>
      <c r="Q178" s="17" t="e">
        <f>+VLOOKUP(P178,[1]Datos!$F:$G,2,FALSE)</f>
        <v>#N/A</v>
      </c>
      <c r="R178" s="11" t="s">
        <v>213</v>
      </c>
      <c r="S178" s="11">
        <f t="shared" si="2"/>
        <v>0</v>
      </c>
      <c r="T178" s="11" t="e">
        <f>+VLOOKUP(M178,[1]Datos!$F:$H,3,FALSE)</f>
        <v>#N/A</v>
      </c>
      <c r="U178" s="11">
        <v>0</v>
      </c>
      <c r="V178" s="19" t="s">
        <v>47</v>
      </c>
    </row>
    <row r="179" spans="1:22">
      <c r="A179" s="11" t="s">
        <v>25</v>
      </c>
      <c r="B179" s="11" t="s">
        <v>33</v>
      </c>
      <c r="E179" s="12"/>
      <c r="F179" s="12"/>
      <c r="G179" s="12"/>
      <c r="H179" s="14"/>
      <c r="I179" s="27"/>
      <c r="J179" s="15" t="e">
        <f>+VLOOKUP(K179,[1]Datos!$A:$C,3,FALSE)</f>
        <v>#N/A</v>
      </c>
      <c r="L179" s="15" t="e">
        <f>+VLOOKUP(K179,[1]Datos!$A:$C,2,FALSE)</f>
        <v>#N/A</v>
      </c>
      <c r="M179" s="24"/>
      <c r="N179" s="17" t="e">
        <f>+VLOOKUP(M179,[1]Datos!$F:$G,2,FALSE)</f>
        <v>#N/A</v>
      </c>
      <c r="O179" s="54">
        <f>IFERROR(IF(A179="SI",VLOOKUP(R179,[1]Datos!$J$1:$K$50,2,FALSE)*C179,VLOOKUP(R179,[1]Datos!$P$1:$T$50,2,FALSE)*C179),0)</f>
        <v>0</v>
      </c>
      <c r="P179" s="12"/>
      <c r="Q179" s="17" t="e">
        <f>+VLOOKUP(P179,[1]Datos!$F:$G,2,FALSE)</f>
        <v>#N/A</v>
      </c>
      <c r="R179" s="11" t="s">
        <v>30</v>
      </c>
      <c r="S179" s="11">
        <f t="shared" si="2"/>
        <v>0</v>
      </c>
      <c r="T179" s="11" t="e">
        <f>+VLOOKUP(M179,[1]Datos!$F:$H,3,FALSE)</f>
        <v>#N/A</v>
      </c>
      <c r="U179" s="11">
        <v>0</v>
      </c>
      <c r="V179" s="19" t="s">
        <v>47</v>
      </c>
    </row>
    <row r="180" spans="1:22">
      <c r="A180" s="11" t="s">
        <v>25</v>
      </c>
      <c r="B180" s="11" t="s">
        <v>33</v>
      </c>
      <c r="E180" s="12"/>
      <c r="F180" s="12"/>
      <c r="G180" s="12"/>
      <c r="H180" s="56"/>
      <c r="I180" s="27"/>
      <c r="J180" s="15" t="e">
        <f>+VLOOKUP(K180,[1]Datos!$A:$C,3,FALSE)</f>
        <v>#N/A</v>
      </c>
      <c r="L180" s="15" t="e">
        <f>+VLOOKUP(K180,[1]Datos!$A:$C,2,FALSE)</f>
        <v>#N/A</v>
      </c>
      <c r="M180" s="12"/>
      <c r="N180" s="17" t="e">
        <f>+VLOOKUP(M180,[1]Datos!$F:$G,2,FALSE)</f>
        <v>#N/A</v>
      </c>
      <c r="O180" s="54">
        <f>IFERROR(IF(A180="SI",VLOOKUP(R180,[1]Datos!$J$1:$K$50,2,FALSE)*C180,VLOOKUP(R180,[1]Datos!$P$1:$T$50,2,FALSE)*C180),0)</f>
        <v>0</v>
      </c>
      <c r="P180" s="12"/>
      <c r="Q180" s="17" t="e">
        <f>+VLOOKUP(P180,[1]Datos!$F:$G,2,FALSE)</f>
        <v>#N/A</v>
      </c>
      <c r="R180" s="11" t="s">
        <v>67</v>
      </c>
      <c r="S180" s="11">
        <f t="shared" si="2"/>
        <v>0</v>
      </c>
      <c r="T180" s="11" t="e">
        <f>+VLOOKUP(M180,[1]Datos!$F:$H,3,FALSE)</f>
        <v>#N/A</v>
      </c>
      <c r="U180" s="11">
        <v>0</v>
      </c>
      <c r="V180" s="19" t="s">
        <v>47</v>
      </c>
    </row>
    <row r="181" spans="1:22">
      <c r="A181" s="11" t="s">
        <v>25</v>
      </c>
      <c r="B181" s="11" t="s">
        <v>33</v>
      </c>
      <c r="E181" s="12"/>
      <c r="F181" s="12"/>
      <c r="G181" s="12"/>
      <c r="H181" s="27"/>
      <c r="I181" s="27"/>
      <c r="J181" s="15" t="e">
        <f>+VLOOKUP(K181,[1]Datos!$A:$C,3,FALSE)</f>
        <v>#N/A</v>
      </c>
      <c r="K181" s="22"/>
      <c r="L181" s="15" t="e">
        <f>+VLOOKUP(K181,[1]Datos!$A:$C,2,FALSE)</f>
        <v>#N/A</v>
      </c>
      <c r="M181" s="17"/>
      <c r="N181" s="17" t="e">
        <f>+VLOOKUP(M181,[1]Datos!$F:$G,2,FALSE)</f>
        <v>#N/A</v>
      </c>
      <c r="O181" s="54">
        <f>IFERROR(IF(A181="SI",VLOOKUP(R181,[1]Datos!$J$1:$K$50,2,FALSE)*C181,VLOOKUP(R181,[1]Datos!$P$1:$T$50,2,FALSE)*C181),0)</f>
        <v>0</v>
      </c>
      <c r="P181" s="12"/>
      <c r="Q181" s="17" t="e">
        <f>+VLOOKUP(P181,[1]Datos!$F:$G,2,FALSE)</f>
        <v>#N/A</v>
      </c>
      <c r="R181" s="11" t="s">
        <v>41</v>
      </c>
      <c r="S181" s="11">
        <f t="shared" si="2"/>
        <v>0</v>
      </c>
      <c r="T181" s="11" t="e">
        <f>+VLOOKUP(M181,[1]Datos!$F:$H,3,FALSE)</f>
        <v>#N/A</v>
      </c>
      <c r="U181" s="11">
        <v>0</v>
      </c>
      <c r="V181" s="19" t="s">
        <v>47</v>
      </c>
    </row>
    <row r="182" spans="1:22">
      <c r="A182" s="11" t="s">
        <v>25</v>
      </c>
      <c r="B182" s="11" t="s">
        <v>33</v>
      </c>
      <c r="E182" s="12"/>
      <c r="F182" s="12"/>
      <c r="G182" s="21"/>
      <c r="H182" s="27"/>
      <c r="I182" s="27"/>
      <c r="J182" s="15" t="e">
        <f>+VLOOKUP(K182,[1]Datos!$A:$C,3,FALSE)</f>
        <v>#N/A</v>
      </c>
      <c r="K182" s="22"/>
      <c r="L182" s="15" t="e">
        <f>+VLOOKUP(K182,[1]Datos!$A:$C,2,FALSE)</f>
        <v>#N/A</v>
      </c>
      <c r="M182" s="28"/>
      <c r="N182" s="17" t="e">
        <f>+VLOOKUP(M182,[1]Datos!$F:$G,2,FALSE)</f>
        <v>#N/A</v>
      </c>
      <c r="O182" s="54">
        <f>IFERROR(IF(A182="SI",VLOOKUP(R182,[1]Datos!$J$1:$K$50,2,FALSE)*C182,VLOOKUP(R182,[1]Datos!$P$1:$T$50,2,FALSE)*C182),0)</f>
        <v>0</v>
      </c>
      <c r="P182" s="12"/>
      <c r="Q182" s="17" t="e">
        <f>+VLOOKUP(P182,[1]Datos!$F:$G,2,FALSE)</f>
        <v>#N/A</v>
      </c>
      <c r="R182" s="11" t="s">
        <v>30</v>
      </c>
      <c r="S182" s="11">
        <f t="shared" si="2"/>
        <v>0</v>
      </c>
      <c r="T182" s="11" t="e">
        <f>+VLOOKUP(M182,[1]Datos!$F:$H,3,FALSE)</f>
        <v>#N/A</v>
      </c>
      <c r="U182" s="11">
        <v>0</v>
      </c>
      <c r="V182" s="19" t="s">
        <v>47</v>
      </c>
    </row>
    <row r="183" spans="1:22">
      <c r="A183" s="11" t="s">
        <v>111</v>
      </c>
      <c r="B183" s="11" t="s">
        <v>33</v>
      </c>
      <c r="E183" s="12"/>
      <c r="F183" s="12"/>
      <c r="G183" s="12"/>
      <c r="H183" s="27"/>
      <c r="I183" s="27"/>
      <c r="J183" s="15" t="e">
        <f>+VLOOKUP(K183,[1]Datos!$A:$C,3,FALSE)</f>
        <v>#N/A</v>
      </c>
      <c r="K183" s="22"/>
      <c r="L183" s="15" t="e">
        <f>+VLOOKUP(K183,[1]Datos!$A:$C,2,FALSE)</f>
        <v>#N/A</v>
      </c>
      <c r="M183" s="28"/>
      <c r="N183" s="17" t="e">
        <f>+VLOOKUP(M183,[1]Datos!$F:$G,2,FALSE)</f>
        <v>#N/A</v>
      </c>
      <c r="O183" s="54">
        <f>IFERROR(IF(A183="SI",VLOOKUP(R183,[1]Datos!$J$1:$K$50,2,FALSE)*C183,VLOOKUP(R183,[1]Datos!$P$1:$T$50,2,FALSE)*C183),0)</f>
        <v>0</v>
      </c>
      <c r="P183" s="12"/>
      <c r="Q183" s="17" t="e">
        <f>+VLOOKUP(P183,[1]Datos!$F:$G,2,FALSE)</f>
        <v>#N/A</v>
      </c>
      <c r="R183" s="11" t="s">
        <v>41</v>
      </c>
      <c r="S183" s="11">
        <f t="shared" si="2"/>
        <v>0</v>
      </c>
      <c r="T183" s="11" t="e">
        <f>+VLOOKUP(M183,[1]Datos!$F:$H,3,FALSE)</f>
        <v>#N/A</v>
      </c>
      <c r="U183" s="11">
        <v>0</v>
      </c>
      <c r="V183" s="19" t="s">
        <v>47</v>
      </c>
    </row>
    <row r="184" spans="1:22">
      <c r="A184" s="11" t="s">
        <v>25</v>
      </c>
      <c r="B184" s="11" t="s">
        <v>33</v>
      </c>
      <c r="E184" s="17"/>
      <c r="F184" s="17"/>
      <c r="G184" s="17"/>
      <c r="H184" s="27"/>
      <c r="I184" s="27"/>
      <c r="J184" s="15" t="e">
        <f>+VLOOKUP(K184,[1]Datos!$A:$C,3,FALSE)</f>
        <v>#N/A</v>
      </c>
      <c r="K184" s="15"/>
      <c r="L184" s="15" t="e">
        <f>+VLOOKUP(K184,[1]Datos!$A:$C,2,FALSE)</f>
        <v>#N/A</v>
      </c>
      <c r="M184" s="17"/>
      <c r="N184" s="17" t="e">
        <f>+VLOOKUP(M184,[1]Datos!$F:$G,2,FALSE)</f>
        <v>#N/A</v>
      </c>
      <c r="O184" s="54">
        <f>IFERROR(IF(A184="SI",VLOOKUP(R184,[1]Datos!$J$1:$K$50,2,FALSE)*C184,VLOOKUP(R184,[1]Datos!$P$1:$T$50,2,FALSE)*C184),0)</f>
        <v>0</v>
      </c>
      <c r="P184" s="17"/>
      <c r="Q184" s="17" t="e">
        <f>+VLOOKUP(P184,[1]Datos!$F:$G,2,FALSE)</f>
        <v>#N/A</v>
      </c>
      <c r="R184" s="11" t="s">
        <v>30</v>
      </c>
      <c r="S184" s="11">
        <f t="shared" si="2"/>
        <v>0</v>
      </c>
      <c r="T184" s="11" t="e">
        <f>+VLOOKUP(M184,[1]Datos!$F:$H,3,FALSE)</f>
        <v>#N/A</v>
      </c>
      <c r="U184" s="11">
        <v>0</v>
      </c>
      <c r="V184" s="19"/>
    </row>
    <row r="185" spans="1:22">
      <c r="A185" s="11" t="s">
        <v>25</v>
      </c>
      <c r="B185" s="11" t="s">
        <v>33</v>
      </c>
      <c r="E185" s="12"/>
      <c r="F185" s="12"/>
      <c r="G185" s="12"/>
      <c r="H185" s="27"/>
      <c r="I185" s="27"/>
      <c r="J185" s="15" t="e">
        <f>+VLOOKUP(K185,[1]Datos!$A:$C,3,FALSE)</f>
        <v>#N/A</v>
      </c>
      <c r="K185" s="22"/>
      <c r="L185" s="15" t="e">
        <f>+VLOOKUP(K185,[1]Datos!$A:$C,2,FALSE)</f>
        <v>#N/A</v>
      </c>
      <c r="M185" s="26"/>
      <c r="N185" s="17" t="e">
        <f>+VLOOKUP(M185,[1]Datos!$F:$G,2,FALSE)</f>
        <v>#N/A</v>
      </c>
      <c r="O185" s="54">
        <f>IFERROR(IF(A185="SI",VLOOKUP(R185,[1]Datos!$J$1:$K$50,2,FALSE)*C185,VLOOKUP(R185,[1]Datos!$P$1:$T$50,2,FALSE)*C185),0)</f>
        <v>0</v>
      </c>
      <c r="P185" s="12"/>
      <c r="Q185" s="17" t="e">
        <f>+VLOOKUP(P185,[1]Datos!$F:$G,2,FALSE)</f>
        <v>#N/A</v>
      </c>
      <c r="R185" s="11" t="s">
        <v>240</v>
      </c>
      <c r="S185" s="11">
        <f t="shared" si="2"/>
        <v>0</v>
      </c>
      <c r="T185" s="11" t="e">
        <f>+VLOOKUP(M185,[1]Datos!$F:$H,3,FALSE)</f>
        <v>#N/A</v>
      </c>
      <c r="U185" s="11">
        <v>0</v>
      </c>
      <c r="V185" s="19" t="s">
        <v>42</v>
      </c>
    </row>
    <row r="186" spans="1:22">
      <c r="A186" s="11" t="s">
        <v>25</v>
      </c>
      <c r="B186" s="11" t="s">
        <v>33</v>
      </c>
      <c r="E186" s="12"/>
      <c r="F186" s="12"/>
      <c r="G186" s="12"/>
      <c r="H186" s="27"/>
      <c r="I186" s="27"/>
      <c r="J186" s="15" t="e">
        <f>+VLOOKUP(K186,[1]Datos!$A:$C,3,FALSE)</f>
        <v>#N/A</v>
      </c>
      <c r="K186" s="22"/>
      <c r="L186" s="15" t="e">
        <f>+VLOOKUP(K186,[1]Datos!$A:$C,2,FALSE)</f>
        <v>#N/A</v>
      </c>
      <c r="M186" s="17"/>
      <c r="N186" s="17" t="e">
        <f>+VLOOKUP(M186,[1]Datos!$F:$G,2,FALSE)</f>
        <v>#N/A</v>
      </c>
      <c r="O186" s="54">
        <f>IFERROR(IF(A186="SI",VLOOKUP(R186,[1]Datos!$J$1:$K$50,2,FALSE)*C186,VLOOKUP(R186,[1]Datos!$P$1:$T$50,2,FALSE)*C186),0)</f>
        <v>0</v>
      </c>
      <c r="P186" s="17"/>
      <c r="Q186" s="17" t="e">
        <f>+VLOOKUP(P186,[1]Datos!$F:$G,2,FALSE)</f>
        <v>#N/A</v>
      </c>
      <c r="R186" s="11" t="s">
        <v>30</v>
      </c>
      <c r="S186" s="11">
        <f t="shared" si="2"/>
        <v>0</v>
      </c>
      <c r="T186" s="11" t="e">
        <f>+VLOOKUP(M186,[1]Datos!$F:$H,3,FALSE)</f>
        <v>#N/A</v>
      </c>
      <c r="U186" s="11">
        <v>0</v>
      </c>
      <c r="V186" s="19" t="s">
        <v>47</v>
      </c>
    </row>
    <row r="187" spans="1:22">
      <c r="A187" s="11" t="s">
        <v>25</v>
      </c>
      <c r="B187" s="11" t="s">
        <v>26</v>
      </c>
      <c r="E187" s="12"/>
      <c r="F187" s="12"/>
      <c r="G187" s="17"/>
      <c r="H187" s="27"/>
      <c r="I187" s="27"/>
      <c r="J187" s="15" t="e">
        <f>+VLOOKUP(K187,[1]Datos!$A:$C,3,FALSE)</f>
        <v>#N/A</v>
      </c>
      <c r="K187" s="22"/>
      <c r="L187" s="15" t="e">
        <f>+VLOOKUP(K187,[1]Datos!$A:$C,2,FALSE)</f>
        <v>#N/A</v>
      </c>
      <c r="M187" s="17"/>
      <c r="N187" s="17" t="e">
        <f>+VLOOKUP(M187,[1]Datos!$F:$G,2,FALSE)</f>
        <v>#N/A</v>
      </c>
      <c r="O187" s="54">
        <f>IFERROR(IF(A187="SI",VLOOKUP(R187,[1]Datos!$J$1:$K$50,2,FALSE)*C187,VLOOKUP(R187,[1]Datos!$P$1:$T$50,2,FALSE)*C187),0)</f>
        <v>0</v>
      </c>
      <c r="P187" s="17"/>
      <c r="Q187" s="17" t="e">
        <f>+VLOOKUP(P187,[1]Datos!$F:$G,2,FALSE)</f>
        <v>#N/A</v>
      </c>
      <c r="R187" s="11" t="s">
        <v>30</v>
      </c>
      <c r="S187" s="11">
        <f t="shared" si="2"/>
        <v>0</v>
      </c>
      <c r="T187" s="11" t="e">
        <f>+VLOOKUP(M187,[1]Datos!$F:$H,3,FALSE)</f>
        <v>#N/A</v>
      </c>
      <c r="U187" s="11">
        <v>0</v>
      </c>
      <c r="V187" s="19" t="s">
        <v>47</v>
      </c>
    </row>
    <row r="188" spans="1:22">
      <c r="A188" s="11" t="s">
        <v>25</v>
      </c>
      <c r="B188" s="11" t="s">
        <v>33</v>
      </c>
      <c r="E188" s="12"/>
      <c r="F188" s="12"/>
      <c r="G188" s="12"/>
      <c r="H188" s="27"/>
      <c r="I188" s="27"/>
      <c r="J188" s="15" t="e">
        <f>+VLOOKUP(K188,[1]Datos!$A:$C,3,FALSE)</f>
        <v>#N/A</v>
      </c>
      <c r="K188" s="22"/>
      <c r="L188" s="15" t="e">
        <f>+VLOOKUP(K188,[1]Datos!$A:$C,2,FALSE)</f>
        <v>#N/A</v>
      </c>
      <c r="M188" s="17"/>
      <c r="N188" s="17" t="e">
        <f>+VLOOKUP(M188,[1]Datos!$F:$G,2,FALSE)</f>
        <v>#N/A</v>
      </c>
      <c r="O188" s="54">
        <f>IFERROR(IF(A188="SI",VLOOKUP(R188,[1]Datos!$J$1:$K$50,2,FALSE)*C188,VLOOKUP(R188,[1]Datos!$P$1:$T$50,2,FALSE)*C188),0)</f>
        <v>0</v>
      </c>
      <c r="P188" s="17"/>
      <c r="Q188" s="17" t="e">
        <f>+VLOOKUP(P188,[1]Datos!$F:$G,2,FALSE)</f>
        <v>#N/A</v>
      </c>
      <c r="R188" s="11" t="s">
        <v>30</v>
      </c>
      <c r="S188" s="11">
        <f t="shared" si="2"/>
        <v>0</v>
      </c>
      <c r="T188" s="11" t="e">
        <f>+VLOOKUP(M188,[1]Datos!$F:$H,3,FALSE)</f>
        <v>#N/A</v>
      </c>
      <c r="U188" s="11">
        <v>2</v>
      </c>
      <c r="V188" s="19" t="s">
        <v>47</v>
      </c>
    </row>
    <row r="189" spans="1:22">
      <c r="A189" s="11" t="s">
        <v>25</v>
      </c>
      <c r="B189" s="11" t="s">
        <v>33</v>
      </c>
      <c r="E189" s="12"/>
      <c r="F189" s="12"/>
      <c r="G189" s="12"/>
      <c r="H189" s="27"/>
      <c r="I189" s="27"/>
      <c r="J189" s="15" t="e">
        <f>+VLOOKUP(K189,[1]Datos!$A:$C,3,FALSE)</f>
        <v>#N/A</v>
      </c>
      <c r="K189" s="22"/>
      <c r="L189" s="15" t="e">
        <f>+VLOOKUP(K189,[1]Datos!$A:$C,2,FALSE)</f>
        <v>#N/A</v>
      </c>
      <c r="M189" s="12"/>
      <c r="N189" s="17" t="e">
        <f>+VLOOKUP(M189,[1]Datos!$F:$G,2,FALSE)</f>
        <v>#N/A</v>
      </c>
      <c r="O189" s="54">
        <f>IFERROR(IF(A189="SI",VLOOKUP(R189,[1]Datos!$J$1:$K$50,2,FALSE)*C189,VLOOKUP(R189,[1]Datos!$P$1:$T$50,2,FALSE)*C189),0)</f>
        <v>0</v>
      </c>
      <c r="P189" s="17"/>
      <c r="Q189" s="17" t="e">
        <f>+VLOOKUP(P189,[1]Datos!$F:$G,2,FALSE)</f>
        <v>#N/A</v>
      </c>
      <c r="R189" s="11" t="s">
        <v>67</v>
      </c>
      <c r="S189" s="11">
        <f t="shared" si="2"/>
        <v>0</v>
      </c>
      <c r="T189" s="11" t="e">
        <f>+VLOOKUP(M189,[1]Datos!$F:$H,3,FALSE)</f>
        <v>#N/A</v>
      </c>
      <c r="U189" s="11">
        <v>0</v>
      </c>
      <c r="V189" s="19" t="s">
        <v>47</v>
      </c>
    </row>
    <row r="190" spans="1:22">
      <c r="A190" s="11" t="s">
        <v>25</v>
      </c>
      <c r="B190" s="11" t="s">
        <v>33</v>
      </c>
      <c r="E190" s="12"/>
      <c r="F190" s="12"/>
      <c r="G190" s="12"/>
      <c r="H190" s="27"/>
      <c r="I190" s="27"/>
      <c r="J190" s="15" t="e">
        <f>+VLOOKUP(K190,[1]Datos!$A:$C,3,FALSE)</f>
        <v>#N/A</v>
      </c>
      <c r="K190" s="22"/>
      <c r="L190" s="15" t="e">
        <f>+VLOOKUP(K190,[1]Datos!$A:$C,2,FALSE)</f>
        <v>#N/A</v>
      </c>
      <c r="M190" s="28"/>
      <c r="N190" s="17" t="e">
        <f>+VLOOKUP(M190,[1]Datos!$F:$G,2,FALSE)</f>
        <v>#N/A</v>
      </c>
      <c r="O190" s="54">
        <f>IFERROR(IF(A190="SI",VLOOKUP(R190,[1]Datos!$J$1:$K$50,2,FALSE)*C190,VLOOKUP(R190,[1]Datos!$P$1:$T$50,2,FALSE)*C190),0)</f>
        <v>0</v>
      </c>
      <c r="P190" s="12"/>
      <c r="Q190" s="17" t="e">
        <f>+VLOOKUP(P190,[1]Datos!$F:$G,2,FALSE)</f>
        <v>#N/A</v>
      </c>
      <c r="R190" s="11" t="s">
        <v>30</v>
      </c>
      <c r="S190" s="11">
        <f t="shared" si="2"/>
        <v>0</v>
      </c>
      <c r="T190" s="11" t="e">
        <f>+VLOOKUP(M190,[1]Datos!$F:$H,3,FALSE)</f>
        <v>#N/A</v>
      </c>
      <c r="U190" s="11">
        <v>0</v>
      </c>
      <c r="V190" s="19"/>
    </row>
    <row r="191" spans="1:22">
      <c r="A191" s="11" t="s">
        <v>25</v>
      </c>
      <c r="B191" s="11" t="s">
        <v>33</v>
      </c>
      <c r="E191" s="49"/>
      <c r="F191" s="49"/>
      <c r="G191" s="49"/>
      <c r="H191" s="27"/>
      <c r="I191" s="27"/>
      <c r="J191" s="15" t="e">
        <f>+VLOOKUP(K191,[1]Datos!$A:$C,3,FALSE)</f>
        <v>#N/A</v>
      </c>
      <c r="L191" s="15" t="e">
        <f>+VLOOKUP(K191,[1]Datos!$A:$C,2,FALSE)</f>
        <v>#N/A</v>
      </c>
      <c r="M191" s="57"/>
      <c r="N191" s="17" t="e">
        <f>+VLOOKUP(M191,[1]Datos!$F:$G,2,FALSE)</f>
        <v>#N/A</v>
      </c>
      <c r="O191" s="54">
        <f>IFERROR(IF(A191="SI",VLOOKUP(R191,[1]Datos!$J$1:$K$50,2,FALSE)*C191,VLOOKUP(R191,[1]Datos!$P$1:$T$50,2,FALSE)*C191),0)</f>
        <v>0</v>
      </c>
      <c r="P191" s="52"/>
      <c r="Q191" s="17" t="e">
        <f>+VLOOKUP(P191,[1]Datos!$F:$G,2,FALSE)</f>
        <v>#N/A</v>
      </c>
      <c r="R191" s="11" t="s">
        <v>97</v>
      </c>
      <c r="S191" s="11">
        <f t="shared" si="2"/>
        <v>0</v>
      </c>
      <c r="T191" s="11" t="e">
        <f>+VLOOKUP(M191,[1]Datos!$F:$H,3,FALSE)</f>
        <v>#N/A</v>
      </c>
      <c r="U191" s="11">
        <v>0</v>
      </c>
      <c r="V191" s="19" t="s">
        <v>47</v>
      </c>
    </row>
    <row r="192" spans="1:22" ht="15.5">
      <c r="A192" s="11" t="s">
        <v>25</v>
      </c>
      <c r="B192" s="11" t="s">
        <v>33</v>
      </c>
      <c r="E192" s="12"/>
      <c r="F192" s="12"/>
      <c r="G192" s="12"/>
      <c r="H192" s="13"/>
      <c r="I192" s="14"/>
      <c r="J192" s="15" t="e">
        <f>+VLOOKUP(K192,[1]Datos!$A:$C,3,FALSE)</f>
        <v>#N/A</v>
      </c>
      <c r="K192" s="22"/>
      <c r="L192" s="15" t="e">
        <f>+VLOOKUP(K192,[1]Datos!$A:$C,2,FALSE)</f>
        <v>#N/A</v>
      </c>
      <c r="M192" s="12"/>
      <c r="N192" s="17" t="e">
        <f>+VLOOKUP(M192,[1]Datos!$F:$G,2,FALSE)</f>
        <v>#N/A</v>
      </c>
      <c r="O192" s="54">
        <f>IFERROR(IF(A192="SI",VLOOKUP(R192,[1]Datos!$J$1:$K$50,2,FALSE)*C192,VLOOKUP(R192,[1]Datos!$P$1:$T$50,2,FALSE)*C192),0)</f>
        <v>0</v>
      </c>
      <c r="P192" s="33"/>
      <c r="Q192" s="17" t="e">
        <f>+VLOOKUP(P192,[1]Datos!$F:$G,2,FALSE)</f>
        <v>#N/A</v>
      </c>
      <c r="R192" s="11" t="s">
        <v>30</v>
      </c>
      <c r="S192" s="11">
        <f t="shared" si="2"/>
        <v>0</v>
      </c>
      <c r="T192" s="11" t="e">
        <f>+VLOOKUP(M192,[1]Datos!$F:$H,3,FALSE)</f>
        <v>#N/A</v>
      </c>
      <c r="U192" s="11">
        <v>0</v>
      </c>
      <c r="V192" s="19"/>
    </row>
    <row r="193" spans="1:22">
      <c r="A193" s="11" t="s">
        <v>25</v>
      </c>
      <c r="B193" s="11" t="s">
        <v>33</v>
      </c>
      <c r="E193" s="12"/>
      <c r="F193" s="12"/>
      <c r="G193" s="12"/>
      <c r="H193" s="13"/>
      <c r="I193" s="14"/>
      <c r="J193" s="15" t="e">
        <f>+VLOOKUP(K193,[1]Datos!$A:$C,3,FALSE)</f>
        <v>#N/A</v>
      </c>
      <c r="L193" s="15" t="e">
        <f>+VLOOKUP(K193,[1]Datos!$A:$C,2,FALSE)</f>
        <v>#N/A</v>
      </c>
      <c r="M193" s="12"/>
      <c r="N193" s="17" t="e">
        <f>+VLOOKUP(M193,[1]Datos!$F:$G,2,FALSE)</f>
        <v>#N/A</v>
      </c>
      <c r="O193" s="54">
        <f>IFERROR(IF(A193="SI",VLOOKUP(R193,[1]Datos!$J$1:$K$50,2,FALSE)*C193,VLOOKUP(R193,[1]Datos!$P$1:$T$50,2,FALSE)*C193),0)</f>
        <v>0</v>
      </c>
      <c r="P193" s="12"/>
      <c r="Q193" s="17" t="e">
        <f>+VLOOKUP(P193,[1]Datos!$F:$G,2,FALSE)</f>
        <v>#N/A</v>
      </c>
      <c r="R193" s="11" t="s">
        <v>30</v>
      </c>
      <c r="S193" s="11">
        <f t="shared" si="2"/>
        <v>0</v>
      </c>
      <c r="T193" s="11" t="e">
        <f>+VLOOKUP(M193,[1]Datos!$F:$H,3,FALSE)</f>
        <v>#N/A</v>
      </c>
      <c r="U193" s="11">
        <v>0</v>
      </c>
      <c r="V193" s="19" t="s">
        <v>47</v>
      </c>
    </row>
    <row r="194" spans="1:22">
      <c r="A194" s="11" t="s">
        <v>25</v>
      </c>
      <c r="B194" s="11" t="s">
        <v>26</v>
      </c>
      <c r="E194" s="12"/>
      <c r="F194" s="12"/>
      <c r="G194" s="12"/>
      <c r="H194" s="14"/>
      <c r="I194" s="14"/>
      <c r="J194" s="15" t="e">
        <f>+VLOOKUP(K194,[1]Datos!$A:$C,3,FALSE)</f>
        <v>#N/A</v>
      </c>
      <c r="L194" s="15" t="e">
        <f>+VLOOKUP(K194,[1]Datos!$A:$C,2,FALSE)</f>
        <v>#N/A</v>
      </c>
      <c r="M194" s="12"/>
      <c r="N194" s="17" t="e">
        <f>+VLOOKUP(M194,[1]Datos!$F:$G,2,FALSE)</f>
        <v>#N/A</v>
      </c>
      <c r="O194" s="54">
        <f>IFERROR(IF(A194="SI",VLOOKUP(R194,[1]Datos!$J$1:$K$50,2,FALSE)*C194,VLOOKUP(R194,[1]Datos!$P$1:$T$50,2,FALSE)*C194),0)</f>
        <v>0</v>
      </c>
      <c r="P194" s="12"/>
      <c r="Q194" s="17" t="e">
        <f>+VLOOKUP(P194,[1]Datos!$F:$G,2,FALSE)</f>
        <v>#N/A</v>
      </c>
      <c r="R194" s="11" t="s">
        <v>97</v>
      </c>
      <c r="S194" s="11">
        <f t="shared" si="2"/>
        <v>0</v>
      </c>
      <c r="T194" s="11" t="e">
        <f>+VLOOKUP(M194,[1]Datos!$F:$H,3,FALSE)</f>
        <v>#N/A</v>
      </c>
      <c r="U194" s="11">
        <v>0</v>
      </c>
      <c r="V194" s="19"/>
    </row>
    <row r="195" spans="1:22" ht="16">
      <c r="A195" s="11" t="s">
        <v>25</v>
      </c>
      <c r="B195" s="11" t="s">
        <v>33</v>
      </c>
      <c r="E195" s="12"/>
      <c r="F195" s="12"/>
      <c r="G195" s="12"/>
      <c r="H195" s="14"/>
      <c r="I195" s="14"/>
      <c r="J195" s="15" t="e">
        <f>+VLOOKUP(K195,[1]Datos!$A:$C,3,FALSE)</f>
        <v>#N/A</v>
      </c>
      <c r="L195" s="15" t="e">
        <f>+VLOOKUP(K195,[1]Datos!$A:$C,2,FALSE)</f>
        <v>#N/A</v>
      </c>
      <c r="M195" s="36"/>
      <c r="N195" s="17" t="e">
        <f>+VLOOKUP(M195,[1]Datos!$F:$G,2,FALSE)</f>
        <v>#N/A</v>
      </c>
      <c r="O195" s="54">
        <f>IFERROR(IF(A195="SI",VLOOKUP(R195,[1]Datos!$J$1:$K$50,2,FALSE)*C195,VLOOKUP(R195,[1]Datos!$P$1:$T$50,2,FALSE)*C195),0)</f>
        <v>0</v>
      </c>
      <c r="P195" s="12"/>
      <c r="Q195" s="17" t="e">
        <f>+VLOOKUP(P195,[1]Datos!$F:$G,2,FALSE)</f>
        <v>#N/A</v>
      </c>
      <c r="R195" s="11" t="s">
        <v>30</v>
      </c>
      <c r="S195" s="11">
        <f t="shared" si="2"/>
        <v>0</v>
      </c>
      <c r="T195" s="11" t="e">
        <f>+VLOOKUP(M195,[1]Datos!$F:$H,3,FALSE)</f>
        <v>#N/A</v>
      </c>
      <c r="U195" s="11">
        <v>0</v>
      </c>
      <c r="V195" s="19" t="s">
        <v>47</v>
      </c>
    </row>
    <row r="196" spans="1:22">
      <c r="A196" s="11" t="s">
        <v>25</v>
      </c>
      <c r="B196" s="11" t="s">
        <v>26</v>
      </c>
      <c r="D196" s="30"/>
      <c r="E196" s="12"/>
      <c r="F196" s="12"/>
      <c r="G196" s="21"/>
      <c r="H196" s="14"/>
      <c r="I196" s="14"/>
      <c r="J196" s="15" t="e">
        <f>+VLOOKUP(K196,[1]Datos!$A:$C,3,FALSE)</f>
        <v>#N/A</v>
      </c>
      <c r="K196" s="22"/>
      <c r="L196" s="15" t="e">
        <f>+VLOOKUP(K196,[1]Datos!$A:$C,2,FALSE)</f>
        <v>#N/A</v>
      </c>
      <c r="M196" s="41"/>
      <c r="N196" s="17" t="e">
        <f>+VLOOKUP(M196,[1]Datos!$F:$G,2,FALSE)</f>
        <v>#N/A</v>
      </c>
      <c r="O196" s="54">
        <f>IFERROR(IF(A196="SI",VLOOKUP(R196,[1]Datos!$J$1:$K$50,2,FALSE)*C196,VLOOKUP(R196,[1]Datos!$P$1:$T$50,2,FALSE)*C196),0)</f>
        <v>0</v>
      </c>
      <c r="P196" s="12"/>
      <c r="Q196" s="17" t="e">
        <f>+VLOOKUP(P196,[1]Datos!$F:$G,2,FALSE)</f>
        <v>#N/A</v>
      </c>
      <c r="R196" s="11" t="s">
        <v>219</v>
      </c>
      <c r="S196" s="11">
        <f t="shared" si="2"/>
        <v>0</v>
      </c>
      <c r="T196" s="11" t="e">
        <f>+VLOOKUP(M196,[1]Datos!$F:$H,3,FALSE)</f>
        <v>#N/A</v>
      </c>
      <c r="U196" s="11">
        <v>0</v>
      </c>
      <c r="V196" s="19" t="s">
        <v>42</v>
      </c>
    </row>
    <row r="197" spans="1:22" ht="15.5">
      <c r="A197" s="11" t="s">
        <v>25</v>
      </c>
      <c r="B197" s="11" t="s">
        <v>33</v>
      </c>
      <c r="D197" s="30"/>
      <c r="E197" s="12"/>
      <c r="F197" s="12"/>
      <c r="G197" s="12"/>
      <c r="H197" s="14"/>
      <c r="I197" s="14"/>
      <c r="J197" s="15" t="e">
        <f>+VLOOKUP(K197,[1]Datos!$A:$C,3,FALSE)</f>
        <v>#N/A</v>
      </c>
      <c r="L197" s="15" t="e">
        <f>+VLOOKUP(K197,[1]Datos!$A:$C,2,FALSE)</f>
        <v>#N/A</v>
      </c>
      <c r="M197" s="12"/>
      <c r="N197" s="17" t="e">
        <f>+VLOOKUP(M197,[1]Datos!$F:$G,2,FALSE)</f>
        <v>#N/A</v>
      </c>
      <c r="O197" s="54">
        <f>IFERROR(IF(A197="SI",VLOOKUP(R197,[1]Datos!$J$1:$K$50,2,FALSE)*C197,VLOOKUP(R197,[1]Datos!$P$1:$T$50,2,FALSE)*C197),0)</f>
        <v>0</v>
      </c>
      <c r="P197" s="33"/>
      <c r="Q197" s="17" t="e">
        <f>+VLOOKUP(P197,[1]Datos!$F:$G,2,FALSE)</f>
        <v>#N/A</v>
      </c>
      <c r="R197" s="11" t="s">
        <v>30</v>
      </c>
      <c r="S197" s="11">
        <f t="shared" si="2"/>
        <v>0</v>
      </c>
      <c r="T197" s="11" t="e">
        <f>+VLOOKUP(M197,[1]Datos!$F:$H,3,FALSE)</f>
        <v>#N/A</v>
      </c>
      <c r="U197" s="11">
        <v>0</v>
      </c>
      <c r="V197" s="19"/>
    </row>
    <row r="198" spans="1:22">
      <c r="A198" s="11" t="s">
        <v>25</v>
      </c>
      <c r="B198" s="11" t="s">
        <v>33</v>
      </c>
      <c r="D198" s="30"/>
      <c r="E198" s="12"/>
      <c r="F198" s="12"/>
      <c r="G198" s="12"/>
      <c r="H198" s="14"/>
      <c r="I198" s="14"/>
      <c r="J198" s="15" t="e">
        <f>+VLOOKUP(K198,[1]Datos!$A:$C,3,FALSE)</f>
        <v>#N/A</v>
      </c>
      <c r="K198" s="22"/>
      <c r="L198" s="15" t="e">
        <f>+VLOOKUP(K198,[1]Datos!$A:$C,2,FALSE)</f>
        <v>#N/A</v>
      </c>
      <c r="M198" s="12"/>
      <c r="N198" s="17" t="e">
        <f>+VLOOKUP(M198,[1]Datos!$F:$G,2,FALSE)</f>
        <v>#N/A</v>
      </c>
      <c r="O198" s="54">
        <f>IFERROR(IF(A198="SI",VLOOKUP(R198,[1]Datos!$J$1:$K$50,2,FALSE)*C198,VLOOKUP(R198,[1]Datos!$P$1:$T$50,2,FALSE)*C198),0)</f>
        <v>0</v>
      </c>
      <c r="P198" s="12"/>
      <c r="Q198" s="17" t="e">
        <f>+VLOOKUP(P198,[1]Datos!$F:$G,2,FALSE)</f>
        <v>#N/A</v>
      </c>
      <c r="R198" s="11" t="s">
        <v>97</v>
      </c>
      <c r="S198" s="11">
        <f t="shared" si="2"/>
        <v>0</v>
      </c>
      <c r="T198" s="11" t="e">
        <f>+VLOOKUP(M198,[1]Datos!$F:$H,3,FALSE)</f>
        <v>#N/A</v>
      </c>
      <c r="U198" s="11">
        <v>0</v>
      </c>
      <c r="V198" s="19"/>
    </row>
    <row r="199" spans="1:22">
      <c r="A199" s="11" t="s">
        <v>25</v>
      </c>
      <c r="B199" s="11" t="s">
        <v>33</v>
      </c>
      <c r="D199" s="30"/>
      <c r="E199" s="17"/>
      <c r="F199" s="17"/>
      <c r="G199" s="17"/>
      <c r="H199" s="14"/>
      <c r="I199" s="14"/>
      <c r="J199" s="15" t="e">
        <f>+VLOOKUP(K199,[1]Datos!$A:$C,3,FALSE)</f>
        <v>#N/A</v>
      </c>
      <c r="L199" s="15" t="e">
        <f>+VLOOKUP(K199,[1]Datos!$A:$C,2,FALSE)</f>
        <v>#N/A</v>
      </c>
      <c r="M199" s="17"/>
      <c r="N199" s="17" t="e">
        <f>+VLOOKUP(M199,[1]Datos!$F:$G,2,FALSE)</f>
        <v>#N/A</v>
      </c>
      <c r="O199" s="54">
        <f>IFERROR(IF(A199="SI",VLOOKUP(R199,[1]Datos!$J$1:$K$50,2,FALSE)*C199,VLOOKUP(R199,[1]Datos!$P$1:$T$50,2,FALSE)*C199),0)</f>
        <v>0</v>
      </c>
      <c r="P199" s="17"/>
      <c r="Q199" s="17" t="e">
        <f>+VLOOKUP(P199,[1]Datos!$F:$G,2,FALSE)</f>
        <v>#N/A</v>
      </c>
      <c r="R199" s="11" t="s">
        <v>30</v>
      </c>
      <c r="S199" s="11">
        <f t="shared" si="2"/>
        <v>0</v>
      </c>
      <c r="T199" s="11" t="e">
        <f>+VLOOKUP(M199,[1]Datos!$F:$H,3,FALSE)</f>
        <v>#N/A</v>
      </c>
      <c r="U199" s="11">
        <v>2</v>
      </c>
      <c r="V199" s="19"/>
    </row>
    <row r="200" spans="1:22">
      <c r="A200" s="11" t="s">
        <v>25</v>
      </c>
      <c r="B200" s="11" t="s">
        <v>33</v>
      </c>
      <c r="D200" s="30"/>
      <c r="E200" s="17"/>
      <c r="F200" s="17"/>
      <c r="G200" s="17"/>
      <c r="H200" s="14"/>
      <c r="I200" s="14"/>
      <c r="J200" s="15" t="e">
        <f>+VLOOKUP(K200,[1]Datos!$A:$C,3,FALSE)</f>
        <v>#N/A</v>
      </c>
      <c r="L200" s="15" t="e">
        <f>+VLOOKUP(K200,[1]Datos!$A:$C,2,FALSE)</f>
        <v>#N/A</v>
      </c>
      <c r="M200" s="17"/>
      <c r="N200" s="17" t="e">
        <f>+VLOOKUP(M200,[1]Datos!$F:$G,2,FALSE)</f>
        <v>#N/A</v>
      </c>
      <c r="O200" s="54">
        <f>IFERROR(IF(A200="SI",VLOOKUP(R200,[1]Datos!$J$1:$K$50,2,FALSE)*C200,VLOOKUP(R200,[1]Datos!$P$1:$T$50,2,FALSE)*C200),0)</f>
        <v>0</v>
      </c>
      <c r="P200" s="17"/>
      <c r="Q200" s="17" t="e">
        <f>+VLOOKUP(P200,[1]Datos!$F:$G,2,FALSE)</f>
        <v>#N/A</v>
      </c>
      <c r="R200" s="11" t="s">
        <v>30</v>
      </c>
      <c r="S200" s="11">
        <f t="shared" ref="S200:S263" si="3">+COUNTIFS($G$2:$G$607,G200)</f>
        <v>0</v>
      </c>
      <c r="T200" s="11" t="e">
        <f>+VLOOKUP(M200,[1]Datos!$F:$H,3,FALSE)</f>
        <v>#N/A</v>
      </c>
      <c r="U200" s="11">
        <v>0</v>
      </c>
      <c r="V200" s="19"/>
    </row>
    <row r="201" spans="1:22">
      <c r="A201" s="11" t="s">
        <v>25</v>
      </c>
      <c r="B201" s="11" t="s">
        <v>26</v>
      </c>
      <c r="D201" s="30"/>
      <c r="E201" s="12"/>
      <c r="F201" s="12"/>
      <c r="G201" s="12"/>
      <c r="H201" s="14"/>
      <c r="I201" s="14"/>
      <c r="J201" s="15" t="e">
        <f>+VLOOKUP(K201,[1]Datos!$A:$C,3,FALSE)</f>
        <v>#N/A</v>
      </c>
      <c r="K201" s="22"/>
      <c r="L201" s="15" t="e">
        <f>+VLOOKUP(K201,[1]Datos!$A:$C,2,FALSE)</f>
        <v>#N/A</v>
      </c>
      <c r="M201" s="12"/>
      <c r="N201" s="17" t="e">
        <f>+VLOOKUP(M201,[1]Datos!$F:$G,2,FALSE)</f>
        <v>#N/A</v>
      </c>
      <c r="O201" s="54">
        <f>IFERROR(IF(A201="SI",VLOOKUP(R201,[1]Datos!$J$1:$K$50,2,FALSE)*C201,VLOOKUP(R201,[1]Datos!$P$1:$T$50,2,FALSE)*C201),0)</f>
        <v>0</v>
      </c>
      <c r="P201" s="12"/>
      <c r="Q201" s="17" t="e">
        <f>+VLOOKUP(P201,[1]Datos!$F:$G,2,FALSE)</f>
        <v>#N/A</v>
      </c>
      <c r="R201" s="11" t="s">
        <v>138</v>
      </c>
      <c r="S201" s="11">
        <f t="shared" si="3"/>
        <v>0</v>
      </c>
      <c r="T201" s="11" t="e">
        <f>+VLOOKUP(M201,[1]Datos!$F:$H,3,FALSE)</f>
        <v>#N/A</v>
      </c>
      <c r="U201" s="11">
        <v>0</v>
      </c>
      <c r="V201" s="19"/>
    </row>
    <row r="202" spans="1:22" ht="15.5">
      <c r="A202" s="11" t="s">
        <v>25</v>
      </c>
      <c r="B202" s="11" t="s">
        <v>33</v>
      </c>
      <c r="D202" s="30"/>
      <c r="E202" s="12"/>
      <c r="F202" s="12"/>
      <c r="G202" s="12"/>
      <c r="H202" s="14"/>
      <c r="I202" s="14"/>
      <c r="J202" s="15" t="e">
        <f>+VLOOKUP(K202,[1]Datos!$A:$C,3,FALSE)</f>
        <v>#N/A</v>
      </c>
      <c r="K202" s="22"/>
      <c r="L202" s="15" t="e">
        <f>+VLOOKUP(K202,[1]Datos!$A:$C,2,FALSE)</f>
        <v>#N/A</v>
      </c>
      <c r="M202" s="12"/>
      <c r="N202" s="17" t="e">
        <f>+VLOOKUP(M202,[1]Datos!$F:$G,2,FALSE)</f>
        <v>#N/A</v>
      </c>
      <c r="O202" s="54">
        <f>IFERROR(IF(A202="SI",VLOOKUP(R202,[1]Datos!$J$1:$K$50,2,FALSE)*C202,VLOOKUP(R202,[1]Datos!$P$1:$T$50,2,FALSE)*C202),0)</f>
        <v>0</v>
      </c>
      <c r="P202" s="33"/>
      <c r="Q202" s="17" t="e">
        <f>+VLOOKUP(P202,[1]Datos!$F:$G,2,FALSE)</f>
        <v>#N/A</v>
      </c>
      <c r="R202" s="11" t="s">
        <v>30</v>
      </c>
      <c r="S202" s="11">
        <f t="shared" si="3"/>
        <v>0</v>
      </c>
      <c r="T202" s="11" t="e">
        <f>+VLOOKUP(M202,[1]Datos!$F:$H,3,FALSE)</f>
        <v>#N/A</v>
      </c>
      <c r="U202" s="11">
        <v>0</v>
      </c>
      <c r="V202" s="19"/>
    </row>
    <row r="203" spans="1:22">
      <c r="A203" s="11" t="s">
        <v>25</v>
      </c>
      <c r="B203" s="11" t="s">
        <v>33</v>
      </c>
      <c r="D203" s="30"/>
      <c r="E203" s="12"/>
      <c r="F203" s="12"/>
      <c r="G203" s="12"/>
      <c r="H203" s="13"/>
      <c r="I203" s="14"/>
      <c r="J203" s="15" t="e">
        <f>+VLOOKUP(K203,[1]Datos!$A:$C,3,FALSE)</f>
        <v>#N/A</v>
      </c>
      <c r="L203" s="15" t="e">
        <f>+VLOOKUP(K203,[1]Datos!$A:$C,2,FALSE)</f>
        <v>#N/A</v>
      </c>
      <c r="M203" s="17"/>
      <c r="N203" s="17" t="e">
        <f>+VLOOKUP(M203,[1]Datos!$F:$G,2,FALSE)</f>
        <v>#N/A</v>
      </c>
      <c r="O203" s="54">
        <f>IFERROR(IF(A203="SI",VLOOKUP(R203,[1]Datos!$J$1:$K$50,2,FALSE)*C203,VLOOKUP(R203,[1]Datos!$P$1:$T$50,2,FALSE)*C203),0)</f>
        <v>0</v>
      </c>
      <c r="P203" s="17"/>
      <c r="Q203" s="17" t="e">
        <f>+VLOOKUP(P203,[1]Datos!$F:$G,2,FALSE)</f>
        <v>#N/A</v>
      </c>
      <c r="R203" s="11" t="s">
        <v>30</v>
      </c>
      <c r="S203" s="11">
        <f t="shared" si="3"/>
        <v>0</v>
      </c>
      <c r="T203" s="11" t="e">
        <f>+VLOOKUP(M203,[1]Datos!$F:$H,3,FALSE)</f>
        <v>#N/A</v>
      </c>
      <c r="U203" s="11">
        <v>0</v>
      </c>
      <c r="V203" s="19"/>
    </row>
    <row r="204" spans="1:22" ht="15.5">
      <c r="A204" s="11" t="s">
        <v>25</v>
      </c>
      <c r="B204" s="11" t="s">
        <v>33</v>
      </c>
      <c r="E204" s="12"/>
      <c r="F204" s="12"/>
      <c r="G204" s="12"/>
      <c r="H204" s="14"/>
      <c r="I204" s="14"/>
      <c r="J204" s="15" t="e">
        <f>+VLOOKUP(K204,[1]Datos!$A:$C,3,FALSE)</f>
        <v>#N/A</v>
      </c>
      <c r="K204" s="22"/>
      <c r="L204" s="15" t="e">
        <f>+VLOOKUP(K204,[1]Datos!$A:$C,2,FALSE)</f>
        <v>#N/A</v>
      </c>
      <c r="M204" s="12"/>
      <c r="N204" s="17" t="e">
        <f>+VLOOKUP(M204,[1]Datos!$F:$G,2,FALSE)</f>
        <v>#N/A</v>
      </c>
      <c r="O204" s="54">
        <f>IFERROR(IF(A204="SI",VLOOKUP(R204,[1]Datos!$J$1:$K$50,2,FALSE)*C204,VLOOKUP(R204,[1]Datos!$P$1:$T$50,2,FALSE)*C204),0)</f>
        <v>0</v>
      </c>
      <c r="P204" s="33"/>
      <c r="Q204" s="17" t="e">
        <f>+VLOOKUP(P204,[1]Datos!$F:$G,2,FALSE)</f>
        <v>#N/A</v>
      </c>
      <c r="R204" s="11" t="s">
        <v>41</v>
      </c>
      <c r="S204" s="11">
        <f t="shared" si="3"/>
        <v>0</v>
      </c>
      <c r="T204" s="11" t="e">
        <f>+VLOOKUP(M204,[1]Datos!$F:$H,3,FALSE)</f>
        <v>#N/A</v>
      </c>
      <c r="U204" s="11">
        <v>0</v>
      </c>
      <c r="V204" s="19"/>
    </row>
    <row r="205" spans="1:22">
      <c r="A205" s="11" t="s">
        <v>25</v>
      </c>
      <c r="B205" s="11" t="s">
        <v>33</v>
      </c>
      <c r="E205" s="12"/>
      <c r="F205" s="12"/>
      <c r="G205" s="12"/>
      <c r="H205" s="14"/>
      <c r="I205" s="14"/>
      <c r="J205" s="15" t="e">
        <f>+VLOOKUP(K205,[1]Datos!$A:$C,3,FALSE)</f>
        <v>#N/A</v>
      </c>
      <c r="K205" s="22"/>
      <c r="L205" s="15" t="e">
        <f>+VLOOKUP(K205,[1]Datos!$A:$C,2,FALSE)</f>
        <v>#N/A</v>
      </c>
      <c r="M205" s="17"/>
      <c r="N205" s="17" t="e">
        <f>+VLOOKUP(M205,[1]Datos!$F:$G,2,FALSE)</f>
        <v>#N/A</v>
      </c>
      <c r="O205" s="54">
        <f>IFERROR(IF(A205="SI",VLOOKUP(R205,[1]Datos!$J$1:$K$50,2,FALSE)*C205,VLOOKUP(R205,[1]Datos!$P$1:$T$50,2,FALSE)*C205),0)</f>
        <v>0</v>
      </c>
      <c r="P205" s="12"/>
      <c r="Q205" s="17" t="e">
        <f>+VLOOKUP(P205,[1]Datos!$F:$G,2,FALSE)</f>
        <v>#N/A</v>
      </c>
      <c r="R205" s="11" t="s">
        <v>41</v>
      </c>
      <c r="S205" s="11">
        <f t="shared" si="3"/>
        <v>0</v>
      </c>
      <c r="T205" s="11" t="e">
        <f>+VLOOKUP(M205,[1]Datos!$F:$H,3,FALSE)</f>
        <v>#N/A</v>
      </c>
      <c r="U205" s="11">
        <v>0</v>
      </c>
      <c r="V205" s="19"/>
    </row>
    <row r="206" spans="1:22">
      <c r="A206" s="11" t="s">
        <v>25</v>
      </c>
      <c r="B206" s="11" t="s">
        <v>33</v>
      </c>
      <c r="E206" s="42"/>
      <c r="F206" s="12"/>
      <c r="G206" s="12"/>
      <c r="H206" s="14"/>
      <c r="I206" s="14"/>
      <c r="J206" s="15" t="e">
        <f>+VLOOKUP(K206,[1]Datos!$A:$C,3,FALSE)</f>
        <v>#N/A</v>
      </c>
      <c r="K206" s="22"/>
      <c r="L206" s="15" t="e">
        <f>+VLOOKUP(K206,[1]Datos!$A:$C,2,FALSE)</f>
        <v>#N/A</v>
      </c>
      <c r="M206" s="17"/>
      <c r="N206" s="17" t="e">
        <f>+VLOOKUP(M206,[1]Datos!$F:$G,2,FALSE)</f>
        <v>#N/A</v>
      </c>
      <c r="O206" s="54">
        <f>IFERROR(IF(A206="SI",VLOOKUP(R206,[1]Datos!$J$1:$K$50,2,FALSE)*C206,VLOOKUP(R206,[1]Datos!$P$1:$T$50,2,FALSE)*C206),0)</f>
        <v>0</v>
      </c>
      <c r="P206" s="12"/>
      <c r="Q206" s="17" t="e">
        <f>+VLOOKUP(P206,[1]Datos!$F:$G,2,FALSE)</f>
        <v>#N/A</v>
      </c>
      <c r="R206" s="11" t="s">
        <v>30</v>
      </c>
      <c r="S206" s="11">
        <f t="shared" si="3"/>
        <v>0</v>
      </c>
      <c r="T206" s="11" t="e">
        <f>+VLOOKUP(M206,[1]Datos!$F:$H,3,FALSE)</f>
        <v>#N/A</v>
      </c>
      <c r="U206" s="11">
        <v>0</v>
      </c>
      <c r="V206" s="19"/>
    </row>
    <row r="207" spans="1:22">
      <c r="A207" s="11" t="s">
        <v>25</v>
      </c>
      <c r="B207" s="11" t="s">
        <v>33</v>
      </c>
      <c r="E207" s="12"/>
      <c r="F207" s="42"/>
      <c r="G207" s="42"/>
      <c r="H207" s="14"/>
      <c r="I207" s="14"/>
      <c r="J207" s="15" t="e">
        <f>+VLOOKUP(K207,[1]Datos!$A:$C,3,FALSE)</f>
        <v>#N/A</v>
      </c>
      <c r="K207" s="58"/>
      <c r="L207" s="15" t="e">
        <f>+VLOOKUP(K207,[1]Datos!$A:$C,2,FALSE)</f>
        <v>#N/A</v>
      </c>
      <c r="M207" s="42"/>
      <c r="N207" s="17" t="e">
        <f>+VLOOKUP(M207,[1]Datos!$F:$G,2,FALSE)</f>
        <v>#N/A</v>
      </c>
      <c r="O207" s="54">
        <f>IFERROR(IF(A207="SI",VLOOKUP(R207,[1]Datos!$J$1:$K$50,2,FALSE)*C207,VLOOKUP(R207,[1]Datos!$P$1:$T$50,2,FALSE)*C207),0)</f>
        <v>0</v>
      </c>
      <c r="P207" s="59"/>
      <c r="Q207" s="17" t="e">
        <f>+VLOOKUP(P207,[1]Datos!$F:$G,2,FALSE)</f>
        <v>#N/A</v>
      </c>
      <c r="R207" s="11" t="s">
        <v>30</v>
      </c>
      <c r="S207" s="11">
        <f t="shared" si="3"/>
        <v>0</v>
      </c>
      <c r="T207" s="11" t="e">
        <f>+VLOOKUP(M207,[1]Datos!$F:$H,3,FALSE)</f>
        <v>#N/A</v>
      </c>
      <c r="U207" s="11">
        <v>2</v>
      </c>
      <c r="V207" s="19"/>
    </row>
    <row r="208" spans="1:22">
      <c r="A208" s="11" t="s">
        <v>25</v>
      </c>
      <c r="B208" s="11" t="s">
        <v>33</v>
      </c>
      <c r="E208" s="12"/>
      <c r="F208" s="12"/>
      <c r="G208" s="12"/>
      <c r="H208" s="14"/>
      <c r="I208" s="14"/>
      <c r="J208" s="15" t="e">
        <f>+VLOOKUP(K208,[1]Datos!$A:$C,3,FALSE)</f>
        <v>#N/A</v>
      </c>
      <c r="K208" s="22"/>
      <c r="L208" s="15" t="e">
        <f>+VLOOKUP(K208,[1]Datos!$A:$C,2,FALSE)</f>
        <v>#N/A</v>
      </c>
      <c r="M208" s="12"/>
      <c r="N208" s="17" t="e">
        <f>+VLOOKUP(M208,[1]Datos!$F:$G,2,FALSE)</f>
        <v>#N/A</v>
      </c>
      <c r="O208" s="54">
        <f>IFERROR(IF(A208="SI",VLOOKUP(R208,[1]Datos!$J$1:$K$50,2,FALSE)*C208,VLOOKUP(R208,[1]Datos!$P$1:$T$50,2,FALSE)*C208),0)</f>
        <v>0</v>
      </c>
      <c r="P208" s="17"/>
      <c r="Q208" s="17" t="e">
        <f>+VLOOKUP(P208,[1]Datos!$F:$G,2,FALSE)</f>
        <v>#N/A</v>
      </c>
      <c r="R208" s="11" t="s">
        <v>30</v>
      </c>
      <c r="S208" s="11">
        <f t="shared" si="3"/>
        <v>0</v>
      </c>
      <c r="T208" s="11" t="e">
        <f>+VLOOKUP(M208,[1]Datos!$F:$H,3,FALSE)</f>
        <v>#N/A</v>
      </c>
      <c r="U208" s="11">
        <v>0</v>
      </c>
      <c r="V208" s="19"/>
    </row>
    <row r="209" spans="1:22">
      <c r="A209" s="11" t="s">
        <v>25</v>
      </c>
      <c r="B209" s="11" t="s">
        <v>26</v>
      </c>
      <c r="E209" s="12"/>
      <c r="F209" s="12"/>
      <c r="G209" s="12"/>
      <c r="H209" s="14"/>
      <c r="I209" s="14"/>
      <c r="J209" s="15" t="e">
        <f>+VLOOKUP(K209,[1]Datos!$A:$C,3,FALSE)</f>
        <v>#N/A</v>
      </c>
      <c r="K209" s="22"/>
      <c r="L209" s="15" t="e">
        <f>+VLOOKUP(K209,[1]Datos!$A:$C,2,FALSE)</f>
        <v>#N/A</v>
      </c>
      <c r="M209" s="12"/>
      <c r="N209" s="17" t="e">
        <f>+VLOOKUP(M209,[1]Datos!$F:$G,2,FALSE)</f>
        <v>#N/A</v>
      </c>
      <c r="O209" s="54">
        <f>IFERROR(IF(A209="SI",VLOOKUP(R209,[1]Datos!$J$1:$K$50,2,FALSE)*C209,VLOOKUP(R209,[1]Datos!$P$1:$T$50,2,FALSE)*C209),0)</f>
        <v>0</v>
      </c>
      <c r="P209" s="17"/>
      <c r="Q209" s="17" t="e">
        <f>+VLOOKUP(P209,[1]Datos!$F:$G,2,FALSE)</f>
        <v>#N/A</v>
      </c>
      <c r="R209" s="11" t="s">
        <v>30</v>
      </c>
      <c r="S209" s="11">
        <f t="shared" si="3"/>
        <v>0</v>
      </c>
      <c r="T209" s="11" t="e">
        <f>+VLOOKUP(M209,[1]Datos!$F:$H,3,FALSE)</f>
        <v>#N/A</v>
      </c>
      <c r="U209" s="11">
        <v>0</v>
      </c>
      <c r="V209" s="19"/>
    </row>
    <row r="210" spans="1:22">
      <c r="A210" s="11" t="s">
        <v>25</v>
      </c>
      <c r="B210" s="11" t="s">
        <v>33</v>
      </c>
      <c r="E210" s="49"/>
      <c r="F210" s="49"/>
      <c r="G210" s="49"/>
      <c r="H210" s="14"/>
      <c r="I210" s="14"/>
      <c r="J210" s="15" t="e">
        <f>+VLOOKUP(K210,[1]Datos!$A:$C,3,FALSE)</f>
        <v>#N/A</v>
      </c>
      <c r="K210" s="50"/>
      <c r="L210" s="15" t="e">
        <f>+VLOOKUP(K210,[1]Datos!$A:$C,2,FALSE)</f>
        <v>#N/A</v>
      </c>
      <c r="M210" s="51"/>
      <c r="N210" s="17" t="e">
        <f>+VLOOKUP(M210,[1]Datos!$F:$G,2,FALSE)</f>
        <v>#N/A</v>
      </c>
      <c r="O210" s="54">
        <f>IFERROR(IF(A210="SI",VLOOKUP(R210,[1]Datos!$J$1:$K$50,2,FALSE)*C210,VLOOKUP(R210,[1]Datos!$P$1:$T$50,2,FALSE)*C210),0)</f>
        <v>0</v>
      </c>
      <c r="P210" s="52"/>
      <c r="Q210" s="17" t="e">
        <f>+VLOOKUP(P210,[1]Datos!$F:$G,2,FALSE)</f>
        <v>#N/A</v>
      </c>
      <c r="R210" s="11" t="s">
        <v>30</v>
      </c>
      <c r="S210" s="11">
        <f t="shared" si="3"/>
        <v>0</v>
      </c>
      <c r="T210" s="11" t="e">
        <f>+VLOOKUP(M210,[1]Datos!$F:$H,3,FALSE)</f>
        <v>#N/A</v>
      </c>
      <c r="U210" s="11">
        <v>0</v>
      </c>
      <c r="V210" s="19"/>
    </row>
    <row r="211" spans="1:22">
      <c r="A211" s="11" t="s">
        <v>25</v>
      </c>
      <c r="B211" s="11" t="s">
        <v>33</v>
      </c>
      <c r="E211" s="49"/>
      <c r="F211" s="49"/>
      <c r="G211" s="49"/>
      <c r="H211" s="14"/>
      <c r="I211" s="14"/>
      <c r="J211" s="15" t="e">
        <f>+VLOOKUP(K211,[1]Datos!$A:$C,3,FALSE)</f>
        <v>#N/A</v>
      </c>
      <c r="K211" s="50"/>
      <c r="L211" s="15" t="e">
        <f>+VLOOKUP(K211,[1]Datos!$A:$C,2,FALSE)</f>
        <v>#N/A</v>
      </c>
      <c r="M211" s="51"/>
      <c r="N211" s="17" t="e">
        <f>+VLOOKUP(M211,[1]Datos!$F:$G,2,FALSE)</f>
        <v>#N/A</v>
      </c>
      <c r="O211" s="54">
        <f>IFERROR(IF(A211="SI",VLOOKUP(R211,[1]Datos!$J$1:$K$50,2,FALSE)*C211,VLOOKUP(R211,[1]Datos!$P$1:$T$50,2,FALSE)*C211),0)</f>
        <v>0</v>
      </c>
      <c r="P211" s="52"/>
      <c r="Q211" s="17" t="e">
        <f>+VLOOKUP(P211,[1]Datos!$F:$G,2,FALSE)</f>
        <v>#N/A</v>
      </c>
      <c r="R211" s="11" t="s">
        <v>30</v>
      </c>
      <c r="S211" s="11">
        <f t="shared" si="3"/>
        <v>0</v>
      </c>
      <c r="T211" s="11" t="e">
        <f>+VLOOKUP(M211,[1]Datos!$F:$H,3,FALSE)</f>
        <v>#N/A</v>
      </c>
      <c r="U211" s="11">
        <v>0</v>
      </c>
      <c r="V211" s="19"/>
    </row>
    <row r="212" spans="1:22">
      <c r="A212" s="11" t="s">
        <v>25</v>
      </c>
      <c r="B212" s="11" t="s">
        <v>33</v>
      </c>
      <c r="E212" s="17"/>
      <c r="F212" s="17"/>
      <c r="G212" s="17"/>
      <c r="H212" s="14"/>
      <c r="I212" s="14"/>
      <c r="J212" s="15" t="e">
        <f>+VLOOKUP(K212,[1]Datos!$A:$C,3,FALSE)</f>
        <v>#N/A</v>
      </c>
      <c r="K212" s="29"/>
      <c r="L212" s="15" t="e">
        <f>+VLOOKUP(K212,[1]Datos!$A:$C,2,FALSE)</f>
        <v>#N/A</v>
      </c>
      <c r="M212" s="17"/>
      <c r="N212" s="17" t="e">
        <f>+VLOOKUP(M212,[1]Datos!$F:$G,2,FALSE)</f>
        <v>#N/A</v>
      </c>
      <c r="O212" s="54">
        <f>IFERROR(IF(A212="SI",VLOOKUP(R212,[1]Datos!$J$1:$K$50,2,FALSE)*C212,VLOOKUP(R212,[1]Datos!$P$1:$T$50,2,FALSE)*C212),0)</f>
        <v>0</v>
      </c>
      <c r="P212" s="17"/>
      <c r="Q212" s="17" t="e">
        <f>+VLOOKUP(P212,[1]Datos!$F:$G,2,FALSE)</f>
        <v>#N/A</v>
      </c>
      <c r="R212" s="11" t="s">
        <v>97</v>
      </c>
      <c r="S212" s="11">
        <f t="shared" si="3"/>
        <v>0</v>
      </c>
      <c r="T212" s="11" t="e">
        <f>+VLOOKUP(M212,[1]Datos!$F:$H,3,FALSE)</f>
        <v>#N/A</v>
      </c>
      <c r="U212" s="11">
        <v>0</v>
      </c>
      <c r="V212" s="19"/>
    </row>
    <row r="213" spans="1:22">
      <c r="A213" s="11" t="s">
        <v>25</v>
      </c>
      <c r="B213" s="11" t="s">
        <v>33</v>
      </c>
      <c r="E213" s="12"/>
      <c r="F213" s="12"/>
      <c r="G213" s="21"/>
      <c r="H213" s="14"/>
      <c r="I213" s="14"/>
      <c r="J213" s="15" t="e">
        <f>+VLOOKUP(K213,[1]Datos!$A:$C,3,FALSE)</f>
        <v>#N/A</v>
      </c>
      <c r="K213" s="22"/>
      <c r="L213" s="15" t="e">
        <f>+VLOOKUP(K213,[1]Datos!$A:$C,2,FALSE)</f>
        <v>#N/A</v>
      </c>
      <c r="M213" s="16"/>
      <c r="N213" s="17" t="e">
        <f>+VLOOKUP(M213,[1]Datos!$F:$G,2,FALSE)</f>
        <v>#N/A</v>
      </c>
      <c r="O213" s="54">
        <f>IFERROR(IF(A213="SI",VLOOKUP(R213,[1]Datos!$J$1:$K$50,2,FALSE)*C213,VLOOKUP(R213,[1]Datos!$P$1:$T$50,2,FALSE)*C213),0)</f>
        <v>0</v>
      </c>
      <c r="P213" s="12"/>
      <c r="Q213" s="17" t="e">
        <f>+VLOOKUP(P213,[1]Datos!$F:$G,2,FALSE)</f>
        <v>#N/A</v>
      </c>
      <c r="R213" s="11" t="s">
        <v>30</v>
      </c>
      <c r="S213" s="11">
        <f t="shared" si="3"/>
        <v>0</v>
      </c>
      <c r="T213" s="11" t="e">
        <f>+VLOOKUP(M213,[1]Datos!$F:$H,3,FALSE)</f>
        <v>#N/A</v>
      </c>
      <c r="U213" s="11">
        <v>0</v>
      </c>
      <c r="V213" s="19"/>
    </row>
    <row r="214" spans="1:22">
      <c r="A214" s="11" t="s">
        <v>25</v>
      </c>
      <c r="B214" s="11" t="s">
        <v>26</v>
      </c>
      <c r="E214" s="12"/>
      <c r="F214" s="12"/>
      <c r="G214" s="12"/>
      <c r="H214" s="14"/>
      <c r="I214" s="14"/>
      <c r="J214" s="15" t="e">
        <f>+VLOOKUP(K214,[1]Datos!$A:$C,3,FALSE)</f>
        <v>#N/A</v>
      </c>
      <c r="K214" s="22"/>
      <c r="L214" s="15" t="e">
        <f>+VLOOKUP(K214,[1]Datos!$A:$C,2,FALSE)</f>
        <v>#N/A</v>
      </c>
      <c r="M214" s="12"/>
      <c r="N214" s="17" t="e">
        <f>+VLOOKUP(M214,[1]Datos!$F:$G,2,FALSE)</f>
        <v>#N/A</v>
      </c>
      <c r="O214" s="54">
        <f>IFERROR(IF(A214="SI",VLOOKUP(R214,[1]Datos!$J$1:$K$50,2,FALSE)*C214,VLOOKUP(R214,[1]Datos!$P$1:$T$50,2,FALSE)*C214),0)</f>
        <v>0</v>
      </c>
      <c r="P214" s="17"/>
      <c r="Q214" s="17" t="e">
        <f>+VLOOKUP(P214,[1]Datos!$F:$G,2,FALSE)</f>
        <v>#N/A</v>
      </c>
      <c r="R214" s="11" t="s">
        <v>97</v>
      </c>
      <c r="S214" s="11">
        <f t="shared" si="3"/>
        <v>0</v>
      </c>
      <c r="T214" s="11" t="e">
        <f>+VLOOKUP(M214,[1]Datos!$F:$H,3,FALSE)</f>
        <v>#N/A</v>
      </c>
      <c r="U214" s="11">
        <v>0</v>
      </c>
      <c r="V214" s="19"/>
    </row>
    <row r="215" spans="1:22">
      <c r="A215" s="11" t="s">
        <v>25</v>
      </c>
      <c r="B215" s="11" t="s">
        <v>26</v>
      </c>
      <c r="E215" s="12"/>
      <c r="F215" s="12"/>
      <c r="G215" s="12"/>
      <c r="H215" s="14"/>
      <c r="I215" s="14"/>
      <c r="J215" s="15" t="e">
        <f>+VLOOKUP(K215,[1]Datos!$A:$C,3,FALSE)</f>
        <v>#N/A</v>
      </c>
      <c r="K215" s="22"/>
      <c r="L215" s="15" t="e">
        <f>+VLOOKUP(K215,[1]Datos!$A:$C,2,FALSE)</f>
        <v>#N/A</v>
      </c>
      <c r="M215" s="12"/>
      <c r="N215" s="17" t="e">
        <f>+VLOOKUP(M215,[1]Datos!$F:$G,2,FALSE)</f>
        <v>#N/A</v>
      </c>
      <c r="O215" s="54">
        <f>IFERROR(IF(A215="SI",VLOOKUP(R215,[1]Datos!$J$1:$K$50,2,FALSE)*C215,VLOOKUP(R215,[1]Datos!$P$1:$T$50,2,FALSE)*C215),0)</f>
        <v>0</v>
      </c>
      <c r="P215" s="12"/>
      <c r="Q215" s="17" t="e">
        <f>+VLOOKUP(P215,[1]Datos!$F:$G,2,FALSE)</f>
        <v>#N/A</v>
      </c>
      <c r="R215" s="11" t="s">
        <v>97</v>
      </c>
      <c r="S215" s="11">
        <f t="shared" si="3"/>
        <v>0</v>
      </c>
      <c r="T215" s="11" t="e">
        <f>+VLOOKUP(M215,[1]Datos!$F:$H,3,FALSE)</f>
        <v>#N/A</v>
      </c>
      <c r="U215" s="11">
        <v>0</v>
      </c>
      <c r="V215" s="19"/>
    </row>
    <row r="216" spans="1:22">
      <c r="A216" s="11" t="s">
        <v>25</v>
      </c>
      <c r="B216" s="11" t="s">
        <v>26</v>
      </c>
      <c r="E216" s="12"/>
      <c r="F216" s="12"/>
      <c r="G216" s="12"/>
      <c r="H216" s="13"/>
      <c r="I216" s="14"/>
      <c r="J216" s="15" t="e">
        <f>+VLOOKUP(K216,[1]Datos!$A:$C,3,FALSE)</f>
        <v>#N/A</v>
      </c>
      <c r="K216" s="22"/>
      <c r="L216" s="15" t="e">
        <f>+VLOOKUP(K216,[1]Datos!$A:$C,2,FALSE)</f>
        <v>#N/A</v>
      </c>
      <c r="M216" s="12"/>
      <c r="N216" s="17" t="e">
        <f>+VLOOKUP(M216,[1]Datos!$F:$G,2,FALSE)</f>
        <v>#N/A</v>
      </c>
      <c r="O216" s="54">
        <f>IFERROR(IF(A216="SI",VLOOKUP(R216,[1]Datos!$J$1:$K$50,2,FALSE)*C216,VLOOKUP(R216,[1]Datos!$P$1:$T$50,2,FALSE)*C216),0)</f>
        <v>0</v>
      </c>
      <c r="P216" s="17"/>
      <c r="Q216" s="17" t="e">
        <f>+VLOOKUP(P216,[1]Datos!$F:$G,2,FALSE)</f>
        <v>#N/A</v>
      </c>
      <c r="R216" s="11" t="s">
        <v>30</v>
      </c>
      <c r="S216" s="11">
        <f t="shared" si="3"/>
        <v>0</v>
      </c>
      <c r="T216" s="11" t="e">
        <f>+VLOOKUP(M216,[1]Datos!$F:$H,3,FALSE)</f>
        <v>#N/A</v>
      </c>
      <c r="U216" s="11">
        <v>0</v>
      </c>
      <c r="V216" s="19"/>
    </row>
    <row r="217" spans="1:22">
      <c r="A217" s="11" t="s">
        <v>25</v>
      </c>
      <c r="B217" s="11" t="s">
        <v>26</v>
      </c>
      <c r="E217" s="12"/>
      <c r="F217" s="12"/>
      <c r="G217" s="12"/>
      <c r="H217" s="14"/>
      <c r="I217" s="14"/>
      <c r="J217" s="15" t="e">
        <f>+VLOOKUP(K217,[1]Datos!$A:$C,3,FALSE)</f>
        <v>#N/A</v>
      </c>
      <c r="K217" s="22"/>
      <c r="L217" s="15" t="e">
        <f>+VLOOKUP(K217,[1]Datos!$A:$C,2,FALSE)</f>
        <v>#N/A</v>
      </c>
      <c r="M217" s="12"/>
      <c r="N217" s="17" t="e">
        <f>+VLOOKUP(M217,[1]Datos!$F:$G,2,FALSE)</f>
        <v>#N/A</v>
      </c>
      <c r="O217" s="60">
        <f>IFERROR(IF(A217="SI",VLOOKUP(R217,[1]Datos!$J$1:$K$50,2,FALSE)*C217,VLOOKUP(R217,[1]Datos!$P$1:$T$50,2,FALSE)*C217),0)</f>
        <v>0</v>
      </c>
      <c r="P217" s="17"/>
      <c r="Q217" s="17" t="e">
        <f>+VLOOKUP(P217,[1]Datos!$F:$G,2,FALSE)</f>
        <v>#N/A</v>
      </c>
      <c r="R217" s="11" t="s">
        <v>41</v>
      </c>
      <c r="S217" s="11">
        <f t="shared" si="3"/>
        <v>0</v>
      </c>
      <c r="T217" s="11" t="e">
        <f>+VLOOKUP(M217,[1]Datos!$F:$H,3,FALSE)</f>
        <v>#N/A</v>
      </c>
      <c r="U217" s="11">
        <v>0</v>
      </c>
      <c r="V217" s="19"/>
    </row>
    <row r="218" spans="1:22" ht="15.5">
      <c r="A218" s="11" t="s">
        <v>25</v>
      </c>
      <c r="B218" s="11" t="s">
        <v>26</v>
      </c>
      <c r="E218" s="12"/>
      <c r="F218" s="12"/>
      <c r="G218" s="12"/>
      <c r="H218" s="14"/>
      <c r="I218" s="14"/>
      <c r="J218" s="15" t="e">
        <f>+VLOOKUP(K218,[1]Datos!$A:$C,3,FALSE)</f>
        <v>#N/A</v>
      </c>
      <c r="K218" s="22"/>
      <c r="L218" s="15" t="e">
        <f>+VLOOKUP(K218,[1]Datos!$A:$C,2,FALSE)</f>
        <v>#N/A</v>
      </c>
      <c r="M218" s="12"/>
      <c r="N218" s="17" t="e">
        <f>+VLOOKUP(M218,[1]Datos!$F:$G,2,FALSE)</f>
        <v>#N/A</v>
      </c>
      <c r="O218" s="60">
        <f>IFERROR(IF(A218="SI",VLOOKUP(R218,[1]Datos!$J$1:$K$50,2,FALSE)*C218,VLOOKUP(R218,[1]Datos!$P$1:$T$50,2,FALSE)*C218),0)</f>
        <v>0</v>
      </c>
      <c r="P218" s="33"/>
      <c r="Q218" s="17" t="e">
        <f>+VLOOKUP(P218,[1]Datos!$F:$G,2,FALSE)</f>
        <v>#N/A</v>
      </c>
      <c r="R218" s="11" t="s">
        <v>30</v>
      </c>
      <c r="S218" s="11">
        <f t="shared" si="3"/>
        <v>0</v>
      </c>
      <c r="T218" s="11" t="e">
        <f>+VLOOKUP(M218,[1]Datos!$F:$H,3,FALSE)</f>
        <v>#N/A</v>
      </c>
      <c r="U218" s="11">
        <v>0</v>
      </c>
      <c r="V218" s="19"/>
    </row>
    <row r="219" spans="1:22">
      <c r="A219" s="11" t="s">
        <v>25</v>
      </c>
      <c r="B219" s="11" t="s">
        <v>26</v>
      </c>
      <c r="E219" s="12"/>
      <c r="F219" s="12"/>
      <c r="G219" s="12"/>
      <c r="H219" s="14"/>
      <c r="I219" s="14"/>
      <c r="J219" s="15" t="e">
        <f>+VLOOKUP(K219,[1]Datos!$A:$C,3,FALSE)</f>
        <v>#N/A</v>
      </c>
      <c r="K219" s="22"/>
      <c r="L219" s="15" t="e">
        <f>+VLOOKUP(K219,[1]Datos!$A:$C,2,FALSE)</f>
        <v>#N/A</v>
      </c>
      <c r="M219" s="12"/>
      <c r="N219" s="17" t="e">
        <f>+VLOOKUP(M219,[1]Datos!$F:$G,2,FALSE)</f>
        <v>#N/A</v>
      </c>
      <c r="O219" s="60">
        <f>IFERROR(IF(A219="SI",VLOOKUP(R219,[1]Datos!$J$1:$K$50,2,FALSE)*C219,VLOOKUP(R219,[1]Datos!$P$1:$T$50,2,FALSE)*C219),0)</f>
        <v>0</v>
      </c>
      <c r="P219" s="12"/>
      <c r="Q219" s="17" t="e">
        <f>+VLOOKUP(P219,[1]Datos!$F:$G,2,FALSE)</f>
        <v>#N/A</v>
      </c>
      <c r="R219" s="11" t="s">
        <v>97</v>
      </c>
      <c r="S219" s="11">
        <f t="shared" si="3"/>
        <v>0</v>
      </c>
      <c r="T219" s="11" t="e">
        <f>+VLOOKUP(M219,[1]Datos!$F:$H,3,FALSE)</f>
        <v>#N/A</v>
      </c>
      <c r="U219" s="11">
        <v>0</v>
      </c>
      <c r="V219" s="19"/>
    </row>
    <row r="220" spans="1:22">
      <c r="A220" s="11" t="s">
        <v>25</v>
      </c>
      <c r="B220" s="11" t="s">
        <v>33</v>
      </c>
      <c r="E220" s="12"/>
      <c r="F220" s="12"/>
      <c r="G220" s="12"/>
      <c r="H220" s="14"/>
      <c r="I220" s="14"/>
      <c r="J220" s="15" t="e">
        <f>+VLOOKUP(K220,[1]Datos!$A:$C,3,FALSE)</f>
        <v>#N/A</v>
      </c>
      <c r="K220" s="22"/>
      <c r="L220" s="15" t="e">
        <f>+VLOOKUP(K220,[1]Datos!$A:$C,2,FALSE)</f>
        <v>#N/A</v>
      </c>
      <c r="M220" s="17"/>
      <c r="N220" s="17" t="e">
        <f>+VLOOKUP(M220,[1]Datos!$F:$G,2,FALSE)</f>
        <v>#N/A</v>
      </c>
      <c r="O220" s="60">
        <f>IFERROR(IF(A220="SI",VLOOKUP(R220,[1]Datos!$J$1:$K$50,2,FALSE)*C220,VLOOKUP(R220,[1]Datos!$P$1:$T$50,2,FALSE)*C220),0)</f>
        <v>0</v>
      </c>
      <c r="P220" s="12"/>
      <c r="Q220" s="17" t="e">
        <f>+VLOOKUP(P220,[1]Datos!$F:$G,2,FALSE)</f>
        <v>#N/A</v>
      </c>
      <c r="R220" s="11" t="s">
        <v>30</v>
      </c>
      <c r="S220" s="11">
        <f t="shared" si="3"/>
        <v>0</v>
      </c>
      <c r="T220" s="11" t="e">
        <f>+VLOOKUP(M220,[1]Datos!$F:$H,3,FALSE)</f>
        <v>#N/A</v>
      </c>
      <c r="U220" s="11">
        <v>0</v>
      </c>
      <c r="V220" s="19" t="s">
        <v>241</v>
      </c>
    </row>
    <row r="221" spans="1:22">
      <c r="A221" s="11" t="s">
        <v>25</v>
      </c>
      <c r="B221" s="11" t="s">
        <v>33</v>
      </c>
      <c r="E221" s="12"/>
      <c r="F221" s="12"/>
      <c r="G221" s="21"/>
      <c r="H221" s="13"/>
      <c r="I221" s="14"/>
      <c r="J221" s="15" t="e">
        <f>+VLOOKUP(K221,[1]Datos!$A:$C,3,FALSE)</f>
        <v>#N/A</v>
      </c>
      <c r="K221" s="22"/>
      <c r="L221" s="15" t="e">
        <f>+VLOOKUP(K221,[1]Datos!$A:$C,2,FALSE)</f>
        <v>#N/A</v>
      </c>
      <c r="N221" s="17" t="e">
        <f>+VLOOKUP(M221,[1]Datos!$F:$G,2,FALSE)</f>
        <v>#N/A</v>
      </c>
      <c r="O221" s="54">
        <f>IFERROR(IF(A221="SI",VLOOKUP(R221,[1]Datos!$J$1:$K$50,2,FALSE)*C221,VLOOKUP(R221,[1]Datos!$P$1:$T$50,2,FALSE)*C221),0)</f>
        <v>0</v>
      </c>
      <c r="P221" s="12"/>
      <c r="Q221" s="17" t="e">
        <f>+VLOOKUP(P221,[1]Datos!$F:$G,2,FALSE)</f>
        <v>#N/A</v>
      </c>
      <c r="R221" s="11" t="s">
        <v>30</v>
      </c>
      <c r="S221" s="11">
        <f t="shared" si="3"/>
        <v>0</v>
      </c>
      <c r="T221" s="11" t="e">
        <f>+VLOOKUP(M221,[1]Datos!$F:$H,3,FALSE)</f>
        <v>#N/A</v>
      </c>
      <c r="U221" s="11">
        <v>0</v>
      </c>
      <c r="V221" s="19"/>
    </row>
    <row r="222" spans="1:22">
      <c r="A222" s="11" t="s">
        <v>25</v>
      </c>
      <c r="B222" s="11" t="s">
        <v>33</v>
      </c>
      <c r="E222" s="12"/>
      <c r="F222" s="12"/>
      <c r="G222" s="61"/>
      <c r="H222" s="14"/>
      <c r="I222" s="14"/>
      <c r="J222" s="15" t="e">
        <f>+VLOOKUP(K222,[1]Datos!$A:$C,3,FALSE)</f>
        <v>#N/A</v>
      </c>
      <c r="K222" s="62"/>
      <c r="L222" s="15" t="e">
        <f>+VLOOKUP(K222,[1]Datos!$A:$C,2,FALSE)</f>
        <v>#N/A</v>
      </c>
      <c r="M222" s="63"/>
      <c r="N222" s="17" t="e">
        <f>+VLOOKUP(M222,[1]Datos!$F:$G,2,FALSE)</f>
        <v>#N/A</v>
      </c>
      <c r="O222" s="54">
        <f>IFERROR(IF(A222="SI",VLOOKUP(R222,[1]Datos!$J$1:$K$50,2,FALSE)*C222,VLOOKUP(R222,[1]Datos!$P$1:$T$50,2,FALSE)*C222),0)</f>
        <v>0</v>
      </c>
      <c r="P222" s="63"/>
      <c r="Q222" s="17" t="e">
        <f>+VLOOKUP(P222,[1]Datos!$F:$G,2,FALSE)</f>
        <v>#N/A</v>
      </c>
      <c r="R222" s="11" t="s">
        <v>242</v>
      </c>
      <c r="S222" s="11">
        <f t="shared" si="3"/>
        <v>0</v>
      </c>
      <c r="T222" s="11" t="e">
        <f>+VLOOKUP(M222,[1]Datos!$F:$H,3,FALSE)</f>
        <v>#N/A</v>
      </c>
      <c r="U222" s="11">
        <v>0</v>
      </c>
      <c r="V222" s="19"/>
    </row>
    <row r="223" spans="1:22">
      <c r="A223" s="11" t="s">
        <v>25</v>
      </c>
      <c r="B223" s="11" t="s">
        <v>33</v>
      </c>
      <c r="E223" s="12"/>
      <c r="F223" s="12"/>
      <c r="G223" s="53"/>
      <c r="H223" s="14"/>
      <c r="I223" s="14"/>
      <c r="J223" s="15" t="e">
        <f>+VLOOKUP(K223,[1]Datos!$A:$C,3,FALSE)</f>
        <v>#N/A</v>
      </c>
      <c r="K223" s="22"/>
      <c r="L223" s="15" t="e">
        <f>+VLOOKUP(K223,[1]Datos!$A:$C,2,FALSE)</f>
        <v>#N/A</v>
      </c>
      <c r="M223" s="12"/>
      <c r="N223" s="17" t="e">
        <f>+VLOOKUP(M223,[1]Datos!$F:$G,2,FALSE)</f>
        <v>#N/A</v>
      </c>
      <c r="O223" s="54">
        <f>IFERROR(IF(A223="SI",VLOOKUP(R223,[1]Datos!$J$1:$K$50,2,FALSE)*C223,VLOOKUP(R223,[1]Datos!$P$1:$T$50,2,FALSE)*C223),0)</f>
        <v>0</v>
      </c>
      <c r="P223" s="17"/>
      <c r="Q223" s="17" t="e">
        <f>+VLOOKUP(P223,[1]Datos!$F:$G,2,FALSE)</f>
        <v>#N/A</v>
      </c>
      <c r="R223" s="11" t="s">
        <v>41</v>
      </c>
      <c r="S223" s="11">
        <f t="shared" si="3"/>
        <v>0</v>
      </c>
      <c r="T223" s="11" t="e">
        <f>+VLOOKUP(M223,[1]Datos!$F:$H,3,FALSE)</f>
        <v>#N/A</v>
      </c>
      <c r="U223" s="11">
        <v>0</v>
      </c>
      <c r="V223" s="19"/>
    </row>
    <row r="224" spans="1:22">
      <c r="A224" s="11" t="s">
        <v>25</v>
      </c>
      <c r="B224" s="11" t="s">
        <v>26</v>
      </c>
      <c r="E224" s="20"/>
      <c r="F224" s="17"/>
      <c r="G224" s="17"/>
      <c r="H224" s="14"/>
      <c r="I224" s="14"/>
      <c r="J224" s="15" t="e">
        <f>+VLOOKUP(K224,[1]Datos!$A:$C,3,FALSE)</f>
        <v>#N/A</v>
      </c>
      <c r="K224" s="15"/>
      <c r="L224" s="15" t="e">
        <f>+VLOOKUP(K224,[1]Datos!$A:$C,2,FALSE)</f>
        <v>#N/A</v>
      </c>
      <c r="M224" s="17"/>
      <c r="N224" s="17" t="e">
        <f>+VLOOKUP(M224,[1]Datos!$F:$G,2,FALSE)</f>
        <v>#N/A</v>
      </c>
      <c r="O224" s="54">
        <f>IFERROR(IF(A224="SI",VLOOKUP(R224,[1]Datos!$J$1:$K$50,2,FALSE)*C224,VLOOKUP(R224,[1]Datos!$P$1:$T$50,2,FALSE)*C224),0)</f>
        <v>0</v>
      </c>
      <c r="P224" s="17"/>
      <c r="Q224" s="17" t="e">
        <f>+VLOOKUP(P224,[1]Datos!$F:$G,2,FALSE)</f>
        <v>#N/A</v>
      </c>
      <c r="R224" s="11" t="s">
        <v>97</v>
      </c>
      <c r="S224" s="11">
        <f t="shared" si="3"/>
        <v>0</v>
      </c>
      <c r="T224" s="11" t="e">
        <f>+VLOOKUP(M224,[1]Datos!$F:$H,3,FALSE)</f>
        <v>#N/A</v>
      </c>
      <c r="U224" s="11">
        <v>0</v>
      </c>
      <c r="V224" s="19"/>
    </row>
    <row r="225" spans="1:22">
      <c r="A225" s="11" t="s">
        <v>25</v>
      </c>
      <c r="B225" s="11" t="s">
        <v>26</v>
      </c>
      <c r="E225" s="12"/>
      <c r="F225" s="12"/>
      <c r="G225" s="12"/>
      <c r="H225" s="14"/>
      <c r="I225" s="14"/>
      <c r="J225" s="15" t="e">
        <f>+VLOOKUP(K225,[1]Datos!$A:$C,3,FALSE)</f>
        <v>#N/A</v>
      </c>
      <c r="L225" s="15" t="e">
        <f>+VLOOKUP(K225,[1]Datos!$A:$C,2,FALSE)</f>
        <v>#N/A</v>
      </c>
      <c r="M225" s="12"/>
      <c r="N225" s="17" t="e">
        <f>+VLOOKUP(M225,[1]Datos!$F:$G,2,FALSE)</f>
        <v>#N/A</v>
      </c>
      <c r="O225" s="54">
        <f>IFERROR(IF(A225="SI",VLOOKUP(R225,[1]Datos!$J$1:$K$50,2,FALSE)*C225,VLOOKUP(R225,[1]Datos!$P$1:$T$50,2,FALSE)*C225),0)</f>
        <v>0</v>
      </c>
      <c r="P225" s="17"/>
      <c r="Q225" s="17" t="e">
        <f>+VLOOKUP(P225,[1]Datos!$F:$G,2,FALSE)</f>
        <v>#N/A</v>
      </c>
      <c r="R225" s="11" t="s">
        <v>97</v>
      </c>
      <c r="S225" s="11">
        <f t="shared" si="3"/>
        <v>0</v>
      </c>
      <c r="T225" s="11" t="e">
        <f>+VLOOKUP(M225,[1]Datos!$F:$H,3,FALSE)</f>
        <v>#N/A</v>
      </c>
      <c r="U225" s="11">
        <v>0</v>
      </c>
      <c r="V225" s="19"/>
    </row>
    <row r="226" spans="1:22">
      <c r="A226" s="11" t="s">
        <v>25</v>
      </c>
      <c r="B226" s="11" t="s">
        <v>33</v>
      </c>
      <c r="E226" s="12"/>
      <c r="F226" s="12"/>
      <c r="G226" s="64"/>
      <c r="H226" s="14"/>
      <c r="I226" s="14"/>
      <c r="J226" s="15" t="e">
        <f>+VLOOKUP(K226,[1]Datos!$A:$C,3,FALSE)</f>
        <v>#N/A</v>
      </c>
      <c r="K226" s="22"/>
      <c r="L226" s="15" t="e">
        <f>+VLOOKUP(K226,[1]Datos!$A:$C,2,FALSE)</f>
        <v>#N/A</v>
      </c>
      <c r="M226" s="12"/>
      <c r="N226" s="17" t="e">
        <f>+VLOOKUP(M226,[1]Datos!$F:$G,2,FALSE)</f>
        <v>#N/A</v>
      </c>
      <c r="O226" s="54">
        <f>IFERROR(IF(A226="SI",VLOOKUP(R226,[1]Datos!$J$1:$K$50,2,FALSE)*C226,VLOOKUP(R226,[1]Datos!$P$1:$T$50,2,FALSE)*C226),0)</f>
        <v>0</v>
      </c>
      <c r="P226" s="17"/>
      <c r="Q226" s="17" t="e">
        <f>+VLOOKUP(P226,[1]Datos!$F:$G,2,FALSE)</f>
        <v>#N/A</v>
      </c>
      <c r="R226" s="11" t="s">
        <v>30</v>
      </c>
      <c r="S226" s="11">
        <f t="shared" si="3"/>
        <v>0</v>
      </c>
      <c r="T226" s="11" t="e">
        <f>+VLOOKUP(M226,[1]Datos!$F:$H,3,FALSE)</f>
        <v>#N/A</v>
      </c>
      <c r="U226" s="11">
        <v>0</v>
      </c>
      <c r="V226" s="19"/>
    </row>
    <row r="227" spans="1:22">
      <c r="A227" s="11" t="s">
        <v>25</v>
      </c>
      <c r="B227" s="11" t="s">
        <v>33</v>
      </c>
      <c r="E227" s="12"/>
      <c r="F227" s="12"/>
      <c r="G227" s="12"/>
      <c r="H227" s="13"/>
      <c r="I227" s="14"/>
      <c r="J227" s="15" t="e">
        <f>+VLOOKUP(K227,[1]Datos!$A:$C,3,FALSE)</f>
        <v>#N/A</v>
      </c>
      <c r="K227" s="22"/>
      <c r="L227" s="15" t="e">
        <f>+VLOOKUP(K227,[1]Datos!$A:$C,2,FALSE)</f>
        <v>#N/A</v>
      </c>
      <c r="M227" s="17"/>
      <c r="N227" s="17" t="e">
        <f>+VLOOKUP(M227,[1]Datos!$F:$G,2,FALSE)</f>
        <v>#N/A</v>
      </c>
      <c r="O227" s="54">
        <f>IFERROR(IF(A227="SI",VLOOKUP(R227,[1]Datos!$J$1:$K$50,2,FALSE)*C227,VLOOKUP(R227,[1]Datos!$P$1:$T$50,2,FALSE)*C227),0)</f>
        <v>0</v>
      </c>
      <c r="P227" s="12"/>
      <c r="Q227" s="17" t="e">
        <f>+VLOOKUP(P227,[1]Datos!$F:$G,2,FALSE)</f>
        <v>#N/A</v>
      </c>
      <c r="R227" s="11" t="s">
        <v>30</v>
      </c>
      <c r="S227" s="11">
        <f t="shared" si="3"/>
        <v>0</v>
      </c>
      <c r="T227" s="11" t="e">
        <f>+VLOOKUP(M227,[1]Datos!$F:$H,3,FALSE)</f>
        <v>#N/A</v>
      </c>
      <c r="U227" s="11">
        <v>0</v>
      </c>
      <c r="V227" s="19"/>
    </row>
    <row r="228" spans="1:22">
      <c r="A228" s="11" t="s">
        <v>25</v>
      </c>
      <c r="B228" s="11" t="s">
        <v>26</v>
      </c>
      <c r="E228" s="12"/>
      <c r="F228" s="12"/>
      <c r="G228" s="12"/>
      <c r="H228" s="14"/>
      <c r="I228" s="14"/>
      <c r="J228" s="15" t="e">
        <f>+VLOOKUP(K228,[1]Datos!$A:$C,3,FALSE)</f>
        <v>#N/A</v>
      </c>
      <c r="K228" s="22"/>
      <c r="L228" s="15" t="e">
        <f>+VLOOKUP(K228,[1]Datos!$A:$C,2,FALSE)</f>
        <v>#N/A</v>
      </c>
      <c r="M228" s="23"/>
      <c r="N228" s="17" t="e">
        <f>+VLOOKUP(M228,[1]Datos!$F:$G,2,FALSE)</f>
        <v>#N/A</v>
      </c>
      <c r="O228" s="54">
        <f>IFERROR(IF(A228="SI",VLOOKUP(R228,[1]Datos!$J$1:$K$50,2,FALSE)*C228,VLOOKUP(R228,[1]Datos!$P$1:$T$50,2,FALSE)*C228),0)</f>
        <v>0</v>
      </c>
      <c r="P228" s="12"/>
      <c r="Q228" s="17" t="e">
        <f>+VLOOKUP(P228,[1]Datos!$F:$G,2,FALSE)</f>
        <v>#N/A</v>
      </c>
      <c r="R228" s="11" t="s">
        <v>67</v>
      </c>
      <c r="S228" s="11">
        <f t="shared" si="3"/>
        <v>0</v>
      </c>
      <c r="T228" s="11" t="e">
        <f>+VLOOKUP(M228,[1]Datos!$F:$H,3,FALSE)</f>
        <v>#N/A</v>
      </c>
      <c r="U228" s="11">
        <v>0</v>
      </c>
      <c r="V228" s="19"/>
    </row>
    <row r="229" spans="1:22">
      <c r="A229" s="11" t="s">
        <v>25</v>
      </c>
      <c r="B229" s="11" t="s">
        <v>33</v>
      </c>
      <c r="E229" s="12"/>
      <c r="F229" s="12"/>
      <c r="G229" s="12"/>
      <c r="H229" s="14"/>
      <c r="I229" s="46"/>
      <c r="J229" s="15" t="e">
        <f>+VLOOKUP(K229,[1]Datos!$A:$C,3,FALSE)</f>
        <v>#N/A</v>
      </c>
      <c r="K229" s="22"/>
      <c r="L229" s="15" t="e">
        <f>+VLOOKUP(K229,[1]Datos!$A:$C,2,FALSE)</f>
        <v>#N/A</v>
      </c>
      <c r="M229" s="12"/>
      <c r="N229" s="17" t="e">
        <f>+VLOOKUP(M229,[1]Datos!$F:$G,2,FALSE)</f>
        <v>#N/A</v>
      </c>
      <c r="O229" s="18">
        <f>IFERROR(IF(A229="SI",VLOOKUP(R229,[1]Datos!$J$1:$K$50,2,FALSE)*C229,VLOOKUP(R229,[1]Datos!$P$1:$T$50,2,FALSE)*C229),0)</f>
        <v>0</v>
      </c>
      <c r="P229" s="12"/>
      <c r="Q229" s="17" t="e">
        <f>+VLOOKUP(P229,[1]Datos!$F:$G,2,FALSE)</f>
        <v>#N/A</v>
      </c>
      <c r="R229" s="11" t="s">
        <v>138</v>
      </c>
      <c r="S229" s="11">
        <f t="shared" si="3"/>
        <v>0</v>
      </c>
      <c r="T229" s="11" t="e">
        <f>+VLOOKUP(M229,[1]Datos!$F:$H,3,FALSE)</f>
        <v>#N/A</v>
      </c>
      <c r="U229" s="11">
        <v>0</v>
      </c>
      <c r="V229" s="19"/>
    </row>
    <row r="230" spans="1:22">
      <c r="A230" s="11" t="s">
        <v>25</v>
      </c>
      <c r="B230" s="11" t="s">
        <v>33</v>
      </c>
      <c r="E230" s="20"/>
      <c r="F230" s="20"/>
      <c r="G230" s="20"/>
      <c r="H230" s="14"/>
      <c r="I230" s="14"/>
      <c r="J230" s="15" t="e">
        <f>+VLOOKUP(K230,[1]Datos!$A:$C,3,FALSE)</f>
        <v>#N/A</v>
      </c>
      <c r="K230" s="29"/>
      <c r="L230" s="15" t="e">
        <f>+VLOOKUP(K230,[1]Datos!$A:$C,2,FALSE)</f>
        <v>#N/A</v>
      </c>
      <c r="M230" s="17"/>
      <c r="N230" s="17" t="e">
        <f>+VLOOKUP(M230,[1]Datos!$F:$G,2,FALSE)</f>
        <v>#N/A</v>
      </c>
      <c r="O230" s="18">
        <f>IFERROR(IF(A230="SI",VLOOKUP(R230,[1]Datos!$J$1:$K$50,2,FALSE)*C230,VLOOKUP(R230,[1]Datos!$P$1:$T$50,2,FALSE)*C230),0)</f>
        <v>0</v>
      </c>
      <c r="P230" s="17"/>
      <c r="Q230" s="17" t="e">
        <f>+VLOOKUP(P230,[1]Datos!$F:$G,2,FALSE)</f>
        <v>#N/A</v>
      </c>
      <c r="R230" s="11" t="s">
        <v>30</v>
      </c>
      <c r="S230" s="11">
        <f t="shared" si="3"/>
        <v>0</v>
      </c>
      <c r="T230" s="11" t="e">
        <f>+VLOOKUP(M230,[1]Datos!$F:$H,3,FALSE)</f>
        <v>#N/A</v>
      </c>
      <c r="U230" s="11">
        <v>0</v>
      </c>
      <c r="V230" s="19"/>
    </row>
    <row r="231" spans="1:22">
      <c r="A231" s="11" t="s">
        <v>25</v>
      </c>
      <c r="B231" s="11" t="s">
        <v>33</v>
      </c>
      <c r="E231" s="20"/>
      <c r="F231" s="20"/>
      <c r="G231" s="20"/>
      <c r="H231" s="14"/>
      <c r="I231" s="14"/>
      <c r="J231" s="15" t="e">
        <f>+VLOOKUP(K231,[1]Datos!$A:$C,3,FALSE)</f>
        <v>#N/A</v>
      </c>
      <c r="K231" s="29"/>
      <c r="L231" s="15" t="e">
        <f>+VLOOKUP(K231,[1]Datos!$A:$C,2,FALSE)</f>
        <v>#N/A</v>
      </c>
      <c r="M231" s="17"/>
      <c r="N231" s="17" t="e">
        <f>+VLOOKUP(M231,[1]Datos!$F:$G,2,FALSE)</f>
        <v>#N/A</v>
      </c>
      <c r="O231" s="18">
        <f>IFERROR(IF(A231="SI",VLOOKUP(R231,[1]Datos!$J$1:$K$50,2,FALSE)*C231,VLOOKUP(R231,[1]Datos!$P$1:$T$50,2,FALSE)*C231),0)</f>
        <v>0</v>
      </c>
      <c r="P231" s="17"/>
      <c r="Q231" s="17" t="e">
        <f>+VLOOKUP(P231,[1]Datos!$F:$G,2,FALSE)</f>
        <v>#N/A</v>
      </c>
      <c r="R231" s="11" t="s">
        <v>30</v>
      </c>
      <c r="S231" s="11">
        <f t="shared" si="3"/>
        <v>0</v>
      </c>
      <c r="T231" s="11" t="e">
        <f>+VLOOKUP(M231,[1]Datos!$F:$H,3,FALSE)</f>
        <v>#N/A</v>
      </c>
      <c r="U231" s="11">
        <v>0</v>
      </c>
      <c r="V231" s="19"/>
    </row>
    <row r="232" spans="1:22">
      <c r="A232" s="11" t="s">
        <v>25</v>
      </c>
      <c r="B232" s="11" t="s">
        <v>33</v>
      </c>
      <c r="E232" s="12"/>
      <c r="F232" s="12"/>
      <c r="G232" s="12"/>
      <c r="H232" s="13"/>
      <c r="I232" s="14"/>
      <c r="J232" s="15" t="e">
        <f>+VLOOKUP(K232,[1]Datos!$A:$C,3,FALSE)</f>
        <v>#N/A</v>
      </c>
      <c r="K232" s="22"/>
      <c r="L232" s="15" t="e">
        <f>+VLOOKUP(K232,[1]Datos!$A:$C,2,FALSE)</f>
        <v>#N/A</v>
      </c>
      <c r="M232" s="12"/>
      <c r="N232" s="17" t="e">
        <f>+VLOOKUP(M232,[1]Datos!$F:$G,2,FALSE)</f>
        <v>#N/A</v>
      </c>
      <c r="O232" s="54">
        <f>IFERROR(IF(A232="SI",VLOOKUP(R232,[1]Datos!$J$1:$K$50,2,FALSE)*C232,VLOOKUP(R232,[1]Datos!$P$1:$T$50,2,FALSE)*C232),0)</f>
        <v>0</v>
      </c>
      <c r="P232" s="17"/>
      <c r="Q232" s="17" t="e">
        <f>+VLOOKUP(P232,[1]Datos!$F:$G,2,FALSE)</f>
        <v>#N/A</v>
      </c>
      <c r="R232" s="11" t="s">
        <v>30</v>
      </c>
      <c r="S232" s="11">
        <f t="shared" si="3"/>
        <v>0</v>
      </c>
      <c r="T232" s="11" t="e">
        <f>+VLOOKUP(M232,[1]Datos!$F:$H,3,FALSE)</f>
        <v>#N/A</v>
      </c>
      <c r="U232" s="11">
        <v>0</v>
      </c>
      <c r="V232" s="19"/>
    </row>
    <row r="233" spans="1:22">
      <c r="A233" s="11" t="s">
        <v>25</v>
      </c>
      <c r="B233" s="11" t="s">
        <v>33</v>
      </c>
      <c r="E233" s="12"/>
      <c r="F233" s="12"/>
      <c r="G233" s="12"/>
      <c r="H233" s="14"/>
      <c r="I233" s="14"/>
      <c r="J233" s="15" t="e">
        <f>+VLOOKUP(K233,[1]Datos!$A:$C,3,FALSE)</f>
        <v>#N/A</v>
      </c>
      <c r="K233" s="22"/>
      <c r="L233" s="15" t="e">
        <f>+VLOOKUP(K233,[1]Datos!$A:$C,2,FALSE)</f>
        <v>#N/A</v>
      </c>
      <c r="M233" s="43"/>
      <c r="N233" s="17" t="e">
        <f>+VLOOKUP(M233,[1]Datos!$F:$G,2,FALSE)</f>
        <v>#N/A</v>
      </c>
      <c r="O233" s="18">
        <f>IFERROR(IF(A233="SI",VLOOKUP(R233,[1]Datos!$J$1:$K$50,2,FALSE)*C233,VLOOKUP(R233,[1]Datos!$P$1:$T$50,2,FALSE)*C233),0)</f>
        <v>0</v>
      </c>
      <c r="P233" s="12"/>
      <c r="Q233" s="17" t="e">
        <f>+VLOOKUP(P233,[1]Datos!$F:$G,2,FALSE)</f>
        <v>#N/A</v>
      </c>
      <c r="R233" s="11" t="s">
        <v>219</v>
      </c>
      <c r="S233" s="11">
        <f t="shared" si="3"/>
        <v>0</v>
      </c>
      <c r="T233" s="11" t="e">
        <f>+VLOOKUP(M233,[1]Datos!$F:$H,3,FALSE)</f>
        <v>#N/A</v>
      </c>
      <c r="U233" s="11">
        <v>0</v>
      </c>
      <c r="V233" s="19"/>
    </row>
    <row r="234" spans="1:22">
      <c r="A234" s="11" t="s">
        <v>25</v>
      </c>
      <c r="B234" s="11" t="s">
        <v>26</v>
      </c>
      <c r="E234" s="12"/>
      <c r="F234" s="12"/>
      <c r="G234" s="12"/>
      <c r="H234" s="14"/>
      <c r="I234" s="27"/>
      <c r="J234" s="15" t="e">
        <f>+VLOOKUP(K234,[1]Datos!$A:$C,3,FALSE)</f>
        <v>#N/A</v>
      </c>
      <c r="K234" s="22"/>
      <c r="L234" s="15" t="e">
        <f>+VLOOKUP(K234,[1]Datos!$A:$C,2,FALSE)</f>
        <v>#N/A</v>
      </c>
      <c r="M234" s="12"/>
      <c r="N234" s="17" t="e">
        <f>+VLOOKUP(M234,[1]Datos!$F:$G,2,FALSE)</f>
        <v>#N/A</v>
      </c>
      <c r="O234" s="18">
        <f>IFERROR(IF(A234="SI",VLOOKUP(R234,[1]Datos!$J$1:$K$50,2,FALSE)*C234,VLOOKUP(R234,[1]Datos!$P$1:$T$50,2,FALSE)*C234),0)</f>
        <v>0</v>
      </c>
      <c r="P234" s="17"/>
      <c r="Q234" s="17" t="e">
        <f>+VLOOKUP(P234,[1]Datos!$F:$G,2,FALSE)</f>
        <v>#N/A</v>
      </c>
      <c r="R234" s="11" t="s">
        <v>41</v>
      </c>
      <c r="S234" s="11">
        <f t="shared" si="3"/>
        <v>0</v>
      </c>
      <c r="T234" s="11" t="e">
        <f>+VLOOKUP(M234,[1]Datos!$F:$H,3,FALSE)</f>
        <v>#N/A</v>
      </c>
      <c r="U234" s="11">
        <v>0</v>
      </c>
      <c r="V234" s="19"/>
    </row>
    <row r="235" spans="1:22">
      <c r="A235" s="11" t="s">
        <v>25</v>
      </c>
      <c r="B235" s="11" t="s">
        <v>26</v>
      </c>
      <c r="E235" s="12"/>
      <c r="F235" s="12"/>
      <c r="G235" s="12"/>
      <c r="H235" s="14"/>
      <c r="I235" s="14"/>
      <c r="J235" s="15" t="e">
        <f>+VLOOKUP(K235,[1]Datos!$A:$C,3,FALSE)</f>
        <v>#N/A</v>
      </c>
      <c r="K235" s="22"/>
      <c r="L235" s="15" t="e">
        <f>+VLOOKUP(K235,[1]Datos!$A:$C,2,FALSE)</f>
        <v>#N/A</v>
      </c>
      <c r="M235" s="12"/>
      <c r="N235" s="17" t="e">
        <f>+VLOOKUP(M235,[1]Datos!$F:$G,2,FALSE)</f>
        <v>#N/A</v>
      </c>
      <c r="O235" s="18">
        <f>IFERROR(IF(A235="SI",VLOOKUP(R235,[1]Datos!$J$1:$K$50,2,FALSE)*C235,VLOOKUP(R235,[1]Datos!$P$1:$T$50,2,FALSE)*C235),0)</f>
        <v>0</v>
      </c>
      <c r="P235" s="17"/>
      <c r="Q235" s="17" t="e">
        <f>+VLOOKUP(P235,[1]Datos!$F:$G,2,FALSE)</f>
        <v>#N/A</v>
      </c>
      <c r="R235" s="11" t="s">
        <v>97</v>
      </c>
      <c r="S235" s="11">
        <f t="shared" si="3"/>
        <v>0</v>
      </c>
      <c r="T235" s="11" t="e">
        <f>+VLOOKUP(M235,[1]Datos!$F:$H,3,FALSE)</f>
        <v>#N/A</v>
      </c>
      <c r="U235" s="11">
        <v>0</v>
      </c>
      <c r="V235" s="19"/>
    </row>
    <row r="236" spans="1:22">
      <c r="A236" s="11" t="s">
        <v>25</v>
      </c>
      <c r="B236" s="11" t="s">
        <v>26</v>
      </c>
      <c r="E236" s="12"/>
      <c r="F236" s="12"/>
      <c r="G236" s="12"/>
      <c r="H236" s="14"/>
      <c r="I236" s="14"/>
      <c r="J236" s="15" t="e">
        <f>+VLOOKUP(K236,[1]Datos!$A:$C,3,FALSE)</f>
        <v>#N/A</v>
      </c>
      <c r="L236" s="15" t="e">
        <f>+VLOOKUP(K236,[1]Datos!$A:$C,2,FALSE)</f>
        <v>#N/A</v>
      </c>
      <c r="M236" s="12"/>
      <c r="N236" s="17" t="e">
        <f>+VLOOKUP(M236,[1]Datos!$F:$G,2,FALSE)</f>
        <v>#N/A</v>
      </c>
      <c r="O236" s="18">
        <f>IFERROR(IF(A236="SI",VLOOKUP(R236,[1]Datos!$J$1:$K$50,2,FALSE)*C236,VLOOKUP(R236,[1]Datos!$P$1:$T$50,2,FALSE)*C236),0)</f>
        <v>0</v>
      </c>
      <c r="P236" s="12"/>
      <c r="Q236" s="17" t="e">
        <f>+VLOOKUP(P236,[1]Datos!$F:$G,2,FALSE)</f>
        <v>#N/A</v>
      </c>
      <c r="R236" s="11" t="s">
        <v>97</v>
      </c>
      <c r="S236" s="11">
        <f t="shared" si="3"/>
        <v>0</v>
      </c>
      <c r="T236" s="11" t="e">
        <f>+VLOOKUP(M236,[1]Datos!$F:$H,3,FALSE)</f>
        <v>#N/A</v>
      </c>
      <c r="U236" s="11">
        <v>0</v>
      </c>
      <c r="V236" s="19"/>
    </row>
    <row r="237" spans="1:22">
      <c r="A237" s="11" t="s">
        <v>25</v>
      </c>
      <c r="B237" s="11" t="s">
        <v>33</v>
      </c>
      <c r="E237" s="12"/>
      <c r="F237" s="12"/>
      <c r="G237" s="21"/>
      <c r="H237" s="14"/>
      <c r="I237" s="14"/>
      <c r="J237" s="15" t="e">
        <f>+VLOOKUP(K237,[1]Datos!$A:$C,3,FALSE)</f>
        <v>#N/A</v>
      </c>
      <c r="L237" s="15" t="e">
        <f>+VLOOKUP(K237,[1]Datos!$A:$C,2,FALSE)</f>
        <v>#N/A</v>
      </c>
      <c r="N237" s="17" t="e">
        <f>+VLOOKUP(M237,[1]Datos!$F:$G,2,FALSE)</f>
        <v>#N/A</v>
      </c>
      <c r="O237" s="18">
        <f>IFERROR(IF(A237="SI",VLOOKUP(R237,[1]Datos!$J$1:$K$50,2,FALSE)*C237,VLOOKUP(R237,[1]Datos!$P$1:$T$50,2,FALSE)*C237),0)</f>
        <v>0</v>
      </c>
      <c r="P237" s="42"/>
      <c r="Q237" s="17" t="e">
        <f>+VLOOKUP(P237,[1]Datos!$F:$G,2,FALSE)</f>
        <v>#N/A</v>
      </c>
      <c r="R237" s="11" t="s">
        <v>213</v>
      </c>
      <c r="S237" s="11">
        <f t="shared" si="3"/>
        <v>0</v>
      </c>
      <c r="T237" s="11" t="e">
        <f>+VLOOKUP(M237,[1]Datos!$F:$H,3,FALSE)</f>
        <v>#N/A</v>
      </c>
      <c r="U237" s="11">
        <v>0</v>
      </c>
      <c r="V237" s="19"/>
    </row>
    <row r="238" spans="1:22">
      <c r="A238" s="11" t="s">
        <v>25</v>
      </c>
      <c r="B238" s="11" t="s">
        <v>26</v>
      </c>
      <c r="E238" s="12"/>
      <c r="F238" s="12"/>
      <c r="G238" s="12"/>
      <c r="H238" s="14"/>
      <c r="I238" s="14"/>
      <c r="J238" s="15" t="e">
        <f>+VLOOKUP(K238,[1]Datos!$A:$C,3,FALSE)</f>
        <v>#N/A</v>
      </c>
      <c r="L238" s="15" t="e">
        <f>+VLOOKUP(K238,[1]Datos!$A:$C,2,FALSE)</f>
        <v>#N/A</v>
      </c>
      <c r="N238" s="17" t="e">
        <f>+VLOOKUP(M238,[1]Datos!$F:$G,2,FALSE)</f>
        <v>#N/A</v>
      </c>
      <c r="O238" s="18">
        <f>IFERROR(IF(A238="SI",VLOOKUP(R238,[1]Datos!$J$1:$K$50,2,FALSE)*C238,VLOOKUP(R238,[1]Datos!$P$1:$T$50,2,FALSE)*C238),0)</f>
        <v>0</v>
      </c>
      <c r="P238" s="12"/>
      <c r="Q238" s="17" t="e">
        <f>+VLOOKUP(P238,[1]Datos!$F:$G,2,FALSE)</f>
        <v>#N/A</v>
      </c>
      <c r="R238" s="11" t="s">
        <v>30</v>
      </c>
      <c r="S238" s="11">
        <f t="shared" si="3"/>
        <v>0</v>
      </c>
      <c r="T238" s="11" t="e">
        <f>+VLOOKUP(M238,[1]Datos!$F:$H,3,FALSE)</f>
        <v>#N/A</v>
      </c>
      <c r="U238" s="11">
        <v>0</v>
      </c>
      <c r="V238" s="19"/>
    </row>
    <row r="239" spans="1:22" ht="15.5">
      <c r="A239" s="11" t="s">
        <v>25</v>
      </c>
      <c r="B239" s="11" t="s">
        <v>33</v>
      </c>
      <c r="E239" s="12"/>
      <c r="F239" s="12"/>
      <c r="G239" s="12"/>
      <c r="H239" s="14"/>
      <c r="I239" s="14"/>
      <c r="J239" s="15" t="e">
        <f>+VLOOKUP(K239,[1]Datos!$A:$C,3,FALSE)</f>
        <v>#N/A</v>
      </c>
      <c r="L239" s="15" t="e">
        <f>+VLOOKUP(K239,[1]Datos!$A:$C,2,FALSE)</f>
        <v>#N/A</v>
      </c>
      <c r="M239" s="42"/>
      <c r="N239" s="17" t="e">
        <f>+VLOOKUP(M239,[1]Datos!$F:$G,2,FALSE)</f>
        <v>#N/A</v>
      </c>
      <c r="O239" s="18">
        <f>IFERROR(IF(A239="SI",VLOOKUP(R239,[1]Datos!$J$1:$K$50,2,FALSE)*C239,VLOOKUP(R239,[1]Datos!$P$1:$T$50,2,FALSE)*C239),0)</f>
        <v>0</v>
      </c>
      <c r="P239" s="65"/>
      <c r="Q239" s="17" t="e">
        <f>+VLOOKUP(P239,[1]Datos!$F:$G,2,FALSE)</f>
        <v>#N/A</v>
      </c>
      <c r="R239" s="11" t="s">
        <v>41</v>
      </c>
      <c r="S239" s="11">
        <f t="shared" si="3"/>
        <v>0</v>
      </c>
      <c r="T239" s="11" t="e">
        <f>+VLOOKUP(M239,[1]Datos!$F:$H,3,FALSE)</f>
        <v>#N/A</v>
      </c>
      <c r="U239" s="11">
        <v>0</v>
      </c>
      <c r="V239" s="19"/>
    </row>
    <row r="240" spans="1:22">
      <c r="A240" s="11" t="s">
        <v>25</v>
      </c>
      <c r="B240" s="11" t="s">
        <v>33</v>
      </c>
      <c r="E240" s="12"/>
      <c r="F240" s="12"/>
      <c r="G240" s="12"/>
      <c r="H240" s="14"/>
      <c r="I240" s="14"/>
      <c r="J240" s="15" t="e">
        <f>+VLOOKUP(K240,[1]Datos!$A:$C,3,FALSE)</f>
        <v>#N/A</v>
      </c>
      <c r="K240" s="58"/>
      <c r="L240" s="15" t="e">
        <f>+VLOOKUP(K240,[1]Datos!$A:$C,2,FALSE)</f>
        <v>#N/A</v>
      </c>
      <c r="M240" s="42"/>
      <c r="N240" s="17" t="e">
        <f>+VLOOKUP(M240,[1]Datos!$F:$G,2,FALSE)</f>
        <v>#N/A</v>
      </c>
      <c r="O240" s="18">
        <f>IFERROR(IF(A240="SI",VLOOKUP(R240,[1]Datos!$J$1:$K$50,2,FALSE)*C240,VLOOKUP(R240,[1]Datos!$P$1:$T$50,2,FALSE)*C240),0)</f>
        <v>0</v>
      </c>
      <c r="P240" s="12"/>
      <c r="Q240" s="17" t="e">
        <f>+VLOOKUP(P240,[1]Datos!$F:$G,2,FALSE)</f>
        <v>#N/A</v>
      </c>
      <c r="R240" s="11" t="s">
        <v>41</v>
      </c>
      <c r="S240" s="11">
        <f t="shared" si="3"/>
        <v>0</v>
      </c>
      <c r="T240" s="11" t="e">
        <f>+VLOOKUP(M240,[1]Datos!$F:$H,3,FALSE)</f>
        <v>#N/A</v>
      </c>
      <c r="U240" s="11">
        <v>0</v>
      </c>
      <c r="V240" s="19"/>
    </row>
    <row r="241" spans="1:22">
      <c r="A241" s="11" t="s">
        <v>25</v>
      </c>
      <c r="B241" s="11" t="s">
        <v>33</v>
      </c>
      <c r="E241" s="12"/>
      <c r="F241" s="12"/>
      <c r="G241" s="12"/>
      <c r="H241" s="14"/>
      <c r="I241" s="14"/>
      <c r="J241" s="15" t="e">
        <f>+VLOOKUP(K241,[1]Datos!$A:$C,3,FALSE)</f>
        <v>#N/A</v>
      </c>
      <c r="K241" s="22"/>
      <c r="L241" s="15" t="e">
        <f>+VLOOKUP(K241,[1]Datos!$A:$C,2,FALSE)</f>
        <v>#N/A</v>
      </c>
      <c r="M241" s="17"/>
      <c r="N241" s="17" t="e">
        <f>+VLOOKUP(M241,[1]Datos!$F:$G,2,FALSE)</f>
        <v>#N/A</v>
      </c>
      <c r="O241" s="18">
        <f>IFERROR(IF(A241="SI",VLOOKUP(R241,[1]Datos!$J$1:$K$50,2,FALSE)*C241,VLOOKUP(R241,[1]Datos!$P$1:$T$50,2,FALSE)*C241),0)</f>
        <v>0</v>
      </c>
      <c r="P241" s="12"/>
      <c r="Q241" s="17" t="e">
        <f>+VLOOKUP(P241,[1]Datos!$F:$G,2,FALSE)</f>
        <v>#N/A</v>
      </c>
      <c r="R241" s="11" t="s">
        <v>30</v>
      </c>
      <c r="S241" s="11">
        <f t="shared" si="3"/>
        <v>0</v>
      </c>
      <c r="T241" s="11" t="e">
        <f>+VLOOKUP(M241,[1]Datos!$F:$H,3,FALSE)</f>
        <v>#N/A</v>
      </c>
      <c r="U241" s="11">
        <v>0</v>
      </c>
      <c r="V241" s="19"/>
    </row>
    <row r="242" spans="1:22" ht="15.5">
      <c r="A242" s="11" t="s">
        <v>25</v>
      </c>
      <c r="B242" s="11" t="s">
        <v>26</v>
      </c>
      <c r="E242" s="12"/>
      <c r="F242" s="12"/>
      <c r="G242" s="12"/>
      <c r="H242" s="46"/>
      <c r="I242" s="46"/>
      <c r="J242" s="15" t="e">
        <f>+VLOOKUP(K242,[1]Datos!$A:$C,3,FALSE)</f>
        <v>#N/A</v>
      </c>
      <c r="L242" s="15" t="e">
        <f>+VLOOKUP(K242,[1]Datos!$A:$C,2,FALSE)</f>
        <v>#N/A</v>
      </c>
      <c r="M242" s="12"/>
      <c r="N242" s="17" t="e">
        <f>+VLOOKUP(M242,[1]Datos!$F:$G,2,FALSE)</f>
        <v>#N/A</v>
      </c>
      <c r="O242" s="18">
        <f>IFERROR(IF(A242="SI",VLOOKUP(R242,[1]Datos!$J$1:$K$50,2,FALSE)*C242,VLOOKUP(R242,[1]Datos!$P$1:$T$50,2,FALSE)*C242),0)</f>
        <v>0</v>
      </c>
      <c r="P242" s="33"/>
      <c r="Q242" s="17" t="e">
        <f>+VLOOKUP(P242,[1]Datos!$F:$G,2,FALSE)</f>
        <v>#N/A</v>
      </c>
      <c r="R242" s="11" t="s">
        <v>213</v>
      </c>
      <c r="S242" s="11">
        <f t="shared" si="3"/>
        <v>0</v>
      </c>
      <c r="T242" s="11" t="e">
        <f>+VLOOKUP(M242,[1]Datos!$F:$H,3,FALSE)</f>
        <v>#N/A</v>
      </c>
      <c r="U242" s="11">
        <v>0</v>
      </c>
      <c r="V242" s="19"/>
    </row>
    <row r="243" spans="1:22" ht="16">
      <c r="A243" s="11" t="s">
        <v>25</v>
      </c>
      <c r="B243" s="11" t="s">
        <v>33</v>
      </c>
      <c r="E243" s="12"/>
      <c r="F243" s="12"/>
      <c r="G243" s="12"/>
      <c r="H243" s="13"/>
      <c r="I243" s="14"/>
      <c r="J243" s="15" t="e">
        <f>+VLOOKUP(K243,[1]Datos!$A:$C,3,FALSE)</f>
        <v>#N/A</v>
      </c>
      <c r="L243" s="15" t="e">
        <f>+VLOOKUP(K243,[1]Datos!$A:$C,2,FALSE)</f>
        <v>#N/A</v>
      </c>
      <c r="M243" s="31"/>
      <c r="N243" s="17" t="e">
        <f>+VLOOKUP(M243,[1]Datos!$F:$G,2,FALSE)</f>
        <v>#N/A</v>
      </c>
      <c r="O243" s="18">
        <f>IFERROR(IF(A243="SI",VLOOKUP(R243,[1]Datos!$J$1:$K$50,2,FALSE)*C243,VLOOKUP(R243,[1]Datos!$P$1:$T$50,2,FALSE)*C243),0)</f>
        <v>0</v>
      </c>
      <c r="P243" s="12"/>
      <c r="Q243" s="17" t="e">
        <f>+VLOOKUP(P243,[1]Datos!$F:$G,2,FALSE)</f>
        <v>#N/A</v>
      </c>
      <c r="R243" s="11" t="s">
        <v>30</v>
      </c>
      <c r="S243" s="11">
        <f t="shared" si="3"/>
        <v>0</v>
      </c>
      <c r="T243" s="11" t="e">
        <f>+VLOOKUP(M243,[1]Datos!$F:$H,3,FALSE)</f>
        <v>#N/A</v>
      </c>
      <c r="U243" s="11">
        <v>0</v>
      </c>
      <c r="V243" s="19"/>
    </row>
    <row r="244" spans="1:22">
      <c r="A244" s="11" t="s">
        <v>25</v>
      </c>
      <c r="B244" s="11" t="s">
        <v>33</v>
      </c>
      <c r="E244" s="17"/>
      <c r="F244" s="17"/>
      <c r="G244" s="17"/>
      <c r="H244" s="14"/>
      <c r="I244" s="14"/>
      <c r="J244" s="15" t="e">
        <f>+VLOOKUP(K244,[1]Datos!$A:$C,3,FALSE)</f>
        <v>#N/A</v>
      </c>
      <c r="K244" s="15"/>
      <c r="L244" s="15" t="e">
        <f>+VLOOKUP(K244,[1]Datos!$A:$C,2,FALSE)</f>
        <v>#N/A</v>
      </c>
      <c r="M244" s="17"/>
      <c r="N244" s="17" t="e">
        <f>+VLOOKUP(M244,[1]Datos!$F:$G,2,FALSE)</f>
        <v>#N/A</v>
      </c>
      <c r="O244" s="18">
        <f>IFERROR(IF(A244="SI",VLOOKUP(R244,[1]Datos!$J$1:$K$50,2,FALSE)*C244,VLOOKUP(R244,[1]Datos!$P$1:$T$50,2,FALSE)*C244),0)</f>
        <v>0</v>
      </c>
      <c r="P244" s="17"/>
      <c r="Q244" s="17" t="e">
        <f>+VLOOKUP(P244,[1]Datos!$F:$G,2,FALSE)</f>
        <v>#N/A</v>
      </c>
      <c r="R244" s="11" t="s">
        <v>30</v>
      </c>
      <c r="S244" s="11">
        <f t="shared" si="3"/>
        <v>0</v>
      </c>
      <c r="T244" s="11" t="e">
        <f>+VLOOKUP(M244,[1]Datos!$F:$H,3,FALSE)</f>
        <v>#N/A</v>
      </c>
      <c r="U244" s="11">
        <v>0</v>
      </c>
      <c r="V244" s="19"/>
    </row>
    <row r="245" spans="1:22" ht="15.5">
      <c r="A245" s="11" t="s">
        <v>25</v>
      </c>
      <c r="B245" s="11" t="s">
        <v>26</v>
      </c>
      <c r="E245" s="12"/>
      <c r="F245" s="12"/>
      <c r="G245" s="12"/>
      <c r="H245" s="14"/>
      <c r="I245" s="14"/>
      <c r="J245" s="15" t="e">
        <f>+VLOOKUP(K245,[1]Datos!$A:$C,3,FALSE)</f>
        <v>#N/A</v>
      </c>
      <c r="K245" s="22"/>
      <c r="L245" s="15" t="e">
        <f>+VLOOKUP(K245,[1]Datos!$A:$C,2,FALSE)</f>
        <v>#N/A</v>
      </c>
      <c r="M245" s="12"/>
      <c r="N245" s="17" t="e">
        <f>+VLOOKUP(M245,[1]Datos!$F:$G,2,FALSE)</f>
        <v>#N/A</v>
      </c>
      <c r="O245" s="18">
        <f>IFERROR(IF(A245="SI",VLOOKUP(R245,[1]Datos!$J$1:$K$50,2,FALSE)*C245,VLOOKUP(R245,[1]Datos!$P$1:$T$50,2,FALSE)*C245),0)</f>
        <v>0</v>
      </c>
      <c r="P245" s="65"/>
      <c r="Q245" s="17" t="e">
        <f>+VLOOKUP(P245,[1]Datos!$F:$G,2,FALSE)</f>
        <v>#N/A</v>
      </c>
      <c r="R245" s="11" t="s">
        <v>41</v>
      </c>
      <c r="S245" s="11">
        <f t="shared" si="3"/>
        <v>0</v>
      </c>
      <c r="T245" s="11" t="e">
        <f>+VLOOKUP(M245,[1]Datos!$F:$H,3,FALSE)</f>
        <v>#N/A</v>
      </c>
      <c r="U245" s="11">
        <v>0</v>
      </c>
      <c r="V245" s="19"/>
    </row>
    <row r="246" spans="1:22">
      <c r="A246" s="11" t="s">
        <v>25</v>
      </c>
      <c r="B246" s="11" t="s">
        <v>33</v>
      </c>
      <c r="E246" s="12"/>
      <c r="F246" s="12"/>
      <c r="G246" s="12"/>
      <c r="H246" s="14"/>
      <c r="I246" s="14"/>
      <c r="J246" s="15" t="e">
        <f>+VLOOKUP(K246,[1]Datos!$A:$C,3,FALSE)</f>
        <v>#N/A</v>
      </c>
      <c r="K246" s="22"/>
      <c r="L246" s="15" t="e">
        <f>+VLOOKUP(K246,[1]Datos!$A:$C,2,FALSE)</f>
        <v>#N/A</v>
      </c>
      <c r="N246" s="17" t="e">
        <f>+VLOOKUP(M246,[1]Datos!$F:$G,2,FALSE)</f>
        <v>#N/A</v>
      </c>
      <c r="O246" s="18">
        <f>IFERROR(IF(A246="SI",VLOOKUP(R246,[1]Datos!$J$1:$K$50,2,FALSE)*C246,VLOOKUP(R246,[1]Datos!$P$1:$T$50,2,FALSE)*C246),0)</f>
        <v>0</v>
      </c>
      <c r="P246" s="12"/>
      <c r="Q246" s="17" t="e">
        <f>+VLOOKUP(P246,[1]Datos!$F:$G,2,FALSE)</f>
        <v>#N/A</v>
      </c>
      <c r="R246" s="11" t="s">
        <v>30</v>
      </c>
      <c r="S246" s="11">
        <f t="shared" si="3"/>
        <v>0</v>
      </c>
      <c r="T246" s="11" t="e">
        <f>+VLOOKUP(M246,[1]Datos!$F:$H,3,FALSE)</f>
        <v>#N/A</v>
      </c>
      <c r="U246" s="11">
        <v>0</v>
      </c>
      <c r="V246" s="19"/>
    </row>
    <row r="247" spans="1:22">
      <c r="A247" s="11" t="s">
        <v>25</v>
      </c>
      <c r="B247" s="11" t="s">
        <v>26</v>
      </c>
      <c r="E247" s="12"/>
      <c r="F247" s="12"/>
      <c r="G247" s="12"/>
      <c r="H247" s="14"/>
      <c r="I247" s="14"/>
      <c r="J247" s="15" t="e">
        <f>+VLOOKUP(K247,[1]Datos!$A:$C,3,FALSE)</f>
        <v>#N/A</v>
      </c>
      <c r="K247" s="22"/>
      <c r="L247" s="15" t="e">
        <f>+VLOOKUP(K247,[1]Datos!$A:$C,2,FALSE)</f>
        <v>#N/A</v>
      </c>
      <c r="M247" s="12"/>
      <c r="N247" s="17" t="e">
        <f>+VLOOKUP(M247,[1]Datos!$F:$G,2,FALSE)</f>
        <v>#N/A</v>
      </c>
      <c r="O247" s="18">
        <f>IFERROR(IF(A247="SI",VLOOKUP(R247,[1]Datos!$J$1:$K$50,2,FALSE)*C247,VLOOKUP(R247,[1]Datos!$P$1:$T$50,2,FALSE)*C247),0)</f>
        <v>0</v>
      </c>
      <c r="P247" s="12"/>
      <c r="Q247" s="17" t="e">
        <f>+VLOOKUP(P247,[1]Datos!$F:$G,2,FALSE)</f>
        <v>#N/A</v>
      </c>
      <c r="R247" s="11" t="s">
        <v>30</v>
      </c>
      <c r="S247" s="11">
        <f t="shared" si="3"/>
        <v>0</v>
      </c>
      <c r="T247" s="11" t="e">
        <f>+VLOOKUP(M247,[1]Datos!$F:$H,3,FALSE)</f>
        <v>#N/A</v>
      </c>
      <c r="U247" s="11">
        <v>0</v>
      </c>
      <c r="V247" s="19"/>
    </row>
    <row r="248" spans="1:22">
      <c r="A248" s="11" t="s">
        <v>25</v>
      </c>
      <c r="B248" s="11" t="s">
        <v>26</v>
      </c>
      <c r="E248" s="12"/>
      <c r="F248" s="12"/>
      <c r="G248" s="12"/>
      <c r="H248" s="14"/>
      <c r="I248" s="14"/>
      <c r="J248" s="15" t="e">
        <f>+VLOOKUP(K248,[1]Datos!$A:$C,3,FALSE)</f>
        <v>#N/A</v>
      </c>
      <c r="K248" s="22"/>
      <c r="L248" s="15" t="e">
        <f>+VLOOKUP(K248,[1]Datos!$A:$C,2,FALSE)</f>
        <v>#N/A</v>
      </c>
      <c r="M248" s="17"/>
      <c r="N248" s="17" t="e">
        <f>+VLOOKUP(M248,[1]Datos!$F:$G,2,FALSE)</f>
        <v>#N/A</v>
      </c>
      <c r="O248" s="18">
        <f>IFERROR(IF(A248="SI",VLOOKUP(R248,[1]Datos!$J$1:$K$50,2,FALSE)*C248,VLOOKUP(R248,[1]Datos!$P$1:$T$50,2,FALSE)*C248),0)</f>
        <v>0</v>
      </c>
      <c r="P248" s="17"/>
      <c r="Q248" s="17" t="e">
        <f>+VLOOKUP(P248,[1]Datos!$F:$G,2,FALSE)</f>
        <v>#N/A</v>
      </c>
      <c r="R248" s="11" t="s">
        <v>41</v>
      </c>
      <c r="S248" s="11">
        <f t="shared" si="3"/>
        <v>0</v>
      </c>
      <c r="T248" s="11" t="e">
        <f>+VLOOKUP(M248,[1]Datos!$F:$H,3,FALSE)</f>
        <v>#N/A</v>
      </c>
      <c r="U248" s="11">
        <v>0</v>
      </c>
      <c r="V248" s="19"/>
    </row>
    <row r="249" spans="1:22">
      <c r="A249" s="11" t="s">
        <v>25</v>
      </c>
      <c r="B249" s="11" t="s">
        <v>26</v>
      </c>
      <c r="E249" s="12"/>
      <c r="F249" s="12"/>
      <c r="G249" s="12"/>
      <c r="H249" s="14"/>
      <c r="I249" s="14"/>
      <c r="J249" s="15" t="e">
        <f>+VLOOKUP(K249,[1]Datos!$A:$C,3,FALSE)</f>
        <v>#N/A</v>
      </c>
      <c r="L249" s="15" t="e">
        <f>+VLOOKUP(K249,[1]Datos!$A:$C,2,FALSE)</f>
        <v>#N/A</v>
      </c>
      <c r="M249" s="12"/>
      <c r="N249" s="17" t="e">
        <f>+VLOOKUP(M249,[1]Datos!$F:$G,2,FALSE)</f>
        <v>#N/A</v>
      </c>
      <c r="O249" s="18">
        <f>IFERROR(IF(A249="SI",VLOOKUP(R249,[1]Datos!$J$1:$K$50,2,FALSE)*C249,VLOOKUP(R249,[1]Datos!$P$1:$T$50,2,FALSE)*C249),0)</f>
        <v>0</v>
      </c>
      <c r="P249" s="66"/>
      <c r="Q249" s="17" t="e">
        <f>+VLOOKUP(P249,[1]Datos!$F:$G,2,FALSE)</f>
        <v>#N/A</v>
      </c>
      <c r="R249" s="11" t="s">
        <v>97</v>
      </c>
      <c r="S249" s="11">
        <f t="shared" si="3"/>
        <v>0</v>
      </c>
      <c r="T249" s="11" t="e">
        <f>+VLOOKUP(M249,[1]Datos!$F:$H,3,FALSE)</f>
        <v>#N/A</v>
      </c>
      <c r="U249" s="11">
        <v>0</v>
      </c>
      <c r="V249" s="19"/>
    </row>
    <row r="250" spans="1:22">
      <c r="A250" s="11" t="s">
        <v>25</v>
      </c>
      <c r="B250" s="11" t="s">
        <v>33</v>
      </c>
      <c r="E250" s="12"/>
      <c r="F250" s="12"/>
      <c r="G250" s="12"/>
      <c r="H250" s="14"/>
      <c r="I250" s="14"/>
      <c r="J250" s="15" t="e">
        <f>+VLOOKUP(K250,[1]Datos!$A:$C,3,FALSE)</f>
        <v>#N/A</v>
      </c>
      <c r="L250" s="15" t="e">
        <f>+VLOOKUP(K250,[1]Datos!$A:$C,2,FALSE)</f>
        <v>#N/A</v>
      </c>
      <c r="M250" s="17"/>
      <c r="N250" s="17" t="e">
        <f>+VLOOKUP(M250,[1]Datos!$F:$G,2,FALSE)</f>
        <v>#N/A</v>
      </c>
      <c r="O250" s="18">
        <f>IFERROR(IF(A250="SI",VLOOKUP(R250,[1]Datos!$J$1:$K$50,2,FALSE)*C250,VLOOKUP(R250,[1]Datos!$P$1:$T$50,2,FALSE)*C250),0)</f>
        <v>0</v>
      </c>
      <c r="P250" s="12"/>
      <c r="Q250" s="17" t="e">
        <f>+VLOOKUP(P250,[1]Datos!$F:$G,2,FALSE)</f>
        <v>#N/A</v>
      </c>
      <c r="R250" s="11" t="s">
        <v>30</v>
      </c>
      <c r="S250" s="11">
        <f t="shared" si="3"/>
        <v>0</v>
      </c>
      <c r="T250" s="11" t="e">
        <f>+VLOOKUP(M250,[1]Datos!$F:$H,3,FALSE)</f>
        <v>#N/A</v>
      </c>
      <c r="U250" s="11">
        <v>0</v>
      </c>
      <c r="V250" s="19"/>
    </row>
    <row r="251" spans="1:22">
      <c r="A251" s="11" t="s">
        <v>25</v>
      </c>
      <c r="B251" s="11" t="s">
        <v>33</v>
      </c>
      <c r="E251" s="49"/>
      <c r="F251" s="49"/>
      <c r="G251" s="49"/>
      <c r="H251" s="14"/>
      <c r="I251" s="14"/>
      <c r="J251" s="15" t="e">
        <f>+VLOOKUP(K251,[1]Datos!$A:$C,3,FALSE)</f>
        <v>#N/A</v>
      </c>
      <c r="K251" s="50"/>
      <c r="L251" s="15" t="e">
        <f>+VLOOKUP(K251,[1]Datos!$A:$C,2,FALSE)</f>
        <v>#N/A</v>
      </c>
      <c r="M251" s="57"/>
      <c r="N251" s="17" t="e">
        <f>+VLOOKUP(M251,[1]Datos!$F:$G,2,FALSE)</f>
        <v>#N/A</v>
      </c>
      <c r="O251" s="18">
        <f>IFERROR(IF(A251="SI",VLOOKUP(R251,[1]Datos!$J$1:$K$50,2,FALSE)*C251,VLOOKUP(R251,[1]Datos!$P$1:$T$50,2,FALSE)*C251),0)</f>
        <v>0</v>
      </c>
      <c r="P251" s="52"/>
      <c r="Q251" s="17" t="e">
        <f>+VLOOKUP(P251,[1]Datos!$F:$G,2,FALSE)</f>
        <v>#N/A</v>
      </c>
      <c r="R251" s="11" t="s">
        <v>30</v>
      </c>
      <c r="S251" s="11">
        <f t="shared" si="3"/>
        <v>0</v>
      </c>
      <c r="T251" s="11" t="e">
        <f>+VLOOKUP(M251,[1]Datos!$F:$H,3,FALSE)</f>
        <v>#N/A</v>
      </c>
      <c r="U251" s="11">
        <v>0</v>
      </c>
      <c r="V251" s="19"/>
    </row>
    <row r="252" spans="1:22">
      <c r="A252" s="11" t="s">
        <v>25</v>
      </c>
      <c r="B252" s="11" t="s">
        <v>33</v>
      </c>
      <c r="E252" s="12"/>
      <c r="F252" s="12"/>
      <c r="G252" s="12"/>
      <c r="H252" s="13"/>
      <c r="I252" s="14"/>
      <c r="J252" s="15" t="e">
        <f>+VLOOKUP(K252,[1]Datos!$A:$C,3,FALSE)</f>
        <v>#N/A</v>
      </c>
      <c r="K252" s="22"/>
      <c r="L252" s="15" t="e">
        <f>+VLOOKUP(K252,[1]Datos!$A:$C,2,FALSE)</f>
        <v>#N/A</v>
      </c>
      <c r="M252" s="12"/>
      <c r="N252" s="17" t="e">
        <f>+VLOOKUP(M252,[1]Datos!$F:$G,2,FALSE)</f>
        <v>#N/A</v>
      </c>
      <c r="O252" s="18">
        <f>IFERROR(IF(A252="SI",VLOOKUP(R252,[1]Datos!$J$1:$K$50,2,FALSE)*C252,VLOOKUP(R252,[1]Datos!$P$1:$T$50,2,FALSE)*C252),0)</f>
        <v>0</v>
      </c>
      <c r="P252" s="17"/>
      <c r="Q252" s="17" t="e">
        <f>+VLOOKUP(P252,[1]Datos!$F:$G,2,FALSE)</f>
        <v>#N/A</v>
      </c>
      <c r="R252" s="11" t="s">
        <v>41</v>
      </c>
      <c r="S252" s="11">
        <f t="shared" si="3"/>
        <v>0</v>
      </c>
      <c r="T252" s="11" t="e">
        <f>+VLOOKUP(M252,[1]Datos!$F:$H,3,FALSE)</f>
        <v>#N/A</v>
      </c>
      <c r="U252" s="11">
        <v>0</v>
      </c>
      <c r="V252" s="19"/>
    </row>
    <row r="253" spans="1:22">
      <c r="A253" s="11" t="s">
        <v>25</v>
      </c>
      <c r="B253" s="11" t="s">
        <v>33</v>
      </c>
      <c r="E253" s="12"/>
      <c r="F253" s="12"/>
      <c r="G253" s="12"/>
      <c r="H253" s="13"/>
      <c r="I253" s="14"/>
      <c r="J253" s="15" t="e">
        <f>+VLOOKUP(K253,[1]Datos!$A:$C,3,FALSE)</f>
        <v>#N/A</v>
      </c>
      <c r="K253" s="22"/>
      <c r="L253" s="15" t="e">
        <f>+VLOOKUP(K253,[1]Datos!$A:$C,2,FALSE)</f>
        <v>#N/A</v>
      </c>
      <c r="M253" s="28"/>
      <c r="N253" s="17" t="e">
        <f>+VLOOKUP(M253,[1]Datos!$F:$G,2,FALSE)</f>
        <v>#N/A</v>
      </c>
      <c r="O253" s="18">
        <f>IFERROR(IF(A253="SI",VLOOKUP(R253,[1]Datos!$J$1:$K$50,2,FALSE)*C253,VLOOKUP(R253,[1]Datos!$P$1:$T$50,2,FALSE)*C253),0)</f>
        <v>0</v>
      </c>
      <c r="P253" s="12"/>
      <c r="Q253" s="17" t="e">
        <f>+VLOOKUP(P253,[1]Datos!$F:$G,2,FALSE)</f>
        <v>#N/A</v>
      </c>
      <c r="R253" s="11" t="s">
        <v>97</v>
      </c>
      <c r="S253" s="11">
        <f t="shared" si="3"/>
        <v>0</v>
      </c>
      <c r="T253" s="11" t="e">
        <f>+VLOOKUP(M253,[1]Datos!$F:$H,3,FALSE)</f>
        <v>#N/A</v>
      </c>
      <c r="U253" s="11">
        <v>0</v>
      </c>
      <c r="V253" s="19"/>
    </row>
    <row r="254" spans="1:22" ht="16">
      <c r="A254" s="11" t="s">
        <v>25</v>
      </c>
      <c r="B254" s="11" t="s">
        <v>33</v>
      </c>
      <c r="E254" s="12"/>
      <c r="F254" s="12"/>
      <c r="G254" s="12"/>
      <c r="H254" s="14"/>
      <c r="I254" s="14"/>
      <c r="J254" s="15" t="e">
        <f>+VLOOKUP(K254,[1]Datos!$A:$C,3,FALSE)</f>
        <v>#N/A</v>
      </c>
      <c r="K254" s="22"/>
      <c r="L254" s="15" t="e">
        <f>+VLOOKUP(K254,[1]Datos!$A:$C,2,FALSE)</f>
        <v>#N/A</v>
      </c>
      <c r="M254" s="36"/>
      <c r="N254" s="17" t="e">
        <f>+VLOOKUP(M254,[1]Datos!$F:$G,2,FALSE)</f>
        <v>#N/A</v>
      </c>
      <c r="O254" s="60">
        <f>IFERROR(IF(A254="SI",VLOOKUP(R254,[1]Datos!$J$1:$K$50,2,FALSE)*C254,VLOOKUP(R254,[1]Datos!$P$1:$T$50,2,FALSE)*C254),0)</f>
        <v>0</v>
      </c>
      <c r="P254" s="12"/>
      <c r="Q254" s="17" t="e">
        <f>+VLOOKUP(P254,[1]Datos!$F:$G,2,FALSE)</f>
        <v>#N/A</v>
      </c>
      <c r="R254" s="11" t="s">
        <v>30</v>
      </c>
      <c r="S254" s="11">
        <f t="shared" si="3"/>
        <v>0</v>
      </c>
      <c r="T254" s="11" t="e">
        <f>+VLOOKUP(M254,[1]Datos!$F:$H,3,FALSE)</f>
        <v>#N/A</v>
      </c>
      <c r="U254" s="11">
        <v>0</v>
      </c>
      <c r="V254" s="19"/>
    </row>
    <row r="255" spans="1:22">
      <c r="A255" s="11" t="s">
        <v>25</v>
      </c>
      <c r="B255" s="11" t="s">
        <v>33</v>
      </c>
      <c r="E255" s="12"/>
      <c r="F255" s="12"/>
      <c r="G255" s="12"/>
      <c r="H255" s="14"/>
      <c r="I255" s="14"/>
      <c r="J255" s="15" t="e">
        <f>+VLOOKUP(K255,[1]Datos!$A:$C,3,FALSE)</f>
        <v>#N/A</v>
      </c>
      <c r="K255" s="22"/>
      <c r="L255" s="15" t="e">
        <f>+VLOOKUP(K255,[1]Datos!$A:$C,2,FALSE)</f>
        <v>#N/A</v>
      </c>
      <c r="N255" s="17" t="e">
        <f>+VLOOKUP(M255,[1]Datos!$F:$G,2,FALSE)</f>
        <v>#N/A</v>
      </c>
      <c r="O255" s="18">
        <f>IFERROR(IF(A255="SI",VLOOKUP(R255,[1]Datos!$J$1:$K$50,2,FALSE)*C255,VLOOKUP(R255,[1]Datos!$P$1:$T$50,2,FALSE)*C255),0)</f>
        <v>0</v>
      </c>
      <c r="P255" s="17"/>
      <c r="Q255" s="17" t="e">
        <f>+VLOOKUP(P255,[1]Datos!$F:$G,2,FALSE)</f>
        <v>#N/A</v>
      </c>
      <c r="R255" s="11" t="s">
        <v>30</v>
      </c>
      <c r="S255" s="11">
        <f t="shared" si="3"/>
        <v>0</v>
      </c>
      <c r="T255" s="11" t="e">
        <f>+VLOOKUP(M255,[1]Datos!$F:$H,3,FALSE)</f>
        <v>#N/A</v>
      </c>
      <c r="U255" s="11">
        <v>0</v>
      </c>
      <c r="V255" s="19"/>
    </row>
    <row r="256" spans="1:22">
      <c r="A256" s="11" t="s">
        <v>25</v>
      </c>
      <c r="B256" s="11" t="s">
        <v>33</v>
      </c>
      <c r="E256" s="17"/>
      <c r="F256" s="17"/>
      <c r="G256" s="17"/>
      <c r="H256" s="14"/>
      <c r="I256" s="14"/>
      <c r="J256" s="15" t="e">
        <f>+VLOOKUP(K256,[1]Datos!$A:$C,3,FALSE)</f>
        <v>#N/A</v>
      </c>
      <c r="K256" s="29"/>
      <c r="L256" s="15" t="e">
        <f>+VLOOKUP(K256,[1]Datos!$A:$C,2,FALSE)</f>
        <v>#N/A</v>
      </c>
      <c r="M256" s="17"/>
      <c r="N256" s="17" t="e">
        <f>+VLOOKUP(M256,[1]Datos!$F:$G,2,FALSE)</f>
        <v>#N/A</v>
      </c>
      <c r="O256" s="18">
        <f>IFERROR(IF(A256="SI",VLOOKUP(R256,[1]Datos!$J$1:$K$50,2,FALSE)*C256,VLOOKUP(R256,[1]Datos!$P$1:$T$50,2,FALSE)*C256),0)</f>
        <v>0</v>
      </c>
      <c r="P256" s="17"/>
      <c r="Q256" s="17" t="e">
        <f>+VLOOKUP(P256,[1]Datos!$F:$G,2,FALSE)</f>
        <v>#N/A</v>
      </c>
      <c r="R256" s="11" t="s">
        <v>55</v>
      </c>
      <c r="S256" s="11">
        <f t="shared" si="3"/>
        <v>0</v>
      </c>
      <c r="T256" s="11" t="e">
        <f>+VLOOKUP(M256,[1]Datos!$F:$H,3,FALSE)</f>
        <v>#N/A</v>
      </c>
      <c r="U256" s="11">
        <v>0</v>
      </c>
      <c r="V256" s="19" t="s">
        <v>47</v>
      </c>
    </row>
    <row r="257" spans="1:22">
      <c r="A257" s="11" t="s">
        <v>25</v>
      </c>
      <c r="B257" s="11" t="s">
        <v>33</v>
      </c>
      <c r="E257" s="12"/>
      <c r="F257" s="12"/>
      <c r="G257" s="12"/>
      <c r="H257" s="14"/>
      <c r="I257" s="14"/>
      <c r="J257" s="15" t="e">
        <f>+VLOOKUP(K257,[1]Datos!$A:$C,3,FALSE)</f>
        <v>#N/A</v>
      </c>
      <c r="K257" s="22"/>
      <c r="L257" s="15" t="e">
        <f>+VLOOKUP(K257,[1]Datos!$A:$C,2,FALSE)</f>
        <v>#N/A</v>
      </c>
      <c r="M257" s="43"/>
      <c r="N257" s="17" t="e">
        <f>+VLOOKUP(M257,[1]Datos!$F:$G,2,FALSE)</f>
        <v>#N/A</v>
      </c>
      <c r="O257" s="18">
        <f>IFERROR(IF(A257="SI",VLOOKUP(R257,[1]Datos!$J$1:$K$50,2,FALSE)*C257,VLOOKUP(R257,[1]Datos!$P$1:$T$50,2,FALSE)*C257),0)</f>
        <v>0</v>
      </c>
      <c r="P257" s="12"/>
      <c r="Q257" s="17" t="e">
        <f>+VLOOKUP(P257,[1]Datos!$F:$G,2,FALSE)</f>
        <v>#N/A</v>
      </c>
      <c r="R257" s="11" t="s">
        <v>41</v>
      </c>
      <c r="S257" s="11">
        <f t="shared" si="3"/>
        <v>0</v>
      </c>
      <c r="T257" s="11" t="e">
        <f>+VLOOKUP(M257,[1]Datos!$F:$H,3,FALSE)</f>
        <v>#N/A</v>
      </c>
      <c r="U257" s="11">
        <v>0</v>
      </c>
      <c r="V257" s="19"/>
    </row>
    <row r="258" spans="1:22">
      <c r="A258" s="11" t="s">
        <v>25</v>
      </c>
      <c r="B258" s="11" t="s">
        <v>33</v>
      </c>
      <c r="E258" s="12"/>
      <c r="F258" s="12"/>
      <c r="G258" s="12"/>
      <c r="H258" s="14"/>
      <c r="I258" s="14"/>
      <c r="J258" s="15" t="e">
        <f>+VLOOKUP(K258,[1]Datos!$A:$C,3,FALSE)</f>
        <v>#N/A</v>
      </c>
      <c r="K258" s="22"/>
      <c r="L258" s="15" t="e">
        <f>+VLOOKUP(K258,[1]Datos!$A:$C,2,FALSE)</f>
        <v>#N/A</v>
      </c>
      <c r="M258" s="43"/>
      <c r="N258" s="17" t="e">
        <f>+VLOOKUP(M258,[1]Datos!$F:$G,2,FALSE)</f>
        <v>#N/A</v>
      </c>
      <c r="O258" s="18">
        <f>IFERROR(IF(A258="SI",VLOOKUP(R258,[1]Datos!$J$1:$K$50,2,FALSE)*C258,VLOOKUP(R258,[1]Datos!$P$1:$T$50,2,FALSE)*C258),0)</f>
        <v>0</v>
      </c>
      <c r="P258" s="12"/>
      <c r="Q258" s="17" t="e">
        <f>+VLOOKUP(P258,[1]Datos!$F:$G,2,FALSE)</f>
        <v>#N/A</v>
      </c>
      <c r="R258" s="11" t="s">
        <v>41</v>
      </c>
      <c r="S258" s="11">
        <f t="shared" si="3"/>
        <v>0</v>
      </c>
      <c r="T258" s="11" t="e">
        <f>+VLOOKUP(M258,[1]Datos!$F:$H,3,FALSE)</f>
        <v>#N/A</v>
      </c>
      <c r="U258" s="11">
        <v>0</v>
      </c>
      <c r="V258" s="19"/>
    </row>
    <row r="259" spans="1:22">
      <c r="A259" s="11" t="s">
        <v>25</v>
      </c>
      <c r="B259" s="11" t="s">
        <v>33</v>
      </c>
      <c r="E259" s="12"/>
      <c r="F259" s="12"/>
      <c r="G259" s="12"/>
      <c r="H259" s="14"/>
      <c r="I259" s="14"/>
      <c r="J259" s="15" t="e">
        <f>+VLOOKUP(K259,[1]Datos!$A:$C,3,FALSE)</f>
        <v>#N/A</v>
      </c>
      <c r="L259" s="15" t="e">
        <f>+VLOOKUP(K259,[1]Datos!$A:$C,2,FALSE)</f>
        <v>#N/A</v>
      </c>
      <c r="M259" s="16"/>
      <c r="N259" s="17" t="e">
        <f>+VLOOKUP(M259,[1]Datos!$F:$G,2,FALSE)</f>
        <v>#N/A</v>
      </c>
      <c r="O259" s="18">
        <f>IFERROR(IF(A259="SI",VLOOKUP(R259,[1]Datos!$J$1:$K$50,2,FALSE)*C259,VLOOKUP(R259,[1]Datos!$P$1:$T$50,2,FALSE)*C259),0)</f>
        <v>0</v>
      </c>
      <c r="P259" s="12"/>
      <c r="Q259" s="17" t="e">
        <f>+VLOOKUP(P259,[1]Datos!$F:$G,2,FALSE)</f>
        <v>#N/A</v>
      </c>
      <c r="R259" s="11" t="s">
        <v>30</v>
      </c>
      <c r="S259" s="11">
        <f t="shared" si="3"/>
        <v>0</v>
      </c>
      <c r="T259" s="11" t="e">
        <f>+VLOOKUP(M259,[1]Datos!$F:$H,3,FALSE)</f>
        <v>#N/A</v>
      </c>
      <c r="U259" s="11">
        <v>0</v>
      </c>
      <c r="V259" s="19" t="s">
        <v>47</v>
      </c>
    </row>
    <row r="260" spans="1:22">
      <c r="A260" s="11" t="s">
        <v>25</v>
      </c>
      <c r="B260" s="11" t="s">
        <v>33</v>
      </c>
      <c r="E260" s="12"/>
      <c r="F260" s="12"/>
      <c r="G260" s="12"/>
      <c r="H260" s="14"/>
      <c r="I260" s="14"/>
      <c r="J260" s="15" t="e">
        <f>+VLOOKUP(K260,[1]Datos!$A:$C,3,FALSE)</f>
        <v>#N/A</v>
      </c>
      <c r="K260" s="22"/>
      <c r="L260" s="15" t="e">
        <f>+VLOOKUP(K260,[1]Datos!$A:$C,2,FALSE)</f>
        <v>#N/A</v>
      </c>
      <c r="M260" s="17"/>
      <c r="N260" s="17" t="e">
        <f>+VLOOKUP(M260,[1]Datos!$F:$G,2,FALSE)</f>
        <v>#N/A</v>
      </c>
      <c r="O260" s="18">
        <f>IFERROR(IF(A260="SI",VLOOKUP(R260,[1]Datos!$J$1:$K$50,2,FALSE)*C260,VLOOKUP(R260,[1]Datos!$P$1:$T$50,2,FALSE)*C260),0)</f>
        <v>0</v>
      </c>
      <c r="P260" s="17"/>
      <c r="Q260" s="17" t="e">
        <f>+VLOOKUP(P260,[1]Datos!$F:$G,2,FALSE)</f>
        <v>#N/A</v>
      </c>
      <c r="R260" s="11" t="s">
        <v>30</v>
      </c>
      <c r="S260" s="11">
        <f t="shared" si="3"/>
        <v>0</v>
      </c>
      <c r="T260" s="11" t="e">
        <f>+VLOOKUP(M260,[1]Datos!$F:$H,3,FALSE)</f>
        <v>#N/A</v>
      </c>
      <c r="U260" s="11">
        <v>0</v>
      </c>
      <c r="V260" s="19"/>
    </row>
    <row r="261" spans="1:22">
      <c r="A261" s="11" t="s">
        <v>25</v>
      </c>
      <c r="B261" s="11" t="s">
        <v>33</v>
      </c>
      <c r="E261" s="12"/>
      <c r="F261" s="12"/>
      <c r="G261" s="21"/>
      <c r="H261" s="14"/>
      <c r="I261" s="14"/>
      <c r="J261" s="15" t="e">
        <f>+VLOOKUP(K261,[1]Datos!$A:$C,3,FALSE)</f>
        <v>#N/A</v>
      </c>
      <c r="K261" s="22"/>
      <c r="L261" s="15" t="e">
        <f>+VLOOKUP(K261,[1]Datos!$A:$C,2,FALSE)</f>
        <v>#N/A</v>
      </c>
      <c r="M261" s="23"/>
      <c r="N261" s="17" t="e">
        <f>+VLOOKUP(M261,[1]Datos!$F:$G,2,FALSE)</f>
        <v>#N/A</v>
      </c>
      <c r="O261" s="18">
        <f>IFERROR(IF(A261="SI",VLOOKUP(R261,[1]Datos!$J$1:$K$50,2,FALSE)*C261,VLOOKUP(R261,[1]Datos!$P$1:$T$50,2,FALSE)*C261),0)</f>
        <v>0</v>
      </c>
      <c r="P261" s="12"/>
      <c r="Q261" s="17" t="e">
        <f>+VLOOKUP(P261,[1]Datos!$F:$G,2,FALSE)</f>
        <v>#N/A</v>
      </c>
      <c r="R261" s="11" t="s">
        <v>30</v>
      </c>
      <c r="S261" s="11">
        <f t="shared" si="3"/>
        <v>0</v>
      </c>
      <c r="T261" s="11" t="e">
        <f>+VLOOKUP(M261,[1]Datos!$F:$H,3,FALSE)</f>
        <v>#N/A</v>
      </c>
      <c r="U261" s="11">
        <v>0</v>
      </c>
      <c r="V261" s="19"/>
    </row>
    <row r="262" spans="1:22">
      <c r="A262" s="11" t="s">
        <v>25</v>
      </c>
      <c r="B262" s="11" t="s">
        <v>33</v>
      </c>
      <c r="E262" s="12"/>
      <c r="F262" s="12"/>
      <c r="G262" s="21"/>
      <c r="H262" s="14"/>
      <c r="I262" s="14"/>
      <c r="J262" s="15" t="e">
        <f>+VLOOKUP(K262,[1]Datos!$A:$C,3,FALSE)</f>
        <v>#N/A</v>
      </c>
      <c r="K262" s="22"/>
      <c r="L262" s="15" t="e">
        <f>+VLOOKUP(K262,[1]Datos!$A:$C,2,FALSE)</f>
        <v>#N/A</v>
      </c>
      <c r="M262" s="23"/>
      <c r="N262" s="17" t="e">
        <f>+VLOOKUP(M262,[1]Datos!$F:$G,2,FALSE)</f>
        <v>#N/A</v>
      </c>
      <c r="O262" s="18">
        <f>IFERROR(IF(A262="SI",VLOOKUP(R262,[1]Datos!$J$1:$K$50,2,FALSE)*C262,VLOOKUP(R262,[1]Datos!$P$1:$T$50,2,FALSE)*C262),0)</f>
        <v>0</v>
      </c>
      <c r="P262" s="12"/>
      <c r="Q262" s="17" t="e">
        <f>+VLOOKUP(P262,[1]Datos!$F:$G,2,FALSE)</f>
        <v>#N/A</v>
      </c>
      <c r="R262" s="11" t="s">
        <v>55</v>
      </c>
      <c r="S262" s="11">
        <f t="shared" si="3"/>
        <v>0</v>
      </c>
      <c r="T262" s="11" t="e">
        <f>+VLOOKUP(M262,[1]Datos!$F:$H,3,FALSE)</f>
        <v>#N/A</v>
      </c>
      <c r="U262" s="11">
        <v>0</v>
      </c>
      <c r="V262" s="19"/>
    </row>
    <row r="263" spans="1:22">
      <c r="A263" s="11" t="s">
        <v>25</v>
      </c>
      <c r="B263" s="11" t="s">
        <v>33</v>
      </c>
      <c r="E263" s="12"/>
      <c r="F263" s="12"/>
      <c r="G263" s="12"/>
      <c r="H263" s="14"/>
      <c r="I263" s="14"/>
      <c r="J263" s="15" t="e">
        <f>+VLOOKUP(K263,[1]Datos!$A:$C,3,FALSE)</f>
        <v>#N/A</v>
      </c>
      <c r="K263" s="22"/>
      <c r="L263" s="15" t="e">
        <f>+VLOOKUP(K263,[1]Datos!$A:$C,2,FALSE)</f>
        <v>#N/A</v>
      </c>
      <c r="M263" s="12"/>
      <c r="N263" s="17" t="e">
        <f>+VLOOKUP(M263,[1]Datos!$F:$G,2,FALSE)</f>
        <v>#N/A</v>
      </c>
      <c r="O263" s="60">
        <f>IFERROR(IF(A263="SI",VLOOKUP(R263,[1]Datos!$J$1:$K$50,2,FALSE)*C263,VLOOKUP(R263,[1]Datos!$P$1:$T$50,2,FALSE)*C263),0)</f>
        <v>0</v>
      </c>
      <c r="P263" s="17"/>
      <c r="Q263" s="17" t="e">
        <f>+VLOOKUP(P263,[1]Datos!$F:$G,2,FALSE)</f>
        <v>#N/A</v>
      </c>
      <c r="R263" s="11" t="s">
        <v>30</v>
      </c>
      <c r="S263" s="11">
        <f t="shared" si="3"/>
        <v>0</v>
      </c>
      <c r="T263" s="11" t="e">
        <f>+VLOOKUP(M263,[1]Datos!$F:$H,3,FALSE)</f>
        <v>#N/A</v>
      </c>
      <c r="U263" s="11">
        <v>0</v>
      </c>
      <c r="V263" s="19"/>
    </row>
    <row r="264" spans="1:22">
      <c r="A264" s="11" t="s">
        <v>25</v>
      </c>
      <c r="B264" s="11" t="s">
        <v>33</v>
      </c>
      <c r="E264" s="42"/>
      <c r="F264" s="42"/>
      <c r="G264" s="21"/>
      <c r="H264" s="14"/>
      <c r="I264" s="14"/>
      <c r="J264" s="15" t="e">
        <f>+VLOOKUP(K264,[1]Datos!$A:$C,3,FALSE)</f>
        <v>#N/A</v>
      </c>
      <c r="K264" s="22"/>
      <c r="L264" s="15" t="e">
        <f>+VLOOKUP(K264,[1]Datos!$A:$C,2,FALSE)</f>
        <v>#N/A</v>
      </c>
      <c r="N264" s="17" t="e">
        <f>+VLOOKUP(M264,[1]Datos!$F:$G,2,FALSE)</f>
        <v>#N/A</v>
      </c>
      <c r="O264" s="18">
        <f>IFERROR(IF(A264="SI",VLOOKUP(R264,[1]Datos!$J$1:$K$50,2,FALSE)*C264,VLOOKUP(R264,[1]Datos!$P$1:$T$50,2,FALSE)*C264),0)</f>
        <v>0</v>
      </c>
      <c r="P264" s="12"/>
      <c r="Q264" s="17" t="e">
        <f>+VLOOKUP(P264,[1]Datos!$F:$G,2,FALSE)</f>
        <v>#N/A</v>
      </c>
      <c r="R264" s="11" t="s">
        <v>30</v>
      </c>
      <c r="S264" s="11">
        <f t="shared" ref="S264:S327" si="4">+COUNTIFS($G$2:$G$607,G264)</f>
        <v>0</v>
      </c>
      <c r="T264" s="11" t="e">
        <f>+VLOOKUP(M264,[1]Datos!$F:$H,3,FALSE)</f>
        <v>#N/A</v>
      </c>
      <c r="U264" s="11">
        <v>0</v>
      </c>
      <c r="V264" s="19"/>
    </row>
    <row r="265" spans="1:22">
      <c r="A265" s="11" t="s">
        <v>25</v>
      </c>
      <c r="B265" s="11" t="s">
        <v>33</v>
      </c>
      <c r="E265" s="20"/>
      <c r="F265" s="20"/>
      <c r="G265" s="20"/>
      <c r="H265" s="14"/>
      <c r="I265" s="14"/>
      <c r="J265" s="15" t="e">
        <f>+VLOOKUP(K265,[1]Datos!$A:$C,3,FALSE)</f>
        <v>#N/A</v>
      </c>
      <c r="L265" s="15" t="e">
        <f>+VLOOKUP(K265,[1]Datos!$A:$C,2,FALSE)</f>
        <v>#N/A</v>
      </c>
      <c r="M265" s="17"/>
      <c r="N265" s="17" t="e">
        <f>+VLOOKUP(M265,[1]Datos!$F:$G,2,FALSE)</f>
        <v>#N/A</v>
      </c>
      <c r="O265" s="18">
        <f>IFERROR(IF(A265="SI",VLOOKUP(R265,[1]Datos!$J$1:$K$50,2,FALSE)*C265,VLOOKUP(R265,[1]Datos!$P$1:$T$50,2,FALSE)*C265),0)</f>
        <v>0</v>
      </c>
      <c r="P265" s="17"/>
      <c r="Q265" s="17" t="e">
        <f>+VLOOKUP(P265,[1]Datos!$F:$G,2,FALSE)</f>
        <v>#N/A</v>
      </c>
      <c r="R265" s="11" t="s">
        <v>30</v>
      </c>
      <c r="S265" s="11">
        <f t="shared" si="4"/>
        <v>0</v>
      </c>
      <c r="T265" s="11" t="e">
        <f>+VLOOKUP(M265,[1]Datos!$F:$H,3,FALSE)</f>
        <v>#N/A</v>
      </c>
      <c r="U265" s="11">
        <v>0</v>
      </c>
      <c r="V265" s="19"/>
    </row>
    <row r="266" spans="1:22">
      <c r="A266" s="11" t="s">
        <v>25</v>
      </c>
      <c r="B266" s="11" t="s">
        <v>26</v>
      </c>
      <c r="E266" s="12"/>
      <c r="F266" s="12"/>
      <c r="G266" s="12"/>
      <c r="H266" s="14"/>
      <c r="I266" s="46"/>
      <c r="J266" s="15" t="e">
        <f>+VLOOKUP(K266,[1]Datos!$A:$C,3,FALSE)</f>
        <v>#N/A</v>
      </c>
      <c r="L266" s="15" t="e">
        <f>+VLOOKUP(K266,[1]Datos!$A:$C,2,FALSE)</f>
        <v>#N/A</v>
      </c>
      <c r="M266" s="12"/>
      <c r="N266" s="17" t="e">
        <f>+VLOOKUP(M266,[1]Datos!$F:$G,2,FALSE)</f>
        <v>#N/A</v>
      </c>
      <c r="O266" s="18">
        <f>IFERROR(IF(A266="SI",VLOOKUP(R266,[1]Datos!$J$1:$K$50,2,FALSE)*C266,VLOOKUP(R266,[1]Datos!$P$1:$T$50,2,FALSE)*C266),0)</f>
        <v>0</v>
      </c>
      <c r="P266" s="12"/>
      <c r="Q266" s="17" t="e">
        <f>+VLOOKUP(P266,[1]Datos!$F:$G,2,FALSE)</f>
        <v>#N/A</v>
      </c>
      <c r="R266" s="11" t="s">
        <v>219</v>
      </c>
      <c r="S266" s="11">
        <f t="shared" si="4"/>
        <v>0</v>
      </c>
      <c r="T266" s="11" t="e">
        <f>+VLOOKUP(M266,[1]Datos!$F:$H,3,FALSE)</f>
        <v>#N/A</v>
      </c>
      <c r="U266" s="11">
        <v>0</v>
      </c>
      <c r="V266" s="19" t="s">
        <v>47</v>
      </c>
    </row>
    <row r="267" spans="1:22">
      <c r="A267" s="11" t="s">
        <v>25</v>
      </c>
      <c r="B267" s="11" t="s">
        <v>33</v>
      </c>
      <c r="E267" s="12"/>
      <c r="F267" s="12"/>
      <c r="G267" s="12"/>
      <c r="H267" s="14"/>
      <c r="I267" s="14"/>
      <c r="J267" s="15" t="e">
        <f>+VLOOKUP(K267,[1]Datos!$A:$C,3,FALSE)</f>
        <v>#N/A</v>
      </c>
      <c r="K267" s="22"/>
      <c r="L267" s="15" t="e">
        <f>+VLOOKUP(K267,[1]Datos!$A:$C,2,FALSE)</f>
        <v>#N/A</v>
      </c>
      <c r="M267" s="12"/>
      <c r="N267" s="17" t="e">
        <f>+VLOOKUP(M267,[1]Datos!$F:$G,2,FALSE)</f>
        <v>#N/A</v>
      </c>
      <c r="O267" s="18">
        <f>IFERROR(IF(A267="SI",VLOOKUP(R267,[1]Datos!$J$1:$K$50,2,FALSE)*C267,VLOOKUP(R267,[1]Datos!$P$1:$T$50,2,FALSE)*C267),0)</f>
        <v>0</v>
      </c>
      <c r="P267" s="17"/>
      <c r="Q267" s="17" t="e">
        <f>+VLOOKUP(P267,[1]Datos!$F:$G,2,FALSE)</f>
        <v>#N/A</v>
      </c>
      <c r="R267" s="11" t="s">
        <v>30</v>
      </c>
      <c r="S267" s="11">
        <f t="shared" si="4"/>
        <v>0</v>
      </c>
      <c r="T267" s="11" t="e">
        <f>+VLOOKUP(M267,[1]Datos!$F:$H,3,FALSE)</f>
        <v>#N/A</v>
      </c>
      <c r="U267" s="11">
        <v>0</v>
      </c>
      <c r="V267" s="19"/>
    </row>
    <row r="268" spans="1:22">
      <c r="A268" s="11" t="s">
        <v>25</v>
      </c>
      <c r="B268" s="11" t="s">
        <v>26</v>
      </c>
      <c r="E268" s="12"/>
      <c r="F268" s="12"/>
      <c r="G268" s="12"/>
      <c r="H268" s="14"/>
      <c r="I268" s="14"/>
      <c r="J268" s="15" t="e">
        <f>+VLOOKUP(K268,[1]Datos!$A:$C,3,FALSE)</f>
        <v>#N/A</v>
      </c>
      <c r="K268" s="22"/>
      <c r="L268" s="15" t="e">
        <f>+VLOOKUP(K268,[1]Datos!$A:$C,2,FALSE)</f>
        <v>#N/A</v>
      </c>
      <c r="N268" s="17" t="e">
        <f>+VLOOKUP(M268,[1]Datos!$F:$G,2,FALSE)</f>
        <v>#N/A</v>
      </c>
      <c r="O268" s="18">
        <f>IFERROR(IF(A268="SI",VLOOKUP(R268,[1]Datos!$J$1:$K$50,2,FALSE)*C268,VLOOKUP(R268,[1]Datos!$P$1:$T$50,2,FALSE)*C268),0)</f>
        <v>0</v>
      </c>
      <c r="P268" s="12"/>
      <c r="Q268" s="17" t="e">
        <f>+VLOOKUP(P268,[1]Datos!$F:$G,2,FALSE)</f>
        <v>#N/A</v>
      </c>
      <c r="R268" s="11" t="s">
        <v>30</v>
      </c>
      <c r="S268" s="11">
        <f t="shared" si="4"/>
        <v>0</v>
      </c>
      <c r="T268" s="11" t="e">
        <f>+VLOOKUP(M268,[1]Datos!$F:$H,3,FALSE)</f>
        <v>#N/A</v>
      </c>
      <c r="U268" s="11">
        <v>0</v>
      </c>
      <c r="V268" s="19"/>
    </row>
    <row r="269" spans="1:22">
      <c r="A269" s="11" t="s">
        <v>25</v>
      </c>
      <c r="B269" s="11" t="s">
        <v>33</v>
      </c>
      <c r="E269" s="12"/>
      <c r="F269" s="12"/>
      <c r="G269" s="12"/>
      <c r="H269" s="14"/>
      <c r="I269" s="14"/>
      <c r="J269" s="15" t="e">
        <f>+VLOOKUP(K269,[1]Datos!$A:$C,3,FALSE)</f>
        <v>#N/A</v>
      </c>
      <c r="L269" s="15" t="e">
        <f>+VLOOKUP(K269,[1]Datos!$A:$C,2,FALSE)</f>
        <v>#N/A</v>
      </c>
      <c r="M269" s="12"/>
      <c r="N269" s="17" t="e">
        <f>+VLOOKUP(M269,[1]Datos!$F:$G,2,FALSE)</f>
        <v>#N/A</v>
      </c>
      <c r="O269" s="18">
        <f>IFERROR(IF(A269="SI",VLOOKUP(R269,[1]Datos!$J$1:$K$50,2,FALSE)*C269,VLOOKUP(R269,[1]Datos!$P$1:$T$50,2,FALSE)*C269),0)</f>
        <v>0</v>
      </c>
      <c r="P269" s="17"/>
      <c r="Q269" s="17" t="e">
        <f>+VLOOKUP(P269,[1]Datos!$F:$G,2,FALSE)</f>
        <v>#N/A</v>
      </c>
      <c r="R269" s="11" t="s">
        <v>30</v>
      </c>
      <c r="S269" s="11">
        <f t="shared" si="4"/>
        <v>0</v>
      </c>
      <c r="T269" s="11" t="e">
        <f>+VLOOKUP(M269,[1]Datos!$F:$H,3,FALSE)</f>
        <v>#N/A</v>
      </c>
      <c r="U269" s="11">
        <v>0</v>
      </c>
      <c r="V269" s="19"/>
    </row>
    <row r="270" spans="1:22">
      <c r="A270" s="11" t="s">
        <v>25</v>
      </c>
      <c r="B270" s="11" t="s">
        <v>26</v>
      </c>
      <c r="G270" s="12"/>
      <c r="H270" s="14"/>
      <c r="I270" s="14"/>
      <c r="J270" s="15" t="e">
        <f>+VLOOKUP(K270,[1]Datos!$A:$C,3,FALSE)</f>
        <v>#N/A</v>
      </c>
      <c r="L270" s="15" t="e">
        <f>+VLOOKUP(K270,[1]Datos!$A:$C,2,FALSE)</f>
        <v>#N/A</v>
      </c>
      <c r="M270" s="12"/>
      <c r="N270" s="17" t="e">
        <f>+VLOOKUP(M270,[1]Datos!$F:$G,2,FALSE)</f>
        <v>#N/A</v>
      </c>
      <c r="O270" s="18">
        <f>IFERROR(IF(A270="SI",VLOOKUP(R270,[1]Datos!$J$1:$K$50,2,FALSE)*C270,VLOOKUP(R270,[1]Datos!$P$1:$T$50,2,FALSE)*C270),0)</f>
        <v>0</v>
      </c>
      <c r="P270" s="12"/>
      <c r="Q270" s="17" t="e">
        <f>+VLOOKUP(P270,[1]Datos!$F:$G,2,FALSE)</f>
        <v>#N/A</v>
      </c>
      <c r="R270" s="11" t="s">
        <v>30</v>
      </c>
      <c r="S270" s="11">
        <f t="shared" si="4"/>
        <v>0</v>
      </c>
      <c r="T270" s="11" t="e">
        <f>+VLOOKUP(M270,[1]Datos!$F:$H,3,FALSE)</f>
        <v>#N/A</v>
      </c>
      <c r="U270" s="11">
        <v>0</v>
      </c>
      <c r="V270" s="19"/>
    </row>
    <row r="271" spans="1:22">
      <c r="A271" s="11" t="s">
        <v>25</v>
      </c>
      <c r="B271" s="11" t="s">
        <v>33</v>
      </c>
      <c r="E271" s="12"/>
      <c r="F271" s="12"/>
      <c r="G271" s="12"/>
      <c r="H271" s="14"/>
      <c r="I271" s="14"/>
      <c r="J271" s="15" t="e">
        <f>+VLOOKUP(K271,[1]Datos!$A:$C,3,FALSE)</f>
        <v>#N/A</v>
      </c>
      <c r="K271" s="22"/>
      <c r="L271" s="15" t="e">
        <f>+VLOOKUP(K271,[1]Datos!$A:$C,2,FALSE)</f>
        <v>#N/A</v>
      </c>
      <c r="M271" s="17"/>
      <c r="N271" s="17" t="e">
        <f>+VLOOKUP(M271,[1]Datos!$F:$G,2,FALSE)</f>
        <v>#N/A</v>
      </c>
      <c r="O271" s="18">
        <f>IFERROR(IF(A271="SI",VLOOKUP(R271,[1]Datos!$J$1:$K$50,2,FALSE)*C271,VLOOKUP(R271,[1]Datos!$P$1:$T$50,2,FALSE)*C271),0)</f>
        <v>0</v>
      </c>
      <c r="P271" s="17"/>
      <c r="Q271" s="17" t="e">
        <f>+VLOOKUP(P271,[1]Datos!$F:$G,2,FALSE)</f>
        <v>#N/A</v>
      </c>
      <c r="R271" s="11" t="s">
        <v>36</v>
      </c>
      <c r="S271" s="11">
        <f t="shared" si="4"/>
        <v>0</v>
      </c>
      <c r="T271" s="11" t="e">
        <f>+VLOOKUP(M271,[1]Datos!$F:$H,3,FALSE)</f>
        <v>#N/A</v>
      </c>
      <c r="U271" s="11">
        <v>0</v>
      </c>
      <c r="V271" s="19"/>
    </row>
    <row r="272" spans="1:22">
      <c r="A272" s="11" t="s">
        <v>25</v>
      </c>
      <c r="H272" s="14"/>
      <c r="I272" s="14"/>
      <c r="J272" s="15" t="e">
        <f>+VLOOKUP(K272,[1]Datos!$A:$C,3,FALSE)</f>
        <v>#N/A</v>
      </c>
      <c r="L272" s="15" t="e">
        <f>+VLOOKUP(K272,[1]Datos!$A:$C,2,FALSE)</f>
        <v>#N/A</v>
      </c>
      <c r="N272" s="17" t="e">
        <f>+VLOOKUP(M272,[1]Datos!$F:$G,2,FALSE)</f>
        <v>#N/A</v>
      </c>
      <c r="O272" s="18">
        <f>IFERROR(IF(A272="SI",VLOOKUP(R272,[1]Datos!$J$1:$K$50,2,FALSE)*C272,VLOOKUP(R272,[1]Datos!$P$1:$T$50,2,FALSE)*C272),0)</f>
        <v>0</v>
      </c>
      <c r="P272" s="30"/>
      <c r="Q272" s="17" t="e">
        <f>+VLOOKUP(P272,[1]Datos!$F:$G,2,FALSE)</f>
        <v>#N/A</v>
      </c>
      <c r="S272" s="11">
        <f t="shared" si="4"/>
        <v>0</v>
      </c>
      <c r="T272" s="11" t="e">
        <f>+VLOOKUP(M272,[1]Datos!$F:$H,3,FALSE)</f>
        <v>#N/A</v>
      </c>
      <c r="U272" s="11">
        <v>0</v>
      </c>
      <c r="V272" s="19"/>
    </row>
    <row r="273" spans="1:22">
      <c r="A273" s="11" t="s">
        <v>25</v>
      </c>
      <c r="H273" s="14"/>
      <c r="I273" s="14"/>
      <c r="J273" s="15" t="e">
        <f>+VLOOKUP(K273,[1]Datos!$A:$C,3,FALSE)</f>
        <v>#N/A</v>
      </c>
      <c r="L273" s="15" t="e">
        <f>+VLOOKUP(K273,[1]Datos!$A:$C,2,FALSE)</f>
        <v>#N/A</v>
      </c>
      <c r="N273" s="17" t="e">
        <f>+VLOOKUP(M273,[1]Datos!$F:$G,2,FALSE)</f>
        <v>#N/A</v>
      </c>
      <c r="O273" s="18">
        <f>IFERROR(IF(A273="SI",VLOOKUP(R273,[1]Datos!$J$1:$K$50,2,FALSE)*C273,VLOOKUP(R273,[1]Datos!$P$1:$T$50,2,FALSE)*C273),0)</f>
        <v>0</v>
      </c>
      <c r="P273" s="30"/>
      <c r="Q273" s="17" t="e">
        <f>+VLOOKUP(P273,[1]Datos!$F:$G,2,FALSE)</f>
        <v>#N/A</v>
      </c>
      <c r="S273" s="11">
        <f t="shared" si="4"/>
        <v>0</v>
      </c>
      <c r="T273" s="11" t="e">
        <f>+VLOOKUP(M273,[1]Datos!$F:$H,3,FALSE)</f>
        <v>#N/A</v>
      </c>
      <c r="U273" s="11">
        <v>0</v>
      </c>
      <c r="V273" s="19"/>
    </row>
    <row r="274" spans="1:22">
      <c r="A274" s="11" t="s">
        <v>25</v>
      </c>
      <c r="H274" s="14"/>
      <c r="I274" s="14"/>
      <c r="J274" s="15" t="e">
        <f>+VLOOKUP(K274,[1]Datos!$A:$C,3,FALSE)</f>
        <v>#N/A</v>
      </c>
      <c r="L274" s="15" t="e">
        <f>+VLOOKUP(K274,[1]Datos!$A:$C,2,FALSE)</f>
        <v>#N/A</v>
      </c>
      <c r="N274" s="17" t="e">
        <f>+VLOOKUP(M274,[1]Datos!$F:$G,2,FALSE)</f>
        <v>#N/A</v>
      </c>
      <c r="O274" s="18">
        <f>IFERROR(IF(A274="SI",VLOOKUP(R274,[1]Datos!$J$1:$K$50,2,FALSE)*C274,VLOOKUP(R274,[1]Datos!$P$1:$T$50,2,FALSE)*C274),0)</f>
        <v>0</v>
      </c>
      <c r="P274" s="30"/>
      <c r="Q274" s="17" t="e">
        <f>+VLOOKUP(P274,[1]Datos!$F:$G,2,FALSE)</f>
        <v>#N/A</v>
      </c>
      <c r="S274" s="11">
        <f t="shared" si="4"/>
        <v>0</v>
      </c>
      <c r="T274" s="11" t="e">
        <f>+VLOOKUP(M274,[1]Datos!$F:$H,3,FALSE)</f>
        <v>#N/A</v>
      </c>
      <c r="U274" s="11">
        <v>0</v>
      </c>
      <c r="V274" s="19"/>
    </row>
    <row r="275" spans="1:22">
      <c r="A275" s="11" t="s">
        <v>25</v>
      </c>
      <c r="H275" s="14"/>
      <c r="I275" s="14"/>
      <c r="J275" s="15" t="e">
        <f>+VLOOKUP(K275,[1]Datos!$A:$C,3,FALSE)</f>
        <v>#N/A</v>
      </c>
      <c r="L275" s="15" t="e">
        <f>+VLOOKUP(K275,[1]Datos!$A:$C,2,FALSE)</f>
        <v>#N/A</v>
      </c>
      <c r="N275" s="17" t="e">
        <f>+VLOOKUP(M275,[1]Datos!$F:$G,2,FALSE)</f>
        <v>#N/A</v>
      </c>
      <c r="O275" s="18">
        <f>IFERROR(IF(A275="SI",VLOOKUP(R275,[1]Datos!$J$1:$K$50,2,FALSE)*C275,VLOOKUP(R275,[1]Datos!$P$1:$T$50,2,FALSE)*C275),0)</f>
        <v>0</v>
      </c>
      <c r="P275" s="30"/>
      <c r="Q275" s="17" t="e">
        <f>+VLOOKUP(P275,[1]Datos!$F:$G,2,FALSE)</f>
        <v>#N/A</v>
      </c>
      <c r="S275" s="11">
        <f t="shared" si="4"/>
        <v>0</v>
      </c>
      <c r="T275" s="11" t="e">
        <f>+VLOOKUP(M275,[1]Datos!$F:$H,3,FALSE)</f>
        <v>#N/A</v>
      </c>
      <c r="U275" s="11">
        <v>0</v>
      </c>
      <c r="V275" s="19"/>
    </row>
    <row r="276" spans="1:22">
      <c r="A276" s="11" t="s">
        <v>25</v>
      </c>
      <c r="H276" s="14"/>
      <c r="I276" s="14"/>
      <c r="J276" s="15" t="e">
        <f>+VLOOKUP(K276,[1]Datos!$A:$C,3,FALSE)</f>
        <v>#N/A</v>
      </c>
      <c r="L276" s="15" t="e">
        <f>+VLOOKUP(K276,[1]Datos!$A:$C,2,FALSE)</f>
        <v>#N/A</v>
      </c>
      <c r="N276" s="17" t="e">
        <f>+VLOOKUP(M276,[1]Datos!$F:$G,2,FALSE)</f>
        <v>#N/A</v>
      </c>
      <c r="O276" s="18">
        <f>IFERROR(IF(A276="SI",VLOOKUP(R276,[1]Datos!$J$1:$K$50,2,FALSE)*C276,VLOOKUP(R276,[1]Datos!$P$1:$T$50,2,FALSE)*C276),0)</f>
        <v>0</v>
      </c>
      <c r="P276" s="30"/>
      <c r="Q276" s="17" t="e">
        <f>+VLOOKUP(P276,[1]Datos!$F:$G,2,FALSE)</f>
        <v>#N/A</v>
      </c>
      <c r="S276" s="11">
        <f t="shared" si="4"/>
        <v>0</v>
      </c>
      <c r="T276" s="11" t="e">
        <f>+VLOOKUP(M276,[1]Datos!$F:$H,3,FALSE)</f>
        <v>#N/A</v>
      </c>
      <c r="U276" s="11">
        <v>0</v>
      </c>
      <c r="V276" s="19"/>
    </row>
    <row r="277" spans="1:22">
      <c r="A277" s="11" t="s">
        <v>25</v>
      </c>
      <c r="H277" s="14"/>
      <c r="I277" s="14"/>
      <c r="J277" s="15" t="e">
        <f>+VLOOKUP(K277,[1]Datos!$A:$C,3,FALSE)</f>
        <v>#N/A</v>
      </c>
      <c r="L277" s="15" t="e">
        <f>+VLOOKUP(K277,[1]Datos!$A:$C,2,FALSE)</f>
        <v>#N/A</v>
      </c>
      <c r="N277" s="17" t="e">
        <f>+VLOOKUP(M277,[1]Datos!$F:$G,2,FALSE)</f>
        <v>#N/A</v>
      </c>
      <c r="O277" s="18">
        <f>IFERROR(IF(A277="SI",VLOOKUP(R277,[1]Datos!$J$1:$K$50,2,FALSE)*C277,VLOOKUP(R277,[1]Datos!$P$1:$T$50,2,FALSE)*C277),0)</f>
        <v>0</v>
      </c>
      <c r="P277" s="30"/>
      <c r="Q277" s="17" t="e">
        <f>+VLOOKUP(P277,[1]Datos!$F:$G,2,FALSE)</f>
        <v>#N/A</v>
      </c>
      <c r="S277" s="11">
        <f t="shared" si="4"/>
        <v>0</v>
      </c>
      <c r="T277" s="11" t="e">
        <f>+VLOOKUP(M277,[1]Datos!$F:$H,3,FALSE)</f>
        <v>#N/A</v>
      </c>
      <c r="U277" s="11">
        <v>0</v>
      </c>
      <c r="V277" s="19"/>
    </row>
    <row r="278" spans="1:22">
      <c r="A278" s="11" t="s">
        <v>25</v>
      </c>
      <c r="H278" s="14"/>
      <c r="I278" s="14"/>
      <c r="J278" s="15" t="e">
        <f>+VLOOKUP(K278,[1]Datos!$A:$C,3,FALSE)</f>
        <v>#N/A</v>
      </c>
      <c r="L278" s="15" t="e">
        <f>+VLOOKUP(K278,[1]Datos!$A:$C,2,FALSE)</f>
        <v>#N/A</v>
      </c>
      <c r="N278" s="17" t="e">
        <f>+VLOOKUP(M278,[1]Datos!$F:$G,2,FALSE)</f>
        <v>#N/A</v>
      </c>
      <c r="O278" s="18">
        <f>IFERROR(IF(A278="SI",VLOOKUP(R278,[1]Datos!$J$1:$K$50,2,FALSE)*C278,VLOOKUP(R278,[1]Datos!$P$1:$T$50,2,FALSE)*C278),0)</f>
        <v>0</v>
      </c>
      <c r="P278" s="30"/>
      <c r="Q278" s="17" t="e">
        <f>+VLOOKUP(P278,[1]Datos!$F:$G,2,FALSE)</f>
        <v>#N/A</v>
      </c>
      <c r="S278" s="11">
        <f t="shared" si="4"/>
        <v>0</v>
      </c>
      <c r="T278" s="11" t="e">
        <f>+VLOOKUP(M278,[1]Datos!$F:$H,3,FALSE)</f>
        <v>#N/A</v>
      </c>
      <c r="U278" s="11">
        <v>0</v>
      </c>
      <c r="V278" s="19"/>
    </row>
    <row r="279" spans="1:22">
      <c r="A279" s="11" t="s">
        <v>25</v>
      </c>
      <c r="H279" s="14"/>
      <c r="I279" s="14"/>
      <c r="J279" s="15" t="e">
        <f>+VLOOKUP(K279,[1]Datos!$A:$C,3,FALSE)</f>
        <v>#N/A</v>
      </c>
      <c r="L279" s="15" t="e">
        <f>+VLOOKUP(K279,[1]Datos!$A:$C,2,FALSE)</f>
        <v>#N/A</v>
      </c>
      <c r="N279" s="17" t="e">
        <f>+VLOOKUP(M279,[1]Datos!$F:$G,2,FALSE)</f>
        <v>#N/A</v>
      </c>
      <c r="O279" s="18">
        <f>IFERROR(IF(A279="SI",VLOOKUP(R279,[1]Datos!$J$1:$K$50,2,FALSE)*C279,VLOOKUP(R279,[1]Datos!$P$1:$T$50,2,FALSE)*C279),0)</f>
        <v>0</v>
      </c>
      <c r="P279" s="30"/>
      <c r="Q279" s="17" t="e">
        <f>+VLOOKUP(P279,[1]Datos!$F:$G,2,FALSE)</f>
        <v>#N/A</v>
      </c>
      <c r="S279" s="11">
        <f t="shared" si="4"/>
        <v>0</v>
      </c>
      <c r="T279" s="11" t="e">
        <f>+VLOOKUP(M279,[1]Datos!$F:$H,3,FALSE)</f>
        <v>#N/A</v>
      </c>
      <c r="U279" s="11">
        <v>0</v>
      </c>
      <c r="V279" s="19"/>
    </row>
    <row r="280" spans="1:22">
      <c r="A280" s="11" t="s">
        <v>25</v>
      </c>
      <c r="H280" s="14"/>
      <c r="I280" s="14"/>
      <c r="J280" s="15" t="e">
        <f>+VLOOKUP(K280,[1]Datos!$A:$C,3,FALSE)</f>
        <v>#N/A</v>
      </c>
      <c r="L280" s="15" t="e">
        <f>+VLOOKUP(K280,[1]Datos!$A:$C,2,FALSE)</f>
        <v>#N/A</v>
      </c>
      <c r="N280" s="17" t="e">
        <f>+VLOOKUP(M280,[1]Datos!$F:$G,2,FALSE)</f>
        <v>#N/A</v>
      </c>
      <c r="O280" s="18">
        <f>IFERROR(IF(A280="SI",VLOOKUP(R280,[1]Datos!$J$1:$K$50,2,FALSE)*C280,VLOOKUP(R280,[1]Datos!$P$1:$T$50,2,FALSE)*C280),0)</f>
        <v>0</v>
      </c>
      <c r="P280" s="30"/>
      <c r="Q280" s="17" t="e">
        <f>+VLOOKUP(P280,[1]Datos!$F:$G,2,FALSE)</f>
        <v>#N/A</v>
      </c>
      <c r="S280" s="11">
        <f t="shared" si="4"/>
        <v>0</v>
      </c>
      <c r="T280" s="11" t="e">
        <f>+VLOOKUP(M280,[1]Datos!$F:$H,3,FALSE)</f>
        <v>#N/A</v>
      </c>
      <c r="U280" s="11">
        <v>0</v>
      </c>
      <c r="V280" s="19"/>
    </row>
    <row r="281" spans="1:22">
      <c r="A281" s="11" t="s">
        <v>25</v>
      </c>
      <c r="H281" s="14"/>
      <c r="I281" s="14"/>
      <c r="J281" s="15" t="e">
        <f>+VLOOKUP(K281,[1]Datos!$A:$C,3,FALSE)</f>
        <v>#N/A</v>
      </c>
      <c r="L281" s="15" t="e">
        <f>+VLOOKUP(K281,[1]Datos!$A:$C,2,FALSE)</f>
        <v>#N/A</v>
      </c>
      <c r="N281" s="17" t="e">
        <f>+VLOOKUP(M281,[1]Datos!$F:$G,2,FALSE)</f>
        <v>#N/A</v>
      </c>
      <c r="O281" s="18">
        <f>IFERROR(IF(A281="SI",VLOOKUP(R281,[1]Datos!$J$1:$K$50,2,FALSE)*C281,VLOOKUP(R281,[1]Datos!$P$1:$T$50,2,FALSE)*C281),0)</f>
        <v>0</v>
      </c>
      <c r="P281" s="30"/>
      <c r="Q281" s="17" t="e">
        <f>+VLOOKUP(P281,[1]Datos!$F:$G,2,FALSE)</f>
        <v>#N/A</v>
      </c>
      <c r="S281" s="11">
        <f t="shared" si="4"/>
        <v>0</v>
      </c>
      <c r="T281" s="11" t="e">
        <f>+VLOOKUP(M281,[1]Datos!$F:$H,3,FALSE)</f>
        <v>#N/A</v>
      </c>
      <c r="U281" s="11">
        <v>0</v>
      </c>
      <c r="V281" s="19"/>
    </row>
    <row r="282" spans="1:22">
      <c r="H282" s="14"/>
      <c r="I282" s="14"/>
      <c r="J282" s="15" t="e">
        <f>+VLOOKUP(K282,[1]Datos!$A:$C,3,FALSE)</f>
        <v>#N/A</v>
      </c>
      <c r="L282" s="15" t="e">
        <f>+VLOOKUP(K282,[1]Datos!$A:$C,2,FALSE)</f>
        <v>#N/A</v>
      </c>
      <c r="N282" s="17" t="e">
        <f>+VLOOKUP(M282,[1]Datos!$F:$G,2,FALSE)</f>
        <v>#N/A</v>
      </c>
      <c r="O282" s="18">
        <f>IFERROR(IF(A282="SI",VLOOKUP(R282,[1]Datos!$J$1:$K$50,2,FALSE)*C282,VLOOKUP(R282,[1]Datos!$P$1:$T$50,2,FALSE)*C282),0)</f>
        <v>0</v>
      </c>
      <c r="P282" s="30"/>
      <c r="Q282" s="17" t="e">
        <f>+VLOOKUP(P282,[1]Datos!$F:$G,2,FALSE)</f>
        <v>#N/A</v>
      </c>
      <c r="S282" s="11">
        <f t="shared" si="4"/>
        <v>0</v>
      </c>
      <c r="T282" s="11" t="e">
        <f>+VLOOKUP(M282,[1]Datos!$F:$H,3,FALSE)</f>
        <v>#N/A</v>
      </c>
      <c r="U282" s="11">
        <v>0</v>
      </c>
      <c r="V282" s="19"/>
    </row>
    <row r="283" spans="1:22">
      <c r="A283" s="11" t="s">
        <v>25</v>
      </c>
      <c r="H283" s="14"/>
      <c r="I283" s="14"/>
      <c r="J283" s="15" t="e">
        <f>+VLOOKUP(K283,[1]Datos!$A:$C,3,FALSE)</f>
        <v>#N/A</v>
      </c>
      <c r="L283" s="15" t="e">
        <f>+VLOOKUP(K283,[1]Datos!$A:$C,2,FALSE)</f>
        <v>#N/A</v>
      </c>
      <c r="N283" s="17" t="e">
        <f>+VLOOKUP(M283,[1]Datos!$F:$G,2,FALSE)</f>
        <v>#N/A</v>
      </c>
      <c r="O283" s="18">
        <f>IFERROR(IF(A283="SI",VLOOKUP(R283,[1]Datos!$J$1:$K$50,2,FALSE)*C283,VLOOKUP(R283,[1]Datos!$P$1:$T$50,2,FALSE)*C283),0)</f>
        <v>0</v>
      </c>
      <c r="P283" s="30"/>
      <c r="Q283" s="17" t="e">
        <f>+VLOOKUP(P283,[1]Datos!$F:$G,2,FALSE)</f>
        <v>#N/A</v>
      </c>
      <c r="S283" s="11">
        <f t="shared" si="4"/>
        <v>0</v>
      </c>
      <c r="T283" s="11" t="e">
        <f>+VLOOKUP(M283,[1]Datos!$F:$H,3,FALSE)</f>
        <v>#N/A</v>
      </c>
      <c r="U283" s="11">
        <v>0</v>
      </c>
      <c r="V283" s="19"/>
    </row>
    <row r="284" spans="1:22">
      <c r="A284" s="11" t="s">
        <v>25</v>
      </c>
      <c r="H284" s="14"/>
      <c r="I284" s="14"/>
      <c r="J284" s="15" t="e">
        <f>+VLOOKUP(K284,[1]Datos!$A:$C,3,FALSE)</f>
        <v>#N/A</v>
      </c>
      <c r="L284" s="15" t="e">
        <f>+VLOOKUP(K284,[1]Datos!$A:$C,2,FALSE)</f>
        <v>#N/A</v>
      </c>
      <c r="N284" s="17" t="e">
        <f>+VLOOKUP(M284,[1]Datos!$F:$G,2,FALSE)</f>
        <v>#N/A</v>
      </c>
      <c r="O284" s="18">
        <f>IFERROR(IF(A284="SI",VLOOKUP(R284,[1]Datos!$J$1:$K$50,2,FALSE)*C284,VLOOKUP(R284,[1]Datos!$P$1:$T$50,2,FALSE)*C284),0)</f>
        <v>0</v>
      </c>
      <c r="P284" s="30"/>
      <c r="Q284" s="17" t="e">
        <f>+VLOOKUP(P284,[1]Datos!$F:$G,2,FALSE)</f>
        <v>#N/A</v>
      </c>
      <c r="S284" s="11">
        <f t="shared" si="4"/>
        <v>0</v>
      </c>
      <c r="T284" s="11" t="e">
        <f>+VLOOKUP(M284,[1]Datos!$F:$H,3,FALSE)</f>
        <v>#N/A</v>
      </c>
      <c r="U284" s="11">
        <v>0</v>
      </c>
      <c r="V284" s="19"/>
    </row>
    <row r="285" spans="1:22">
      <c r="A285" s="11" t="s">
        <v>25</v>
      </c>
      <c r="H285" s="14"/>
      <c r="I285" s="14"/>
      <c r="J285" s="15" t="e">
        <f>+VLOOKUP(K285,[1]Datos!$A:$C,3,FALSE)</f>
        <v>#N/A</v>
      </c>
      <c r="L285" s="15" t="e">
        <f>+VLOOKUP(K285,[1]Datos!$A:$C,2,FALSE)</f>
        <v>#N/A</v>
      </c>
      <c r="N285" s="17" t="e">
        <f>+VLOOKUP(M285,[1]Datos!$F:$G,2,FALSE)</f>
        <v>#N/A</v>
      </c>
      <c r="O285" s="18">
        <f>IFERROR(IF(A285="SI",VLOOKUP(R285,[1]Datos!$J$1:$K$50,2,FALSE)*C285,VLOOKUP(R285,[1]Datos!$P$1:$T$50,2,FALSE)*C285),0)</f>
        <v>0</v>
      </c>
      <c r="P285" s="30"/>
      <c r="Q285" s="17" t="e">
        <f>+VLOOKUP(P285,[1]Datos!$F:$G,2,FALSE)</f>
        <v>#N/A</v>
      </c>
      <c r="S285" s="11">
        <f t="shared" si="4"/>
        <v>0</v>
      </c>
      <c r="T285" s="11" t="e">
        <f>+VLOOKUP(M285,[1]Datos!$F:$H,3,FALSE)</f>
        <v>#N/A</v>
      </c>
      <c r="U285" s="11">
        <v>0</v>
      </c>
      <c r="V285" s="19"/>
    </row>
    <row r="286" spans="1:22">
      <c r="A286" s="11" t="s">
        <v>25</v>
      </c>
      <c r="D286" s="11" t="s">
        <v>27</v>
      </c>
      <c r="H286" s="14"/>
      <c r="I286" s="14"/>
      <c r="J286" s="15" t="e">
        <f>+VLOOKUP(K286,[1]Datos!$A:$C,3,FALSE)</f>
        <v>#N/A</v>
      </c>
      <c r="L286" s="15" t="e">
        <f>+VLOOKUP(K286,[1]Datos!$A:$C,2,FALSE)</f>
        <v>#N/A</v>
      </c>
      <c r="N286" s="17" t="e">
        <f>+VLOOKUP(M286,[1]Datos!$F:$G,2,FALSE)</f>
        <v>#N/A</v>
      </c>
      <c r="O286" s="18">
        <f>IFERROR(IF(A286="SI",VLOOKUP(R286,[1]Datos!$J$1:$K$50,2,FALSE)*C286,VLOOKUP(R286,[1]Datos!$P$1:$T$50,2,FALSE)*C286),0)</f>
        <v>0</v>
      </c>
      <c r="P286" s="30"/>
      <c r="Q286" s="17" t="e">
        <f>+VLOOKUP(P286,[1]Datos!$F:$G,2,FALSE)</f>
        <v>#N/A</v>
      </c>
      <c r="S286" s="11">
        <f t="shared" si="4"/>
        <v>0</v>
      </c>
      <c r="T286" s="11" t="e">
        <f>+VLOOKUP(M286,[1]Datos!$F:$H,3,FALSE)</f>
        <v>#N/A</v>
      </c>
      <c r="U286" s="11">
        <v>0</v>
      </c>
      <c r="V286" s="19"/>
    </row>
    <row r="287" spans="1:22">
      <c r="A287" s="11" t="s">
        <v>25</v>
      </c>
      <c r="D287" s="11" t="s">
        <v>27</v>
      </c>
      <c r="H287" s="14"/>
      <c r="I287" s="14"/>
      <c r="J287" s="15" t="e">
        <f>+VLOOKUP(K287,[1]Datos!$A:$C,3,FALSE)</f>
        <v>#N/A</v>
      </c>
      <c r="L287" s="15" t="e">
        <f>+VLOOKUP(K287,[1]Datos!$A:$C,2,FALSE)</f>
        <v>#N/A</v>
      </c>
      <c r="N287" s="17" t="e">
        <f>+VLOOKUP(M287,[1]Datos!$F:$G,2,FALSE)</f>
        <v>#N/A</v>
      </c>
      <c r="O287" s="18">
        <f>IFERROR(IF(A287="SI",VLOOKUP(R287,[1]Datos!$J$1:$K$50,2,FALSE)*C287,VLOOKUP(R287,[1]Datos!$P$1:$T$50,2,FALSE)*C287),0)</f>
        <v>0</v>
      </c>
      <c r="P287" s="30"/>
      <c r="Q287" s="17" t="e">
        <f>+VLOOKUP(P287,[1]Datos!$F:$G,2,FALSE)</f>
        <v>#N/A</v>
      </c>
      <c r="S287" s="11">
        <f t="shared" si="4"/>
        <v>0</v>
      </c>
      <c r="T287" s="11" t="e">
        <f>+VLOOKUP(M287,[1]Datos!$F:$H,3,FALSE)</f>
        <v>#N/A</v>
      </c>
      <c r="U287" s="11">
        <v>0</v>
      </c>
      <c r="V287" s="19"/>
    </row>
    <row r="288" spans="1:22">
      <c r="A288" s="11" t="s">
        <v>25</v>
      </c>
      <c r="D288" s="11" t="s">
        <v>27</v>
      </c>
      <c r="H288" s="14"/>
      <c r="I288" s="14"/>
      <c r="J288" s="15" t="e">
        <f>+VLOOKUP(K288,[1]Datos!$A:$C,3,FALSE)</f>
        <v>#N/A</v>
      </c>
      <c r="L288" s="15" t="e">
        <f>+VLOOKUP(K288,[1]Datos!$A:$C,2,FALSE)</f>
        <v>#N/A</v>
      </c>
      <c r="N288" s="17" t="e">
        <f>+VLOOKUP(M288,[1]Datos!$F:$G,2,FALSE)</f>
        <v>#N/A</v>
      </c>
      <c r="O288" s="18">
        <f>IFERROR(IF(A288="SI",VLOOKUP(R288,[1]Datos!$J$1:$K$50,2,FALSE)*C288,VLOOKUP(R288,[1]Datos!$P$1:$T$50,2,FALSE)*C288),0)</f>
        <v>0</v>
      </c>
      <c r="P288" s="30"/>
      <c r="Q288" s="17" t="e">
        <f>+VLOOKUP(P288,[1]Datos!$F:$G,2,FALSE)</f>
        <v>#N/A</v>
      </c>
      <c r="S288" s="11">
        <f t="shared" si="4"/>
        <v>0</v>
      </c>
      <c r="T288" s="11" t="e">
        <f>+VLOOKUP(M288,[1]Datos!$F:$H,3,FALSE)</f>
        <v>#N/A</v>
      </c>
      <c r="U288" s="11">
        <v>0</v>
      </c>
      <c r="V288" s="19"/>
    </row>
    <row r="289" spans="1:22">
      <c r="A289" s="11" t="s">
        <v>25</v>
      </c>
      <c r="D289" s="11" t="s">
        <v>27</v>
      </c>
      <c r="H289" s="14"/>
      <c r="I289" s="14"/>
      <c r="J289" s="15" t="e">
        <f>+VLOOKUP(K289,[1]Datos!$A:$C,3,FALSE)</f>
        <v>#N/A</v>
      </c>
      <c r="L289" s="15" t="e">
        <f>+VLOOKUP(K289,[1]Datos!$A:$C,2,FALSE)</f>
        <v>#N/A</v>
      </c>
      <c r="N289" s="17" t="e">
        <f>+VLOOKUP(M289,[1]Datos!$F:$G,2,FALSE)</f>
        <v>#N/A</v>
      </c>
      <c r="O289" s="18">
        <f>IFERROR(IF(A289="SI",VLOOKUP(R289,[1]Datos!$J$1:$K$50,2,FALSE)*C289,VLOOKUP(R289,[1]Datos!$P$1:$T$50,2,FALSE)*C289),0)</f>
        <v>0</v>
      </c>
      <c r="P289" s="30"/>
      <c r="Q289" s="17" t="e">
        <f>+VLOOKUP(P289,[1]Datos!$F:$G,2,FALSE)</f>
        <v>#N/A</v>
      </c>
      <c r="S289" s="11">
        <f t="shared" si="4"/>
        <v>0</v>
      </c>
      <c r="T289" s="11" t="e">
        <f>+VLOOKUP(M289,[1]Datos!$F:$H,3,FALSE)</f>
        <v>#N/A</v>
      </c>
      <c r="U289" s="11">
        <v>0</v>
      </c>
      <c r="V289" s="19"/>
    </row>
    <row r="290" spans="1:22">
      <c r="A290" s="11" t="s">
        <v>25</v>
      </c>
      <c r="D290" s="11" t="s">
        <v>27</v>
      </c>
      <c r="H290" s="14"/>
      <c r="I290" s="14"/>
      <c r="J290" s="15" t="e">
        <f>+VLOOKUP(K290,[1]Datos!$A:$C,3,FALSE)</f>
        <v>#N/A</v>
      </c>
      <c r="L290" s="15" t="e">
        <f>+VLOOKUP(K290,[1]Datos!$A:$C,2,FALSE)</f>
        <v>#N/A</v>
      </c>
      <c r="N290" s="17" t="e">
        <f>+VLOOKUP(M290,[1]Datos!$F:$G,2,FALSE)</f>
        <v>#N/A</v>
      </c>
      <c r="O290" s="18">
        <f>IFERROR(IF(A290="SI",VLOOKUP(R290,[1]Datos!$J$1:$K$50,2,FALSE)*C290,VLOOKUP(R290,[1]Datos!$P$1:$T$50,2,FALSE)*C290),0)</f>
        <v>0</v>
      </c>
      <c r="P290" s="30"/>
      <c r="Q290" s="17" t="e">
        <f>+VLOOKUP(P290,[1]Datos!$F:$G,2,FALSE)</f>
        <v>#N/A</v>
      </c>
      <c r="S290" s="11">
        <f t="shared" si="4"/>
        <v>0</v>
      </c>
      <c r="T290" s="11" t="e">
        <f>+VLOOKUP(M290,[1]Datos!$F:$H,3,FALSE)</f>
        <v>#N/A</v>
      </c>
      <c r="U290" s="11">
        <v>0</v>
      </c>
      <c r="V290" s="19"/>
    </row>
    <row r="291" spans="1:22">
      <c r="A291" s="11" t="s">
        <v>25</v>
      </c>
      <c r="D291" s="11" t="s">
        <v>27</v>
      </c>
      <c r="H291" s="14"/>
      <c r="I291" s="14"/>
      <c r="J291" s="15" t="e">
        <f>+VLOOKUP(K291,[1]Datos!$A:$C,3,FALSE)</f>
        <v>#N/A</v>
      </c>
      <c r="L291" s="15" t="e">
        <f>+VLOOKUP(K291,[1]Datos!$A:$C,2,FALSE)</f>
        <v>#N/A</v>
      </c>
      <c r="N291" s="17" t="e">
        <f>+VLOOKUP(M291,[1]Datos!$F:$G,2,FALSE)</f>
        <v>#N/A</v>
      </c>
      <c r="O291" s="18">
        <f>IFERROR(IF(A291="SI",VLOOKUP(R291,[1]Datos!$J$1:$K$50,2,FALSE)*C291,VLOOKUP(R291,[1]Datos!$P$1:$T$50,2,FALSE)*C291),0)</f>
        <v>0</v>
      </c>
      <c r="P291" s="30"/>
      <c r="Q291" s="17" t="e">
        <f>+VLOOKUP(P291,[1]Datos!$F:$G,2,FALSE)</f>
        <v>#N/A</v>
      </c>
      <c r="S291" s="11">
        <f t="shared" si="4"/>
        <v>0</v>
      </c>
      <c r="T291" s="11" t="e">
        <f>+VLOOKUP(M291,[1]Datos!$F:$H,3,FALSE)</f>
        <v>#N/A</v>
      </c>
      <c r="U291" s="11">
        <v>0</v>
      </c>
      <c r="V291" s="19"/>
    </row>
    <row r="292" spans="1:22">
      <c r="A292" s="11" t="s">
        <v>25</v>
      </c>
      <c r="D292" s="11" t="s">
        <v>27</v>
      </c>
      <c r="H292" s="14"/>
      <c r="I292" s="14"/>
      <c r="J292" s="15" t="e">
        <f>+VLOOKUP(K292,[1]Datos!$A:$C,3,FALSE)</f>
        <v>#N/A</v>
      </c>
      <c r="L292" s="15" t="e">
        <f>+VLOOKUP(K292,[1]Datos!$A:$C,2,FALSE)</f>
        <v>#N/A</v>
      </c>
      <c r="N292" s="17" t="e">
        <f>+VLOOKUP(M292,[1]Datos!$F:$G,2,FALSE)</f>
        <v>#N/A</v>
      </c>
      <c r="O292" s="18">
        <f>IFERROR(IF(A292="SI",VLOOKUP(R292,[1]Datos!$J$1:$K$50,2,FALSE)*C292,VLOOKUP(R292,[1]Datos!$P$1:$T$50,2,FALSE)*C292),0)</f>
        <v>0</v>
      </c>
      <c r="P292" s="30"/>
      <c r="Q292" s="17" t="e">
        <f>+VLOOKUP(P292,[1]Datos!$F:$G,2,FALSE)</f>
        <v>#N/A</v>
      </c>
      <c r="S292" s="11">
        <f t="shared" si="4"/>
        <v>0</v>
      </c>
      <c r="T292" s="11" t="e">
        <f>+VLOOKUP(M292,[1]Datos!$F:$H,3,FALSE)</f>
        <v>#N/A</v>
      </c>
      <c r="U292" s="11">
        <v>0</v>
      </c>
      <c r="V292" s="19"/>
    </row>
    <row r="293" spans="1:22">
      <c r="A293" s="11" t="s">
        <v>25</v>
      </c>
      <c r="D293" s="11" t="s">
        <v>27</v>
      </c>
      <c r="H293" s="14"/>
      <c r="I293" s="14"/>
      <c r="J293" s="15" t="e">
        <f>+VLOOKUP(K293,[1]Datos!$A:$C,3,FALSE)</f>
        <v>#N/A</v>
      </c>
      <c r="L293" s="15" t="e">
        <f>+VLOOKUP(K293,[1]Datos!$A:$C,2,FALSE)</f>
        <v>#N/A</v>
      </c>
      <c r="N293" s="17" t="e">
        <f>+VLOOKUP(M293,[1]Datos!$F:$G,2,FALSE)</f>
        <v>#N/A</v>
      </c>
      <c r="O293" s="18">
        <f>IFERROR(IF(A293="SI",VLOOKUP(R293,[1]Datos!$J$1:$K$50,2,FALSE)*C293,VLOOKUP(R293,[1]Datos!$P$1:$T$50,2,FALSE)*C293),0)</f>
        <v>0</v>
      </c>
      <c r="P293" s="30"/>
      <c r="Q293" s="17" t="e">
        <f>+VLOOKUP(P293,[1]Datos!$F:$G,2,FALSE)</f>
        <v>#N/A</v>
      </c>
      <c r="S293" s="11">
        <f t="shared" si="4"/>
        <v>0</v>
      </c>
      <c r="T293" s="11" t="e">
        <f>+VLOOKUP(M293,[1]Datos!$F:$H,3,FALSE)</f>
        <v>#N/A</v>
      </c>
      <c r="U293" s="11">
        <v>0</v>
      </c>
      <c r="V293" s="19"/>
    </row>
    <row r="294" spans="1:22">
      <c r="A294" s="11" t="s">
        <v>25</v>
      </c>
      <c r="D294" s="11" t="s">
        <v>27</v>
      </c>
      <c r="H294" s="14"/>
      <c r="I294" s="14"/>
      <c r="J294" s="15" t="e">
        <f>+VLOOKUP(K294,[1]Datos!$A:$C,3,FALSE)</f>
        <v>#N/A</v>
      </c>
      <c r="L294" s="15" t="e">
        <f>+VLOOKUP(K294,[1]Datos!$A:$C,2,FALSE)</f>
        <v>#N/A</v>
      </c>
      <c r="N294" s="17" t="e">
        <f>+VLOOKUP(M294,[1]Datos!$F:$G,2,FALSE)</f>
        <v>#N/A</v>
      </c>
      <c r="O294" s="18">
        <f>IFERROR(IF(A294="SI",VLOOKUP(R294,[1]Datos!$J$1:$K$50,2,FALSE)*C294,VLOOKUP(R294,[1]Datos!$P$1:$T$50,2,FALSE)*C294),0)</f>
        <v>0</v>
      </c>
      <c r="P294" s="30"/>
      <c r="Q294" s="17" t="e">
        <f>+VLOOKUP(P294,[1]Datos!$F:$G,2,FALSE)</f>
        <v>#N/A</v>
      </c>
      <c r="S294" s="11">
        <f t="shared" si="4"/>
        <v>0</v>
      </c>
      <c r="T294" s="11" t="e">
        <f>+VLOOKUP(M294,[1]Datos!$F:$H,3,FALSE)</f>
        <v>#N/A</v>
      </c>
      <c r="U294" s="11">
        <v>0</v>
      </c>
      <c r="V294" s="19"/>
    </row>
    <row r="295" spans="1:22">
      <c r="A295" s="11" t="s">
        <v>25</v>
      </c>
      <c r="D295" s="11" t="s">
        <v>27</v>
      </c>
      <c r="H295" s="14"/>
      <c r="I295" s="14"/>
      <c r="J295" s="15" t="e">
        <f>+VLOOKUP(K295,[1]Datos!$A:$C,3,FALSE)</f>
        <v>#N/A</v>
      </c>
      <c r="L295" s="15" t="e">
        <f>+VLOOKUP(K295,[1]Datos!$A:$C,2,FALSE)</f>
        <v>#N/A</v>
      </c>
      <c r="N295" s="17" t="e">
        <f>+VLOOKUP(M295,[1]Datos!$F:$G,2,FALSE)</f>
        <v>#N/A</v>
      </c>
      <c r="O295" s="18">
        <f>IFERROR(IF(A295="SI",VLOOKUP(R295,[1]Datos!$J$1:$K$50,2,FALSE)*C295,VLOOKUP(R295,[1]Datos!$P$1:$T$50,2,FALSE)*C295),0)</f>
        <v>0</v>
      </c>
      <c r="P295" s="30"/>
      <c r="Q295" s="17" t="e">
        <f>+VLOOKUP(P295,[1]Datos!$F:$G,2,FALSE)</f>
        <v>#N/A</v>
      </c>
      <c r="S295" s="11">
        <f t="shared" si="4"/>
        <v>0</v>
      </c>
      <c r="T295" s="11" t="e">
        <f>+VLOOKUP(M295,[1]Datos!$F:$H,3,FALSE)</f>
        <v>#N/A</v>
      </c>
      <c r="U295" s="11">
        <v>0</v>
      </c>
      <c r="V295" s="19"/>
    </row>
    <row r="296" spans="1:22">
      <c r="A296" s="11" t="s">
        <v>25</v>
      </c>
      <c r="D296" s="11" t="s">
        <v>27</v>
      </c>
      <c r="H296" s="14"/>
      <c r="I296" s="14"/>
      <c r="J296" s="15" t="e">
        <f>+VLOOKUP(K296,[1]Datos!$A:$C,3,FALSE)</f>
        <v>#N/A</v>
      </c>
      <c r="L296" s="15" t="e">
        <f>+VLOOKUP(K296,[1]Datos!$A:$C,2,FALSE)</f>
        <v>#N/A</v>
      </c>
      <c r="N296" s="17" t="e">
        <f>+VLOOKUP(M296,[1]Datos!$F:$G,2,FALSE)</f>
        <v>#N/A</v>
      </c>
      <c r="O296" s="18">
        <f>IFERROR(IF(A296="SI",VLOOKUP(R296,[1]Datos!$J$1:$K$50,2,FALSE)*C296,VLOOKUP(R296,[1]Datos!$P$1:$T$50,2,FALSE)*C296),0)</f>
        <v>0</v>
      </c>
      <c r="P296" s="30"/>
      <c r="Q296" s="17" t="e">
        <f>+VLOOKUP(P296,[1]Datos!$F:$G,2,FALSE)</f>
        <v>#N/A</v>
      </c>
      <c r="S296" s="11">
        <f t="shared" si="4"/>
        <v>0</v>
      </c>
      <c r="T296" s="11" t="e">
        <f>+VLOOKUP(M296,[1]Datos!$F:$H,3,FALSE)</f>
        <v>#N/A</v>
      </c>
      <c r="U296" s="11">
        <v>0</v>
      </c>
      <c r="V296" s="19"/>
    </row>
    <row r="297" spans="1:22">
      <c r="A297" s="11" t="s">
        <v>25</v>
      </c>
      <c r="D297" s="11" t="s">
        <v>27</v>
      </c>
      <c r="H297" s="14"/>
      <c r="I297" s="14"/>
      <c r="J297" s="15" t="e">
        <f>+VLOOKUP(K297,[1]Datos!$A:$C,3,FALSE)</f>
        <v>#N/A</v>
      </c>
      <c r="L297" s="15" t="e">
        <f>+VLOOKUP(K297,[1]Datos!$A:$C,2,FALSE)</f>
        <v>#N/A</v>
      </c>
      <c r="N297" s="17" t="e">
        <f>+VLOOKUP(M297,[1]Datos!$F:$G,2,FALSE)</f>
        <v>#N/A</v>
      </c>
      <c r="O297" s="18">
        <f>IFERROR(IF(A297="SI",VLOOKUP(R297,[1]Datos!$J$1:$K$50,2,FALSE)*C297,VLOOKUP(R297,[1]Datos!$P$1:$T$50,2,FALSE)*C297),0)</f>
        <v>0</v>
      </c>
      <c r="P297" s="30"/>
      <c r="Q297" s="17" t="e">
        <f>+VLOOKUP(P297,[1]Datos!$F:$G,2,FALSE)</f>
        <v>#N/A</v>
      </c>
      <c r="S297" s="11">
        <f t="shared" si="4"/>
        <v>0</v>
      </c>
      <c r="T297" s="11" t="e">
        <f>+VLOOKUP(M297,[1]Datos!$F:$H,3,FALSE)</f>
        <v>#N/A</v>
      </c>
      <c r="U297" s="11">
        <v>0</v>
      </c>
      <c r="V297" s="19"/>
    </row>
    <row r="298" spans="1:22">
      <c r="A298" s="11" t="s">
        <v>25</v>
      </c>
      <c r="D298" s="11" t="s">
        <v>27</v>
      </c>
      <c r="H298" s="14"/>
      <c r="I298" s="14"/>
      <c r="J298" s="15" t="e">
        <f>+VLOOKUP(K298,[1]Datos!$A:$C,3,FALSE)</f>
        <v>#N/A</v>
      </c>
      <c r="L298" s="15" t="e">
        <f>+VLOOKUP(K298,[1]Datos!$A:$C,2,FALSE)</f>
        <v>#N/A</v>
      </c>
      <c r="N298" s="17" t="e">
        <f>+VLOOKUP(M298,[1]Datos!$F:$G,2,FALSE)</f>
        <v>#N/A</v>
      </c>
      <c r="O298" s="18">
        <f>IFERROR(IF(A298="SI",VLOOKUP(R298,[1]Datos!$J$1:$K$50,2,FALSE)*C298,VLOOKUP(R298,[1]Datos!$P$1:$T$50,2,FALSE)*C298),0)</f>
        <v>0</v>
      </c>
      <c r="P298" s="30"/>
      <c r="Q298" s="17" t="e">
        <f>+VLOOKUP(P298,[1]Datos!$F:$G,2,FALSE)</f>
        <v>#N/A</v>
      </c>
      <c r="S298" s="11">
        <f t="shared" si="4"/>
        <v>0</v>
      </c>
      <c r="T298" s="11" t="e">
        <f>+VLOOKUP(M298,[1]Datos!$F:$H,3,FALSE)</f>
        <v>#N/A</v>
      </c>
      <c r="U298" s="11">
        <v>0</v>
      </c>
      <c r="V298" s="19"/>
    </row>
    <row r="299" spans="1:22">
      <c r="A299" s="11" t="s">
        <v>25</v>
      </c>
      <c r="D299" s="11" t="s">
        <v>27</v>
      </c>
      <c r="H299" s="14"/>
      <c r="I299" s="14"/>
      <c r="J299" s="15" t="e">
        <f>+VLOOKUP(K299,[1]Datos!$A:$C,3,FALSE)</f>
        <v>#N/A</v>
      </c>
      <c r="L299" s="15" t="e">
        <f>+VLOOKUP(K299,[1]Datos!$A:$C,2,FALSE)</f>
        <v>#N/A</v>
      </c>
      <c r="N299" s="17" t="e">
        <f>+VLOOKUP(M299,[1]Datos!$F:$G,2,FALSE)</f>
        <v>#N/A</v>
      </c>
      <c r="O299" s="18">
        <f>IFERROR(IF(A299="SI",VLOOKUP(R299,[1]Datos!$J$1:$K$50,2,FALSE)*C299,VLOOKUP(R299,[1]Datos!$P$1:$T$50,2,FALSE)*C299),0)</f>
        <v>0</v>
      </c>
      <c r="P299" s="30"/>
      <c r="Q299" s="17" t="e">
        <f>+VLOOKUP(P299,[1]Datos!$F:$G,2,FALSE)</f>
        <v>#N/A</v>
      </c>
      <c r="S299" s="11">
        <f t="shared" si="4"/>
        <v>0</v>
      </c>
      <c r="T299" s="11" t="e">
        <f>+VLOOKUP(M299,[1]Datos!$F:$H,3,FALSE)</f>
        <v>#N/A</v>
      </c>
      <c r="U299" s="11">
        <v>0</v>
      </c>
      <c r="V299" s="19"/>
    </row>
    <row r="300" spans="1:22">
      <c r="A300" s="11" t="s">
        <v>25</v>
      </c>
      <c r="D300" s="11" t="s">
        <v>27</v>
      </c>
      <c r="H300" s="14"/>
      <c r="I300" s="14"/>
      <c r="J300" s="15" t="e">
        <f>+VLOOKUP(K300,[1]Datos!$A:$C,3,FALSE)</f>
        <v>#N/A</v>
      </c>
      <c r="L300" s="15" t="e">
        <f>+VLOOKUP(K300,[1]Datos!$A:$C,2,FALSE)</f>
        <v>#N/A</v>
      </c>
      <c r="N300" s="17" t="e">
        <f>+VLOOKUP(M300,[1]Datos!$F:$G,2,FALSE)</f>
        <v>#N/A</v>
      </c>
      <c r="O300" s="18">
        <f>IFERROR(IF(A300="SI",VLOOKUP(R300,[1]Datos!$J$1:$K$50,2,FALSE)*C300,VLOOKUP(R300,[1]Datos!$P$1:$T$50,2,FALSE)*C300),0)</f>
        <v>0</v>
      </c>
      <c r="P300" s="30"/>
      <c r="Q300" s="17" t="e">
        <f>+VLOOKUP(P300,[1]Datos!$F:$G,2,FALSE)</f>
        <v>#N/A</v>
      </c>
      <c r="S300" s="11">
        <f t="shared" si="4"/>
        <v>0</v>
      </c>
      <c r="T300" s="11" t="e">
        <f>+VLOOKUP(M300,[1]Datos!$F:$H,3,FALSE)</f>
        <v>#N/A</v>
      </c>
      <c r="U300" s="11">
        <v>0</v>
      </c>
      <c r="V300" s="19"/>
    </row>
    <row r="301" spans="1:22">
      <c r="A301" s="11" t="s">
        <v>25</v>
      </c>
      <c r="D301" s="11" t="s">
        <v>27</v>
      </c>
      <c r="H301" s="14"/>
      <c r="I301" s="14"/>
      <c r="J301" s="15" t="e">
        <f>+VLOOKUP(K301,[1]Datos!$A:$C,3,FALSE)</f>
        <v>#N/A</v>
      </c>
      <c r="L301" s="15" t="e">
        <f>+VLOOKUP(K301,[1]Datos!$A:$C,2,FALSE)</f>
        <v>#N/A</v>
      </c>
      <c r="N301" s="17" t="e">
        <f>+VLOOKUP(M301,[1]Datos!$F:$G,2,FALSE)</f>
        <v>#N/A</v>
      </c>
      <c r="O301" s="18">
        <f>IFERROR(IF(A301="SI",VLOOKUP(R301,[1]Datos!$J$1:$K$50,2,FALSE)*C301,VLOOKUP(R301,[1]Datos!$P$1:$T$50,2,FALSE)*C301),0)</f>
        <v>0</v>
      </c>
      <c r="P301" s="30"/>
      <c r="Q301" s="17" t="e">
        <f>+VLOOKUP(P301,[1]Datos!$F:$G,2,FALSE)</f>
        <v>#N/A</v>
      </c>
      <c r="S301" s="11">
        <f t="shared" si="4"/>
        <v>0</v>
      </c>
      <c r="T301" s="11" t="e">
        <f>+VLOOKUP(M301,[1]Datos!$F:$H,3,FALSE)</f>
        <v>#N/A</v>
      </c>
      <c r="U301" s="11">
        <v>0</v>
      </c>
      <c r="V301" s="19"/>
    </row>
    <row r="302" spans="1:22">
      <c r="A302" s="11" t="s">
        <v>25</v>
      </c>
      <c r="D302" s="11" t="s">
        <v>27</v>
      </c>
      <c r="H302" s="14"/>
      <c r="I302" s="14"/>
      <c r="J302" s="15" t="e">
        <f>+VLOOKUP(K302,[1]Datos!$A:$C,3,FALSE)</f>
        <v>#N/A</v>
      </c>
      <c r="L302" s="15" t="e">
        <f>+VLOOKUP(K302,[1]Datos!$A:$C,2,FALSE)</f>
        <v>#N/A</v>
      </c>
      <c r="N302" s="17" t="e">
        <f>+VLOOKUP(M302,[1]Datos!$F:$G,2,FALSE)</f>
        <v>#N/A</v>
      </c>
      <c r="O302" s="18">
        <f>IFERROR(IF(A302="SI",VLOOKUP(R302,[1]Datos!$J$1:$K$50,2,FALSE)*C302,VLOOKUP(R302,[1]Datos!$P$1:$T$50,2,FALSE)*C302),0)</f>
        <v>0</v>
      </c>
      <c r="P302" s="30"/>
      <c r="Q302" s="17" t="e">
        <f>+VLOOKUP(P302,[1]Datos!$F:$G,2,FALSE)</f>
        <v>#N/A</v>
      </c>
      <c r="S302" s="11">
        <f t="shared" si="4"/>
        <v>0</v>
      </c>
      <c r="T302" s="11" t="e">
        <f>+VLOOKUP(M302,[1]Datos!$F:$H,3,FALSE)</f>
        <v>#N/A</v>
      </c>
      <c r="U302" s="11">
        <v>0</v>
      </c>
      <c r="V302" s="19"/>
    </row>
    <row r="303" spans="1:22">
      <c r="A303" s="11" t="s">
        <v>25</v>
      </c>
      <c r="D303" s="11" t="s">
        <v>27</v>
      </c>
      <c r="H303" s="14"/>
      <c r="I303" s="14"/>
      <c r="J303" s="15" t="e">
        <f>+VLOOKUP(K303,[1]Datos!$A:$C,3,FALSE)</f>
        <v>#N/A</v>
      </c>
      <c r="L303" s="15" t="e">
        <f>+VLOOKUP(K303,[1]Datos!$A:$C,2,FALSE)</f>
        <v>#N/A</v>
      </c>
      <c r="N303" s="17" t="e">
        <f>+VLOOKUP(M303,[1]Datos!$F:$G,2,FALSE)</f>
        <v>#N/A</v>
      </c>
      <c r="O303" s="18">
        <f>IFERROR(IF(A303="SI",VLOOKUP(R303,[1]Datos!$J$1:$K$50,2,FALSE)*C303,VLOOKUP(R303,[1]Datos!$P$1:$T$50,2,FALSE)*C303),0)</f>
        <v>0</v>
      </c>
      <c r="P303" s="30"/>
      <c r="Q303" s="17" t="e">
        <f>+VLOOKUP(P303,[1]Datos!$F:$G,2,FALSE)</f>
        <v>#N/A</v>
      </c>
      <c r="S303" s="11">
        <f t="shared" si="4"/>
        <v>0</v>
      </c>
      <c r="T303" s="11" t="e">
        <f>+VLOOKUP(M303,[1]Datos!$F:$H,3,FALSE)</f>
        <v>#N/A</v>
      </c>
      <c r="U303" s="11">
        <v>0</v>
      </c>
      <c r="V303" s="19"/>
    </row>
    <row r="304" spans="1:22">
      <c r="A304" s="11" t="s">
        <v>25</v>
      </c>
      <c r="D304" s="11" t="s">
        <v>27</v>
      </c>
      <c r="H304" s="14"/>
      <c r="I304" s="14"/>
      <c r="J304" s="15" t="e">
        <f>+VLOOKUP(K304,[1]Datos!$A:$C,3,FALSE)</f>
        <v>#N/A</v>
      </c>
      <c r="L304" s="15" t="e">
        <f>+VLOOKUP(K304,[1]Datos!$A:$C,2,FALSE)</f>
        <v>#N/A</v>
      </c>
      <c r="N304" s="17" t="e">
        <f>+VLOOKUP(M304,[1]Datos!$F:$G,2,FALSE)</f>
        <v>#N/A</v>
      </c>
      <c r="O304" s="18">
        <f>IFERROR(IF(A304="SI",VLOOKUP(R304,[1]Datos!$J$1:$K$50,2,FALSE)*C304,VLOOKUP(R304,[1]Datos!$P$1:$T$50,2,FALSE)*C304),0)</f>
        <v>0</v>
      </c>
      <c r="P304" s="30"/>
      <c r="Q304" s="17" t="e">
        <f>+VLOOKUP(P304,[1]Datos!$F:$G,2,FALSE)</f>
        <v>#N/A</v>
      </c>
      <c r="S304" s="11">
        <f t="shared" si="4"/>
        <v>0</v>
      </c>
      <c r="T304" s="11" t="e">
        <f>+VLOOKUP(M304,[1]Datos!$F:$H,3,FALSE)</f>
        <v>#N/A</v>
      </c>
      <c r="U304" s="11">
        <v>0</v>
      </c>
      <c r="V304" s="19"/>
    </row>
    <row r="305" spans="1:22">
      <c r="A305" s="11" t="s">
        <v>25</v>
      </c>
      <c r="D305" s="11" t="s">
        <v>27</v>
      </c>
      <c r="H305" s="14"/>
      <c r="I305" s="14"/>
      <c r="J305" s="15" t="e">
        <f>+VLOOKUP(K305,[1]Datos!$A:$C,3,FALSE)</f>
        <v>#N/A</v>
      </c>
      <c r="L305" s="15" t="e">
        <f>+VLOOKUP(K305,[1]Datos!$A:$C,2,FALSE)</f>
        <v>#N/A</v>
      </c>
      <c r="N305" s="17" t="e">
        <f>+VLOOKUP(M305,[1]Datos!$F:$G,2,FALSE)</f>
        <v>#N/A</v>
      </c>
      <c r="O305" s="18">
        <f>IFERROR(IF(A305="SI",VLOOKUP(R305,[1]Datos!$J$1:$K$50,2,FALSE)*C305,VLOOKUP(R305,[1]Datos!$P$1:$T$50,2,FALSE)*C305),0)</f>
        <v>0</v>
      </c>
      <c r="P305" s="30"/>
      <c r="Q305" s="17" t="e">
        <f>+VLOOKUP(P305,[1]Datos!$F:$G,2,FALSE)</f>
        <v>#N/A</v>
      </c>
      <c r="S305" s="11">
        <f t="shared" si="4"/>
        <v>0</v>
      </c>
      <c r="T305" s="11" t="e">
        <f>+VLOOKUP(M305,[1]Datos!$F:$H,3,FALSE)</f>
        <v>#N/A</v>
      </c>
      <c r="U305" s="11">
        <v>0</v>
      </c>
      <c r="V305" s="19"/>
    </row>
    <row r="306" spans="1:22">
      <c r="A306" s="11" t="s">
        <v>25</v>
      </c>
      <c r="D306" s="11" t="s">
        <v>27</v>
      </c>
      <c r="H306" s="14"/>
      <c r="I306" s="14"/>
      <c r="J306" s="15" t="e">
        <f>+VLOOKUP(K306,[1]Datos!$A:$C,3,FALSE)</f>
        <v>#N/A</v>
      </c>
      <c r="L306" s="15" t="e">
        <f>+VLOOKUP(K306,[1]Datos!$A:$C,2,FALSE)</f>
        <v>#N/A</v>
      </c>
      <c r="N306" s="17" t="e">
        <f>+VLOOKUP(M306,[1]Datos!$F:$G,2,FALSE)</f>
        <v>#N/A</v>
      </c>
      <c r="O306" s="18">
        <f>IFERROR(IF(A306="SI",VLOOKUP(R306,[1]Datos!$J$1:$K$50,2,FALSE)*C306,VLOOKUP(R306,[1]Datos!$P$1:$T$50,2,FALSE)*C306),0)</f>
        <v>0</v>
      </c>
      <c r="P306" s="30"/>
      <c r="Q306" s="17" t="e">
        <f>+VLOOKUP(P306,[1]Datos!$F:$G,2,FALSE)</f>
        <v>#N/A</v>
      </c>
      <c r="S306" s="11">
        <f t="shared" si="4"/>
        <v>0</v>
      </c>
      <c r="T306" s="11" t="e">
        <f>+VLOOKUP(M306,[1]Datos!$F:$H,3,FALSE)</f>
        <v>#N/A</v>
      </c>
      <c r="U306" s="11">
        <v>0</v>
      </c>
      <c r="V306" s="19"/>
    </row>
    <row r="307" spans="1:22">
      <c r="A307" s="11" t="s">
        <v>25</v>
      </c>
      <c r="D307" s="11" t="s">
        <v>27</v>
      </c>
      <c r="H307" s="14"/>
      <c r="I307" s="14"/>
      <c r="J307" s="15" t="e">
        <f>+VLOOKUP(K307,[1]Datos!$A:$C,3,FALSE)</f>
        <v>#N/A</v>
      </c>
      <c r="L307" s="15" t="e">
        <f>+VLOOKUP(K307,[1]Datos!$A:$C,2,FALSE)</f>
        <v>#N/A</v>
      </c>
      <c r="N307" s="17" t="e">
        <f>+VLOOKUP(M307,[1]Datos!$F:$G,2,FALSE)</f>
        <v>#N/A</v>
      </c>
      <c r="O307" s="18">
        <f>IFERROR(IF(A307="SI",VLOOKUP(R307,[1]Datos!$J$1:$K$50,2,FALSE)*C307,VLOOKUP(R307,[1]Datos!$P$1:$T$50,2,FALSE)*C307),0)</f>
        <v>0</v>
      </c>
      <c r="P307" s="30"/>
      <c r="Q307" s="17" t="e">
        <f>+VLOOKUP(P307,[1]Datos!$F:$G,2,FALSE)</f>
        <v>#N/A</v>
      </c>
      <c r="S307" s="11">
        <f t="shared" si="4"/>
        <v>0</v>
      </c>
      <c r="T307" s="11" t="e">
        <f>+VLOOKUP(M307,[1]Datos!$F:$H,3,FALSE)</f>
        <v>#N/A</v>
      </c>
      <c r="U307" s="11">
        <v>0</v>
      </c>
      <c r="V307" s="19"/>
    </row>
    <row r="308" spans="1:22">
      <c r="A308" s="11" t="s">
        <v>25</v>
      </c>
      <c r="D308" s="11" t="s">
        <v>27</v>
      </c>
      <c r="H308" s="14"/>
      <c r="I308" s="14"/>
      <c r="J308" s="15" t="e">
        <f>+VLOOKUP(K308,[1]Datos!$A:$C,3,FALSE)</f>
        <v>#N/A</v>
      </c>
      <c r="L308" s="15" t="e">
        <f>+VLOOKUP(K308,[1]Datos!$A:$C,2,FALSE)</f>
        <v>#N/A</v>
      </c>
      <c r="N308" s="17" t="e">
        <f>+VLOOKUP(M308,[1]Datos!$F:$G,2,FALSE)</f>
        <v>#N/A</v>
      </c>
      <c r="O308" s="18">
        <f>IFERROR(IF(A308="SI",VLOOKUP(R308,[1]Datos!$J$1:$K$50,2,FALSE)*C308,VLOOKUP(R308,[1]Datos!$P$1:$T$50,2,FALSE)*C308),0)</f>
        <v>0</v>
      </c>
      <c r="P308" s="30"/>
      <c r="Q308" s="17" t="e">
        <f>+VLOOKUP(P308,[1]Datos!$F:$G,2,FALSE)</f>
        <v>#N/A</v>
      </c>
      <c r="S308" s="11">
        <f t="shared" si="4"/>
        <v>0</v>
      </c>
      <c r="T308" s="11" t="e">
        <f>+VLOOKUP(M308,[1]Datos!$F:$H,3,FALSE)</f>
        <v>#N/A</v>
      </c>
      <c r="U308" s="11">
        <v>0</v>
      </c>
      <c r="V308" s="19"/>
    </row>
    <row r="309" spans="1:22">
      <c r="A309" s="11" t="s">
        <v>25</v>
      </c>
      <c r="D309" s="11" t="s">
        <v>27</v>
      </c>
      <c r="H309" s="14"/>
      <c r="I309" s="14"/>
      <c r="J309" s="15" t="e">
        <f>+VLOOKUP(K309,[1]Datos!$A:$C,3,FALSE)</f>
        <v>#N/A</v>
      </c>
      <c r="L309" s="15" t="e">
        <f>+VLOOKUP(K309,[1]Datos!$A:$C,2,FALSE)</f>
        <v>#N/A</v>
      </c>
      <c r="N309" s="17" t="e">
        <f>+VLOOKUP(M309,[1]Datos!$F:$G,2,FALSE)</f>
        <v>#N/A</v>
      </c>
      <c r="O309" s="18">
        <f>IFERROR(IF(A309="SI",VLOOKUP(R309,[1]Datos!$J$1:$K$50,2,FALSE)*C309,VLOOKUP(R309,[1]Datos!$P$1:$T$50,2,FALSE)*C309),0)</f>
        <v>0</v>
      </c>
      <c r="P309" s="30"/>
      <c r="Q309" s="17" t="e">
        <f>+VLOOKUP(P309,[1]Datos!$F:$G,2,FALSE)</f>
        <v>#N/A</v>
      </c>
      <c r="S309" s="11">
        <f t="shared" si="4"/>
        <v>0</v>
      </c>
      <c r="T309" s="11" t="e">
        <f>+VLOOKUP(M309,[1]Datos!$F:$H,3,FALSE)</f>
        <v>#N/A</v>
      </c>
      <c r="U309" s="11">
        <v>0</v>
      </c>
      <c r="V309" s="19"/>
    </row>
    <row r="310" spans="1:22">
      <c r="A310" s="11" t="s">
        <v>25</v>
      </c>
      <c r="D310" s="11" t="s">
        <v>27</v>
      </c>
      <c r="H310" s="14"/>
      <c r="I310" s="14"/>
      <c r="J310" s="15" t="e">
        <f>+VLOOKUP(K310,[1]Datos!$A:$C,3,FALSE)</f>
        <v>#N/A</v>
      </c>
      <c r="L310" s="15" t="e">
        <f>+VLOOKUP(K310,[1]Datos!$A:$C,2,FALSE)</f>
        <v>#N/A</v>
      </c>
      <c r="N310" s="17" t="e">
        <f>+VLOOKUP(M310,[1]Datos!$F:$G,2,FALSE)</f>
        <v>#N/A</v>
      </c>
      <c r="O310" s="18">
        <f>IFERROR(IF(A310="SI",VLOOKUP(R310,[1]Datos!$J$1:$K$50,2,FALSE)*C310,VLOOKUP(R310,[1]Datos!$P$1:$T$50,2,FALSE)*C310),0)</f>
        <v>0</v>
      </c>
      <c r="P310" s="30"/>
      <c r="Q310" s="17" t="e">
        <f>+VLOOKUP(P310,[1]Datos!$F:$G,2,FALSE)</f>
        <v>#N/A</v>
      </c>
      <c r="S310" s="11">
        <f t="shared" si="4"/>
        <v>0</v>
      </c>
      <c r="T310" s="11" t="e">
        <f>+VLOOKUP(M310,[1]Datos!$F:$H,3,FALSE)</f>
        <v>#N/A</v>
      </c>
      <c r="U310" s="11">
        <v>0</v>
      </c>
      <c r="V310" s="19"/>
    </row>
    <row r="311" spans="1:22">
      <c r="A311" s="11" t="s">
        <v>25</v>
      </c>
      <c r="D311" s="11" t="s">
        <v>27</v>
      </c>
      <c r="H311" s="14"/>
      <c r="I311" s="14"/>
      <c r="J311" s="15" t="e">
        <f>+VLOOKUP(K311,[1]Datos!$A:$C,3,FALSE)</f>
        <v>#N/A</v>
      </c>
      <c r="L311" s="15" t="e">
        <f>+VLOOKUP(K311,[1]Datos!$A:$C,2,FALSE)</f>
        <v>#N/A</v>
      </c>
      <c r="N311" s="17" t="e">
        <f>+VLOOKUP(M311,[1]Datos!$F:$G,2,FALSE)</f>
        <v>#N/A</v>
      </c>
      <c r="O311" s="18">
        <f>IFERROR(IF(A311="SI",VLOOKUP(R311,[1]Datos!$J$1:$K$50,2,FALSE)*C311,VLOOKUP(R311,[1]Datos!$P$1:$T$50,2,FALSE)*C311),0)</f>
        <v>0</v>
      </c>
      <c r="P311" s="30"/>
      <c r="Q311" s="17" t="e">
        <f>+VLOOKUP(P311,[1]Datos!$F:$G,2,FALSE)</f>
        <v>#N/A</v>
      </c>
      <c r="S311" s="11">
        <f t="shared" si="4"/>
        <v>0</v>
      </c>
      <c r="T311" s="11" t="e">
        <f>+VLOOKUP(M311,[1]Datos!$F:$H,3,FALSE)</f>
        <v>#N/A</v>
      </c>
      <c r="U311" s="11">
        <v>0</v>
      </c>
      <c r="V311" s="19"/>
    </row>
    <row r="312" spans="1:22">
      <c r="A312" s="11" t="s">
        <v>25</v>
      </c>
      <c r="D312" s="11" t="s">
        <v>27</v>
      </c>
      <c r="H312" s="14"/>
      <c r="I312" s="14"/>
      <c r="J312" s="15" t="e">
        <f>+VLOOKUP(K312,[1]Datos!$A:$C,3,FALSE)</f>
        <v>#N/A</v>
      </c>
      <c r="L312" s="15" t="e">
        <f>+VLOOKUP(K312,[1]Datos!$A:$C,2,FALSE)</f>
        <v>#N/A</v>
      </c>
      <c r="N312" s="17" t="e">
        <f>+VLOOKUP(M312,[1]Datos!$F:$G,2,FALSE)</f>
        <v>#N/A</v>
      </c>
      <c r="O312" s="18">
        <f>IFERROR(IF(A312="SI",VLOOKUP(R312,[1]Datos!$J$1:$K$50,2,FALSE)*C312,VLOOKUP(R312,[1]Datos!$P$1:$T$50,2,FALSE)*C312),0)</f>
        <v>0</v>
      </c>
      <c r="P312" s="30"/>
      <c r="Q312" s="17" t="e">
        <f>+VLOOKUP(P312,[1]Datos!$F:$G,2,FALSE)</f>
        <v>#N/A</v>
      </c>
      <c r="S312" s="11">
        <f t="shared" si="4"/>
        <v>0</v>
      </c>
      <c r="T312" s="11" t="e">
        <f>+VLOOKUP(M312,[1]Datos!$F:$H,3,FALSE)</f>
        <v>#N/A</v>
      </c>
      <c r="U312" s="11">
        <v>0</v>
      </c>
      <c r="V312" s="19"/>
    </row>
    <row r="313" spans="1:22">
      <c r="A313" s="11" t="s">
        <v>25</v>
      </c>
      <c r="D313" s="11" t="s">
        <v>27</v>
      </c>
      <c r="H313" s="14"/>
      <c r="I313" s="14"/>
      <c r="J313" s="15" t="e">
        <f>+VLOOKUP(K313,[1]Datos!$A:$C,3,FALSE)</f>
        <v>#N/A</v>
      </c>
      <c r="L313" s="15" t="e">
        <f>+VLOOKUP(K313,[1]Datos!$A:$C,2,FALSE)</f>
        <v>#N/A</v>
      </c>
      <c r="N313" s="17" t="e">
        <f>+VLOOKUP(M313,[1]Datos!$F:$G,2,FALSE)</f>
        <v>#N/A</v>
      </c>
      <c r="O313" s="18">
        <f>IFERROR(IF(A313="SI",VLOOKUP(R313,[1]Datos!$J$1:$K$50,2,FALSE)*C313,VLOOKUP(R313,[1]Datos!$P$1:$T$50,2,FALSE)*C313),0)</f>
        <v>0</v>
      </c>
      <c r="P313" s="30"/>
      <c r="Q313" s="17" t="e">
        <f>+VLOOKUP(P313,[1]Datos!$F:$G,2,FALSE)</f>
        <v>#N/A</v>
      </c>
      <c r="S313" s="11">
        <f t="shared" si="4"/>
        <v>0</v>
      </c>
      <c r="T313" s="11" t="e">
        <f>+VLOOKUP(M313,[1]Datos!$F:$H,3,FALSE)</f>
        <v>#N/A</v>
      </c>
      <c r="U313" s="11">
        <v>0</v>
      </c>
      <c r="V313" s="19"/>
    </row>
    <row r="314" spans="1:22">
      <c r="A314" s="11" t="s">
        <v>25</v>
      </c>
      <c r="D314" s="11" t="s">
        <v>27</v>
      </c>
      <c r="H314" s="14"/>
      <c r="I314" s="14"/>
      <c r="J314" s="15" t="e">
        <f>+VLOOKUP(K314,[1]Datos!$A:$C,3,FALSE)</f>
        <v>#N/A</v>
      </c>
      <c r="L314" s="15" t="e">
        <f>+VLOOKUP(K314,[1]Datos!$A:$C,2,FALSE)</f>
        <v>#N/A</v>
      </c>
      <c r="N314" s="17" t="e">
        <f>+VLOOKUP(M314,[1]Datos!$F:$G,2,FALSE)</f>
        <v>#N/A</v>
      </c>
      <c r="O314" s="18">
        <f>IFERROR(IF(A314="SI",VLOOKUP(R314,[1]Datos!$J$1:$K$50,2,FALSE)*C314,VLOOKUP(R314,[1]Datos!$P$1:$T$50,2,FALSE)*C314),0)</f>
        <v>0</v>
      </c>
      <c r="P314" s="30"/>
      <c r="Q314" s="17" t="e">
        <f>+VLOOKUP(P314,[1]Datos!$F:$G,2,FALSE)</f>
        <v>#N/A</v>
      </c>
      <c r="S314" s="11">
        <f t="shared" si="4"/>
        <v>0</v>
      </c>
      <c r="T314" s="11" t="e">
        <f>+VLOOKUP(M314,[1]Datos!$F:$H,3,FALSE)</f>
        <v>#N/A</v>
      </c>
      <c r="U314" s="11">
        <v>0</v>
      </c>
      <c r="V314" s="19"/>
    </row>
    <row r="315" spans="1:22">
      <c r="A315" s="11" t="s">
        <v>25</v>
      </c>
      <c r="D315" s="11" t="s">
        <v>27</v>
      </c>
      <c r="H315" s="14"/>
      <c r="I315" s="14"/>
      <c r="J315" s="15" t="e">
        <f>+VLOOKUP(K315,[1]Datos!$A:$C,3,FALSE)</f>
        <v>#N/A</v>
      </c>
      <c r="L315" s="15" t="e">
        <f>+VLOOKUP(K315,[1]Datos!$A:$C,2,FALSE)</f>
        <v>#N/A</v>
      </c>
      <c r="N315" s="17" t="e">
        <f>+VLOOKUP(M315,[1]Datos!$F:$G,2,FALSE)</f>
        <v>#N/A</v>
      </c>
      <c r="O315" s="18">
        <f>IFERROR(IF(A315="SI",VLOOKUP(R315,[1]Datos!$J$1:$K$50,2,FALSE)*C315,VLOOKUP(R315,[1]Datos!$P$1:$T$50,2,FALSE)*C315),0)</f>
        <v>0</v>
      </c>
      <c r="P315" s="30"/>
      <c r="Q315" s="17" t="e">
        <f>+VLOOKUP(P315,[1]Datos!$F:$G,2,FALSE)</f>
        <v>#N/A</v>
      </c>
      <c r="S315" s="11">
        <f t="shared" si="4"/>
        <v>0</v>
      </c>
      <c r="T315" s="11" t="e">
        <f>+VLOOKUP(M315,[1]Datos!$F:$H,3,FALSE)</f>
        <v>#N/A</v>
      </c>
      <c r="U315" s="11">
        <v>0</v>
      </c>
      <c r="V315" s="19"/>
    </row>
    <row r="316" spans="1:22">
      <c r="A316" s="11" t="s">
        <v>25</v>
      </c>
      <c r="D316" s="11" t="s">
        <v>27</v>
      </c>
      <c r="H316" s="14"/>
      <c r="I316" s="14"/>
      <c r="J316" s="15" t="e">
        <f>+VLOOKUP(K316,[1]Datos!$A:$C,3,FALSE)</f>
        <v>#N/A</v>
      </c>
      <c r="L316" s="15" t="e">
        <f>+VLOOKUP(K316,[1]Datos!$A:$C,2,FALSE)</f>
        <v>#N/A</v>
      </c>
      <c r="N316" s="17" t="e">
        <f>+VLOOKUP(M316,[1]Datos!$F:$G,2,FALSE)</f>
        <v>#N/A</v>
      </c>
      <c r="O316" s="18">
        <f>IFERROR(IF(A316="SI",VLOOKUP(R316,[1]Datos!$J$1:$K$50,2,FALSE)*C316,VLOOKUP(R316,[1]Datos!$P$1:$T$50,2,FALSE)*C316),0)</f>
        <v>0</v>
      </c>
      <c r="P316" s="30"/>
      <c r="Q316" s="17" t="e">
        <f>+VLOOKUP(P316,[1]Datos!$F:$G,2,FALSE)</f>
        <v>#N/A</v>
      </c>
      <c r="S316" s="11">
        <f t="shared" si="4"/>
        <v>0</v>
      </c>
      <c r="T316" s="11" t="e">
        <f>+VLOOKUP(M316,[1]Datos!$F:$H,3,FALSE)</f>
        <v>#N/A</v>
      </c>
      <c r="U316" s="11">
        <v>0</v>
      </c>
      <c r="V316" s="19"/>
    </row>
    <row r="317" spans="1:22">
      <c r="A317" s="11" t="s">
        <v>25</v>
      </c>
      <c r="D317" s="11" t="s">
        <v>27</v>
      </c>
      <c r="H317" s="14"/>
      <c r="I317" s="14"/>
      <c r="J317" s="15" t="e">
        <f>+VLOOKUP(K317,[1]Datos!$A:$C,3,FALSE)</f>
        <v>#N/A</v>
      </c>
      <c r="L317" s="15" t="e">
        <f>+VLOOKUP(K317,[1]Datos!$A:$C,2,FALSE)</f>
        <v>#N/A</v>
      </c>
      <c r="N317" s="17" t="e">
        <f>+VLOOKUP(M317,[1]Datos!$F:$G,2,FALSE)</f>
        <v>#N/A</v>
      </c>
      <c r="O317" s="18">
        <f>IFERROR(IF(A317="SI",VLOOKUP(R317,[1]Datos!$J$1:$K$50,2,FALSE)*C317,VLOOKUP(R317,[1]Datos!$P$1:$T$50,2,FALSE)*C317),0)</f>
        <v>0</v>
      </c>
      <c r="P317" s="30"/>
      <c r="Q317" s="17" t="e">
        <f>+VLOOKUP(P317,[1]Datos!$F:$G,2,FALSE)</f>
        <v>#N/A</v>
      </c>
      <c r="S317" s="11">
        <f t="shared" si="4"/>
        <v>0</v>
      </c>
      <c r="T317" s="11" t="e">
        <f>+VLOOKUP(M317,[1]Datos!$F:$H,3,FALSE)</f>
        <v>#N/A</v>
      </c>
      <c r="U317" s="11">
        <v>0</v>
      </c>
      <c r="V317" s="19"/>
    </row>
    <row r="318" spans="1:22">
      <c r="A318" s="11" t="s">
        <v>25</v>
      </c>
      <c r="D318" s="11" t="s">
        <v>27</v>
      </c>
      <c r="H318" s="14"/>
      <c r="I318" s="14"/>
      <c r="J318" s="15" t="e">
        <f>+VLOOKUP(K318,[1]Datos!$A:$C,3,FALSE)</f>
        <v>#N/A</v>
      </c>
      <c r="L318" s="15" t="e">
        <f>+VLOOKUP(K318,[1]Datos!$A:$C,2,FALSE)</f>
        <v>#N/A</v>
      </c>
      <c r="N318" s="17" t="e">
        <f>+VLOOKUP(M318,[1]Datos!$F:$G,2,FALSE)</f>
        <v>#N/A</v>
      </c>
      <c r="O318" s="18">
        <f>IFERROR(IF(A318="SI",VLOOKUP(R318,[1]Datos!$J$1:$K$50,2,FALSE)*C318,VLOOKUP(R318,[1]Datos!$P$1:$T$50,2,FALSE)*C318),0)</f>
        <v>0</v>
      </c>
      <c r="P318" s="30"/>
      <c r="Q318" s="17" t="e">
        <f>+VLOOKUP(P318,[1]Datos!$F:$G,2,FALSE)</f>
        <v>#N/A</v>
      </c>
      <c r="S318" s="11">
        <f t="shared" si="4"/>
        <v>0</v>
      </c>
      <c r="T318" s="11" t="e">
        <f>+VLOOKUP(M318,[1]Datos!$F:$H,3,FALSE)</f>
        <v>#N/A</v>
      </c>
      <c r="U318" s="11">
        <v>0</v>
      </c>
      <c r="V318" s="19"/>
    </row>
    <row r="319" spans="1:22">
      <c r="A319" s="11" t="s">
        <v>25</v>
      </c>
      <c r="D319" s="11" t="s">
        <v>27</v>
      </c>
      <c r="H319" s="14"/>
      <c r="I319" s="14"/>
      <c r="J319" s="15" t="e">
        <f>+VLOOKUP(K319,[1]Datos!$A:$C,3,FALSE)</f>
        <v>#N/A</v>
      </c>
      <c r="L319" s="15" t="e">
        <f>+VLOOKUP(K319,[1]Datos!$A:$C,2,FALSE)</f>
        <v>#N/A</v>
      </c>
      <c r="N319" s="17" t="e">
        <f>+VLOOKUP(M319,[1]Datos!$F:$G,2,FALSE)</f>
        <v>#N/A</v>
      </c>
      <c r="O319" s="18">
        <f>IFERROR(IF(A319="SI",VLOOKUP(R319,[1]Datos!$J$1:$K$50,2,FALSE)*C319,VLOOKUP(R319,[1]Datos!$P$1:$T$50,2,FALSE)*C319),0)</f>
        <v>0</v>
      </c>
      <c r="P319" s="30"/>
      <c r="Q319" s="17" t="e">
        <f>+VLOOKUP(P319,[1]Datos!$F:$G,2,FALSE)</f>
        <v>#N/A</v>
      </c>
      <c r="S319" s="11">
        <f t="shared" si="4"/>
        <v>0</v>
      </c>
      <c r="T319" s="11" t="e">
        <f>+VLOOKUP(M319,[1]Datos!$F:$H,3,FALSE)</f>
        <v>#N/A</v>
      </c>
      <c r="U319" s="11">
        <v>0</v>
      </c>
      <c r="V319" s="19"/>
    </row>
    <row r="320" spans="1:22">
      <c r="A320" s="11" t="s">
        <v>25</v>
      </c>
      <c r="D320" s="11" t="s">
        <v>27</v>
      </c>
      <c r="H320" s="14"/>
      <c r="I320" s="14"/>
      <c r="J320" s="15" t="e">
        <f>+VLOOKUP(K320,[1]Datos!$A:$C,3,FALSE)</f>
        <v>#N/A</v>
      </c>
      <c r="L320" s="15" t="e">
        <f>+VLOOKUP(K320,[1]Datos!$A:$C,2,FALSE)</f>
        <v>#N/A</v>
      </c>
      <c r="N320" s="17" t="e">
        <f>+VLOOKUP(M320,[1]Datos!$F:$G,2,FALSE)</f>
        <v>#N/A</v>
      </c>
      <c r="O320" s="18">
        <f>IFERROR(IF(A320="SI",VLOOKUP(R320,[1]Datos!$J$1:$K$50,2,FALSE)*C320,VLOOKUP(R320,[1]Datos!$P$1:$T$50,2,FALSE)*C320),0)</f>
        <v>0</v>
      </c>
      <c r="P320" s="30"/>
      <c r="Q320" s="17" t="e">
        <f>+VLOOKUP(P320,[1]Datos!$F:$G,2,FALSE)</f>
        <v>#N/A</v>
      </c>
      <c r="S320" s="11">
        <f t="shared" si="4"/>
        <v>0</v>
      </c>
      <c r="T320" s="11" t="e">
        <f>+VLOOKUP(M320,[1]Datos!$F:$H,3,FALSE)</f>
        <v>#N/A</v>
      </c>
      <c r="U320" s="11">
        <v>0</v>
      </c>
      <c r="V320" s="19"/>
    </row>
    <row r="321" spans="1:22">
      <c r="A321" s="11" t="s">
        <v>25</v>
      </c>
      <c r="D321" s="11" t="s">
        <v>27</v>
      </c>
      <c r="H321" s="14"/>
      <c r="I321" s="14"/>
      <c r="J321" s="15" t="e">
        <f>+VLOOKUP(K321,[1]Datos!$A:$C,3,FALSE)</f>
        <v>#N/A</v>
      </c>
      <c r="L321" s="15" t="e">
        <f>+VLOOKUP(K321,[1]Datos!$A:$C,2,FALSE)</f>
        <v>#N/A</v>
      </c>
      <c r="N321" s="17" t="e">
        <f>+VLOOKUP(M321,[1]Datos!$F:$G,2,FALSE)</f>
        <v>#N/A</v>
      </c>
      <c r="O321" s="18">
        <f>IFERROR(IF(A321="SI",VLOOKUP(R321,[1]Datos!$J$1:$K$50,2,FALSE)*C321,VLOOKUP(R321,[1]Datos!$P$1:$T$50,2,FALSE)*C321),0)</f>
        <v>0</v>
      </c>
      <c r="P321" s="30"/>
      <c r="Q321" s="17" t="e">
        <f>+VLOOKUP(P321,[1]Datos!$F:$G,2,FALSE)</f>
        <v>#N/A</v>
      </c>
      <c r="S321" s="11">
        <f t="shared" si="4"/>
        <v>0</v>
      </c>
      <c r="T321" s="11" t="e">
        <f>+VLOOKUP(M321,[1]Datos!$F:$H,3,FALSE)</f>
        <v>#N/A</v>
      </c>
      <c r="U321" s="11">
        <v>0</v>
      </c>
      <c r="V321" s="19"/>
    </row>
    <row r="322" spans="1:22">
      <c r="A322" s="11" t="s">
        <v>25</v>
      </c>
      <c r="D322" s="11" t="s">
        <v>27</v>
      </c>
      <c r="H322" s="14"/>
      <c r="I322" s="14"/>
      <c r="J322" s="15" t="e">
        <f>+VLOOKUP(K322,[1]Datos!$A:$C,3,FALSE)</f>
        <v>#N/A</v>
      </c>
      <c r="L322" s="15" t="e">
        <f>+VLOOKUP(K322,[1]Datos!$A:$C,2,FALSE)</f>
        <v>#N/A</v>
      </c>
      <c r="N322" s="17" t="e">
        <f>+VLOOKUP(M322,[1]Datos!$F:$G,2,FALSE)</f>
        <v>#N/A</v>
      </c>
      <c r="O322" s="18">
        <f>IFERROR(IF(A322="SI",VLOOKUP(R322,[1]Datos!$J$1:$K$50,2,FALSE)*C322,VLOOKUP(R322,[1]Datos!$P$1:$T$50,2,FALSE)*C322),0)</f>
        <v>0</v>
      </c>
      <c r="P322" s="30"/>
      <c r="Q322" s="17" t="e">
        <f>+VLOOKUP(P322,[1]Datos!$F:$G,2,FALSE)</f>
        <v>#N/A</v>
      </c>
      <c r="S322" s="11">
        <f t="shared" si="4"/>
        <v>0</v>
      </c>
      <c r="T322" s="11" t="e">
        <f>+VLOOKUP(M322,[1]Datos!$F:$H,3,FALSE)</f>
        <v>#N/A</v>
      </c>
      <c r="U322" s="11">
        <v>0</v>
      </c>
      <c r="V322" s="19"/>
    </row>
    <row r="323" spans="1:22">
      <c r="A323" s="11" t="s">
        <v>25</v>
      </c>
      <c r="D323" s="11" t="s">
        <v>27</v>
      </c>
      <c r="H323" s="14"/>
      <c r="I323" s="14"/>
      <c r="J323" s="15" t="e">
        <f>+VLOOKUP(K323,[1]Datos!$A:$C,3,FALSE)</f>
        <v>#N/A</v>
      </c>
      <c r="L323" s="15" t="e">
        <f>+VLOOKUP(K323,[1]Datos!$A:$C,2,FALSE)</f>
        <v>#N/A</v>
      </c>
      <c r="N323" s="17" t="e">
        <f>+VLOOKUP(M323,[1]Datos!$F:$G,2,FALSE)</f>
        <v>#N/A</v>
      </c>
      <c r="O323" s="18">
        <f>IFERROR(IF(A323="SI",VLOOKUP(R323,[1]Datos!$J$1:$K$50,2,FALSE)*C323,VLOOKUP(R323,[1]Datos!$P$1:$T$50,2,FALSE)*C323),0)</f>
        <v>0</v>
      </c>
      <c r="P323" s="30"/>
      <c r="Q323" s="17" t="e">
        <f>+VLOOKUP(P323,[1]Datos!$F:$G,2,FALSE)</f>
        <v>#N/A</v>
      </c>
      <c r="S323" s="11">
        <f t="shared" si="4"/>
        <v>0</v>
      </c>
      <c r="T323" s="11" t="e">
        <f>+VLOOKUP(M323,[1]Datos!$F:$H,3,FALSE)</f>
        <v>#N/A</v>
      </c>
      <c r="U323" s="11">
        <v>0</v>
      </c>
      <c r="V323" s="19"/>
    </row>
    <row r="324" spans="1:22">
      <c r="A324" s="11" t="s">
        <v>25</v>
      </c>
      <c r="D324" s="11" t="s">
        <v>27</v>
      </c>
      <c r="H324" s="14"/>
      <c r="I324" s="14"/>
      <c r="J324" s="15" t="e">
        <f>+VLOOKUP(K324,[1]Datos!$A:$C,3,FALSE)</f>
        <v>#N/A</v>
      </c>
      <c r="L324" s="15" t="e">
        <f>+VLOOKUP(K324,[1]Datos!$A:$C,2,FALSE)</f>
        <v>#N/A</v>
      </c>
      <c r="N324" s="17" t="e">
        <f>+VLOOKUP(M324,[1]Datos!$F:$G,2,FALSE)</f>
        <v>#N/A</v>
      </c>
      <c r="O324" s="18">
        <f>IFERROR(IF(A324="SI",VLOOKUP(R324,[1]Datos!$J$1:$K$50,2,FALSE)*C324,VLOOKUP(R324,[1]Datos!$P$1:$T$50,2,FALSE)*C324),0)</f>
        <v>0</v>
      </c>
      <c r="P324" s="30"/>
      <c r="Q324" s="17" t="e">
        <f>+VLOOKUP(P324,[1]Datos!$F:$G,2,FALSE)</f>
        <v>#N/A</v>
      </c>
      <c r="S324" s="11">
        <f t="shared" si="4"/>
        <v>0</v>
      </c>
      <c r="T324" s="11" t="e">
        <f>+VLOOKUP(M324,[1]Datos!$F:$H,3,FALSE)</f>
        <v>#N/A</v>
      </c>
      <c r="U324" s="11">
        <v>0</v>
      </c>
      <c r="V324" s="19"/>
    </row>
    <row r="325" spans="1:22">
      <c r="A325" s="11" t="s">
        <v>25</v>
      </c>
      <c r="D325" s="11" t="s">
        <v>27</v>
      </c>
      <c r="H325" s="14"/>
      <c r="I325" s="14"/>
      <c r="J325" s="15" t="e">
        <f>+VLOOKUP(K325,[1]Datos!$A:$C,3,FALSE)</f>
        <v>#N/A</v>
      </c>
      <c r="L325" s="15" t="e">
        <f>+VLOOKUP(K325,[1]Datos!$A:$C,2,FALSE)</f>
        <v>#N/A</v>
      </c>
      <c r="N325" s="17" t="e">
        <f>+VLOOKUP(M325,[1]Datos!$F:$G,2,FALSE)</f>
        <v>#N/A</v>
      </c>
      <c r="O325" s="18">
        <f>IFERROR(IF(A325="SI",VLOOKUP(R325,[1]Datos!$J$1:$K$50,2,FALSE)*C325,VLOOKUP(R325,[1]Datos!$P$1:$T$50,2,FALSE)*C325),0)</f>
        <v>0</v>
      </c>
      <c r="P325" s="30"/>
      <c r="Q325" s="17" t="e">
        <f>+VLOOKUP(P325,[1]Datos!$F:$G,2,FALSE)</f>
        <v>#N/A</v>
      </c>
      <c r="S325" s="11">
        <f t="shared" si="4"/>
        <v>0</v>
      </c>
      <c r="T325" s="11" t="e">
        <f>+VLOOKUP(M325,[1]Datos!$F:$H,3,FALSE)</f>
        <v>#N/A</v>
      </c>
      <c r="U325" s="11">
        <v>0</v>
      </c>
      <c r="V325" s="19"/>
    </row>
    <row r="326" spans="1:22">
      <c r="A326" s="11" t="s">
        <v>25</v>
      </c>
      <c r="D326" s="11" t="s">
        <v>27</v>
      </c>
      <c r="H326" s="14"/>
      <c r="I326" s="14"/>
      <c r="J326" s="15" t="e">
        <f>+VLOOKUP(K326,[1]Datos!$A:$C,3,FALSE)</f>
        <v>#N/A</v>
      </c>
      <c r="L326" s="15" t="e">
        <f>+VLOOKUP(K326,[1]Datos!$A:$C,2,FALSE)</f>
        <v>#N/A</v>
      </c>
      <c r="N326" s="17" t="e">
        <f>+VLOOKUP(M326,[1]Datos!$F:$G,2,FALSE)</f>
        <v>#N/A</v>
      </c>
      <c r="O326" s="18">
        <f>IFERROR(IF(A326="SI",VLOOKUP(R326,[1]Datos!$J$1:$K$50,2,FALSE)*C326,VLOOKUP(R326,[1]Datos!$P$1:$T$50,2,FALSE)*C326),0)</f>
        <v>0</v>
      </c>
      <c r="P326" s="30"/>
      <c r="Q326" s="17" t="e">
        <f>+VLOOKUP(P326,[1]Datos!$F:$G,2,FALSE)</f>
        <v>#N/A</v>
      </c>
      <c r="S326" s="11">
        <f t="shared" si="4"/>
        <v>0</v>
      </c>
      <c r="T326" s="11" t="e">
        <f>+VLOOKUP(M326,[1]Datos!$F:$H,3,FALSE)</f>
        <v>#N/A</v>
      </c>
      <c r="U326" s="11">
        <v>0</v>
      </c>
      <c r="V326" s="19"/>
    </row>
    <row r="327" spans="1:22">
      <c r="A327" s="11" t="s">
        <v>25</v>
      </c>
      <c r="D327" s="11" t="s">
        <v>27</v>
      </c>
      <c r="H327" s="14"/>
      <c r="I327" s="14"/>
      <c r="J327" s="15" t="e">
        <f>+VLOOKUP(K327,[1]Datos!$A:$C,3,FALSE)</f>
        <v>#N/A</v>
      </c>
      <c r="L327" s="15" t="e">
        <f>+VLOOKUP(K327,[1]Datos!$A:$C,2,FALSE)</f>
        <v>#N/A</v>
      </c>
      <c r="N327" s="17" t="e">
        <f>+VLOOKUP(M327,[1]Datos!$F:$G,2,FALSE)</f>
        <v>#N/A</v>
      </c>
      <c r="O327" s="18">
        <f>IFERROR(IF(A327="SI",VLOOKUP(R327,[1]Datos!$J$1:$K$50,2,FALSE)*C327,VLOOKUP(R327,[1]Datos!$P$1:$T$50,2,FALSE)*C327),0)</f>
        <v>0</v>
      </c>
      <c r="P327" s="30"/>
      <c r="Q327" s="17" t="e">
        <f>+VLOOKUP(P327,[1]Datos!$F:$G,2,FALSE)</f>
        <v>#N/A</v>
      </c>
      <c r="S327" s="11">
        <f t="shared" si="4"/>
        <v>0</v>
      </c>
      <c r="T327" s="11" t="e">
        <f>+VLOOKUP(M327,[1]Datos!$F:$H,3,FALSE)</f>
        <v>#N/A</v>
      </c>
      <c r="U327" s="11">
        <v>0</v>
      </c>
      <c r="V327" s="19"/>
    </row>
    <row r="328" spans="1:22">
      <c r="A328" s="11" t="s">
        <v>25</v>
      </c>
      <c r="D328" s="11" t="s">
        <v>27</v>
      </c>
      <c r="H328" s="14"/>
      <c r="I328" s="14"/>
      <c r="J328" s="15" t="e">
        <f>+VLOOKUP(K328,[1]Datos!$A:$C,3,FALSE)</f>
        <v>#N/A</v>
      </c>
      <c r="L328" s="15" t="e">
        <f>+VLOOKUP(K328,[1]Datos!$A:$C,2,FALSE)</f>
        <v>#N/A</v>
      </c>
      <c r="N328" s="17" t="e">
        <f>+VLOOKUP(M328,[1]Datos!$F:$G,2,FALSE)</f>
        <v>#N/A</v>
      </c>
      <c r="O328" s="18">
        <f>IFERROR(IF(A328="SI",VLOOKUP(R328,[1]Datos!$J$1:$K$50,2,FALSE)*C328,VLOOKUP(R328,[1]Datos!$P$1:$T$50,2,FALSE)*C328),0)</f>
        <v>0</v>
      </c>
      <c r="P328" s="30"/>
      <c r="Q328" s="17" t="e">
        <f>+VLOOKUP(P328,[1]Datos!$F:$G,2,FALSE)</f>
        <v>#N/A</v>
      </c>
      <c r="S328" s="11">
        <f t="shared" ref="S328:S391" si="5">+COUNTIFS($G$2:$G$607,G328)</f>
        <v>0</v>
      </c>
      <c r="T328" s="11" t="e">
        <f>+VLOOKUP(M328,[1]Datos!$F:$H,3,FALSE)</f>
        <v>#N/A</v>
      </c>
      <c r="U328" s="11">
        <v>0</v>
      </c>
      <c r="V328" s="19"/>
    </row>
    <row r="329" spans="1:22">
      <c r="A329" s="11" t="s">
        <v>25</v>
      </c>
      <c r="D329" s="11" t="s">
        <v>27</v>
      </c>
      <c r="H329" s="14"/>
      <c r="I329" s="14"/>
      <c r="J329" s="15" t="e">
        <f>+VLOOKUP(K329,[1]Datos!$A:$C,3,FALSE)</f>
        <v>#N/A</v>
      </c>
      <c r="L329" s="15" t="e">
        <f>+VLOOKUP(K329,[1]Datos!$A:$C,2,FALSE)</f>
        <v>#N/A</v>
      </c>
      <c r="N329" s="17" t="e">
        <f>+VLOOKUP(M329,[1]Datos!$F:$G,2,FALSE)</f>
        <v>#N/A</v>
      </c>
      <c r="O329" s="18">
        <f>IFERROR(IF(A329="SI",VLOOKUP(R329,[1]Datos!$J$1:$K$50,2,FALSE)*C329,VLOOKUP(R329,[1]Datos!$P$1:$T$50,2,FALSE)*C329),0)</f>
        <v>0</v>
      </c>
      <c r="P329" s="30"/>
      <c r="Q329" s="17" t="e">
        <f>+VLOOKUP(P329,[1]Datos!$F:$G,2,FALSE)</f>
        <v>#N/A</v>
      </c>
      <c r="S329" s="11">
        <f t="shared" si="5"/>
        <v>0</v>
      </c>
      <c r="T329" s="11" t="e">
        <f>+VLOOKUP(M329,[1]Datos!$F:$H,3,FALSE)</f>
        <v>#N/A</v>
      </c>
      <c r="U329" s="11">
        <v>0</v>
      </c>
      <c r="V329" s="19"/>
    </row>
    <row r="330" spans="1:22">
      <c r="A330" s="11" t="s">
        <v>25</v>
      </c>
      <c r="D330" s="11" t="s">
        <v>27</v>
      </c>
      <c r="H330" s="14"/>
      <c r="I330" s="14"/>
      <c r="J330" s="15" t="e">
        <f>+VLOOKUP(K330,[1]Datos!$A:$C,3,FALSE)</f>
        <v>#N/A</v>
      </c>
      <c r="L330" s="15" t="e">
        <f>+VLOOKUP(K330,[1]Datos!$A:$C,2,FALSE)</f>
        <v>#N/A</v>
      </c>
      <c r="N330" s="17" t="e">
        <f>+VLOOKUP(M330,[1]Datos!$F:$G,2,FALSE)</f>
        <v>#N/A</v>
      </c>
      <c r="O330" s="18">
        <f>IFERROR(IF(A330="SI",VLOOKUP(R330,[1]Datos!$J$1:$K$50,2,FALSE)*C330,VLOOKUP(R330,[1]Datos!$P$1:$T$50,2,FALSE)*C330),0)</f>
        <v>0</v>
      </c>
      <c r="P330" s="30"/>
      <c r="Q330" s="17" t="e">
        <f>+VLOOKUP(P330,[1]Datos!$F:$G,2,FALSE)</f>
        <v>#N/A</v>
      </c>
      <c r="S330" s="11">
        <f t="shared" si="5"/>
        <v>0</v>
      </c>
      <c r="T330" s="11" t="e">
        <f>+VLOOKUP(M330,[1]Datos!$F:$H,3,FALSE)</f>
        <v>#N/A</v>
      </c>
      <c r="U330" s="11">
        <v>0</v>
      </c>
      <c r="V330" s="19"/>
    </row>
    <row r="331" spans="1:22">
      <c r="A331" s="11" t="s">
        <v>25</v>
      </c>
      <c r="D331" s="11" t="s">
        <v>27</v>
      </c>
      <c r="H331" s="14"/>
      <c r="I331" s="14"/>
      <c r="J331" s="15" t="e">
        <f>+VLOOKUP(K331,[1]Datos!$A:$C,3,FALSE)</f>
        <v>#N/A</v>
      </c>
      <c r="L331" s="15" t="e">
        <f>+VLOOKUP(K331,[1]Datos!$A:$C,2,FALSE)</f>
        <v>#N/A</v>
      </c>
      <c r="N331" s="17" t="e">
        <f>+VLOOKUP(M331,[1]Datos!$F:$G,2,FALSE)</f>
        <v>#N/A</v>
      </c>
      <c r="O331" s="18">
        <f>IFERROR(IF(A331="SI",VLOOKUP(R331,[1]Datos!$J$1:$K$50,2,FALSE)*C331,VLOOKUP(R331,[1]Datos!$P$1:$T$50,2,FALSE)*C331),0)</f>
        <v>0</v>
      </c>
      <c r="P331" s="30"/>
      <c r="Q331" s="17" t="e">
        <f>+VLOOKUP(P331,[1]Datos!$F:$G,2,FALSE)</f>
        <v>#N/A</v>
      </c>
      <c r="S331" s="11">
        <f t="shared" si="5"/>
        <v>0</v>
      </c>
      <c r="T331" s="11" t="e">
        <f>+VLOOKUP(M331,[1]Datos!$F:$H,3,FALSE)</f>
        <v>#N/A</v>
      </c>
      <c r="U331" s="11">
        <v>0</v>
      </c>
      <c r="V331" s="19"/>
    </row>
    <row r="332" spans="1:22">
      <c r="A332" s="11" t="s">
        <v>25</v>
      </c>
      <c r="D332" s="11" t="s">
        <v>27</v>
      </c>
      <c r="H332" s="14"/>
      <c r="I332" s="14"/>
      <c r="J332" s="15" t="e">
        <f>+VLOOKUP(K332,[1]Datos!$A:$C,3,FALSE)</f>
        <v>#N/A</v>
      </c>
      <c r="L332" s="15" t="e">
        <f>+VLOOKUP(K332,[1]Datos!$A:$C,2,FALSE)</f>
        <v>#N/A</v>
      </c>
      <c r="N332" s="17" t="e">
        <f>+VLOOKUP(M332,[1]Datos!$F:$G,2,FALSE)</f>
        <v>#N/A</v>
      </c>
      <c r="O332" s="18">
        <f>IFERROR(IF(A332="SI",VLOOKUP(R332,[1]Datos!$J$1:$K$50,2,FALSE)*C332,VLOOKUP(R332,[1]Datos!$P$1:$T$50,2,FALSE)*C332),0)</f>
        <v>0</v>
      </c>
      <c r="P332" s="30"/>
      <c r="Q332" s="17" t="e">
        <f>+VLOOKUP(P332,[1]Datos!$F:$G,2,FALSE)</f>
        <v>#N/A</v>
      </c>
      <c r="S332" s="11">
        <f t="shared" si="5"/>
        <v>0</v>
      </c>
      <c r="T332" s="11" t="e">
        <f>+VLOOKUP(M332,[1]Datos!$F:$H,3,FALSE)</f>
        <v>#N/A</v>
      </c>
      <c r="U332" s="11">
        <v>0</v>
      </c>
      <c r="V332" s="19"/>
    </row>
    <row r="333" spans="1:22">
      <c r="A333" s="11" t="s">
        <v>25</v>
      </c>
      <c r="D333" s="11" t="s">
        <v>27</v>
      </c>
      <c r="H333" s="14"/>
      <c r="I333" s="14"/>
      <c r="J333" s="15" t="e">
        <f>+VLOOKUP(K333,[1]Datos!$A:$C,3,FALSE)</f>
        <v>#N/A</v>
      </c>
      <c r="L333" s="15" t="e">
        <f>+VLOOKUP(K333,[1]Datos!$A:$C,2,FALSE)</f>
        <v>#N/A</v>
      </c>
      <c r="N333" s="17" t="e">
        <f>+VLOOKUP(M333,[1]Datos!$F:$G,2,FALSE)</f>
        <v>#N/A</v>
      </c>
      <c r="O333" s="18">
        <f>IFERROR(IF(A333="SI",VLOOKUP(R333,[1]Datos!$J$1:$K$50,2,FALSE)*C333,VLOOKUP(R333,[1]Datos!$P$1:$T$50,2,FALSE)*C333),0)</f>
        <v>0</v>
      </c>
      <c r="P333" s="30"/>
      <c r="Q333" s="17" t="e">
        <f>+VLOOKUP(P333,[1]Datos!$F:$G,2,FALSE)</f>
        <v>#N/A</v>
      </c>
      <c r="S333" s="11">
        <f t="shared" si="5"/>
        <v>0</v>
      </c>
      <c r="T333" s="11" t="e">
        <f>+VLOOKUP(M333,[1]Datos!$F:$H,3,FALSE)</f>
        <v>#N/A</v>
      </c>
      <c r="U333" s="11">
        <v>0</v>
      </c>
      <c r="V333" s="19"/>
    </row>
    <row r="334" spans="1:22">
      <c r="A334" s="11" t="s">
        <v>25</v>
      </c>
      <c r="D334" s="11" t="s">
        <v>27</v>
      </c>
      <c r="H334" s="14"/>
      <c r="I334" s="14"/>
      <c r="J334" s="15" t="e">
        <f>+VLOOKUP(K334,[1]Datos!$A:$C,3,FALSE)</f>
        <v>#N/A</v>
      </c>
      <c r="L334" s="15" t="e">
        <f>+VLOOKUP(K334,[1]Datos!$A:$C,2,FALSE)</f>
        <v>#N/A</v>
      </c>
      <c r="N334" s="17" t="e">
        <f>+VLOOKUP(M334,[1]Datos!$F:$G,2,FALSE)</f>
        <v>#N/A</v>
      </c>
      <c r="O334" s="18">
        <f>IFERROR(IF(A334="SI",VLOOKUP(R334,[1]Datos!$J$1:$K$50,2,FALSE)*C334,VLOOKUP(R334,[1]Datos!$P$1:$T$50,2,FALSE)*C334),0)</f>
        <v>0</v>
      </c>
      <c r="P334" s="30"/>
      <c r="Q334" s="17" t="e">
        <f>+VLOOKUP(P334,[1]Datos!$F:$G,2,FALSE)</f>
        <v>#N/A</v>
      </c>
      <c r="S334" s="11">
        <f t="shared" si="5"/>
        <v>0</v>
      </c>
      <c r="T334" s="11" t="e">
        <f>+VLOOKUP(M334,[1]Datos!$F:$H,3,FALSE)</f>
        <v>#N/A</v>
      </c>
      <c r="U334" s="11">
        <v>0</v>
      </c>
      <c r="V334" s="19"/>
    </row>
    <row r="335" spans="1:22">
      <c r="A335" s="11" t="s">
        <v>25</v>
      </c>
      <c r="D335" s="11" t="s">
        <v>27</v>
      </c>
      <c r="H335" s="14"/>
      <c r="I335" s="14"/>
      <c r="J335" s="15" t="e">
        <f>+VLOOKUP(K335,[1]Datos!$A:$C,3,FALSE)</f>
        <v>#N/A</v>
      </c>
      <c r="L335" s="15" t="e">
        <f>+VLOOKUP(K335,[1]Datos!$A:$C,2,FALSE)</f>
        <v>#N/A</v>
      </c>
      <c r="N335" s="17" t="e">
        <f>+VLOOKUP(M335,[1]Datos!$F:$G,2,FALSE)</f>
        <v>#N/A</v>
      </c>
      <c r="O335" s="18">
        <f>IFERROR(IF(A335="SI",VLOOKUP(R335,[1]Datos!$J$1:$K$50,2,FALSE)*C335,VLOOKUP(R335,[1]Datos!$P$1:$T$50,2,FALSE)*C335),0)</f>
        <v>0</v>
      </c>
      <c r="P335" s="30"/>
      <c r="Q335" s="17" t="e">
        <f>+VLOOKUP(P335,[1]Datos!$F:$G,2,FALSE)</f>
        <v>#N/A</v>
      </c>
      <c r="S335" s="11">
        <f t="shared" si="5"/>
        <v>0</v>
      </c>
      <c r="T335" s="11" t="e">
        <f>+VLOOKUP(M335,[1]Datos!$F:$H,3,FALSE)</f>
        <v>#N/A</v>
      </c>
      <c r="U335" s="11">
        <v>0</v>
      </c>
      <c r="V335" s="19"/>
    </row>
    <row r="336" spans="1:22">
      <c r="A336" s="11" t="s">
        <v>25</v>
      </c>
      <c r="D336" s="11" t="s">
        <v>27</v>
      </c>
      <c r="H336" s="14"/>
      <c r="I336" s="14"/>
      <c r="J336" s="15" t="e">
        <f>+VLOOKUP(K336,[1]Datos!$A:$C,3,FALSE)</f>
        <v>#N/A</v>
      </c>
      <c r="L336" s="15" t="e">
        <f>+VLOOKUP(K336,[1]Datos!$A:$C,2,FALSE)</f>
        <v>#N/A</v>
      </c>
      <c r="N336" s="17" t="e">
        <f>+VLOOKUP(M336,[1]Datos!$F:$G,2,FALSE)</f>
        <v>#N/A</v>
      </c>
      <c r="O336" s="18">
        <f>IFERROR(IF(A336="SI",VLOOKUP(R336,[1]Datos!$J$1:$K$50,2,FALSE)*C336,VLOOKUP(R336,[1]Datos!$P$1:$T$50,2,FALSE)*C336),0)</f>
        <v>0</v>
      </c>
      <c r="P336" s="30"/>
      <c r="Q336" s="17" t="e">
        <f>+VLOOKUP(P336,[1]Datos!$F:$G,2,FALSE)</f>
        <v>#N/A</v>
      </c>
      <c r="S336" s="11">
        <f t="shared" si="5"/>
        <v>0</v>
      </c>
      <c r="T336" s="11" t="e">
        <f>+VLOOKUP(M336,[1]Datos!$F:$H,3,FALSE)</f>
        <v>#N/A</v>
      </c>
      <c r="U336" s="11">
        <v>0</v>
      </c>
      <c r="V336" s="19"/>
    </row>
    <row r="337" spans="1:22">
      <c r="A337" s="11" t="s">
        <v>25</v>
      </c>
      <c r="D337" s="11" t="s">
        <v>27</v>
      </c>
      <c r="H337" s="14"/>
      <c r="I337" s="14"/>
      <c r="J337" s="15" t="e">
        <f>+VLOOKUP(K337,[1]Datos!$A:$C,3,FALSE)</f>
        <v>#N/A</v>
      </c>
      <c r="L337" s="15" t="e">
        <f>+VLOOKUP(K337,[1]Datos!$A:$C,2,FALSE)</f>
        <v>#N/A</v>
      </c>
      <c r="N337" s="17" t="e">
        <f>+VLOOKUP(M337,[1]Datos!$F:$G,2,FALSE)</f>
        <v>#N/A</v>
      </c>
      <c r="O337" s="18">
        <f>IFERROR(IF(A337="SI",VLOOKUP(R337,[1]Datos!$J$1:$K$50,2,FALSE)*C337,VLOOKUP(R337,[1]Datos!$P$1:$T$50,2,FALSE)*C337),0)</f>
        <v>0</v>
      </c>
      <c r="P337" s="30"/>
      <c r="Q337" s="17" t="e">
        <f>+VLOOKUP(P337,[1]Datos!$F:$G,2,FALSE)</f>
        <v>#N/A</v>
      </c>
      <c r="S337" s="11">
        <f t="shared" si="5"/>
        <v>0</v>
      </c>
      <c r="T337" s="11" t="e">
        <f>+VLOOKUP(M337,[1]Datos!$F:$H,3,FALSE)</f>
        <v>#N/A</v>
      </c>
      <c r="U337" s="11">
        <v>0</v>
      </c>
      <c r="V337" s="19"/>
    </row>
    <row r="338" spans="1:22">
      <c r="A338" s="11" t="s">
        <v>25</v>
      </c>
      <c r="D338" s="11" t="s">
        <v>27</v>
      </c>
      <c r="H338" s="14"/>
      <c r="I338" s="14"/>
      <c r="J338" s="15" t="e">
        <f>+VLOOKUP(K338,[1]Datos!$A:$C,3,FALSE)</f>
        <v>#N/A</v>
      </c>
      <c r="L338" s="15" t="e">
        <f>+VLOOKUP(K338,[1]Datos!$A:$C,2,FALSE)</f>
        <v>#N/A</v>
      </c>
      <c r="N338" s="17" t="e">
        <f>+VLOOKUP(M338,[1]Datos!$F:$G,2,FALSE)</f>
        <v>#N/A</v>
      </c>
      <c r="O338" s="18">
        <f>IFERROR(IF(A338="SI",VLOOKUP(R338,[1]Datos!$J$1:$K$50,2,FALSE)*C338,VLOOKUP(R338,[1]Datos!$P$1:$T$50,2,FALSE)*C338),0)</f>
        <v>0</v>
      </c>
      <c r="P338" s="30"/>
      <c r="Q338" s="17" t="e">
        <f>+VLOOKUP(P338,[1]Datos!$F:$G,2,FALSE)</f>
        <v>#N/A</v>
      </c>
      <c r="S338" s="11">
        <f t="shared" si="5"/>
        <v>0</v>
      </c>
      <c r="T338" s="11" t="e">
        <f>+VLOOKUP(M338,[1]Datos!$F:$H,3,FALSE)</f>
        <v>#N/A</v>
      </c>
      <c r="U338" s="11">
        <v>0</v>
      </c>
      <c r="V338" s="19"/>
    </row>
    <row r="339" spans="1:22">
      <c r="A339" s="11" t="s">
        <v>25</v>
      </c>
      <c r="D339" s="11" t="s">
        <v>27</v>
      </c>
      <c r="H339" s="14"/>
      <c r="I339" s="14"/>
      <c r="J339" s="15" t="e">
        <f>+VLOOKUP(K339,[1]Datos!$A:$C,3,FALSE)</f>
        <v>#N/A</v>
      </c>
      <c r="L339" s="15" t="e">
        <f>+VLOOKUP(K339,[1]Datos!$A:$C,2,FALSE)</f>
        <v>#N/A</v>
      </c>
      <c r="N339" s="17" t="e">
        <f>+VLOOKUP(M339,[1]Datos!$F:$G,2,FALSE)</f>
        <v>#N/A</v>
      </c>
      <c r="O339" s="18">
        <f>IFERROR(IF(A339="SI",VLOOKUP(R339,[1]Datos!$J$1:$K$50,2,FALSE)*C339,VLOOKUP(R339,[1]Datos!$P$1:$T$50,2,FALSE)*C339),0)</f>
        <v>0</v>
      </c>
      <c r="P339" s="30"/>
      <c r="Q339" s="17" t="e">
        <f>+VLOOKUP(P339,[1]Datos!$F:$G,2,FALSE)</f>
        <v>#N/A</v>
      </c>
      <c r="S339" s="11">
        <f t="shared" si="5"/>
        <v>0</v>
      </c>
      <c r="T339" s="11" t="e">
        <f>+VLOOKUP(M339,[1]Datos!$F:$H,3,FALSE)</f>
        <v>#N/A</v>
      </c>
      <c r="U339" s="11">
        <v>0</v>
      </c>
      <c r="V339" s="19"/>
    </row>
    <row r="340" spans="1:22">
      <c r="A340" s="11" t="s">
        <v>25</v>
      </c>
      <c r="D340" s="11" t="s">
        <v>27</v>
      </c>
      <c r="H340" s="14"/>
      <c r="I340" s="14"/>
      <c r="J340" s="15" t="e">
        <f>+VLOOKUP(K340,[1]Datos!$A:$C,3,FALSE)</f>
        <v>#N/A</v>
      </c>
      <c r="L340" s="15" t="e">
        <f>+VLOOKUP(K340,[1]Datos!$A:$C,2,FALSE)</f>
        <v>#N/A</v>
      </c>
      <c r="N340" s="17" t="e">
        <f>+VLOOKUP(M340,[1]Datos!$F:$G,2,FALSE)</f>
        <v>#N/A</v>
      </c>
      <c r="O340" s="18">
        <f>IFERROR(IF(A340="SI",VLOOKUP(R340,[1]Datos!$J$1:$K$50,2,FALSE)*C340,VLOOKUP(R340,[1]Datos!$P$1:$T$50,2,FALSE)*C340),0)</f>
        <v>0</v>
      </c>
      <c r="P340" s="30"/>
      <c r="Q340" s="17" t="e">
        <f>+VLOOKUP(P340,[1]Datos!$F:$G,2,FALSE)</f>
        <v>#N/A</v>
      </c>
      <c r="S340" s="11">
        <f t="shared" si="5"/>
        <v>0</v>
      </c>
      <c r="T340" s="11" t="e">
        <f>+VLOOKUP(M340,[1]Datos!$F:$H,3,FALSE)</f>
        <v>#N/A</v>
      </c>
      <c r="U340" s="11">
        <v>0</v>
      </c>
      <c r="V340" s="19"/>
    </row>
    <row r="341" spans="1:22">
      <c r="A341" s="11" t="s">
        <v>25</v>
      </c>
      <c r="D341" s="11" t="s">
        <v>27</v>
      </c>
      <c r="H341" s="14"/>
      <c r="I341" s="14"/>
      <c r="J341" s="15" t="e">
        <f>+VLOOKUP(K341,[1]Datos!$A:$C,3,FALSE)</f>
        <v>#N/A</v>
      </c>
      <c r="L341" s="15" t="e">
        <f>+VLOOKUP(K341,[1]Datos!$A:$C,2,FALSE)</f>
        <v>#N/A</v>
      </c>
      <c r="N341" s="17" t="e">
        <f>+VLOOKUP(M341,[1]Datos!$F:$G,2,FALSE)</f>
        <v>#N/A</v>
      </c>
      <c r="O341" s="18">
        <f>IFERROR(IF(A341="SI",VLOOKUP(R341,[1]Datos!$J$1:$K$50,2,FALSE)*C341,VLOOKUP(R341,[1]Datos!$P$1:$T$50,2,FALSE)*C341),0)</f>
        <v>0</v>
      </c>
      <c r="P341" s="30"/>
      <c r="Q341" s="17" t="e">
        <f>+VLOOKUP(P341,[1]Datos!$F:$G,2,FALSE)</f>
        <v>#N/A</v>
      </c>
      <c r="S341" s="11">
        <f t="shared" si="5"/>
        <v>0</v>
      </c>
      <c r="T341" s="11" t="e">
        <f>+VLOOKUP(M341,[1]Datos!$F:$H,3,FALSE)</f>
        <v>#N/A</v>
      </c>
      <c r="U341" s="11">
        <v>0</v>
      </c>
      <c r="V341" s="19"/>
    </row>
    <row r="342" spans="1:22">
      <c r="A342" s="11" t="s">
        <v>25</v>
      </c>
      <c r="D342" s="11" t="s">
        <v>27</v>
      </c>
      <c r="H342" s="14"/>
      <c r="I342" s="14"/>
      <c r="J342" s="15" t="e">
        <f>+VLOOKUP(K342,[1]Datos!$A:$C,3,FALSE)</f>
        <v>#N/A</v>
      </c>
      <c r="L342" s="15" t="e">
        <f>+VLOOKUP(K342,[1]Datos!$A:$C,2,FALSE)</f>
        <v>#N/A</v>
      </c>
      <c r="N342" s="17" t="e">
        <f>+VLOOKUP(M342,[1]Datos!$F:$G,2,FALSE)</f>
        <v>#N/A</v>
      </c>
      <c r="O342" s="18">
        <f>IFERROR(IF(A342="SI",VLOOKUP(R342,[1]Datos!$J$1:$K$50,2,FALSE)*C342,VLOOKUP(R342,[1]Datos!$P$1:$T$50,2,FALSE)*C342),0)</f>
        <v>0</v>
      </c>
      <c r="P342" s="30"/>
      <c r="Q342" s="17" t="e">
        <f>+VLOOKUP(P342,[1]Datos!$F:$G,2,FALSE)</f>
        <v>#N/A</v>
      </c>
      <c r="S342" s="11">
        <f t="shared" si="5"/>
        <v>0</v>
      </c>
      <c r="T342" s="11" t="e">
        <f>+VLOOKUP(M342,[1]Datos!$F:$H,3,FALSE)</f>
        <v>#N/A</v>
      </c>
      <c r="U342" s="11">
        <v>0</v>
      </c>
      <c r="V342" s="19"/>
    </row>
    <row r="343" spans="1:22">
      <c r="A343" s="11" t="s">
        <v>25</v>
      </c>
      <c r="D343" s="11" t="s">
        <v>27</v>
      </c>
      <c r="H343" s="14"/>
      <c r="I343" s="14"/>
      <c r="J343" s="15" t="e">
        <f>+VLOOKUP(K343,[1]Datos!$A:$C,3,FALSE)</f>
        <v>#N/A</v>
      </c>
      <c r="L343" s="15" t="e">
        <f>+VLOOKUP(K343,[1]Datos!$A:$C,2,FALSE)</f>
        <v>#N/A</v>
      </c>
      <c r="N343" s="17" t="e">
        <f>+VLOOKUP(M343,[1]Datos!$F:$G,2,FALSE)</f>
        <v>#N/A</v>
      </c>
      <c r="O343" s="18">
        <f>IFERROR(IF(A343="SI",VLOOKUP(R343,[1]Datos!$J$1:$K$50,2,FALSE)*C343,VLOOKUP(R343,[1]Datos!$P$1:$T$50,2,FALSE)*C343),0)</f>
        <v>0</v>
      </c>
      <c r="P343" s="30"/>
      <c r="Q343" s="17" t="e">
        <f>+VLOOKUP(P343,[1]Datos!$F:$G,2,FALSE)</f>
        <v>#N/A</v>
      </c>
      <c r="S343" s="11">
        <f t="shared" si="5"/>
        <v>0</v>
      </c>
      <c r="T343" s="11" t="e">
        <f>+VLOOKUP(M343,[1]Datos!$F:$H,3,FALSE)</f>
        <v>#N/A</v>
      </c>
      <c r="U343" s="11">
        <v>0</v>
      </c>
      <c r="V343" s="19"/>
    </row>
    <row r="344" spans="1:22">
      <c r="A344" s="11" t="s">
        <v>25</v>
      </c>
      <c r="D344" s="11" t="s">
        <v>27</v>
      </c>
      <c r="H344" s="14"/>
      <c r="I344" s="14"/>
      <c r="J344" s="15" t="e">
        <f>+VLOOKUP(K344,[1]Datos!$A:$C,3,FALSE)</f>
        <v>#N/A</v>
      </c>
      <c r="L344" s="15" t="e">
        <f>+VLOOKUP(K344,[1]Datos!$A:$C,2,FALSE)</f>
        <v>#N/A</v>
      </c>
      <c r="N344" s="17" t="e">
        <f>+VLOOKUP(M344,[1]Datos!$F:$G,2,FALSE)</f>
        <v>#N/A</v>
      </c>
      <c r="O344" s="18">
        <f>IFERROR(IF(A344="SI",VLOOKUP(R344,[1]Datos!$J$1:$K$50,2,FALSE)*C344,VLOOKUP(R344,[1]Datos!$P$1:$T$50,2,FALSE)*C344),0)</f>
        <v>0</v>
      </c>
      <c r="P344" s="30"/>
      <c r="Q344" s="17" t="e">
        <f>+VLOOKUP(P344,[1]Datos!$F:$G,2,FALSE)</f>
        <v>#N/A</v>
      </c>
      <c r="S344" s="11">
        <f t="shared" si="5"/>
        <v>0</v>
      </c>
      <c r="T344" s="11" t="e">
        <f>+VLOOKUP(M344,[1]Datos!$F:$H,3,FALSE)</f>
        <v>#N/A</v>
      </c>
      <c r="U344" s="11">
        <v>0</v>
      </c>
      <c r="V344" s="19"/>
    </row>
    <row r="345" spans="1:22">
      <c r="A345" s="11" t="s">
        <v>25</v>
      </c>
      <c r="D345" s="11" t="s">
        <v>27</v>
      </c>
      <c r="H345" s="14"/>
      <c r="I345" s="14"/>
      <c r="J345" s="15" t="e">
        <f>+VLOOKUP(K345,[1]Datos!$A:$C,3,FALSE)</f>
        <v>#N/A</v>
      </c>
      <c r="L345" s="15" t="e">
        <f>+VLOOKUP(K345,[1]Datos!$A:$C,2,FALSE)</f>
        <v>#N/A</v>
      </c>
      <c r="N345" s="17" t="e">
        <f>+VLOOKUP(M345,[1]Datos!$F:$G,2,FALSE)</f>
        <v>#N/A</v>
      </c>
      <c r="O345" s="18">
        <f>IFERROR(IF(A345="SI",VLOOKUP(R345,[1]Datos!$J$1:$K$50,2,FALSE)*C345,VLOOKUP(R345,[1]Datos!$P$1:$T$50,2,FALSE)*C345),0)</f>
        <v>0</v>
      </c>
      <c r="P345" s="30"/>
      <c r="Q345" s="17" t="e">
        <f>+VLOOKUP(P345,[1]Datos!$F:$G,2,FALSE)</f>
        <v>#N/A</v>
      </c>
      <c r="S345" s="11">
        <f t="shared" si="5"/>
        <v>0</v>
      </c>
      <c r="T345" s="11" t="e">
        <f>+VLOOKUP(M345,[1]Datos!$F:$H,3,FALSE)</f>
        <v>#N/A</v>
      </c>
      <c r="U345" s="11">
        <v>0</v>
      </c>
      <c r="V345" s="19"/>
    </row>
    <row r="346" spans="1:22">
      <c r="A346" s="11" t="s">
        <v>25</v>
      </c>
      <c r="D346" s="11" t="s">
        <v>27</v>
      </c>
      <c r="H346" s="14"/>
      <c r="I346" s="14"/>
      <c r="J346" s="15" t="e">
        <f>+VLOOKUP(K346,[1]Datos!$A:$C,3,FALSE)</f>
        <v>#N/A</v>
      </c>
      <c r="L346" s="15" t="e">
        <f>+VLOOKUP(K346,[1]Datos!$A:$C,2,FALSE)</f>
        <v>#N/A</v>
      </c>
      <c r="N346" s="17" t="e">
        <f>+VLOOKUP(M346,[1]Datos!$F:$G,2,FALSE)</f>
        <v>#N/A</v>
      </c>
      <c r="O346" s="18">
        <f>IFERROR(IF(A346="SI",VLOOKUP(R346,[1]Datos!$J$1:$K$50,2,FALSE)*C346,VLOOKUP(R346,[1]Datos!$P$1:$T$50,2,FALSE)*C346),0)</f>
        <v>0</v>
      </c>
      <c r="P346" s="30"/>
      <c r="Q346" s="17" t="e">
        <f>+VLOOKUP(P346,[1]Datos!$F:$G,2,FALSE)</f>
        <v>#N/A</v>
      </c>
      <c r="S346" s="11">
        <f t="shared" si="5"/>
        <v>0</v>
      </c>
      <c r="T346" s="11" t="e">
        <f>+VLOOKUP(M346,[1]Datos!$F:$H,3,FALSE)</f>
        <v>#N/A</v>
      </c>
      <c r="U346" s="11">
        <v>0</v>
      </c>
      <c r="V346" s="19"/>
    </row>
    <row r="347" spans="1:22">
      <c r="A347" s="11" t="s">
        <v>25</v>
      </c>
      <c r="D347" s="11" t="s">
        <v>27</v>
      </c>
      <c r="H347" s="14"/>
      <c r="I347" s="14"/>
      <c r="J347" s="15" t="e">
        <f>+VLOOKUP(K347,[1]Datos!$A:$C,3,FALSE)</f>
        <v>#N/A</v>
      </c>
      <c r="L347" s="15" t="e">
        <f>+VLOOKUP(K347,[1]Datos!$A:$C,2,FALSE)</f>
        <v>#N/A</v>
      </c>
      <c r="N347" s="17" t="e">
        <f>+VLOOKUP(M347,[1]Datos!$F:$G,2,FALSE)</f>
        <v>#N/A</v>
      </c>
      <c r="O347" s="18">
        <f>IFERROR(IF(A347="SI",VLOOKUP(R347,[1]Datos!$J$1:$K$50,2,FALSE)*C347,VLOOKUP(R347,[1]Datos!$P$1:$T$50,2,FALSE)*C347),0)</f>
        <v>0</v>
      </c>
      <c r="P347" s="30"/>
      <c r="Q347" s="17" t="e">
        <f>+VLOOKUP(P347,[1]Datos!$F:$G,2,FALSE)</f>
        <v>#N/A</v>
      </c>
      <c r="S347" s="11">
        <f t="shared" si="5"/>
        <v>0</v>
      </c>
      <c r="T347" s="11" t="e">
        <f>+VLOOKUP(M347,[1]Datos!$F:$H,3,FALSE)</f>
        <v>#N/A</v>
      </c>
      <c r="U347" s="11">
        <v>0</v>
      </c>
      <c r="V347" s="19"/>
    </row>
    <row r="348" spans="1:22">
      <c r="A348" s="11" t="s">
        <v>25</v>
      </c>
      <c r="D348" s="11" t="s">
        <v>27</v>
      </c>
      <c r="H348" s="14"/>
      <c r="I348" s="14"/>
      <c r="J348" s="15" t="e">
        <f>+VLOOKUP(K348,[1]Datos!$A:$C,3,FALSE)</f>
        <v>#N/A</v>
      </c>
      <c r="L348" s="15" t="e">
        <f>+VLOOKUP(K348,[1]Datos!$A:$C,2,FALSE)</f>
        <v>#N/A</v>
      </c>
      <c r="N348" s="17" t="e">
        <f>+VLOOKUP(M348,[1]Datos!$F:$G,2,FALSE)</f>
        <v>#N/A</v>
      </c>
      <c r="O348" s="18">
        <f>IFERROR(IF(A348="SI",VLOOKUP(R348,[1]Datos!$J$1:$K$50,2,FALSE)*C348,VLOOKUP(R348,[1]Datos!$P$1:$T$50,2,FALSE)*C348),0)</f>
        <v>0</v>
      </c>
      <c r="P348" s="30"/>
      <c r="Q348" s="17" t="e">
        <f>+VLOOKUP(P348,[1]Datos!$F:$G,2,FALSE)</f>
        <v>#N/A</v>
      </c>
      <c r="S348" s="11">
        <f t="shared" si="5"/>
        <v>0</v>
      </c>
      <c r="T348" s="11" t="e">
        <f>+VLOOKUP(M348,[1]Datos!$F:$H,3,FALSE)</f>
        <v>#N/A</v>
      </c>
      <c r="U348" s="11">
        <v>0</v>
      </c>
      <c r="V348" s="19"/>
    </row>
    <row r="349" spans="1:22">
      <c r="A349" s="11" t="s">
        <v>25</v>
      </c>
      <c r="D349" s="11" t="s">
        <v>27</v>
      </c>
      <c r="H349" s="14"/>
      <c r="I349" s="14"/>
      <c r="J349" s="15" t="e">
        <f>+VLOOKUP(K349,[1]Datos!$A:$C,3,FALSE)</f>
        <v>#N/A</v>
      </c>
      <c r="L349" s="15" t="e">
        <f>+VLOOKUP(K349,[1]Datos!$A:$C,2,FALSE)</f>
        <v>#N/A</v>
      </c>
      <c r="N349" s="17" t="e">
        <f>+VLOOKUP(M349,[1]Datos!$F:$G,2,FALSE)</f>
        <v>#N/A</v>
      </c>
      <c r="O349" s="18">
        <f>IFERROR(IF(A349="SI",VLOOKUP(R349,[1]Datos!$J$1:$K$50,2,FALSE)*C349,VLOOKUP(R349,[1]Datos!$P$1:$T$50,2,FALSE)*C349),0)</f>
        <v>0</v>
      </c>
      <c r="P349" s="30"/>
      <c r="Q349" s="17" t="e">
        <f>+VLOOKUP(P349,[1]Datos!$F:$G,2,FALSE)</f>
        <v>#N/A</v>
      </c>
      <c r="S349" s="11">
        <f t="shared" si="5"/>
        <v>0</v>
      </c>
      <c r="T349" s="11" t="e">
        <f>+VLOOKUP(M349,[1]Datos!$F:$H,3,FALSE)</f>
        <v>#N/A</v>
      </c>
      <c r="U349" s="11">
        <v>0</v>
      </c>
      <c r="V349" s="19"/>
    </row>
    <row r="350" spans="1:22">
      <c r="A350" s="11" t="s">
        <v>25</v>
      </c>
      <c r="D350" s="11" t="s">
        <v>27</v>
      </c>
      <c r="H350" s="14"/>
      <c r="I350" s="14"/>
      <c r="J350" s="15" t="e">
        <f>+VLOOKUP(K350,[1]Datos!$A:$C,3,FALSE)</f>
        <v>#N/A</v>
      </c>
      <c r="L350" s="15" t="e">
        <f>+VLOOKUP(K350,[1]Datos!$A:$C,2,FALSE)</f>
        <v>#N/A</v>
      </c>
      <c r="N350" s="17" t="e">
        <f>+VLOOKUP(M350,[1]Datos!$F:$G,2,FALSE)</f>
        <v>#N/A</v>
      </c>
      <c r="O350" s="18">
        <f>IFERROR(IF(A350="SI",VLOOKUP(R350,[1]Datos!$J$1:$K$50,2,FALSE)*C350,VLOOKUP(R350,[1]Datos!$P$1:$T$50,2,FALSE)*C350),0)</f>
        <v>0</v>
      </c>
      <c r="P350" s="30"/>
      <c r="Q350" s="17" t="e">
        <f>+VLOOKUP(P350,[1]Datos!$F:$G,2,FALSE)</f>
        <v>#N/A</v>
      </c>
      <c r="S350" s="11">
        <f t="shared" si="5"/>
        <v>0</v>
      </c>
      <c r="T350" s="11" t="e">
        <f>+VLOOKUP(M350,[1]Datos!$F:$H,3,FALSE)</f>
        <v>#N/A</v>
      </c>
      <c r="U350" s="11">
        <v>0</v>
      </c>
      <c r="V350" s="19"/>
    </row>
    <row r="351" spans="1:22">
      <c r="A351" s="11" t="s">
        <v>25</v>
      </c>
      <c r="D351" s="11" t="s">
        <v>27</v>
      </c>
      <c r="H351" s="14"/>
      <c r="I351" s="14"/>
      <c r="J351" s="15" t="e">
        <f>+VLOOKUP(K351,[1]Datos!$A:$C,3,FALSE)</f>
        <v>#N/A</v>
      </c>
      <c r="L351" s="15" t="e">
        <f>+VLOOKUP(K351,[1]Datos!$A:$C,2,FALSE)</f>
        <v>#N/A</v>
      </c>
      <c r="N351" s="17" t="e">
        <f>+VLOOKUP(M351,[1]Datos!$F:$G,2,FALSE)</f>
        <v>#N/A</v>
      </c>
      <c r="O351" s="18">
        <f>IFERROR(IF(A351="SI",VLOOKUP(R351,[1]Datos!$J$1:$K$50,2,FALSE)*C351,VLOOKUP(R351,[1]Datos!$P$1:$T$50,2,FALSE)*C351),0)</f>
        <v>0</v>
      </c>
      <c r="P351" s="30"/>
      <c r="Q351" s="17" t="e">
        <f>+VLOOKUP(P351,[1]Datos!$F:$G,2,FALSE)</f>
        <v>#N/A</v>
      </c>
      <c r="S351" s="11">
        <f t="shared" si="5"/>
        <v>0</v>
      </c>
      <c r="T351" s="11" t="e">
        <f>+VLOOKUP(M351,[1]Datos!$F:$H,3,FALSE)</f>
        <v>#N/A</v>
      </c>
      <c r="U351" s="11">
        <v>0</v>
      </c>
      <c r="V351" s="19"/>
    </row>
    <row r="352" spans="1:22">
      <c r="A352" s="11" t="s">
        <v>25</v>
      </c>
      <c r="D352" s="11" t="s">
        <v>27</v>
      </c>
      <c r="H352" s="14"/>
      <c r="I352" s="14"/>
      <c r="J352" s="15" t="e">
        <f>+VLOOKUP(K352,[1]Datos!$A:$C,3,FALSE)</f>
        <v>#N/A</v>
      </c>
      <c r="L352" s="15" t="e">
        <f>+VLOOKUP(K352,[1]Datos!$A:$C,2,FALSE)</f>
        <v>#N/A</v>
      </c>
      <c r="N352" s="17" t="e">
        <f>+VLOOKUP(M352,[1]Datos!$F:$G,2,FALSE)</f>
        <v>#N/A</v>
      </c>
      <c r="O352" s="18">
        <f>IFERROR(IF(A352="SI",VLOOKUP(R352,[1]Datos!$J$1:$K$50,2,FALSE)*C352,VLOOKUP(R352,[1]Datos!$P$1:$T$50,2,FALSE)*C352),0)</f>
        <v>0</v>
      </c>
      <c r="P352" s="30"/>
      <c r="Q352" s="17" t="e">
        <f>+VLOOKUP(P352,[1]Datos!$F:$G,2,FALSE)</f>
        <v>#N/A</v>
      </c>
      <c r="S352" s="11">
        <f t="shared" si="5"/>
        <v>0</v>
      </c>
      <c r="T352" s="11" t="e">
        <f>+VLOOKUP(M352,[1]Datos!$F:$H,3,FALSE)</f>
        <v>#N/A</v>
      </c>
      <c r="U352" s="11">
        <v>0</v>
      </c>
      <c r="V352" s="19"/>
    </row>
    <row r="353" spans="1:22">
      <c r="A353" s="11" t="s">
        <v>25</v>
      </c>
      <c r="D353" s="11" t="s">
        <v>27</v>
      </c>
      <c r="H353" s="14"/>
      <c r="I353" s="14"/>
      <c r="J353" s="15" t="e">
        <f>+VLOOKUP(K353,[1]Datos!$A:$C,3,FALSE)</f>
        <v>#N/A</v>
      </c>
      <c r="L353" s="15" t="e">
        <f>+VLOOKUP(K353,[1]Datos!$A:$C,2,FALSE)</f>
        <v>#N/A</v>
      </c>
      <c r="N353" s="17" t="e">
        <f>+VLOOKUP(M353,[1]Datos!$F:$G,2,FALSE)</f>
        <v>#N/A</v>
      </c>
      <c r="O353" s="18">
        <f>IFERROR(IF(A353="SI",VLOOKUP(R353,[1]Datos!$J$1:$K$50,2,FALSE)*C353,VLOOKUP(R353,[1]Datos!$P$1:$T$50,2,FALSE)*C353),0)</f>
        <v>0</v>
      </c>
      <c r="P353" s="30"/>
      <c r="Q353" s="17" t="e">
        <f>+VLOOKUP(P353,[1]Datos!$F:$G,2,FALSE)</f>
        <v>#N/A</v>
      </c>
      <c r="S353" s="11">
        <f t="shared" si="5"/>
        <v>0</v>
      </c>
      <c r="T353" s="11" t="e">
        <f>+VLOOKUP(M353,[1]Datos!$F:$H,3,FALSE)</f>
        <v>#N/A</v>
      </c>
      <c r="U353" s="11">
        <v>0</v>
      </c>
      <c r="V353" s="19"/>
    </row>
    <row r="354" spans="1:22">
      <c r="A354" s="11" t="s">
        <v>25</v>
      </c>
      <c r="D354" s="11" t="s">
        <v>27</v>
      </c>
      <c r="H354" s="14"/>
      <c r="I354" s="14"/>
      <c r="J354" s="15" t="e">
        <f>+VLOOKUP(K354,[1]Datos!$A:$C,3,FALSE)</f>
        <v>#N/A</v>
      </c>
      <c r="L354" s="15" t="e">
        <f>+VLOOKUP(K354,[1]Datos!$A:$C,2,FALSE)</f>
        <v>#N/A</v>
      </c>
      <c r="N354" s="17" t="e">
        <f>+VLOOKUP(M354,[1]Datos!$F:$G,2,FALSE)</f>
        <v>#N/A</v>
      </c>
      <c r="O354" s="18">
        <f>IFERROR(IF(A354="SI",VLOOKUP(R354,[1]Datos!$J$1:$K$50,2,FALSE)*C354,VLOOKUP(R354,[1]Datos!$P$1:$T$50,2,FALSE)*C354),0)</f>
        <v>0</v>
      </c>
      <c r="P354" s="30"/>
      <c r="Q354" s="17" t="e">
        <f>+VLOOKUP(P354,[1]Datos!$F:$G,2,FALSE)</f>
        <v>#N/A</v>
      </c>
      <c r="S354" s="11">
        <f t="shared" si="5"/>
        <v>0</v>
      </c>
      <c r="T354" s="11" t="e">
        <f>+VLOOKUP(M354,[1]Datos!$F:$H,3,FALSE)</f>
        <v>#N/A</v>
      </c>
      <c r="U354" s="11">
        <v>0</v>
      </c>
      <c r="V354" s="19"/>
    </row>
    <row r="355" spans="1:22">
      <c r="A355" s="11" t="s">
        <v>25</v>
      </c>
      <c r="D355" s="11" t="s">
        <v>27</v>
      </c>
      <c r="H355" s="14"/>
      <c r="I355" s="14"/>
      <c r="J355" s="15" t="e">
        <f>+VLOOKUP(K355,[1]Datos!$A:$C,3,FALSE)</f>
        <v>#N/A</v>
      </c>
      <c r="L355" s="15" t="e">
        <f>+VLOOKUP(K355,[1]Datos!$A:$C,2,FALSE)</f>
        <v>#N/A</v>
      </c>
      <c r="N355" s="17" t="e">
        <f>+VLOOKUP(M355,[1]Datos!$F:$G,2,FALSE)</f>
        <v>#N/A</v>
      </c>
      <c r="O355" s="18">
        <f>IFERROR(IF(A355="SI",VLOOKUP(R355,[1]Datos!$J$1:$K$50,2,FALSE)*C355,VLOOKUP(R355,[1]Datos!$P$1:$T$50,2,FALSE)*C355),0)</f>
        <v>0</v>
      </c>
      <c r="P355" s="30"/>
      <c r="Q355" s="17" t="e">
        <f>+VLOOKUP(P355,[1]Datos!$F:$G,2,FALSE)</f>
        <v>#N/A</v>
      </c>
      <c r="S355" s="11">
        <f t="shared" si="5"/>
        <v>0</v>
      </c>
      <c r="T355" s="11" t="e">
        <f>+VLOOKUP(M355,[1]Datos!$F:$H,3,FALSE)</f>
        <v>#N/A</v>
      </c>
      <c r="U355" s="11">
        <v>0</v>
      </c>
      <c r="V355" s="19"/>
    </row>
    <row r="356" spans="1:22">
      <c r="A356" s="11" t="s">
        <v>25</v>
      </c>
      <c r="D356" s="11" t="s">
        <v>27</v>
      </c>
      <c r="H356" s="14"/>
      <c r="I356" s="14"/>
      <c r="J356" s="15" t="e">
        <f>+VLOOKUP(K356,[1]Datos!$A:$C,3,FALSE)</f>
        <v>#N/A</v>
      </c>
      <c r="L356" s="15" t="e">
        <f>+VLOOKUP(K356,[1]Datos!$A:$C,2,FALSE)</f>
        <v>#N/A</v>
      </c>
      <c r="N356" s="17" t="e">
        <f>+VLOOKUP(M356,[1]Datos!$F:$G,2,FALSE)</f>
        <v>#N/A</v>
      </c>
      <c r="O356" s="18">
        <f>IFERROR(IF(A356="SI",VLOOKUP(R356,[1]Datos!$J$1:$K$50,2,FALSE)*C356,VLOOKUP(R356,[1]Datos!$P$1:$T$50,2,FALSE)*C356),0)</f>
        <v>0</v>
      </c>
      <c r="P356" s="30"/>
      <c r="Q356" s="17" t="e">
        <f>+VLOOKUP(P356,[1]Datos!$F:$G,2,FALSE)</f>
        <v>#N/A</v>
      </c>
      <c r="S356" s="11">
        <f t="shared" si="5"/>
        <v>0</v>
      </c>
      <c r="T356" s="11" t="e">
        <f>+VLOOKUP(M356,[1]Datos!$F:$H,3,FALSE)</f>
        <v>#N/A</v>
      </c>
      <c r="U356" s="11">
        <v>0</v>
      </c>
      <c r="V356" s="19"/>
    </row>
    <row r="357" spans="1:22">
      <c r="A357" s="11" t="s">
        <v>25</v>
      </c>
      <c r="D357" s="11" t="s">
        <v>27</v>
      </c>
      <c r="H357" s="14"/>
      <c r="I357" s="14"/>
      <c r="J357" s="15" t="e">
        <f>+VLOOKUP(K357,[1]Datos!$A:$C,3,FALSE)</f>
        <v>#N/A</v>
      </c>
      <c r="L357" s="15" t="e">
        <f>+VLOOKUP(K357,[1]Datos!$A:$C,2,FALSE)</f>
        <v>#N/A</v>
      </c>
      <c r="N357" s="17" t="e">
        <f>+VLOOKUP(M357,[1]Datos!$F:$G,2,FALSE)</f>
        <v>#N/A</v>
      </c>
      <c r="O357" s="18">
        <f>IFERROR(IF(A357="SI",VLOOKUP(R357,[1]Datos!$J$1:$K$50,2,FALSE)*C357,VLOOKUP(R357,[1]Datos!$P$1:$T$50,2,FALSE)*C357),0)</f>
        <v>0</v>
      </c>
      <c r="P357" s="30"/>
      <c r="Q357" s="17" t="e">
        <f>+VLOOKUP(P357,[1]Datos!$F:$G,2,FALSE)</f>
        <v>#N/A</v>
      </c>
      <c r="S357" s="11">
        <f t="shared" si="5"/>
        <v>0</v>
      </c>
      <c r="T357" s="11" t="e">
        <f>+VLOOKUP(M357,[1]Datos!$F:$H,3,FALSE)</f>
        <v>#N/A</v>
      </c>
      <c r="U357" s="11">
        <v>0</v>
      </c>
      <c r="V357" s="19"/>
    </row>
    <row r="358" spans="1:22">
      <c r="A358" s="11" t="s">
        <v>25</v>
      </c>
      <c r="D358" s="11" t="s">
        <v>27</v>
      </c>
      <c r="H358" s="14"/>
      <c r="I358" s="14"/>
      <c r="J358" s="15" t="e">
        <f>+VLOOKUP(K358,[1]Datos!$A:$C,3,FALSE)</f>
        <v>#N/A</v>
      </c>
      <c r="L358" s="15" t="e">
        <f>+VLOOKUP(K358,[1]Datos!$A:$C,2,FALSE)</f>
        <v>#N/A</v>
      </c>
      <c r="N358" s="17" t="e">
        <f>+VLOOKUP(M358,[1]Datos!$F:$G,2,FALSE)</f>
        <v>#N/A</v>
      </c>
      <c r="O358" s="18">
        <f>IFERROR(IF(A358="SI",VLOOKUP(R358,[1]Datos!$J$1:$K$50,2,FALSE)*C358,VLOOKUP(R358,[1]Datos!$P$1:$T$50,2,FALSE)*C358),0)</f>
        <v>0</v>
      </c>
      <c r="P358" s="30"/>
      <c r="Q358" s="17" t="e">
        <f>+VLOOKUP(P358,[1]Datos!$F:$G,2,FALSE)</f>
        <v>#N/A</v>
      </c>
      <c r="S358" s="11">
        <f t="shared" si="5"/>
        <v>0</v>
      </c>
      <c r="T358" s="11" t="e">
        <f>+VLOOKUP(M358,[1]Datos!$F:$H,3,FALSE)</f>
        <v>#N/A</v>
      </c>
      <c r="U358" s="11">
        <v>0</v>
      </c>
      <c r="V358" s="19"/>
    </row>
    <row r="359" spans="1:22">
      <c r="A359" s="11" t="s">
        <v>25</v>
      </c>
      <c r="D359" s="11" t="s">
        <v>27</v>
      </c>
      <c r="H359" s="14"/>
      <c r="I359" s="14"/>
      <c r="J359" s="15" t="e">
        <f>+VLOOKUP(K359,[1]Datos!$A:$C,3,FALSE)</f>
        <v>#N/A</v>
      </c>
      <c r="L359" s="15" t="e">
        <f>+VLOOKUP(K359,[1]Datos!$A:$C,2,FALSE)</f>
        <v>#N/A</v>
      </c>
      <c r="N359" s="17" t="e">
        <f>+VLOOKUP(M359,[1]Datos!$F:$G,2,FALSE)</f>
        <v>#N/A</v>
      </c>
      <c r="O359" s="18">
        <f>IFERROR(IF(A359="SI",VLOOKUP(R359,[1]Datos!$J$1:$K$50,2,FALSE)*C359,VLOOKUP(R359,[1]Datos!$P$1:$T$50,2,FALSE)*C359),0)</f>
        <v>0</v>
      </c>
      <c r="P359" s="30"/>
      <c r="Q359" s="17" t="e">
        <f>+VLOOKUP(P359,[1]Datos!$F:$G,2,FALSE)</f>
        <v>#N/A</v>
      </c>
      <c r="S359" s="11">
        <f t="shared" si="5"/>
        <v>0</v>
      </c>
      <c r="T359" s="11" t="e">
        <f>+VLOOKUP(M359,[1]Datos!$F:$H,3,FALSE)</f>
        <v>#N/A</v>
      </c>
      <c r="U359" s="11">
        <v>0</v>
      </c>
      <c r="V359" s="19"/>
    </row>
    <row r="360" spans="1:22">
      <c r="A360" s="11" t="s">
        <v>25</v>
      </c>
      <c r="D360" s="11" t="s">
        <v>27</v>
      </c>
      <c r="H360" s="14"/>
      <c r="I360" s="14"/>
      <c r="J360" s="15" t="e">
        <f>+VLOOKUP(K360,[1]Datos!$A:$C,3,FALSE)</f>
        <v>#N/A</v>
      </c>
      <c r="L360" s="15" t="e">
        <f>+VLOOKUP(K360,[1]Datos!$A:$C,2,FALSE)</f>
        <v>#N/A</v>
      </c>
      <c r="N360" s="17" t="e">
        <f>+VLOOKUP(M360,[1]Datos!$F:$G,2,FALSE)</f>
        <v>#N/A</v>
      </c>
      <c r="O360" s="18">
        <f>IFERROR(IF(A360="SI",VLOOKUP(R360,[1]Datos!$J$1:$K$50,2,FALSE)*C360,VLOOKUP(R360,[1]Datos!$P$1:$T$50,2,FALSE)*C360),0)</f>
        <v>0</v>
      </c>
      <c r="P360" s="30"/>
      <c r="Q360" s="17" t="e">
        <f>+VLOOKUP(P360,[1]Datos!$F:$G,2,FALSE)</f>
        <v>#N/A</v>
      </c>
      <c r="S360" s="11">
        <f t="shared" si="5"/>
        <v>0</v>
      </c>
      <c r="T360" s="11" t="e">
        <f>+VLOOKUP(M360,[1]Datos!$F:$H,3,FALSE)</f>
        <v>#N/A</v>
      </c>
      <c r="U360" s="11">
        <v>0</v>
      </c>
      <c r="V360" s="19"/>
    </row>
    <row r="361" spans="1:22">
      <c r="A361" s="11" t="s">
        <v>25</v>
      </c>
      <c r="D361" s="11" t="s">
        <v>27</v>
      </c>
      <c r="H361" s="14"/>
      <c r="I361" s="14"/>
      <c r="J361" s="15" t="e">
        <f>+VLOOKUP(K361,[1]Datos!$A:$C,3,FALSE)</f>
        <v>#N/A</v>
      </c>
      <c r="L361" s="15" t="e">
        <f>+VLOOKUP(K361,[1]Datos!$A:$C,2,FALSE)</f>
        <v>#N/A</v>
      </c>
      <c r="N361" s="17" t="e">
        <f>+VLOOKUP(M361,[1]Datos!$F:$G,2,FALSE)</f>
        <v>#N/A</v>
      </c>
      <c r="O361" s="18">
        <f>IFERROR(IF(A361="SI",VLOOKUP(R361,[1]Datos!$J$1:$K$50,2,FALSE)*C361,VLOOKUP(R361,[1]Datos!$P$1:$T$50,2,FALSE)*C361),0)</f>
        <v>0</v>
      </c>
      <c r="P361" s="30"/>
      <c r="Q361" s="17" t="e">
        <f>+VLOOKUP(P361,[1]Datos!$F:$G,2,FALSE)</f>
        <v>#N/A</v>
      </c>
      <c r="S361" s="11">
        <f t="shared" si="5"/>
        <v>0</v>
      </c>
      <c r="T361" s="11" t="e">
        <f>+VLOOKUP(M361,[1]Datos!$F:$H,3,FALSE)</f>
        <v>#N/A</v>
      </c>
      <c r="U361" s="11">
        <v>0</v>
      </c>
      <c r="V361" s="19"/>
    </row>
    <row r="362" spans="1:22">
      <c r="A362" s="11" t="s">
        <v>25</v>
      </c>
      <c r="D362" s="11" t="s">
        <v>27</v>
      </c>
      <c r="H362" s="14"/>
      <c r="I362" s="14"/>
      <c r="J362" s="15" t="e">
        <f>+VLOOKUP(K362,[1]Datos!$A:$C,3,FALSE)</f>
        <v>#N/A</v>
      </c>
      <c r="L362" s="15" t="e">
        <f>+VLOOKUP(K362,[1]Datos!$A:$C,2,FALSE)</f>
        <v>#N/A</v>
      </c>
      <c r="N362" s="17" t="e">
        <f>+VLOOKUP(M362,[1]Datos!$F:$G,2,FALSE)</f>
        <v>#N/A</v>
      </c>
      <c r="O362" s="18">
        <f>IFERROR(IF(A362="SI",VLOOKUP(R362,[1]Datos!$J$1:$K$50,2,FALSE)*C362,VLOOKUP(R362,[1]Datos!$P$1:$T$50,2,FALSE)*C362),0)</f>
        <v>0</v>
      </c>
      <c r="P362" s="30"/>
      <c r="Q362" s="17" t="e">
        <f>+VLOOKUP(P362,[1]Datos!$F:$G,2,FALSE)</f>
        <v>#N/A</v>
      </c>
      <c r="S362" s="11">
        <f t="shared" si="5"/>
        <v>0</v>
      </c>
      <c r="T362" s="11" t="e">
        <f>+VLOOKUP(M362,[1]Datos!$F:$H,3,FALSE)</f>
        <v>#N/A</v>
      </c>
      <c r="U362" s="11">
        <v>0</v>
      </c>
      <c r="V362" s="19"/>
    </row>
    <row r="363" spans="1:22">
      <c r="A363" s="11" t="s">
        <v>25</v>
      </c>
      <c r="D363" s="11" t="s">
        <v>27</v>
      </c>
      <c r="H363" s="14"/>
      <c r="I363" s="14"/>
      <c r="J363" s="15" t="e">
        <f>+VLOOKUP(K363,[1]Datos!$A:$C,3,FALSE)</f>
        <v>#N/A</v>
      </c>
      <c r="L363" s="15" t="e">
        <f>+VLOOKUP(K363,[1]Datos!$A:$C,2,FALSE)</f>
        <v>#N/A</v>
      </c>
      <c r="N363" s="17" t="e">
        <f>+VLOOKUP(M363,[1]Datos!$F:$G,2,FALSE)</f>
        <v>#N/A</v>
      </c>
      <c r="O363" s="18">
        <f>IFERROR(IF(A363="SI",VLOOKUP(R363,[1]Datos!$J$1:$K$50,2,FALSE)*C363,VLOOKUP(R363,[1]Datos!$P$1:$T$50,2,FALSE)*C363),0)</f>
        <v>0</v>
      </c>
      <c r="P363" s="30"/>
      <c r="Q363" s="17" t="e">
        <f>+VLOOKUP(P363,[1]Datos!$F:$G,2,FALSE)</f>
        <v>#N/A</v>
      </c>
      <c r="S363" s="11">
        <f t="shared" si="5"/>
        <v>0</v>
      </c>
      <c r="T363" s="11" t="e">
        <f>+VLOOKUP(M363,[1]Datos!$F:$H,3,FALSE)</f>
        <v>#N/A</v>
      </c>
      <c r="U363" s="11">
        <v>0</v>
      </c>
      <c r="V363" s="19"/>
    </row>
    <row r="364" spans="1:22">
      <c r="A364" s="11" t="s">
        <v>25</v>
      </c>
      <c r="D364" s="11" t="s">
        <v>27</v>
      </c>
      <c r="H364" s="14"/>
      <c r="I364" s="14"/>
      <c r="J364" s="15" t="e">
        <f>+VLOOKUP(K364,[1]Datos!$A:$C,3,FALSE)</f>
        <v>#N/A</v>
      </c>
      <c r="L364" s="15" t="e">
        <f>+VLOOKUP(K364,[1]Datos!$A:$C,2,FALSE)</f>
        <v>#N/A</v>
      </c>
      <c r="N364" s="17" t="e">
        <f>+VLOOKUP(M364,[1]Datos!$F:$G,2,FALSE)</f>
        <v>#N/A</v>
      </c>
      <c r="O364" s="18">
        <f>IFERROR(IF(A364="SI",VLOOKUP(R364,[1]Datos!$J$1:$K$50,2,FALSE)*C364,VLOOKUP(R364,[1]Datos!$P$1:$T$50,2,FALSE)*C364),0)</f>
        <v>0</v>
      </c>
      <c r="P364" s="30"/>
      <c r="Q364" s="17" t="e">
        <f>+VLOOKUP(P364,[1]Datos!$F:$G,2,FALSE)</f>
        <v>#N/A</v>
      </c>
      <c r="S364" s="11">
        <f t="shared" si="5"/>
        <v>0</v>
      </c>
      <c r="T364" s="11" t="e">
        <f>+VLOOKUP(M364,[1]Datos!$F:$H,3,FALSE)</f>
        <v>#N/A</v>
      </c>
      <c r="U364" s="11">
        <v>0</v>
      </c>
      <c r="V364" s="19"/>
    </row>
    <row r="365" spans="1:22">
      <c r="A365" s="11" t="s">
        <v>25</v>
      </c>
      <c r="D365" s="11" t="s">
        <v>27</v>
      </c>
      <c r="H365" s="14"/>
      <c r="I365" s="14"/>
      <c r="J365" s="15" t="e">
        <f>+VLOOKUP(K365,[1]Datos!$A:$C,3,FALSE)</f>
        <v>#N/A</v>
      </c>
      <c r="L365" s="15" t="e">
        <f>+VLOOKUP(K365,[1]Datos!$A:$C,2,FALSE)</f>
        <v>#N/A</v>
      </c>
      <c r="N365" s="17" t="e">
        <f>+VLOOKUP(M365,[1]Datos!$F:$G,2,FALSE)</f>
        <v>#N/A</v>
      </c>
      <c r="O365" s="18">
        <f>IFERROR(IF(A365="SI",VLOOKUP(R365,[1]Datos!$J$1:$K$50,2,FALSE)*C365,VLOOKUP(R365,[1]Datos!$P$1:$T$50,2,FALSE)*C365),0)</f>
        <v>0</v>
      </c>
      <c r="P365" s="30"/>
      <c r="Q365" s="17" t="e">
        <f>+VLOOKUP(P365,[1]Datos!$F:$G,2,FALSE)</f>
        <v>#N/A</v>
      </c>
      <c r="S365" s="11">
        <f t="shared" si="5"/>
        <v>0</v>
      </c>
      <c r="T365" s="11" t="e">
        <f>+VLOOKUP(M365,[1]Datos!$F:$H,3,FALSE)</f>
        <v>#N/A</v>
      </c>
      <c r="U365" s="11">
        <v>0</v>
      </c>
      <c r="V365" s="19"/>
    </row>
    <row r="366" spans="1:22">
      <c r="A366" s="11" t="s">
        <v>25</v>
      </c>
      <c r="D366" s="11" t="s">
        <v>27</v>
      </c>
      <c r="H366" s="14"/>
      <c r="I366" s="14"/>
      <c r="J366" s="15" t="e">
        <f>+VLOOKUP(K366,[1]Datos!$A:$C,3,FALSE)</f>
        <v>#N/A</v>
      </c>
      <c r="L366" s="15" t="e">
        <f>+VLOOKUP(K366,[1]Datos!$A:$C,2,FALSE)</f>
        <v>#N/A</v>
      </c>
      <c r="N366" s="17" t="e">
        <f>+VLOOKUP(M366,[1]Datos!$F:$G,2,FALSE)</f>
        <v>#N/A</v>
      </c>
      <c r="O366" s="18">
        <f>IFERROR(IF(A366="SI",VLOOKUP(R366,[1]Datos!$J$1:$K$50,2,FALSE)*C366,VLOOKUP(R366,[1]Datos!$P$1:$T$50,2,FALSE)*C366),0)</f>
        <v>0</v>
      </c>
      <c r="P366" s="30"/>
      <c r="Q366" s="17" t="e">
        <f>+VLOOKUP(P366,[1]Datos!$F:$G,2,FALSE)</f>
        <v>#N/A</v>
      </c>
      <c r="S366" s="11">
        <f t="shared" si="5"/>
        <v>0</v>
      </c>
      <c r="T366" s="11" t="e">
        <f>+VLOOKUP(M366,[1]Datos!$F:$H,3,FALSE)</f>
        <v>#N/A</v>
      </c>
      <c r="U366" s="11">
        <v>0</v>
      </c>
      <c r="V366" s="19"/>
    </row>
    <row r="367" spans="1:22">
      <c r="A367" s="11" t="s">
        <v>25</v>
      </c>
      <c r="D367" s="11" t="s">
        <v>27</v>
      </c>
      <c r="H367" s="14"/>
      <c r="I367" s="14"/>
      <c r="J367" s="15" t="e">
        <f>+VLOOKUP(K367,[1]Datos!$A:$C,3,FALSE)</f>
        <v>#N/A</v>
      </c>
      <c r="L367" s="15" t="e">
        <f>+VLOOKUP(K367,[1]Datos!$A:$C,2,FALSE)</f>
        <v>#N/A</v>
      </c>
      <c r="N367" s="17" t="e">
        <f>+VLOOKUP(M367,[1]Datos!$F:$G,2,FALSE)</f>
        <v>#N/A</v>
      </c>
      <c r="O367" s="18">
        <f>IFERROR(IF(A367="SI",VLOOKUP(R367,[1]Datos!$J$1:$K$50,2,FALSE)*C367,VLOOKUP(R367,[1]Datos!$P$1:$T$50,2,FALSE)*C367),0)</f>
        <v>0</v>
      </c>
      <c r="P367" s="30"/>
      <c r="Q367" s="17" t="e">
        <f>+VLOOKUP(P367,[1]Datos!$F:$G,2,FALSE)</f>
        <v>#N/A</v>
      </c>
      <c r="S367" s="11">
        <f t="shared" si="5"/>
        <v>0</v>
      </c>
      <c r="T367" s="11" t="e">
        <f>+VLOOKUP(M367,[1]Datos!$F:$H,3,FALSE)</f>
        <v>#N/A</v>
      </c>
      <c r="U367" s="11">
        <v>0</v>
      </c>
      <c r="V367" s="19"/>
    </row>
    <row r="368" spans="1:22">
      <c r="A368" s="11" t="s">
        <v>25</v>
      </c>
      <c r="D368" s="11" t="s">
        <v>27</v>
      </c>
      <c r="H368" s="14"/>
      <c r="I368" s="14"/>
      <c r="J368" s="15" t="e">
        <f>+VLOOKUP(K368,[1]Datos!$A:$C,3,FALSE)</f>
        <v>#N/A</v>
      </c>
      <c r="L368" s="15" t="e">
        <f>+VLOOKUP(K368,[1]Datos!$A:$C,2,FALSE)</f>
        <v>#N/A</v>
      </c>
      <c r="N368" s="17" t="e">
        <f>+VLOOKUP(M368,[1]Datos!$F:$G,2,FALSE)</f>
        <v>#N/A</v>
      </c>
      <c r="O368" s="18">
        <f>IFERROR(IF(A368="SI",VLOOKUP(R368,[1]Datos!$J$1:$K$50,2,FALSE)*C368,VLOOKUP(R368,[1]Datos!$P$1:$T$50,2,FALSE)*C368),0)</f>
        <v>0</v>
      </c>
      <c r="P368" s="30"/>
      <c r="Q368" s="17" t="e">
        <f>+VLOOKUP(P368,[1]Datos!$F:$G,2,FALSE)</f>
        <v>#N/A</v>
      </c>
      <c r="S368" s="11">
        <f t="shared" si="5"/>
        <v>0</v>
      </c>
      <c r="T368" s="11" t="e">
        <f>+VLOOKUP(M368,[1]Datos!$F:$H,3,FALSE)</f>
        <v>#N/A</v>
      </c>
      <c r="U368" s="11">
        <v>0</v>
      </c>
      <c r="V368" s="19"/>
    </row>
    <row r="369" spans="1:22">
      <c r="A369" s="11" t="s">
        <v>25</v>
      </c>
      <c r="D369" s="11" t="s">
        <v>27</v>
      </c>
      <c r="H369" s="14"/>
      <c r="I369" s="14"/>
      <c r="J369" s="15" t="e">
        <f>+VLOOKUP(K369,[1]Datos!$A:$C,3,FALSE)</f>
        <v>#N/A</v>
      </c>
      <c r="L369" s="15" t="e">
        <f>+VLOOKUP(K369,[1]Datos!$A:$C,2,FALSE)</f>
        <v>#N/A</v>
      </c>
      <c r="N369" s="17" t="e">
        <f>+VLOOKUP(M369,[1]Datos!$F:$G,2,FALSE)</f>
        <v>#N/A</v>
      </c>
      <c r="O369" s="18">
        <f>IFERROR(IF(A369="SI",VLOOKUP(R369,[1]Datos!$J$1:$K$50,2,FALSE)*C369,VLOOKUP(R369,[1]Datos!$P$1:$T$50,2,FALSE)*C369),0)</f>
        <v>0</v>
      </c>
      <c r="P369" s="30"/>
      <c r="Q369" s="17" t="e">
        <f>+VLOOKUP(P369,[1]Datos!$F:$G,2,FALSE)</f>
        <v>#N/A</v>
      </c>
      <c r="S369" s="11">
        <f t="shared" si="5"/>
        <v>0</v>
      </c>
      <c r="T369" s="11" t="e">
        <f>+VLOOKUP(M369,[1]Datos!$F:$H,3,FALSE)</f>
        <v>#N/A</v>
      </c>
      <c r="U369" s="11">
        <v>0</v>
      </c>
      <c r="V369" s="19"/>
    </row>
    <row r="370" spans="1:22">
      <c r="A370" s="11" t="s">
        <v>25</v>
      </c>
      <c r="D370" s="11" t="s">
        <v>27</v>
      </c>
      <c r="H370" s="14"/>
      <c r="I370" s="14"/>
      <c r="J370" s="15" t="e">
        <f>+VLOOKUP(K370,[1]Datos!$A:$C,3,FALSE)</f>
        <v>#N/A</v>
      </c>
      <c r="L370" s="15" t="e">
        <f>+VLOOKUP(K370,[1]Datos!$A:$C,2,FALSE)</f>
        <v>#N/A</v>
      </c>
      <c r="N370" s="17" t="e">
        <f>+VLOOKUP(M370,[1]Datos!$F:$G,2,FALSE)</f>
        <v>#N/A</v>
      </c>
      <c r="O370" s="18">
        <f>IFERROR(IF(A370="SI",VLOOKUP(R370,[1]Datos!$J$1:$K$50,2,FALSE)*C370,VLOOKUP(R370,[1]Datos!$P$1:$T$50,2,FALSE)*C370),0)</f>
        <v>0</v>
      </c>
      <c r="P370" s="30"/>
      <c r="Q370" s="17" t="e">
        <f>+VLOOKUP(P370,[1]Datos!$F:$G,2,FALSE)</f>
        <v>#N/A</v>
      </c>
      <c r="S370" s="11">
        <f t="shared" si="5"/>
        <v>0</v>
      </c>
      <c r="T370" s="11" t="e">
        <f>+VLOOKUP(M370,[1]Datos!$F:$H,3,FALSE)</f>
        <v>#N/A</v>
      </c>
      <c r="U370" s="11">
        <v>0</v>
      </c>
      <c r="V370" s="19"/>
    </row>
    <row r="371" spans="1:22">
      <c r="A371" s="11" t="s">
        <v>25</v>
      </c>
      <c r="D371" s="11" t="s">
        <v>27</v>
      </c>
      <c r="H371" s="14"/>
      <c r="I371" s="14"/>
      <c r="J371" s="15" t="e">
        <f>+VLOOKUP(K371,[1]Datos!$A:$C,3,FALSE)</f>
        <v>#N/A</v>
      </c>
      <c r="L371" s="15" t="e">
        <f>+VLOOKUP(K371,[1]Datos!$A:$C,2,FALSE)</f>
        <v>#N/A</v>
      </c>
      <c r="N371" s="17" t="e">
        <f>+VLOOKUP(M371,[1]Datos!$F:$G,2,FALSE)</f>
        <v>#N/A</v>
      </c>
      <c r="O371" s="18">
        <f>IFERROR(IF(A371="SI",VLOOKUP(R371,[1]Datos!$J$1:$K$50,2,FALSE)*C371,VLOOKUP(R371,[1]Datos!$P$1:$T$50,2,FALSE)*C371),0)</f>
        <v>0</v>
      </c>
      <c r="P371" s="30"/>
      <c r="Q371" s="17" t="e">
        <f>+VLOOKUP(P371,[1]Datos!$F:$G,2,FALSE)</f>
        <v>#N/A</v>
      </c>
      <c r="S371" s="11">
        <f t="shared" si="5"/>
        <v>0</v>
      </c>
      <c r="T371" s="11" t="e">
        <f>+VLOOKUP(M371,[1]Datos!$F:$H,3,FALSE)</f>
        <v>#N/A</v>
      </c>
      <c r="U371" s="11">
        <v>0</v>
      </c>
      <c r="V371" s="19"/>
    </row>
    <row r="372" spans="1:22">
      <c r="A372" s="11" t="s">
        <v>25</v>
      </c>
      <c r="D372" s="11" t="s">
        <v>27</v>
      </c>
      <c r="H372" s="14"/>
      <c r="I372" s="14"/>
      <c r="J372" s="15" t="e">
        <f>+VLOOKUP(K372,[1]Datos!$A:$C,3,FALSE)</f>
        <v>#N/A</v>
      </c>
      <c r="L372" s="15" t="e">
        <f>+VLOOKUP(K372,[1]Datos!$A:$C,2,FALSE)</f>
        <v>#N/A</v>
      </c>
      <c r="N372" s="17" t="e">
        <f>+VLOOKUP(M372,[1]Datos!$F:$G,2,FALSE)</f>
        <v>#N/A</v>
      </c>
      <c r="O372" s="18">
        <f>IFERROR(IF(A372="SI",VLOOKUP(R372,[1]Datos!$J$1:$K$50,2,FALSE)*C372,VLOOKUP(R372,[1]Datos!$P$1:$T$50,2,FALSE)*C372),0)</f>
        <v>0</v>
      </c>
      <c r="P372" s="30"/>
      <c r="Q372" s="17" t="e">
        <f>+VLOOKUP(P372,[1]Datos!$F:$G,2,FALSE)</f>
        <v>#N/A</v>
      </c>
      <c r="S372" s="11">
        <f t="shared" si="5"/>
        <v>0</v>
      </c>
      <c r="T372" s="11" t="e">
        <f>+VLOOKUP(M372,[1]Datos!$F:$H,3,FALSE)</f>
        <v>#N/A</v>
      </c>
      <c r="U372" s="11">
        <v>0</v>
      </c>
      <c r="V372" s="19"/>
    </row>
    <row r="373" spans="1:22">
      <c r="A373" s="11" t="s">
        <v>25</v>
      </c>
      <c r="D373" s="11" t="s">
        <v>27</v>
      </c>
      <c r="H373" s="14"/>
      <c r="I373" s="14"/>
      <c r="J373" s="15" t="e">
        <f>+VLOOKUP(K373,[1]Datos!$A:$C,3,FALSE)</f>
        <v>#N/A</v>
      </c>
      <c r="L373" s="15" t="e">
        <f>+VLOOKUP(K373,[1]Datos!$A:$C,2,FALSE)</f>
        <v>#N/A</v>
      </c>
      <c r="N373" s="17" t="e">
        <f>+VLOOKUP(M373,[1]Datos!$F:$G,2,FALSE)</f>
        <v>#N/A</v>
      </c>
      <c r="O373" s="18">
        <f>IFERROR(IF(A373="SI",VLOOKUP(R373,[1]Datos!$J$1:$K$50,2,FALSE)*C373,VLOOKUP(R373,[1]Datos!$P$1:$T$50,2,FALSE)*C373),0)</f>
        <v>0</v>
      </c>
      <c r="P373" s="30"/>
      <c r="Q373" s="17" t="e">
        <f>+VLOOKUP(P373,[1]Datos!$F:$G,2,FALSE)</f>
        <v>#N/A</v>
      </c>
      <c r="S373" s="11">
        <f t="shared" si="5"/>
        <v>0</v>
      </c>
      <c r="T373" s="11" t="e">
        <f>+VLOOKUP(M373,[1]Datos!$F:$H,3,FALSE)</f>
        <v>#N/A</v>
      </c>
      <c r="U373" s="11">
        <v>0</v>
      </c>
      <c r="V373" s="19"/>
    </row>
    <row r="374" spans="1:22">
      <c r="A374" s="11" t="s">
        <v>25</v>
      </c>
      <c r="D374" s="11" t="s">
        <v>27</v>
      </c>
      <c r="H374" s="14"/>
      <c r="I374" s="14"/>
      <c r="J374" s="15" t="e">
        <f>+VLOOKUP(K374,[1]Datos!$A:$C,3,FALSE)</f>
        <v>#N/A</v>
      </c>
      <c r="L374" s="15" t="e">
        <f>+VLOOKUP(K374,[1]Datos!$A:$C,2,FALSE)</f>
        <v>#N/A</v>
      </c>
      <c r="N374" s="17" t="e">
        <f>+VLOOKUP(M374,[1]Datos!$F:$G,2,FALSE)</f>
        <v>#N/A</v>
      </c>
      <c r="O374" s="18">
        <f>IFERROR(IF(A374="SI",VLOOKUP(R374,[1]Datos!$J$1:$K$50,2,FALSE)*C374,VLOOKUP(R374,[1]Datos!$P$1:$T$50,2,FALSE)*C374),0)</f>
        <v>0</v>
      </c>
      <c r="P374" s="30"/>
      <c r="Q374" s="17" t="e">
        <f>+VLOOKUP(P374,[1]Datos!$F:$G,2,FALSE)</f>
        <v>#N/A</v>
      </c>
      <c r="S374" s="11">
        <f t="shared" si="5"/>
        <v>0</v>
      </c>
      <c r="T374" s="11" t="e">
        <f>+VLOOKUP(M374,[1]Datos!$F:$H,3,FALSE)</f>
        <v>#N/A</v>
      </c>
      <c r="U374" s="11">
        <v>0</v>
      </c>
      <c r="V374" s="19"/>
    </row>
    <row r="375" spans="1:22">
      <c r="A375" s="11" t="s">
        <v>25</v>
      </c>
      <c r="D375" s="11" t="s">
        <v>27</v>
      </c>
      <c r="H375" s="14"/>
      <c r="I375" s="14"/>
      <c r="J375" s="15" t="e">
        <f>+VLOOKUP(K375,[1]Datos!$A:$C,3,FALSE)</f>
        <v>#N/A</v>
      </c>
      <c r="L375" s="15" t="e">
        <f>+VLOOKUP(K375,[1]Datos!$A:$C,2,FALSE)</f>
        <v>#N/A</v>
      </c>
      <c r="N375" s="17" t="e">
        <f>+VLOOKUP(M375,[1]Datos!$F:$G,2,FALSE)</f>
        <v>#N/A</v>
      </c>
      <c r="O375" s="18">
        <f>IFERROR(IF(A375="SI",VLOOKUP(R375,[1]Datos!$J$1:$K$50,2,FALSE)*C375,VLOOKUP(R375,[1]Datos!$P$1:$T$50,2,FALSE)*C375),0)</f>
        <v>0</v>
      </c>
      <c r="P375" s="30"/>
      <c r="Q375" s="17" t="e">
        <f>+VLOOKUP(P375,[1]Datos!$F:$G,2,FALSE)</f>
        <v>#N/A</v>
      </c>
      <c r="S375" s="11">
        <f t="shared" si="5"/>
        <v>0</v>
      </c>
      <c r="T375" s="11" t="e">
        <f>+VLOOKUP(M375,[1]Datos!$F:$H,3,FALSE)</f>
        <v>#N/A</v>
      </c>
      <c r="U375" s="11">
        <v>0</v>
      </c>
      <c r="V375" s="19"/>
    </row>
    <row r="376" spans="1:22">
      <c r="A376" s="11" t="s">
        <v>25</v>
      </c>
      <c r="D376" s="11" t="s">
        <v>27</v>
      </c>
      <c r="H376" s="14"/>
      <c r="I376" s="14"/>
      <c r="J376" s="15" t="e">
        <f>+VLOOKUP(K376,[1]Datos!$A:$C,3,FALSE)</f>
        <v>#N/A</v>
      </c>
      <c r="L376" s="15" t="e">
        <f>+VLOOKUP(K376,[1]Datos!$A:$C,2,FALSE)</f>
        <v>#N/A</v>
      </c>
      <c r="N376" s="17" t="e">
        <f>+VLOOKUP(M376,[1]Datos!$F:$G,2,FALSE)</f>
        <v>#N/A</v>
      </c>
      <c r="O376" s="18">
        <f>IFERROR(IF(A376="SI",VLOOKUP(R376,[1]Datos!$J$1:$K$50,2,FALSE)*C376,VLOOKUP(R376,[1]Datos!$P$1:$T$50,2,FALSE)*C376),0)</f>
        <v>0</v>
      </c>
      <c r="P376" s="30"/>
      <c r="Q376" s="17" t="e">
        <f>+VLOOKUP(P376,[1]Datos!$F:$G,2,FALSE)</f>
        <v>#N/A</v>
      </c>
      <c r="S376" s="11">
        <f t="shared" si="5"/>
        <v>0</v>
      </c>
      <c r="T376" s="11" t="e">
        <f>+VLOOKUP(M376,[1]Datos!$F:$H,3,FALSE)</f>
        <v>#N/A</v>
      </c>
      <c r="U376" s="11">
        <v>0</v>
      </c>
      <c r="V376" s="19"/>
    </row>
    <row r="377" spans="1:22">
      <c r="A377" s="11" t="s">
        <v>25</v>
      </c>
      <c r="D377" s="11" t="s">
        <v>27</v>
      </c>
      <c r="H377" s="14"/>
      <c r="I377" s="14"/>
      <c r="J377" s="15" t="e">
        <f>+VLOOKUP(K377,[1]Datos!$A:$C,3,FALSE)</f>
        <v>#N/A</v>
      </c>
      <c r="L377" s="15" t="e">
        <f>+VLOOKUP(K377,[1]Datos!$A:$C,2,FALSE)</f>
        <v>#N/A</v>
      </c>
      <c r="N377" s="17" t="e">
        <f>+VLOOKUP(M377,[1]Datos!$F:$G,2,FALSE)</f>
        <v>#N/A</v>
      </c>
      <c r="O377" s="18">
        <f>IFERROR(IF(A377="SI",VLOOKUP(R377,[1]Datos!$J$1:$K$50,2,FALSE)*C377,VLOOKUP(R377,[1]Datos!$P$1:$T$50,2,FALSE)*C377),0)</f>
        <v>0</v>
      </c>
      <c r="P377" s="30"/>
      <c r="Q377" s="17" t="e">
        <f>+VLOOKUP(P377,[1]Datos!$F:$G,2,FALSE)</f>
        <v>#N/A</v>
      </c>
      <c r="S377" s="11">
        <f t="shared" si="5"/>
        <v>0</v>
      </c>
      <c r="T377" s="11" t="e">
        <f>+VLOOKUP(M377,[1]Datos!$F:$H,3,FALSE)</f>
        <v>#N/A</v>
      </c>
      <c r="U377" s="11">
        <v>0</v>
      </c>
      <c r="V377" s="19"/>
    </row>
    <row r="378" spans="1:22">
      <c r="A378" s="11" t="s">
        <v>25</v>
      </c>
      <c r="D378" s="11" t="s">
        <v>27</v>
      </c>
      <c r="H378" s="14"/>
      <c r="I378" s="14"/>
      <c r="J378" s="15" t="e">
        <f>+VLOOKUP(K378,[1]Datos!$A:$C,3,FALSE)</f>
        <v>#N/A</v>
      </c>
      <c r="L378" s="15" t="e">
        <f>+VLOOKUP(K378,[1]Datos!$A:$C,2,FALSE)</f>
        <v>#N/A</v>
      </c>
      <c r="N378" s="17" t="e">
        <f>+VLOOKUP(M378,[1]Datos!$F:$G,2,FALSE)</f>
        <v>#N/A</v>
      </c>
      <c r="O378" s="18">
        <f>IFERROR(IF(A378="SI",VLOOKUP(R378,[1]Datos!$J$1:$K$50,2,FALSE)*C378,VLOOKUP(R378,[1]Datos!$P$1:$T$50,2,FALSE)*C378),0)</f>
        <v>0</v>
      </c>
      <c r="P378" s="30"/>
      <c r="Q378" s="17" t="e">
        <f>+VLOOKUP(P378,[1]Datos!$F:$G,2,FALSE)</f>
        <v>#N/A</v>
      </c>
      <c r="S378" s="11">
        <f t="shared" si="5"/>
        <v>0</v>
      </c>
      <c r="T378" s="11" t="e">
        <f>+VLOOKUP(M378,[1]Datos!$F:$H,3,FALSE)</f>
        <v>#N/A</v>
      </c>
      <c r="U378" s="11">
        <v>0</v>
      </c>
      <c r="V378" s="19"/>
    </row>
    <row r="379" spans="1:22">
      <c r="A379" s="11" t="s">
        <v>25</v>
      </c>
      <c r="D379" s="11" t="s">
        <v>27</v>
      </c>
      <c r="H379" s="14"/>
      <c r="I379" s="14"/>
      <c r="J379" s="15" t="e">
        <f>+VLOOKUP(K379,[1]Datos!$A:$C,3,FALSE)</f>
        <v>#N/A</v>
      </c>
      <c r="L379" s="15" t="e">
        <f>+VLOOKUP(K379,[1]Datos!$A:$C,2,FALSE)</f>
        <v>#N/A</v>
      </c>
      <c r="N379" s="17" t="e">
        <f>+VLOOKUP(M379,[1]Datos!$F:$G,2,FALSE)</f>
        <v>#N/A</v>
      </c>
      <c r="O379" s="18">
        <f>IFERROR(IF(A379="SI",VLOOKUP(R379,[1]Datos!$J$1:$K$50,2,FALSE)*C379,VLOOKUP(R379,[1]Datos!$P$1:$T$50,2,FALSE)*C379),0)</f>
        <v>0</v>
      </c>
      <c r="P379" s="30"/>
      <c r="Q379" s="17" t="e">
        <f>+VLOOKUP(P379,[1]Datos!$F:$G,2,FALSE)</f>
        <v>#N/A</v>
      </c>
      <c r="S379" s="11">
        <f t="shared" si="5"/>
        <v>0</v>
      </c>
      <c r="T379" s="11" t="e">
        <f>+VLOOKUP(M379,[1]Datos!$F:$H,3,FALSE)</f>
        <v>#N/A</v>
      </c>
      <c r="U379" s="11">
        <v>0</v>
      </c>
      <c r="V379" s="19"/>
    </row>
    <row r="380" spans="1:22">
      <c r="A380" s="11" t="s">
        <v>25</v>
      </c>
      <c r="D380" s="11" t="s">
        <v>27</v>
      </c>
      <c r="H380" s="14"/>
      <c r="I380" s="14"/>
      <c r="J380" s="15" t="e">
        <f>+VLOOKUP(K380,[1]Datos!$A:$C,3,FALSE)</f>
        <v>#N/A</v>
      </c>
      <c r="L380" s="15" t="e">
        <f>+VLOOKUP(K380,[1]Datos!$A:$C,2,FALSE)</f>
        <v>#N/A</v>
      </c>
      <c r="N380" s="17" t="e">
        <f>+VLOOKUP(M380,[1]Datos!$F:$G,2,FALSE)</f>
        <v>#N/A</v>
      </c>
      <c r="O380" s="18">
        <f>IFERROR(IF(A380="SI",VLOOKUP(R380,[1]Datos!$J$1:$K$50,2,FALSE)*C380,VLOOKUP(R380,[1]Datos!$P$1:$T$50,2,FALSE)*C380),0)</f>
        <v>0</v>
      </c>
      <c r="P380" s="30"/>
      <c r="Q380" s="17" t="e">
        <f>+VLOOKUP(P380,[1]Datos!$F:$G,2,FALSE)</f>
        <v>#N/A</v>
      </c>
      <c r="S380" s="11">
        <f t="shared" si="5"/>
        <v>0</v>
      </c>
      <c r="T380" s="11" t="e">
        <f>+VLOOKUP(M380,[1]Datos!$F:$H,3,FALSE)</f>
        <v>#N/A</v>
      </c>
      <c r="U380" s="11">
        <v>0</v>
      </c>
      <c r="V380" s="19"/>
    </row>
    <row r="381" spans="1:22">
      <c r="A381" s="11" t="s">
        <v>25</v>
      </c>
      <c r="D381" s="11" t="s">
        <v>27</v>
      </c>
      <c r="H381" s="14"/>
      <c r="I381" s="14"/>
      <c r="J381" s="15" t="e">
        <f>+VLOOKUP(K381,[1]Datos!$A:$C,3,FALSE)</f>
        <v>#N/A</v>
      </c>
      <c r="L381" s="15" t="e">
        <f>+VLOOKUP(K381,[1]Datos!$A:$C,2,FALSE)</f>
        <v>#N/A</v>
      </c>
      <c r="N381" s="17" t="e">
        <f>+VLOOKUP(M381,[1]Datos!$F:$G,2,FALSE)</f>
        <v>#N/A</v>
      </c>
      <c r="O381" s="18">
        <f>IFERROR(IF(A381="SI",VLOOKUP(R381,[1]Datos!$J$1:$K$50,2,FALSE)*C381,VLOOKUP(R381,[1]Datos!$P$1:$T$50,2,FALSE)*C381),0)</f>
        <v>0</v>
      </c>
      <c r="P381" s="30"/>
      <c r="Q381" s="17" t="e">
        <f>+VLOOKUP(P381,[1]Datos!$F:$G,2,FALSE)</f>
        <v>#N/A</v>
      </c>
      <c r="S381" s="11">
        <f t="shared" si="5"/>
        <v>0</v>
      </c>
      <c r="T381" s="11" t="e">
        <f>+VLOOKUP(M381,[1]Datos!$F:$H,3,FALSE)</f>
        <v>#N/A</v>
      </c>
      <c r="U381" s="11">
        <v>0</v>
      </c>
      <c r="V381" s="19"/>
    </row>
    <row r="382" spans="1:22">
      <c r="A382" s="11" t="s">
        <v>25</v>
      </c>
      <c r="D382" s="11" t="s">
        <v>27</v>
      </c>
      <c r="H382" s="14"/>
      <c r="I382" s="14"/>
      <c r="J382" s="15" t="e">
        <f>+VLOOKUP(K382,[1]Datos!$A:$C,3,FALSE)</f>
        <v>#N/A</v>
      </c>
      <c r="L382" s="15" t="e">
        <f>+VLOOKUP(K382,[1]Datos!$A:$C,2,FALSE)</f>
        <v>#N/A</v>
      </c>
      <c r="N382" s="17" t="e">
        <f>+VLOOKUP(M382,[1]Datos!$F:$G,2,FALSE)</f>
        <v>#N/A</v>
      </c>
      <c r="O382" s="18">
        <f>IFERROR(IF(A382="SI",VLOOKUP(R382,[1]Datos!$J$1:$K$50,2,FALSE)*C382,VLOOKUP(R382,[1]Datos!$P$1:$T$50,2,FALSE)*C382),0)</f>
        <v>0</v>
      </c>
      <c r="P382" s="30"/>
      <c r="Q382" s="17" t="e">
        <f>+VLOOKUP(P382,[1]Datos!$F:$G,2,FALSE)</f>
        <v>#N/A</v>
      </c>
      <c r="S382" s="11">
        <f t="shared" si="5"/>
        <v>0</v>
      </c>
      <c r="T382" s="11" t="e">
        <f>+VLOOKUP(M382,[1]Datos!$F:$H,3,FALSE)</f>
        <v>#N/A</v>
      </c>
      <c r="U382" s="11">
        <v>0</v>
      </c>
      <c r="V382" s="19"/>
    </row>
    <row r="383" spans="1:22">
      <c r="A383" s="11" t="s">
        <v>25</v>
      </c>
      <c r="D383" s="11" t="s">
        <v>27</v>
      </c>
      <c r="H383" s="14"/>
      <c r="I383" s="14"/>
      <c r="J383" s="15" t="e">
        <f>+VLOOKUP(K383,[1]Datos!$A:$C,3,FALSE)</f>
        <v>#N/A</v>
      </c>
      <c r="L383" s="15" t="e">
        <f>+VLOOKUP(K383,[1]Datos!$A:$C,2,FALSE)</f>
        <v>#N/A</v>
      </c>
      <c r="N383" s="17" t="e">
        <f>+VLOOKUP(M383,[1]Datos!$F:$G,2,FALSE)</f>
        <v>#N/A</v>
      </c>
      <c r="O383" s="18">
        <f>IFERROR(IF(A383="SI",VLOOKUP(R383,[1]Datos!$J$1:$K$50,2,FALSE)*C383,VLOOKUP(R383,[1]Datos!$P$1:$T$50,2,FALSE)*C383),0)</f>
        <v>0</v>
      </c>
      <c r="P383" s="30"/>
      <c r="Q383" s="17" t="e">
        <f>+VLOOKUP(P383,[1]Datos!$F:$G,2,FALSE)</f>
        <v>#N/A</v>
      </c>
      <c r="S383" s="11">
        <f t="shared" si="5"/>
        <v>0</v>
      </c>
      <c r="T383" s="11" t="e">
        <f>+VLOOKUP(M383,[1]Datos!$F:$H,3,FALSE)</f>
        <v>#N/A</v>
      </c>
      <c r="U383" s="11">
        <v>0</v>
      </c>
      <c r="V383" s="19"/>
    </row>
    <row r="384" spans="1:22">
      <c r="A384" s="11" t="s">
        <v>25</v>
      </c>
      <c r="D384" s="11" t="s">
        <v>27</v>
      </c>
      <c r="H384" s="14"/>
      <c r="I384" s="14"/>
      <c r="J384" s="15" t="e">
        <f>+VLOOKUP(K384,[1]Datos!$A:$C,3,FALSE)</f>
        <v>#N/A</v>
      </c>
      <c r="L384" s="15" t="e">
        <f>+VLOOKUP(K384,[1]Datos!$A:$C,2,FALSE)</f>
        <v>#N/A</v>
      </c>
      <c r="N384" s="17" t="e">
        <f>+VLOOKUP(M384,[1]Datos!$F:$G,2,FALSE)</f>
        <v>#N/A</v>
      </c>
      <c r="O384" s="18">
        <f>IFERROR(IF(A384="SI",VLOOKUP(R384,[1]Datos!$J$1:$K$50,2,FALSE)*C384,VLOOKUP(R384,[1]Datos!$P$1:$T$50,2,FALSE)*C384),0)</f>
        <v>0</v>
      </c>
      <c r="P384" s="30"/>
      <c r="Q384" s="17" t="e">
        <f>+VLOOKUP(P384,[1]Datos!$F:$G,2,FALSE)</f>
        <v>#N/A</v>
      </c>
      <c r="S384" s="11">
        <f t="shared" si="5"/>
        <v>0</v>
      </c>
      <c r="T384" s="11" t="e">
        <f>+VLOOKUP(M384,[1]Datos!$F:$H,3,FALSE)</f>
        <v>#N/A</v>
      </c>
      <c r="U384" s="11">
        <v>0</v>
      </c>
      <c r="V384" s="19"/>
    </row>
    <row r="385" spans="1:22">
      <c r="A385" s="11" t="s">
        <v>25</v>
      </c>
      <c r="D385" s="11" t="s">
        <v>27</v>
      </c>
      <c r="H385" s="14"/>
      <c r="I385" s="14"/>
      <c r="J385" s="15" t="e">
        <f>+VLOOKUP(K385,[1]Datos!$A:$C,3,FALSE)</f>
        <v>#N/A</v>
      </c>
      <c r="L385" s="15" t="e">
        <f>+VLOOKUP(K385,[1]Datos!$A:$C,2,FALSE)</f>
        <v>#N/A</v>
      </c>
      <c r="N385" s="17" t="e">
        <f>+VLOOKUP(M385,[1]Datos!$F:$G,2,FALSE)</f>
        <v>#N/A</v>
      </c>
      <c r="O385" s="18">
        <f>IFERROR(IF(A385="SI",VLOOKUP(R385,[1]Datos!$J$1:$K$50,2,FALSE)*C385,VLOOKUP(R385,[1]Datos!$P$1:$T$50,2,FALSE)*C385),0)</f>
        <v>0</v>
      </c>
      <c r="P385" s="30"/>
      <c r="Q385" s="17" t="e">
        <f>+VLOOKUP(P385,[1]Datos!$F:$G,2,FALSE)</f>
        <v>#N/A</v>
      </c>
      <c r="S385" s="11">
        <f t="shared" si="5"/>
        <v>0</v>
      </c>
      <c r="T385" s="11" t="e">
        <f>+VLOOKUP(M385,[1]Datos!$F:$H,3,FALSE)</f>
        <v>#N/A</v>
      </c>
      <c r="U385" s="11">
        <v>0</v>
      </c>
      <c r="V385" s="19"/>
    </row>
    <row r="386" spans="1:22">
      <c r="A386" s="11" t="s">
        <v>25</v>
      </c>
      <c r="D386" s="11" t="s">
        <v>27</v>
      </c>
      <c r="H386" s="14"/>
      <c r="I386" s="14"/>
      <c r="J386" s="15" t="e">
        <f>+VLOOKUP(K386,[1]Datos!$A:$C,3,FALSE)</f>
        <v>#N/A</v>
      </c>
      <c r="L386" s="15" t="e">
        <f>+VLOOKUP(K386,[1]Datos!$A:$C,2,FALSE)</f>
        <v>#N/A</v>
      </c>
      <c r="N386" s="17" t="e">
        <f>+VLOOKUP(M386,[1]Datos!$F:$G,2,FALSE)</f>
        <v>#N/A</v>
      </c>
      <c r="O386" s="18">
        <f>IFERROR(IF(A386="SI",VLOOKUP(R386,[1]Datos!$J$1:$K$50,2,FALSE)*C386,VLOOKUP(R386,[1]Datos!$P$1:$T$50,2,FALSE)*C386),0)</f>
        <v>0</v>
      </c>
      <c r="P386" s="30"/>
      <c r="Q386" s="17" t="e">
        <f>+VLOOKUP(P386,[1]Datos!$F:$G,2,FALSE)</f>
        <v>#N/A</v>
      </c>
      <c r="S386" s="11">
        <f t="shared" si="5"/>
        <v>0</v>
      </c>
      <c r="T386" s="11" t="e">
        <f>+VLOOKUP(M386,[1]Datos!$F:$H,3,FALSE)</f>
        <v>#N/A</v>
      </c>
      <c r="U386" s="11">
        <v>0</v>
      </c>
      <c r="V386" s="19"/>
    </row>
    <row r="387" spans="1:22">
      <c r="A387" s="11" t="s">
        <v>25</v>
      </c>
      <c r="D387" s="11" t="s">
        <v>27</v>
      </c>
      <c r="H387" s="14"/>
      <c r="I387" s="14"/>
      <c r="J387" s="15" t="e">
        <f>+VLOOKUP(K387,[1]Datos!$A:$C,3,FALSE)</f>
        <v>#N/A</v>
      </c>
      <c r="L387" s="15" t="e">
        <f>+VLOOKUP(K387,[1]Datos!$A:$C,2,FALSE)</f>
        <v>#N/A</v>
      </c>
      <c r="N387" s="17" t="e">
        <f>+VLOOKUP(M387,[1]Datos!$F:$G,2,FALSE)</f>
        <v>#N/A</v>
      </c>
      <c r="O387" s="18">
        <f>IFERROR(IF(A387="SI",VLOOKUP(R387,[1]Datos!$J$1:$K$50,2,FALSE)*C387,VLOOKUP(R387,[1]Datos!$P$1:$T$50,2,FALSE)*C387),0)</f>
        <v>0</v>
      </c>
      <c r="P387" s="30"/>
      <c r="Q387" s="17" t="e">
        <f>+VLOOKUP(P387,[1]Datos!$F:$G,2,FALSE)</f>
        <v>#N/A</v>
      </c>
      <c r="S387" s="11">
        <f t="shared" si="5"/>
        <v>0</v>
      </c>
      <c r="T387" s="11" t="e">
        <f>+VLOOKUP(M387,[1]Datos!$F:$H,3,FALSE)</f>
        <v>#N/A</v>
      </c>
      <c r="U387" s="11">
        <v>0</v>
      </c>
      <c r="V387" s="19"/>
    </row>
    <row r="388" spans="1:22">
      <c r="A388" s="11" t="s">
        <v>25</v>
      </c>
      <c r="D388" s="11" t="s">
        <v>27</v>
      </c>
      <c r="H388" s="14"/>
      <c r="I388" s="14"/>
      <c r="J388" s="15" t="e">
        <f>+VLOOKUP(K388,[1]Datos!$A:$C,3,FALSE)</f>
        <v>#N/A</v>
      </c>
      <c r="L388" s="15" t="e">
        <f>+VLOOKUP(K388,[1]Datos!$A:$C,2,FALSE)</f>
        <v>#N/A</v>
      </c>
      <c r="N388" s="17" t="e">
        <f>+VLOOKUP(M388,[1]Datos!$F:$G,2,FALSE)</f>
        <v>#N/A</v>
      </c>
      <c r="O388" s="18">
        <f>IFERROR(IF(A388="SI",VLOOKUP(R388,[1]Datos!$J$1:$K$50,2,FALSE)*C388,VLOOKUP(R388,[1]Datos!$P$1:$T$50,2,FALSE)*C388),0)</f>
        <v>0</v>
      </c>
      <c r="P388" s="30"/>
      <c r="Q388" s="17" t="e">
        <f>+VLOOKUP(P388,[1]Datos!$F:$G,2,FALSE)</f>
        <v>#N/A</v>
      </c>
      <c r="S388" s="11">
        <f t="shared" si="5"/>
        <v>0</v>
      </c>
      <c r="T388" s="11" t="e">
        <f>+VLOOKUP(M388,[1]Datos!$F:$H,3,FALSE)</f>
        <v>#N/A</v>
      </c>
      <c r="U388" s="11">
        <v>0</v>
      </c>
      <c r="V388" s="19"/>
    </row>
    <row r="389" spans="1:22">
      <c r="A389" s="11" t="s">
        <v>25</v>
      </c>
      <c r="D389" s="11" t="s">
        <v>27</v>
      </c>
      <c r="H389" s="14"/>
      <c r="I389" s="14"/>
      <c r="J389" s="15" t="e">
        <f>+VLOOKUP(K389,[1]Datos!$A:$C,3,FALSE)</f>
        <v>#N/A</v>
      </c>
      <c r="L389" s="15" t="e">
        <f>+VLOOKUP(K389,[1]Datos!$A:$C,2,FALSE)</f>
        <v>#N/A</v>
      </c>
      <c r="N389" s="17" t="e">
        <f>+VLOOKUP(M389,[1]Datos!$F:$G,2,FALSE)</f>
        <v>#N/A</v>
      </c>
      <c r="O389" s="18">
        <f>IFERROR(IF(A389="SI",VLOOKUP(R389,[1]Datos!$J$1:$K$50,2,FALSE)*C389,VLOOKUP(R389,[1]Datos!$P$1:$T$50,2,FALSE)*C389),0)</f>
        <v>0</v>
      </c>
      <c r="P389" s="30"/>
      <c r="Q389" s="17" t="e">
        <f>+VLOOKUP(P389,[1]Datos!$F:$G,2,FALSE)</f>
        <v>#N/A</v>
      </c>
      <c r="S389" s="11">
        <f t="shared" si="5"/>
        <v>0</v>
      </c>
      <c r="T389" s="11" t="e">
        <f>+VLOOKUP(M389,[1]Datos!$F:$H,3,FALSE)</f>
        <v>#N/A</v>
      </c>
      <c r="U389" s="11">
        <v>0</v>
      </c>
      <c r="V389" s="19"/>
    </row>
    <row r="390" spans="1:22">
      <c r="A390" s="11" t="s">
        <v>25</v>
      </c>
      <c r="D390" s="11" t="s">
        <v>27</v>
      </c>
      <c r="H390" s="14"/>
      <c r="I390" s="14"/>
      <c r="J390" s="15" t="e">
        <f>+VLOOKUP(K390,[1]Datos!$A:$C,3,FALSE)</f>
        <v>#N/A</v>
      </c>
      <c r="L390" s="15" t="e">
        <f>+VLOOKUP(K390,[1]Datos!$A:$C,2,FALSE)</f>
        <v>#N/A</v>
      </c>
      <c r="N390" s="17" t="e">
        <f>+VLOOKUP(M390,[1]Datos!$F:$G,2,FALSE)</f>
        <v>#N/A</v>
      </c>
      <c r="O390" s="18">
        <f>IFERROR(IF(A390="SI",VLOOKUP(R390,[1]Datos!$J$1:$K$50,2,FALSE)*C390,VLOOKUP(R390,[1]Datos!$P$1:$T$50,2,FALSE)*C390),0)</f>
        <v>0</v>
      </c>
      <c r="P390" s="30"/>
      <c r="Q390" s="17" t="e">
        <f>+VLOOKUP(P390,[1]Datos!$F:$G,2,FALSE)</f>
        <v>#N/A</v>
      </c>
      <c r="S390" s="11">
        <f t="shared" si="5"/>
        <v>0</v>
      </c>
      <c r="T390" s="11" t="e">
        <f>+VLOOKUP(M390,[1]Datos!$F:$H,3,FALSE)</f>
        <v>#N/A</v>
      </c>
      <c r="U390" s="11">
        <v>0</v>
      </c>
      <c r="V390" s="19"/>
    </row>
    <row r="391" spans="1:22">
      <c r="A391" s="11" t="s">
        <v>25</v>
      </c>
      <c r="D391" s="11" t="s">
        <v>27</v>
      </c>
      <c r="H391" s="14"/>
      <c r="I391" s="14"/>
      <c r="J391" s="15" t="e">
        <f>+VLOOKUP(K391,[1]Datos!$A:$C,3,FALSE)</f>
        <v>#N/A</v>
      </c>
      <c r="L391" s="15" t="e">
        <f>+VLOOKUP(K391,[1]Datos!$A:$C,2,FALSE)</f>
        <v>#N/A</v>
      </c>
      <c r="N391" s="17" t="e">
        <f>+VLOOKUP(M391,[1]Datos!$F:$G,2,FALSE)</f>
        <v>#N/A</v>
      </c>
      <c r="O391" s="18">
        <f>IFERROR(IF(A391="SI",VLOOKUP(R391,[1]Datos!$J$1:$K$50,2,FALSE)*C391,VLOOKUP(R391,[1]Datos!$P$1:$T$50,2,FALSE)*C391),0)</f>
        <v>0</v>
      </c>
      <c r="P391" s="30"/>
      <c r="Q391" s="17" t="e">
        <f>+VLOOKUP(P391,[1]Datos!$F:$G,2,FALSE)</f>
        <v>#N/A</v>
      </c>
      <c r="S391" s="11">
        <f t="shared" si="5"/>
        <v>0</v>
      </c>
      <c r="T391" s="11" t="e">
        <f>+VLOOKUP(M391,[1]Datos!$F:$H,3,FALSE)</f>
        <v>#N/A</v>
      </c>
      <c r="U391" s="11">
        <v>0</v>
      </c>
      <c r="V391" s="19"/>
    </row>
    <row r="392" spans="1:22">
      <c r="A392" s="11" t="s">
        <v>25</v>
      </c>
      <c r="D392" s="11" t="s">
        <v>27</v>
      </c>
      <c r="H392" s="14"/>
      <c r="I392" s="14"/>
      <c r="J392" s="15" t="e">
        <f>+VLOOKUP(K392,[1]Datos!$A:$C,3,FALSE)</f>
        <v>#N/A</v>
      </c>
      <c r="L392" s="15" t="e">
        <f>+VLOOKUP(K392,[1]Datos!$A:$C,2,FALSE)</f>
        <v>#N/A</v>
      </c>
      <c r="N392" s="17" t="e">
        <f>+VLOOKUP(M392,[1]Datos!$F:$G,2,FALSE)</f>
        <v>#N/A</v>
      </c>
      <c r="O392" s="18">
        <f>IFERROR(IF(A392="SI",VLOOKUP(R392,[1]Datos!$J$1:$K$50,2,FALSE)*C392,VLOOKUP(R392,[1]Datos!$P$1:$T$50,2,FALSE)*C392),0)</f>
        <v>0</v>
      </c>
      <c r="P392" s="30"/>
      <c r="Q392" s="17" t="e">
        <f>+VLOOKUP(P392,[1]Datos!$F:$G,2,FALSE)</f>
        <v>#N/A</v>
      </c>
      <c r="S392" s="11">
        <f t="shared" ref="S392:S455" si="6">+COUNTIFS($G$2:$G$607,G392)</f>
        <v>0</v>
      </c>
      <c r="T392" s="11" t="e">
        <f>+VLOOKUP(M392,[1]Datos!$F:$H,3,FALSE)</f>
        <v>#N/A</v>
      </c>
      <c r="U392" s="11">
        <v>0</v>
      </c>
      <c r="V392" s="19"/>
    </row>
    <row r="393" spans="1:22">
      <c r="A393" s="11" t="s">
        <v>25</v>
      </c>
      <c r="D393" s="11" t="s">
        <v>27</v>
      </c>
      <c r="H393" s="14"/>
      <c r="I393" s="14"/>
      <c r="J393" s="15" t="e">
        <f>+VLOOKUP(K393,[1]Datos!$A:$C,3,FALSE)</f>
        <v>#N/A</v>
      </c>
      <c r="L393" s="15" t="e">
        <f>+VLOOKUP(K393,[1]Datos!$A:$C,2,FALSE)</f>
        <v>#N/A</v>
      </c>
      <c r="N393" s="17" t="e">
        <f>+VLOOKUP(M393,[1]Datos!$F:$G,2,FALSE)</f>
        <v>#N/A</v>
      </c>
      <c r="O393" s="18">
        <f>IFERROR(IF(A393="SI",VLOOKUP(R393,[1]Datos!$J$1:$K$50,2,FALSE)*C393,VLOOKUP(R393,[1]Datos!$P$1:$T$50,2,FALSE)*C393),0)</f>
        <v>0</v>
      </c>
      <c r="P393" s="30"/>
      <c r="Q393" s="17" t="e">
        <f>+VLOOKUP(P393,[1]Datos!$F:$G,2,FALSE)</f>
        <v>#N/A</v>
      </c>
      <c r="S393" s="11">
        <f t="shared" si="6"/>
        <v>0</v>
      </c>
      <c r="T393" s="11" t="e">
        <f>+VLOOKUP(M393,[1]Datos!$F:$H,3,FALSE)</f>
        <v>#N/A</v>
      </c>
      <c r="U393" s="11">
        <v>0</v>
      </c>
      <c r="V393" s="19"/>
    </row>
    <row r="394" spans="1:22">
      <c r="A394" s="11" t="s">
        <v>25</v>
      </c>
      <c r="D394" s="11" t="s">
        <v>27</v>
      </c>
      <c r="H394" s="14"/>
      <c r="I394" s="14"/>
      <c r="J394" s="15" t="e">
        <f>+VLOOKUP(K394,[1]Datos!$A:$C,3,FALSE)</f>
        <v>#N/A</v>
      </c>
      <c r="L394" s="15" t="e">
        <f>+VLOOKUP(K394,[1]Datos!$A:$C,2,FALSE)</f>
        <v>#N/A</v>
      </c>
      <c r="N394" s="17" t="e">
        <f>+VLOOKUP(M394,[1]Datos!$F:$G,2,FALSE)</f>
        <v>#N/A</v>
      </c>
      <c r="O394" s="18">
        <f>IFERROR(IF(A394="SI",VLOOKUP(R394,[1]Datos!$J$1:$K$50,2,FALSE)*C394,VLOOKUP(R394,[1]Datos!$P$1:$T$50,2,FALSE)*C394),0)</f>
        <v>0</v>
      </c>
      <c r="P394" s="30"/>
      <c r="Q394" s="17" t="e">
        <f>+VLOOKUP(P394,[1]Datos!$F:$G,2,FALSE)</f>
        <v>#N/A</v>
      </c>
      <c r="S394" s="11">
        <f t="shared" si="6"/>
        <v>0</v>
      </c>
      <c r="T394" s="11" t="e">
        <f>+VLOOKUP(M394,[1]Datos!$F:$H,3,FALSE)</f>
        <v>#N/A</v>
      </c>
      <c r="U394" s="11">
        <v>0</v>
      </c>
      <c r="V394" s="19"/>
    </row>
    <row r="395" spans="1:22">
      <c r="A395" s="11" t="s">
        <v>25</v>
      </c>
      <c r="D395" s="11" t="s">
        <v>27</v>
      </c>
      <c r="H395" s="14"/>
      <c r="I395" s="14"/>
      <c r="J395" s="15" t="e">
        <f>+VLOOKUP(K395,[1]Datos!$A:$C,3,FALSE)</f>
        <v>#N/A</v>
      </c>
      <c r="L395" s="15" t="e">
        <f>+VLOOKUP(K395,[1]Datos!$A:$C,2,FALSE)</f>
        <v>#N/A</v>
      </c>
      <c r="N395" s="17" t="e">
        <f>+VLOOKUP(M395,[1]Datos!$F:$G,2,FALSE)</f>
        <v>#N/A</v>
      </c>
      <c r="O395" s="18">
        <f>IFERROR(IF(A395="SI",VLOOKUP(R395,[1]Datos!$J$1:$K$50,2,FALSE)*C395,VLOOKUP(R395,[1]Datos!$P$1:$T$50,2,FALSE)*C395),0)</f>
        <v>0</v>
      </c>
      <c r="P395" s="30"/>
      <c r="Q395" s="17" t="e">
        <f>+VLOOKUP(P395,[1]Datos!$F:$G,2,FALSE)</f>
        <v>#N/A</v>
      </c>
      <c r="S395" s="11">
        <f t="shared" si="6"/>
        <v>0</v>
      </c>
      <c r="T395" s="11" t="e">
        <f>+VLOOKUP(M395,[1]Datos!$F:$H,3,FALSE)</f>
        <v>#N/A</v>
      </c>
      <c r="U395" s="11">
        <v>0</v>
      </c>
      <c r="V395" s="19"/>
    </row>
    <row r="396" spans="1:22">
      <c r="A396" s="11" t="s">
        <v>25</v>
      </c>
      <c r="D396" s="11" t="s">
        <v>27</v>
      </c>
      <c r="H396" s="14"/>
      <c r="I396" s="14"/>
      <c r="J396" s="15" t="e">
        <f>+VLOOKUP(K396,[1]Datos!$A:$C,3,FALSE)</f>
        <v>#N/A</v>
      </c>
      <c r="L396" s="15" t="e">
        <f>+VLOOKUP(K396,[1]Datos!$A:$C,2,FALSE)</f>
        <v>#N/A</v>
      </c>
      <c r="N396" s="17" t="e">
        <f>+VLOOKUP(M396,[1]Datos!$F:$G,2,FALSE)</f>
        <v>#N/A</v>
      </c>
      <c r="O396" s="18">
        <f>IFERROR(IF(A396="SI",VLOOKUP(R396,[1]Datos!$J$1:$K$50,2,FALSE)*C396,VLOOKUP(R396,[1]Datos!$P$1:$T$50,2,FALSE)*C396),0)</f>
        <v>0</v>
      </c>
      <c r="P396" s="30"/>
      <c r="Q396" s="17" t="e">
        <f>+VLOOKUP(P396,[1]Datos!$F:$G,2,FALSE)</f>
        <v>#N/A</v>
      </c>
      <c r="S396" s="11">
        <f t="shared" si="6"/>
        <v>0</v>
      </c>
      <c r="T396" s="11" t="e">
        <f>+VLOOKUP(M396,[1]Datos!$F:$H,3,FALSE)</f>
        <v>#N/A</v>
      </c>
      <c r="U396" s="11">
        <v>0</v>
      </c>
      <c r="V396" s="19"/>
    </row>
    <row r="397" spans="1:22">
      <c r="A397" s="11" t="s">
        <v>25</v>
      </c>
      <c r="D397" s="11" t="s">
        <v>27</v>
      </c>
      <c r="H397" s="14"/>
      <c r="I397" s="14"/>
      <c r="J397" s="15" t="e">
        <f>+VLOOKUP(K397,[1]Datos!$A:$C,3,FALSE)</f>
        <v>#N/A</v>
      </c>
      <c r="L397" s="15" t="e">
        <f>+VLOOKUP(K397,[1]Datos!$A:$C,2,FALSE)</f>
        <v>#N/A</v>
      </c>
      <c r="N397" s="17" t="e">
        <f>+VLOOKUP(M397,[1]Datos!$F:$G,2,FALSE)</f>
        <v>#N/A</v>
      </c>
      <c r="O397" s="18">
        <f>IFERROR(IF(A397="SI",VLOOKUP(R397,[1]Datos!$J$1:$K$50,2,FALSE)*C397,VLOOKUP(R397,[1]Datos!$P$1:$T$50,2,FALSE)*C397),0)</f>
        <v>0</v>
      </c>
      <c r="P397" s="30"/>
      <c r="Q397" s="17" t="e">
        <f>+VLOOKUP(P397,[1]Datos!$F:$G,2,FALSE)</f>
        <v>#N/A</v>
      </c>
      <c r="S397" s="11">
        <f t="shared" si="6"/>
        <v>0</v>
      </c>
      <c r="T397" s="11" t="e">
        <f>+VLOOKUP(M397,[1]Datos!$F:$H,3,FALSE)</f>
        <v>#N/A</v>
      </c>
      <c r="U397" s="11">
        <v>0</v>
      </c>
      <c r="V397" s="19"/>
    </row>
    <row r="398" spans="1:22">
      <c r="A398" s="11" t="s">
        <v>25</v>
      </c>
      <c r="D398" s="11" t="s">
        <v>27</v>
      </c>
      <c r="H398" s="14"/>
      <c r="I398" s="14"/>
      <c r="J398" s="15" t="e">
        <f>+VLOOKUP(K398,[1]Datos!$A:$C,3,FALSE)</f>
        <v>#N/A</v>
      </c>
      <c r="L398" s="15" t="e">
        <f>+VLOOKUP(K398,[1]Datos!$A:$C,2,FALSE)</f>
        <v>#N/A</v>
      </c>
      <c r="N398" s="17" t="e">
        <f>+VLOOKUP(M398,[1]Datos!$F:$G,2,FALSE)</f>
        <v>#N/A</v>
      </c>
      <c r="O398" s="18">
        <f>IFERROR(IF(A398="SI",VLOOKUP(R398,[1]Datos!$J$1:$K$50,2,FALSE)*C398,VLOOKUP(R398,[1]Datos!$P$1:$T$50,2,FALSE)*C398),0)</f>
        <v>0</v>
      </c>
      <c r="P398" s="30"/>
      <c r="Q398" s="17" t="e">
        <f>+VLOOKUP(P398,[1]Datos!$F:$G,2,FALSE)</f>
        <v>#N/A</v>
      </c>
      <c r="S398" s="11">
        <f t="shared" si="6"/>
        <v>0</v>
      </c>
      <c r="T398" s="11" t="e">
        <f>+VLOOKUP(M398,[1]Datos!$F:$H,3,FALSE)</f>
        <v>#N/A</v>
      </c>
      <c r="U398" s="11">
        <v>0</v>
      </c>
      <c r="V398" s="19"/>
    </row>
    <row r="399" spans="1:22">
      <c r="A399" s="11" t="s">
        <v>25</v>
      </c>
      <c r="D399" s="11" t="s">
        <v>27</v>
      </c>
      <c r="H399" s="14"/>
      <c r="I399" s="14"/>
      <c r="J399" s="15" t="e">
        <f>+VLOOKUP(K399,[1]Datos!$A:$C,3,FALSE)</f>
        <v>#N/A</v>
      </c>
      <c r="L399" s="15" t="e">
        <f>+VLOOKUP(K399,[1]Datos!$A:$C,2,FALSE)</f>
        <v>#N/A</v>
      </c>
      <c r="N399" s="17" t="e">
        <f>+VLOOKUP(M399,[1]Datos!$F:$G,2,FALSE)</f>
        <v>#N/A</v>
      </c>
      <c r="O399" s="18">
        <f>IFERROR(IF(A399="SI",VLOOKUP(R399,[1]Datos!$J$1:$K$50,2,FALSE)*C399,VLOOKUP(R399,[1]Datos!$P$1:$T$50,2,FALSE)*C399),0)</f>
        <v>0</v>
      </c>
      <c r="P399" s="30"/>
      <c r="Q399" s="17" t="e">
        <f>+VLOOKUP(P399,[1]Datos!$F:$G,2,FALSE)</f>
        <v>#N/A</v>
      </c>
      <c r="S399" s="11">
        <f t="shared" si="6"/>
        <v>0</v>
      </c>
      <c r="T399" s="11" t="e">
        <f>+VLOOKUP(M399,[1]Datos!$F:$H,3,FALSE)</f>
        <v>#N/A</v>
      </c>
      <c r="U399" s="11">
        <v>0</v>
      </c>
      <c r="V399" s="19"/>
    </row>
    <row r="400" spans="1:22">
      <c r="A400" s="11" t="s">
        <v>25</v>
      </c>
      <c r="D400" s="11" t="s">
        <v>27</v>
      </c>
      <c r="H400" s="14"/>
      <c r="I400" s="14"/>
      <c r="J400" s="15" t="e">
        <f>+VLOOKUP(K400,[1]Datos!$A:$C,3,FALSE)</f>
        <v>#N/A</v>
      </c>
      <c r="L400" s="15" t="e">
        <f>+VLOOKUP(K400,[1]Datos!$A:$C,2,FALSE)</f>
        <v>#N/A</v>
      </c>
      <c r="N400" s="17" t="e">
        <f>+VLOOKUP(M400,[1]Datos!$F:$G,2,FALSE)</f>
        <v>#N/A</v>
      </c>
      <c r="O400" s="18">
        <f>IFERROR(IF(A400="SI",VLOOKUP(R400,[1]Datos!$J$1:$K$50,2,FALSE)*C400,VLOOKUP(R400,[1]Datos!$P$1:$T$50,2,FALSE)*C400),0)</f>
        <v>0</v>
      </c>
      <c r="P400" s="30"/>
      <c r="Q400" s="17" t="e">
        <f>+VLOOKUP(P400,[1]Datos!$F:$G,2,FALSE)</f>
        <v>#N/A</v>
      </c>
      <c r="S400" s="11">
        <f t="shared" si="6"/>
        <v>0</v>
      </c>
      <c r="T400" s="11" t="e">
        <f>+VLOOKUP(M400,[1]Datos!$F:$H,3,FALSE)</f>
        <v>#N/A</v>
      </c>
      <c r="U400" s="11">
        <v>0</v>
      </c>
      <c r="V400" s="19"/>
    </row>
    <row r="401" spans="1:22">
      <c r="A401" s="11" t="s">
        <v>25</v>
      </c>
      <c r="D401" s="11" t="s">
        <v>27</v>
      </c>
      <c r="H401" s="14"/>
      <c r="I401" s="14"/>
      <c r="J401" s="15" t="e">
        <f>+VLOOKUP(K401,[1]Datos!$A:$C,3,FALSE)</f>
        <v>#N/A</v>
      </c>
      <c r="L401" s="15" t="e">
        <f>+VLOOKUP(K401,[1]Datos!$A:$C,2,FALSE)</f>
        <v>#N/A</v>
      </c>
      <c r="N401" s="17" t="e">
        <f>+VLOOKUP(M401,[1]Datos!$F:$G,2,FALSE)</f>
        <v>#N/A</v>
      </c>
      <c r="O401" s="18">
        <f>IFERROR(IF(A401="SI",VLOOKUP(R401,[1]Datos!$J$1:$K$50,2,FALSE)*C401,VLOOKUP(R401,[1]Datos!$P$1:$T$50,2,FALSE)*C401),0)</f>
        <v>0</v>
      </c>
      <c r="P401" s="30"/>
      <c r="Q401" s="17" t="e">
        <f>+VLOOKUP(P401,[1]Datos!$F:$G,2,FALSE)</f>
        <v>#N/A</v>
      </c>
      <c r="S401" s="11">
        <f t="shared" si="6"/>
        <v>0</v>
      </c>
      <c r="T401" s="11" t="e">
        <f>+VLOOKUP(M401,[1]Datos!$F:$H,3,FALSE)</f>
        <v>#N/A</v>
      </c>
      <c r="U401" s="11">
        <v>0</v>
      </c>
      <c r="V401" s="19"/>
    </row>
    <row r="402" spans="1:22">
      <c r="A402" s="11" t="s">
        <v>25</v>
      </c>
      <c r="D402" s="11" t="s">
        <v>27</v>
      </c>
      <c r="H402" s="14"/>
      <c r="I402" s="14"/>
      <c r="J402" s="15" t="e">
        <f>+VLOOKUP(K402,[1]Datos!$A:$C,3,FALSE)</f>
        <v>#N/A</v>
      </c>
      <c r="L402" s="15" t="e">
        <f>+VLOOKUP(K402,[1]Datos!$A:$C,2,FALSE)</f>
        <v>#N/A</v>
      </c>
      <c r="N402" s="17" t="e">
        <f>+VLOOKUP(M402,[1]Datos!$F:$G,2,FALSE)</f>
        <v>#N/A</v>
      </c>
      <c r="O402" s="18">
        <f>IFERROR(IF(A402="SI",VLOOKUP(R402,[1]Datos!$J$1:$K$50,2,FALSE)*C402,VLOOKUP(R402,[1]Datos!$P$1:$T$50,2,FALSE)*C402),0)</f>
        <v>0</v>
      </c>
      <c r="P402" s="30"/>
      <c r="Q402" s="17" t="e">
        <f>+VLOOKUP(P402,[1]Datos!$F:$G,2,FALSE)</f>
        <v>#N/A</v>
      </c>
      <c r="S402" s="11">
        <f t="shared" si="6"/>
        <v>0</v>
      </c>
      <c r="T402" s="11" t="e">
        <f>+VLOOKUP(M402,[1]Datos!$F:$H,3,FALSE)</f>
        <v>#N/A</v>
      </c>
      <c r="U402" s="11">
        <v>0</v>
      </c>
      <c r="V402" s="19"/>
    </row>
    <row r="403" spans="1:22">
      <c r="A403" s="11" t="s">
        <v>25</v>
      </c>
      <c r="D403" s="11" t="s">
        <v>27</v>
      </c>
      <c r="H403" s="14"/>
      <c r="I403" s="14"/>
      <c r="J403" s="15" t="e">
        <f>+VLOOKUP(K403,[1]Datos!$A:$C,3,FALSE)</f>
        <v>#N/A</v>
      </c>
      <c r="L403" s="15" t="e">
        <f>+VLOOKUP(K403,[1]Datos!$A:$C,2,FALSE)</f>
        <v>#N/A</v>
      </c>
      <c r="N403" s="17" t="e">
        <f>+VLOOKUP(M403,[1]Datos!$F:$G,2,FALSE)</f>
        <v>#N/A</v>
      </c>
      <c r="O403" s="18">
        <f>IFERROR(IF(A403="SI",VLOOKUP(R403,[1]Datos!$J$1:$K$50,2,FALSE)*C403,VLOOKUP(R403,[1]Datos!$P$1:$T$50,2,FALSE)*C403),0)</f>
        <v>0</v>
      </c>
      <c r="P403" s="30"/>
      <c r="Q403" s="17" t="e">
        <f>+VLOOKUP(P403,[1]Datos!$F:$G,2,FALSE)</f>
        <v>#N/A</v>
      </c>
      <c r="S403" s="11">
        <f t="shared" si="6"/>
        <v>0</v>
      </c>
      <c r="T403" s="11" t="e">
        <f>+VLOOKUP(M403,[1]Datos!$F:$H,3,FALSE)</f>
        <v>#N/A</v>
      </c>
      <c r="U403" s="11">
        <v>0</v>
      </c>
      <c r="V403" s="19"/>
    </row>
    <row r="404" spans="1:22">
      <c r="A404" s="11" t="s">
        <v>25</v>
      </c>
      <c r="D404" s="11" t="s">
        <v>27</v>
      </c>
      <c r="H404" s="14"/>
      <c r="I404" s="14"/>
      <c r="J404" s="15" t="e">
        <f>+VLOOKUP(K404,[1]Datos!$A:$C,3,FALSE)</f>
        <v>#N/A</v>
      </c>
      <c r="L404" s="15" t="e">
        <f>+VLOOKUP(K404,[1]Datos!$A:$C,2,FALSE)</f>
        <v>#N/A</v>
      </c>
      <c r="N404" s="17" t="e">
        <f>+VLOOKUP(M404,[1]Datos!$F:$G,2,FALSE)</f>
        <v>#N/A</v>
      </c>
      <c r="O404" s="18">
        <f>IFERROR(IF(A404="SI",VLOOKUP(R404,[1]Datos!$J$1:$K$50,2,FALSE)*C404,VLOOKUP(R404,[1]Datos!$P$1:$T$50,2,FALSE)*C404),0)</f>
        <v>0</v>
      </c>
      <c r="P404" s="30"/>
      <c r="Q404" s="17" t="e">
        <f>+VLOOKUP(P404,[1]Datos!$F:$G,2,FALSE)</f>
        <v>#N/A</v>
      </c>
      <c r="S404" s="11">
        <f t="shared" si="6"/>
        <v>0</v>
      </c>
      <c r="T404" s="11" t="e">
        <f>+VLOOKUP(M404,[1]Datos!$F:$H,3,FALSE)</f>
        <v>#N/A</v>
      </c>
      <c r="U404" s="11">
        <v>0</v>
      </c>
      <c r="V404" s="19"/>
    </row>
    <row r="405" spans="1:22">
      <c r="A405" s="11" t="s">
        <v>25</v>
      </c>
      <c r="D405" s="11" t="s">
        <v>27</v>
      </c>
      <c r="H405" s="14"/>
      <c r="I405" s="14"/>
      <c r="J405" s="15" t="e">
        <f>+VLOOKUP(K405,[1]Datos!$A:$C,3,FALSE)</f>
        <v>#N/A</v>
      </c>
      <c r="L405" s="15" t="e">
        <f>+VLOOKUP(K405,[1]Datos!$A:$C,2,FALSE)</f>
        <v>#N/A</v>
      </c>
      <c r="N405" s="17" t="e">
        <f>+VLOOKUP(M405,[1]Datos!$F:$G,2,FALSE)</f>
        <v>#N/A</v>
      </c>
      <c r="O405" s="18">
        <f>IFERROR(IF(A405="SI",VLOOKUP(R405,[1]Datos!$J$1:$K$50,2,FALSE)*C405,VLOOKUP(R405,[1]Datos!$P$1:$T$50,2,FALSE)*C405),0)</f>
        <v>0</v>
      </c>
      <c r="P405" s="30"/>
      <c r="Q405" s="17" t="e">
        <f>+VLOOKUP(P405,[1]Datos!$F:$G,2,FALSE)</f>
        <v>#N/A</v>
      </c>
      <c r="S405" s="11">
        <f t="shared" si="6"/>
        <v>0</v>
      </c>
      <c r="T405" s="11" t="e">
        <f>+VLOOKUP(M405,[1]Datos!$F:$H,3,FALSE)</f>
        <v>#N/A</v>
      </c>
      <c r="U405" s="11">
        <v>0</v>
      </c>
      <c r="V405" s="19"/>
    </row>
    <row r="406" spans="1:22">
      <c r="A406" s="11" t="s">
        <v>25</v>
      </c>
      <c r="D406" s="11" t="s">
        <v>27</v>
      </c>
      <c r="H406" s="14"/>
      <c r="I406" s="14"/>
      <c r="J406" s="15" t="e">
        <f>+VLOOKUP(K406,[1]Datos!$A:$C,3,FALSE)</f>
        <v>#N/A</v>
      </c>
      <c r="L406" s="15" t="e">
        <f>+VLOOKUP(K406,[1]Datos!$A:$C,2,FALSE)</f>
        <v>#N/A</v>
      </c>
      <c r="N406" s="17" t="e">
        <f>+VLOOKUP(M406,[1]Datos!$F:$G,2,FALSE)</f>
        <v>#N/A</v>
      </c>
      <c r="O406" s="18">
        <f>IFERROR(IF(A406="SI",VLOOKUP(R406,[1]Datos!$J$1:$K$50,2,FALSE)*C406,VLOOKUP(R406,[1]Datos!$P$1:$T$50,2,FALSE)*C406),0)</f>
        <v>0</v>
      </c>
      <c r="P406" s="30"/>
      <c r="Q406" s="17" t="e">
        <f>+VLOOKUP(P406,[1]Datos!$F:$G,2,FALSE)</f>
        <v>#N/A</v>
      </c>
      <c r="S406" s="11">
        <f t="shared" si="6"/>
        <v>0</v>
      </c>
      <c r="T406" s="11" t="e">
        <f>+VLOOKUP(M406,[1]Datos!$F:$H,3,FALSE)</f>
        <v>#N/A</v>
      </c>
      <c r="U406" s="11">
        <v>0</v>
      </c>
      <c r="V406" s="19"/>
    </row>
    <row r="407" spans="1:22">
      <c r="A407" s="11" t="s">
        <v>25</v>
      </c>
      <c r="D407" s="11" t="s">
        <v>27</v>
      </c>
      <c r="H407" s="14"/>
      <c r="I407" s="14"/>
      <c r="J407" s="15" t="e">
        <f>+VLOOKUP(K407,[1]Datos!$A:$C,3,FALSE)</f>
        <v>#N/A</v>
      </c>
      <c r="L407" s="15" t="e">
        <f>+VLOOKUP(K407,[1]Datos!$A:$C,2,FALSE)</f>
        <v>#N/A</v>
      </c>
      <c r="N407" s="17" t="e">
        <f>+VLOOKUP(M407,[1]Datos!$F:$G,2,FALSE)</f>
        <v>#N/A</v>
      </c>
      <c r="O407" s="18">
        <f>IFERROR(IF(A407="SI",VLOOKUP(R407,[1]Datos!$J$1:$K$50,2,FALSE)*C407,VLOOKUP(R407,[1]Datos!$P$1:$T$50,2,FALSE)*C407),0)</f>
        <v>0</v>
      </c>
      <c r="P407" s="30"/>
      <c r="Q407" s="17" t="e">
        <f>+VLOOKUP(P407,[1]Datos!$F:$G,2,FALSE)</f>
        <v>#N/A</v>
      </c>
      <c r="S407" s="11">
        <f t="shared" si="6"/>
        <v>0</v>
      </c>
      <c r="T407" s="11" t="e">
        <f>+VLOOKUP(M407,[1]Datos!$F:$H,3,FALSE)</f>
        <v>#N/A</v>
      </c>
      <c r="U407" s="11">
        <v>0</v>
      </c>
      <c r="V407" s="19"/>
    </row>
    <row r="408" spans="1:22">
      <c r="A408" s="11" t="s">
        <v>25</v>
      </c>
      <c r="D408" s="11" t="s">
        <v>27</v>
      </c>
      <c r="H408" s="14"/>
      <c r="I408" s="14"/>
      <c r="J408" s="15" t="e">
        <f>+VLOOKUP(K408,[1]Datos!$A:$C,3,FALSE)</f>
        <v>#N/A</v>
      </c>
      <c r="L408" s="15" t="e">
        <f>+VLOOKUP(K408,[1]Datos!$A:$C,2,FALSE)</f>
        <v>#N/A</v>
      </c>
      <c r="N408" s="17" t="e">
        <f>+VLOOKUP(M408,[1]Datos!$F:$G,2,FALSE)</f>
        <v>#N/A</v>
      </c>
      <c r="O408" s="18">
        <f>IFERROR(IF(A408="SI",VLOOKUP(R408,[1]Datos!$J$1:$K$50,2,FALSE)*C408,VLOOKUP(R408,[1]Datos!$P$1:$T$50,2,FALSE)*C408),0)</f>
        <v>0</v>
      </c>
      <c r="P408" s="30"/>
      <c r="Q408" s="17" t="e">
        <f>+VLOOKUP(P408,[1]Datos!$F:$G,2,FALSE)</f>
        <v>#N/A</v>
      </c>
      <c r="S408" s="11">
        <f t="shared" si="6"/>
        <v>0</v>
      </c>
      <c r="T408" s="11" t="e">
        <f>+VLOOKUP(M408,[1]Datos!$F:$H,3,FALSE)</f>
        <v>#N/A</v>
      </c>
      <c r="U408" s="11">
        <v>0</v>
      </c>
      <c r="V408" s="19"/>
    </row>
    <row r="409" spans="1:22">
      <c r="A409" s="11" t="s">
        <v>25</v>
      </c>
      <c r="D409" s="11" t="s">
        <v>27</v>
      </c>
      <c r="H409" s="14"/>
      <c r="I409" s="14"/>
      <c r="J409" s="15" t="e">
        <f>+VLOOKUP(K409,[1]Datos!$A:$C,3,FALSE)</f>
        <v>#N/A</v>
      </c>
      <c r="L409" s="15" t="e">
        <f>+VLOOKUP(K409,[1]Datos!$A:$C,2,FALSE)</f>
        <v>#N/A</v>
      </c>
      <c r="N409" s="17" t="e">
        <f>+VLOOKUP(M409,[1]Datos!$F:$G,2,FALSE)</f>
        <v>#N/A</v>
      </c>
      <c r="O409" s="18">
        <f>IFERROR(IF(A409="SI",VLOOKUP(R409,[1]Datos!$J$1:$K$50,2,FALSE)*C409,VLOOKUP(R409,[1]Datos!$P$1:$T$50,2,FALSE)*C409),0)</f>
        <v>0</v>
      </c>
      <c r="P409" s="30"/>
      <c r="Q409" s="17" t="e">
        <f>+VLOOKUP(P409,[1]Datos!$F:$G,2,FALSE)</f>
        <v>#N/A</v>
      </c>
      <c r="S409" s="11">
        <f t="shared" si="6"/>
        <v>0</v>
      </c>
      <c r="T409" s="11" t="e">
        <f>+VLOOKUP(M409,[1]Datos!$F:$H,3,FALSE)</f>
        <v>#N/A</v>
      </c>
      <c r="U409" s="11">
        <v>0</v>
      </c>
      <c r="V409" s="19"/>
    </row>
    <row r="410" spans="1:22">
      <c r="A410" s="11" t="s">
        <v>25</v>
      </c>
      <c r="D410" s="11" t="s">
        <v>27</v>
      </c>
      <c r="H410" s="14"/>
      <c r="I410" s="14"/>
      <c r="J410" s="15" t="e">
        <f>+VLOOKUP(K410,[1]Datos!$A:$C,3,FALSE)</f>
        <v>#N/A</v>
      </c>
      <c r="L410" s="15" t="e">
        <f>+VLOOKUP(K410,[1]Datos!$A:$C,2,FALSE)</f>
        <v>#N/A</v>
      </c>
      <c r="N410" s="17" t="e">
        <f>+VLOOKUP(M410,[1]Datos!$F:$G,2,FALSE)</f>
        <v>#N/A</v>
      </c>
      <c r="O410" s="18">
        <f>IFERROR(IF(A410="SI",VLOOKUP(R410,[1]Datos!$J$1:$K$50,2,FALSE)*C410,VLOOKUP(R410,[1]Datos!$P$1:$T$50,2,FALSE)*C410),0)</f>
        <v>0</v>
      </c>
      <c r="P410" s="30"/>
      <c r="Q410" s="17" t="e">
        <f>+VLOOKUP(P410,[1]Datos!$F:$G,2,FALSE)</f>
        <v>#N/A</v>
      </c>
      <c r="S410" s="11">
        <f t="shared" si="6"/>
        <v>0</v>
      </c>
      <c r="T410" s="11" t="e">
        <f>+VLOOKUP(M410,[1]Datos!$F:$H,3,FALSE)</f>
        <v>#N/A</v>
      </c>
      <c r="U410" s="11">
        <v>0</v>
      </c>
      <c r="V410" s="19"/>
    </row>
    <row r="411" spans="1:22">
      <c r="A411" s="11" t="s">
        <v>25</v>
      </c>
      <c r="D411" s="11" t="s">
        <v>27</v>
      </c>
      <c r="H411" s="14"/>
      <c r="I411" s="14"/>
      <c r="J411" s="15" t="e">
        <f>+VLOOKUP(K411,[1]Datos!$A:$C,3,FALSE)</f>
        <v>#N/A</v>
      </c>
      <c r="L411" s="15" t="e">
        <f>+VLOOKUP(K411,[1]Datos!$A:$C,2,FALSE)</f>
        <v>#N/A</v>
      </c>
      <c r="N411" s="17" t="e">
        <f>+VLOOKUP(M411,[1]Datos!$F:$G,2,FALSE)</f>
        <v>#N/A</v>
      </c>
      <c r="O411" s="18">
        <f>IFERROR(IF(A411="SI",VLOOKUP(R411,[1]Datos!$J$1:$K$50,2,FALSE)*C411,VLOOKUP(R411,[1]Datos!$P$1:$T$50,2,FALSE)*C411),0)</f>
        <v>0</v>
      </c>
      <c r="P411" s="30"/>
      <c r="Q411" s="17" t="e">
        <f>+VLOOKUP(P411,[1]Datos!$F:$G,2,FALSE)</f>
        <v>#N/A</v>
      </c>
      <c r="S411" s="11">
        <f t="shared" si="6"/>
        <v>0</v>
      </c>
      <c r="T411" s="11" t="e">
        <f>+VLOOKUP(M411,[1]Datos!$F:$H,3,FALSE)</f>
        <v>#N/A</v>
      </c>
      <c r="U411" s="11">
        <v>0</v>
      </c>
      <c r="V411" s="19"/>
    </row>
    <row r="412" spans="1:22">
      <c r="A412" s="11" t="s">
        <v>25</v>
      </c>
      <c r="D412" s="11" t="s">
        <v>27</v>
      </c>
      <c r="H412" s="14"/>
      <c r="I412" s="14"/>
      <c r="J412" s="15" t="e">
        <f>+VLOOKUP(K412,[1]Datos!$A:$C,3,FALSE)</f>
        <v>#N/A</v>
      </c>
      <c r="L412" s="15" t="e">
        <f>+VLOOKUP(K412,[1]Datos!$A:$C,2,FALSE)</f>
        <v>#N/A</v>
      </c>
      <c r="N412" s="17" t="e">
        <f>+VLOOKUP(M412,[1]Datos!$F:$G,2,FALSE)</f>
        <v>#N/A</v>
      </c>
      <c r="O412" s="18">
        <f>IFERROR(IF(A412="SI",VLOOKUP(R412,[1]Datos!$J$1:$K$50,2,FALSE)*C412,VLOOKUP(R412,[1]Datos!$P$1:$T$50,2,FALSE)*C412),0)</f>
        <v>0</v>
      </c>
      <c r="P412" s="30"/>
      <c r="Q412" s="17" t="e">
        <f>+VLOOKUP(P412,[1]Datos!$F:$G,2,FALSE)</f>
        <v>#N/A</v>
      </c>
      <c r="S412" s="11">
        <f t="shared" si="6"/>
        <v>0</v>
      </c>
      <c r="T412" s="11" t="e">
        <f>+VLOOKUP(M412,[1]Datos!$F:$H,3,FALSE)</f>
        <v>#N/A</v>
      </c>
      <c r="U412" s="11">
        <v>0</v>
      </c>
      <c r="V412" s="19"/>
    </row>
    <row r="413" spans="1:22">
      <c r="A413" s="11" t="s">
        <v>25</v>
      </c>
      <c r="D413" s="11" t="s">
        <v>27</v>
      </c>
      <c r="H413" s="14"/>
      <c r="I413" s="14"/>
      <c r="J413" s="15" t="e">
        <f>+VLOOKUP(K413,[1]Datos!$A:$C,3,FALSE)</f>
        <v>#N/A</v>
      </c>
      <c r="L413" s="15" t="e">
        <f>+VLOOKUP(K413,[1]Datos!$A:$C,2,FALSE)</f>
        <v>#N/A</v>
      </c>
      <c r="N413" s="17" t="e">
        <f>+VLOOKUP(M413,[1]Datos!$F:$G,2,FALSE)</f>
        <v>#N/A</v>
      </c>
      <c r="O413" s="18">
        <f>IFERROR(IF(A413="SI",VLOOKUP(R413,[1]Datos!$J$1:$K$50,2,FALSE)*C413,VLOOKUP(R413,[1]Datos!$P$1:$T$50,2,FALSE)*C413),0)</f>
        <v>0</v>
      </c>
      <c r="P413" s="30"/>
      <c r="Q413" s="17" t="e">
        <f>+VLOOKUP(P413,[1]Datos!$F:$G,2,FALSE)</f>
        <v>#N/A</v>
      </c>
      <c r="S413" s="11">
        <f t="shared" si="6"/>
        <v>0</v>
      </c>
      <c r="T413" s="11" t="e">
        <f>+VLOOKUP(M413,[1]Datos!$F:$H,3,FALSE)</f>
        <v>#N/A</v>
      </c>
      <c r="U413" s="11">
        <v>0</v>
      </c>
      <c r="V413" s="19"/>
    </row>
    <row r="414" spans="1:22">
      <c r="A414" s="11" t="s">
        <v>25</v>
      </c>
      <c r="D414" s="11" t="s">
        <v>27</v>
      </c>
      <c r="H414" s="14"/>
      <c r="I414" s="14"/>
      <c r="J414" s="15" t="e">
        <f>+VLOOKUP(K414,[1]Datos!$A:$C,3,FALSE)</f>
        <v>#N/A</v>
      </c>
      <c r="L414" s="15" t="e">
        <f>+VLOOKUP(K414,[1]Datos!$A:$C,2,FALSE)</f>
        <v>#N/A</v>
      </c>
      <c r="N414" s="17" t="e">
        <f>+VLOOKUP(M414,[1]Datos!$F:$G,2,FALSE)</f>
        <v>#N/A</v>
      </c>
      <c r="O414" s="18">
        <f>IFERROR(IF(A414="SI",VLOOKUP(R414,[1]Datos!$J$1:$K$50,2,FALSE)*C414,VLOOKUP(R414,[1]Datos!$P$1:$T$50,2,FALSE)*C414),0)</f>
        <v>0</v>
      </c>
      <c r="P414" s="30"/>
      <c r="Q414" s="17" t="e">
        <f>+VLOOKUP(P414,[1]Datos!$F:$G,2,FALSE)</f>
        <v>#N/A</v>
      </c>
      <c r="S414" s="11">
        <f t="shared" si="6"/>
        <v>0</v>
      </c>
      <c r="T414" s="11" t="e">
        <f>+VLOOKUP(M414,[1]Datos!$F:$H,3,FALSE)</f>
        <v>#N/A</v>
      </c>
      <c r="U414" s="11">
        <v>0</v>
      </c>
      <c r="V414" s="19"/>
    </row>
    <row r="415" spans="1:22">
      <c r="A415" s="11" t="s">
        <v>25</v>
      </c>
      <c r="D415" s="11" t="s">
        <v>27</v>
      </c>
      <c r="H415" s="14"/>
      <c r="I415" s="14"/>
      <c r="J415" s="15" t="e">
        <f>+VLOOKUP(K415,[1]Datos!$A:$C,3,FALSE)</f>
        <v>#N/A</v>
      </c>
      <c r="L415" s="15" t="e">
        <f>+VLOOKUP(K415,[1]Datos!$A:$C,2,FALSE)</f>
        <v>#N/A</v>
      </c>
      <c r="N415" s="17" t="e">
        <f>+VLOOKUP(M415,[1]Datos!$F:$G,2,FALSE)</f>
        <v>#N/A</v>
      </c>
      <c r="O415" s="18">
        <f>IFERROR(IF(A415="SI",VLOOKUP(R415,[1]Datos!$J$1:$K$50,2,FALSE)*C415,VLOOKUP(R415,[1]Datos!$P$1:$T$50,2,FALSE)*C415),0)</f>
        <v>0</v>
      </c>
      <c r="P415" s="30"/>
      <c r="Q415" s="17" t="e">
        <f>+VLOOKUP(P415,[1]Datos!$F:$G,2,FALSE)</f>
        <v>#N/A</v>
      </c>
      <c r="S415" s="11">
        <f t="shared" si="6"/>
        <v>0</v>
      </c>
      <c r="T415" s="11" t="e">
        <f>+VLOOKUP(M415,[1]Datos!$F:$H,3,FALSE)</f>
        <v>#N/A</v>
      </c>
      <c r="U415" s="11">
        <v>0</v>
      </c>
      <c r="V415" s="19"/>
    </row>
    <row r="416" spans="1:22">
      <c r="A416" s="11" t="s">
        <v>25</v>
      </c>
      <c r="D416" s="11" t="s">
        <v>27</v>
      </c>
      <c r="H416" s="14"/>
      <c r="I416" s="14"/>
      <c r="J416" s="15" t="e">
        <f>+VLOOKUP(K416,[1]Datos!$A:$C,3,FALSE)</f>
        <v>#N/A</v>
      </c>
      <c r="L416" s="15" t="e">
        <f>+VLOOKUP(K416,[1]Datos!$A:$C,2,FALSE)</f>
        <v>#N/A</v>
      </c>
      <c r="N416" s="17" t="e">
        <f>+VLOOKUP(M416,[1]Datos!$F:$G,2,FALSE)</f>
        <v>#N/A</v>
      </c>
      <c r="O416" s="18">
        <f>IFERROR(IF(A416="SI",VLOOKUP(R416,[1]Datos!$J$1:$K$50,2,FALSE)*C416,VLOOKUP(R416,[1]Datos!$P$1:$T$50,2,FALSE)*C416),0)</f>
        <v>0</v>
      </c>
      <c r="P416" s="30"/>
      <c r="Q416" s="17" t="e">
        <f>+VLOOKUP(P416,[1]Datos!$F:$G,2,FALSE)</f>
        <v>#N/A</v>
      </c>
      <c r="S416" s="11">
        <f t="shared" si="6"/>
        <v>0</v>
      </c>
      <c r="T416" s="11" t="e">
        <f>+VLOOKUP(M416,[1]Datos!$F:$H,3,FALSE)</f>
        <v>#N/A</v>
      </c>
      <c r="U416" s="11">
        <v>0</v>
      </c>
      <c r="V416" s="19"/>
    </row>
    <row r="417" spans="1:22">
      <c r="A417" s="11" t="s">
        <v>25</v>
      </c>
      <c r="D417" s="11" t="s">
        <v>27</v>
      </c>
      <c r="H417" s="14"/>
      <c r="I417" s="14"/>
      <c r="J417" s="15" t="e">
        <f>+VLOOKUP(K417,[1]Datos!$A:$C,3,FALSE)</f>
        <v>#N/A</v>
      </c>
      <c r="L417" s="15" t="e">
        <f>+VLOOKUP(K417,[1]Datos!$A:$C,2,FALSE)</f>
        <v>#N/A</v>
      </c>
      <c r="N417" s="17" t="e">
        <f>+VLOOKUP(M417,[1]Datos!$F:$G,2,FALSE)</f>
        <v>#N/A</v>
      </c>
      <c r="O417" s="18">
        <f>IFERROR(IF(A417="SI",VLOOKUP(R417,[1]Datos!$J$1:$K$50,2,FALSE)*C417,VLOOKUP(R417,[1]Datos!$P$1:$T$50,2,FALSE)*C417),0)</f>
        <v>0</v>
      </c>
      <c r="P417" s="30"/>
      <c r="Q417" s="17" t="e">
        <f>+VLOOKUP(P417,[1]Datos!$F:$G,2,FALSE)</f>
        <v>#N/A</v>
      </c>
      <c r="S417" s="11">
        <f t="shared" si="6"/>
        <v>0</v>
      </c>
      <c r="T417" s="11" t="e">
        <f>+VLOOKUP(M417,[1]Datos!$F:$H,3,FALSE)</f>
        <v>#N/A</v>
      </c>
      <c r="U417" s="11">
        <v>0</v>
      </c>
      <c r="V417" s="19"/>
    </row>
    <row r="418" spans="1:22">
      <c r="A418" s="11" t="s">
        <v>25</v>
      </c>
      <c r="D418" s="11" t="s">
        <v>27</v>
      </c>
      <c r="H418" s="14"/>
      <c r="I418" s="14"/>
      <c r="J418" s="15" t="e">
        <f>+VLOOKUP(K418,[1]Datos!$A:$C,3,FALSE)</f>
        <v>#N/A</v>
      </c>
      <c r="L418" s="15" t="e">
        <f>+VLOOKUP(K418,[1]Datos!$A:$C,2,FALSE)</f>
        <v>#N/A</v>
      </c>
      <c r="N418" s="17" t="e">
        <f>+VLOOKUP(M418,[1]Datos!$F:$G,2,FALSE)</f>
        <v>#N/A</v>
      </c>
      <c r="O418" s="18">
        <f>IFERROR(IF(A418="SI",VLOOKUP(R418,[1]Datos!$J$1:$K$50,2,FALSE)*C418,VLOOKUP(R418,[1]Datos!$P$1:$T$50,2,FALSE)*C418),0)</f>
        <v>0</v>
      </c>
      <c r="P418" s="30"/>
      <c r="Q418" s="17" t="e">
        <f>+VLOOKUP(P418,[1]Datos!$F:$G,2,FALSE)</f>
        <v>#N/A</v>
      </c>
      <c r="S418" s="11">
        <f t="shared" si="6"/>
        <v>0</v>
      </c>
      <c r="T418" s="11" t="e">
        <f>+VLOOKUP(M418,[1]Datos!$F:$H,3,FALSE)</f>
        <v>#N/A</v>
      </c>
      <c r="U418" s="11">
        <v>0</v>
      </c>
      <c r="V418" s="19"/>
    </row>
    <row r="419" spans="1:22">
      <c r="A419" s="11" t="s">
        <v>25</v>
      </c>
      <c r="D419" s="11" t="s">
        <v>27</v>
      </c>
      <c r="H419" s="14"/>
      <c r="I419" s="14"/>
      <c r="J419" s="15" t="e">
        <f>+VLOOKUP(K419,[1]Datos!$A:$C,3,FALSE)</f>
        <v>#N/A</v>
      </c>
      <c r="L419" s="15" t="e">
        <f>+VLOOKUP(K419,[1]Datos!$A:$C,2,FALSE)</f>
        <v>#N/A</v>
      </c>
      <c r="N419" s="17" t="e">
        <f>+VLOOKUP(M419,[1]Datos!$F:$G,2,FALSE)</f>
        <v>#N/A</v>
      </c>
      <c r="O419" s="18">
        <f>IFERROR(IF(A419="SI",VLOOKUP(R419,[1]Datos!$J$1:$K$50,2,FALSE)*C419,VLOOKUP(R419,[1]Datos!$P$1:$T$50,2,FALSE)*C419),0)</f>
        <v>0</v>
      </c>
      <c r="P419" s="30"/>
      <c r="Q419" s="17" t="e">
        <f>+VLOOKUP(P419,[1]Datos!$F:$G,2,FALSE)</f>
        <v>#N/A</v>
      </c>
      <c r="S419" s="11">
        <f t="shared" si="6"/>
        <v>0</v>
      </c>
      <c r="T419" s="11" t="e">
        <f>+VLOOKUP(M419,[1]Datos!$F:$H,3,FALSE)</f>
        <v>#N/A</v>
      </c>
      <c r="U419" s="11">
        <v>0</v>
      </c>
      <c r="V419" s="19"/>
    </row>
    <row r="420" spans="1:22">
      <c r="A420" s="11" t="s">
        <v>25</v>
      </c>
      <c r="D420" s="11" t="s">
        <v>27</v>
      </c>
      <c r="H420" s="14"/>
      <c r="I420" s="14"/>
      <c r="J420" s="15" t="e">
        <f>+VLOOKUP(K420,[1]Datos!$A:$C,3,FALSE)</f>
        <v>#N/A</v>
      </c>
      <c r="L420" s="15" t="e">
        <f>+VLOOKUP(K420,[1]Datos!$A:$C,2,FALSE)</f>
        <v>#N/A</v>
      </c>
      <c r="N420" s="17" t="e">
        <f>+VLOOKUP(M420,[1]Datos!$F:$G,2,FALSE)</f>
        <v>#N/A</v>
      </c>
      <c r="O420" s="18">
        <f>IFERROR(IF(A420="SI",VLOOKUP(R420,[1]Datos!$J$1:$K$50,2,FALSE)*C420,VLOOKUP(R420,[1]Datos!$P$1:$T$50,2,FALSE)*C420),0)</f>
        <v>0</v>
      </c>
      <c r="P420" s="30"/>
      <c r="Q420" s="17" t="e">
        <f>+VLOOKUP(P420,[1]Datos!$F:$G,2,FALSE)</f>
        <v>#N/A</v>
      </c>
      <c r="S420" s="11">
        <f t="shared" si="6"/>
        <v>0</v>
      </c>
      <c r="T420" s="11" t="e">
        <f>+VLOOKUP(M420,[1]Datos!$F:$H,3,FALSE)</f>
        <v>#N/A</v>
      </c>
      <c r="U420" s="11">
        <v>0</v>
      </c>
      <c r="V420" s="19"/>
    </row>
    <row r="421" spans="1:22">
      <c r="A421" s="11" t="s">
        <v>25</v>
      </c>
      <c r="D421" s="11" t="s">
        <v>27</v>
      </c>
      <c r="H421" s="14"/>
      <c r="I421" s="14"/>
      <c r="J421" s="15" t="e">
        <f>+VLOOKUP(K421,[1]Datos!$A:$C,3,FALSE)</f>
        <v>#N/A</v>
      </c>
      <c r="L421" s="15" t="e">
        <f>+VLOOKUP(K421,[1]Datos!$A:$C,2,FALSE)</f>
        <v>#N/A</v>
      </c>
      <c r="N421" s="17" t="e">
        <f>+VLOOKUP(M421,[1]Datos!$F:$G,2,FALSE)</f>
        <v>#N/A</v>
      </c>
      <c r="O421" s="18">
        <f>IFERROR(IF(A421="SI",VLOOKUP(R421,[1]Datos!$J$1:$K$50,2,FALSE)*C421,VLOOKUP(R421,[1]Datos!$P$1:$T$50,2,FALSE)*C421),0)</f>
        <v>0</v>
      </c>
      <c r="P421" s="30"/>
      <c r="Q421" s="17" t="e">
        <f>+VLOOKUP(P421,[1]Datos!$F:$G,2,FALSE)</f>
        <v>#N/A</v>
      </c>
      <c r="S421" s="11">
        <f t="shared" si="6"/>
        <v>0</v>
      </c>
      <c r="T421" s="11" t="e">
        <f>+VLOOKUP(M421,[1]Datos!$F:$H,3,FALSE)</f>
        <v>#N/A</v>
      </c>
      <c r="U421" s="11">
        <v>0</v>
      </c>
      <c r="V421" s="19"/>
    </row>
    <row r="422" spans="1:22">
      <c r="A422" s="11" t="s">
        <v>25</v>
      </c>
      <c r="D422" s="11" t="s">
        <v>27</v>
      </c>
      <c r="H422" s="14"/>
      <c r="I422" s="14"/>
      <c r="J422" s="15" t="e">
        <f>+VLOOKUP(K422,[1]Datos!$A:$C,3,FALSE)</f>
        <v>#N/A</v>
      </c>
      <c r="L422" s="15" t="e">
        <f>+VLOOKUP(K422,[1]Datos!$A:$C,2,FALSE)</f>
        <v>#N/A</v>
      </c>
      <c r="N422" s="17" t="e">
        <f>+VLOOKUP(M422,[1]Datos!$F:$G,2,FALSE)</f>
        <v>#N/A</v>
      </c>
      <c r="O422" s="18">
        <f>IFERROR(IF(A422="SI",VLOOKUP(R422,[1]Datos!$J$1:$K$50,2,FALSE)*C422,VLOOKUP(R422,[1]Datos!$P$1:$T$50,2,FALSE)*C422),0)</f>
        <v>0</v>
      </c>
      <c r="P422" s="30"/>
      <c r="Q422" s="17" t="e">
        <f>+VLOOKUP(P422,[1]Datos!$F:$G,2,FALSE)</f>
        <v>#N/A</v>
      </c>
      <c r="S422" s="11">
        <f t="shared" si="6"/>
        <v>0</v>
      </c>
      <c r="T422" s="11" t="e">
        <f>+VLOOKUP(M422,[1]Datos!$F:$H,3,FALSE)</f>
        <v>#N/A</v>
      </c>
      <c r="U422" s="11">
        <v>0</v>
      </c>
      <c r="V422" s="19"/>
    </row>
    <row r="423" spans="1:22">
      <c r="A423" s="11" t="s">
        <v>25</v>
      </c>
      <c r="D423" s="11" t="s">
        <v>27</v>
      </c>
      <c r="H423" s="14"/>
      <c r="I423" s="14"/>
      <c r="J423" s="15" t="e">
        <f>+VLOOKUP(K423,[1]Datos!$A:$C,3,FALSE)</f>
        <v>#N/A</v>
      </c>
      <c r="L423" s="15" t="e">
        <f>+VLOOKUP(K423,[1]Datos!$A:$C,2,FALSE)</f>
        <v>#N/A</v>
      </c>
      <c r="N423" s="17" t="e">
        <f>+VLOOKUP(M423,[1]Datos!$F:$G,2,FALSE)</f>
        <v>#N/A</v>
      </c>
      <c r="O423" s="18">
        <f>IFERROR(IF(A423="SI",VLOOKUP(R423,[1]Datos!$J$1:$K$50,2,FALSE)*C423,VLOOKUP(R423,[1]Datos!$P$1:$T$50,2,FALSE)*C423),0)</f>
        <v>0</v>
      </c>
      <c r="P423" s="30"/>
      <c r="Q423" s="17" t="e">
        <f>+VLOOKUP(P423,[1]Datos!$F:$G,2,FALSE)</f>
        <v>#N/A</v>
      </c>
      <c r="S423" s="11">
        <f t="shared" si="6"/>
        <v>0</v>
      </c>
      <c r="T423" s="11" t="e">
        <f>+VLOOKUP(M423,[1]Datos!$F:$H,3,FALSE)</f>
        <v>#N/A</v>
      </c>
      <c r="U423" s="11">
        <v>0</v>
      </c>
      <c r="V423" s="19"/>
    </row>
    <row r="424" spans="1:22">
      <c r="A424" s="11" t="s">
        <v>25</v>
      </c>
      <c r="D424" s="11" t="s">
        <v>27</v>
      </c>
      <c r="H424" s="14"/>
      <c r="I424" s="14"/>
      <c r="J424" s="15" t="e">
        <f>+VLOOKUP(K424,[1]Datos!$A:$C,3,FALSE)</f>
        <v>#N/A</v>
      </c>
      <c r="L424" s="15" t="e">
        <f>+VLOOKUP(K424,[1]Datos!$A:$C,2,FALSE)</f>
        <v>#N/A</v>
      </c>
      <c r="N424" s="17" t="e">
        <f>+VLOOKUP(M424,[1]Datos!$F:$G,2,FALSE)</f>
        <v>#N/A</v>
      </c>
      <c r="O424" s="18">
        <f>IFERROR(IF(A424="SI",VLOOKUP(R424,[1]Datos!$J$1:$K$50,2,FALSE)*C424,VLOOKUP(R424,[1]Datos!$P$1:$T$50,2,FALSE)*C424),0)</f>
        <v>0</v>
      </c>
      <c r="P424" s="30"/>
      <c r="Q424" s="17" t="e">
        <f>+VLOOKUP(P424,[1]Datos!$F:$G,2,FALSE)</f>
        <v>#N/A</v>
      </c>
      <c r="S424" s="11">
        <f t="shared" si="6"/>
        <v>0</v>
      </c>
      <c r="T424" s="11" t="e">
        <f>+VLOOKUP(M424,[1]Datos!$F:$H,3,FALSE)</f>
        <v>#N/A</v>
      </c>
      <c r="U424" s="11">
        <v>0</v>
      </c>
      <c r="V424" s="19"/>
    </row>
    <row r="425" spans="1:22">
      <c r="A425" s="11" t="s">
        <v>25</v>
      </c>
      <c r="D425" s="11" t="s">
        <v>27</v>
      </c>
      <c r="H425" s="14"/>
      <c r="I425" s="14"/>
      <c r="J425" s="15" t="e">
        <f>+VLOOKUP(K425,[1]Datos!$A:$C,3,FALSE)</f>
        <v>#N/A</v>
      </c>
      <c r="L425" s="15" t="e">
        <f>+VLOOKUP(K425,[1]Datos!$A:$C,2,FALSE)</f>
        <v>#N/A</v>
      </c>
      <c r="N425" s="17" t="e">
        <f>+VLOOKUP(M425,[1]Datos!$F:$G,2,FALSE)</f>
        <v>#N/A</v>
      </c>
      <c r="O425" s="18">
        <f>IFERROR(IF(A425="SI",VLOOKUP(R425,[1]Datos!$J$1:$K$50,2,FALSE)*C425,VLOOKUP(R425,[1]Datos!$P$1:$T$50,2,FALSE)*C425),0)</f>
        <v>0</v>
      </c>
      <c r="P425" s="30"/>
      <c r="Q425" s="17" t="e">
        <f>+VLOOKUP(P425,[1]Datos!$F:$G,2,FALSE)</f>
        <v>#N/A</v>
      </c>
      <c r="S425" s="11">
        <f t="shared" si="6"/>
        <v>0</v>
      </c>
      <c r="T425" s="11" t="e">
        <f>+VLOOKUP(M425,[1]Datos!$F:$H,3,FALSE)</f>
        <v>#N/A</v>
      </c>
      <c r="U425" s="11">
        <v>0</v>
      </c>
      <c r="V425" s="19"/>
    </row>
    <row r="426" spans="1:22">
      <c r="A426" s="11" t="s">
        <v>25</v>
      </c>
      <c r="D426" s="11" t="s">
        <v>27</v>
      </c>
      <c r="H426" s="14"/>
      <c r="I426" s="14"/>
      <c r="J426" s="15" t="e">
        <f>+VLOOKUP(K426,[1]Datos!$A:$C,3,FALSE)</f>
        <v>#N/A</v>
      </c>
      <c r="L426" s="15" t="e">
        <f>+VLOOKUP(K426,[1]Datos!$A:$C,2,FALSE)</f>
        <v>#N/A</v>
      </c>
      <c r="N426" s="17" t="e">
        <f>+VLOOKUP(M426,[1]Datos!$F:$G,2,FALSE)</f>
        <v>#N/A</v>
      </c>
      <c r="O426" s="18">
        <f>IFERROR(IF(A426="SI",VLOOKUP(R426,[1]Datos!$J$1:$K$50,2,FALSE)*C426,VLOOKUP(R426,[1]Datos!$P$1:$T$50,2,FALSE)*C426),0)</f>
        <v>0</v>
      </c>
      <c r="P426" s="30"/>
      <c r="Q426" s="17" t="e">
        <f>+VLOOKUP(P426,[1]Datos!$F:$G,2,FALSE)</f>
        <v>#N/A</v>
      </c>
      <c r="S426" s="11">
        <f t="shared" si="6"/>
        <v>0</v>
      </c>
      <c r="T426" s="11" t="e">
        <f>+VLOOKUP(M426,[1]Datos!$F:$H,3,FALSE)</f>
        <v>#N/A</v>
      </c>
      <c r="U426" s="11">
        <v>0</v>
      </c>
      <c r="V426" s="19"/>
    </row>
    <row r="427" spans="1:22">
      <c r="A427" s="11" t="s">
        <v>25</v>
      </c>
      <c r="D427" s="11" t="s">
        <v>27</v>
      </c>
      <c r="H427" s="14"/>
      <c r="I427" s="14"/>
      <c r="J427" s="15" t="e">
        <f>+VLOOKUP(K427,[1]Datos!$A:$C,3,FALSE)</f>
        <v>#N/A</v>
      </c>
      <c r="L427" s="15" t="e">
        <f>+VLOOKUP(K427,[1]Datos!$A:$C,2,FALSE)</f>
        <v>#N/A</v>
      </c>
      <c r="N427" s="17" t="e">
        <f>+VLOOKUP(M427,[1]Datos!$F:$G,2,FALSE)</f>
        <v>#N/A</v>
      </c>
      <c r="O427" s="18">
        <f>IFERROR(IF(A427="SI",VLOOKUP(R427,[1]Datos!$J$1:$K$50,2,FALSE)*C427,VLOOKUP(R427,[1]Datos!$P$1:$T$50,2,FALSE)*C427),0)</f>
        <v>0</v>
      </c>
      <c r="P427" s="30"/>
      <c r="Q427" s="17" t="e">
        <f>+VLOOKUP(P427,[1]Datos!$F:$G,2,FALSE)</f>
        <v>#N/A</v>
      </c>
      <c r="S427" s="11">
        <f t="shared" si="6"/>
        <v>0</v>
      </c>
      <c r="T427" s="11" t="e">
        <f>+VLOOKUP(M427,[1]Datos!$F:$H,3,FALSE)</f>
        <v>#N/A</v>
      </c>
      <c r="U427" s="11">
        <v>0</v>
      </c>
      <c r="V427" s="19"/>
    </row>
    <row r="428" spans="1:22">
      <c r="A428" s="11" t="s">
        <v>25</v>
      </c>
      <c r="D428" s="11" t="s">
        <v>27</v>
      </c>
      <c r="H428" s="14"/>
      <c r="I428" s="14"/>
      <c r="J428" s="15" t="e">
        <f>+VLOOKUP(K428,[1]Datos!$A:$C,3,FALSE)</f>
        <v>#N/A</v>
      </c>
      <c r="L428" s="15" t="e">
        <f>+VLOOKUP(K428,[1]Datos!$A:$C,2,FALSE)</f>
        <v>#N/A</v>
      </c>
      <c r="N428" s="17" t="e">
        <f>+VLOOKUP(M428,[1]Datos!$F:$G,2,FALSE)</f>
        <v>#N/A</v>
      </c>
      <c r="O428" s="18">
        <f>IFERROR(IF(A428="SI",VLOOKUP(R428,[1]Datos!$J$1:$K$50,2,FALSE)*C428,VLOOKUP(R428,[1]Datos!$P$1:$T$50,2,FALSE)*C428),0)</f>
        <v>0</v>
      </c>
      <c r="P428" s="30"/>
      <c r="Q428" s="17" t="e">
        <f>+VLOOKUP(P428,[1]Datos!$F:$G,2,FALSE)</f>
        <v>#N/A</v>
      </c>
      <c r="S428" s="11">
        <f t="shared" si="6"/>
        <v>0</v>
      </c>
      <c r="T428" s="11" t="e">
        <f>+VLOOKUP(M428,[1]Datos!$F:$H,3,FALSE)</f>
        <v>#N/A</v>
      </c>
      <c r="U428" s="11">
        <v>0</v>
      </c>
      <c r="V428" s="19"/>
    </row>
    <row r="429" spans="1:22">
      <c r="A429" s="11" t="s">
        <v>25</v>
      </c>
      <c r="D429" s="11" t="s">
        <v>27</v>
      </c>
      <c r="H429" s="14"/>
      <c r="I429" s="14"/>
      <c r="J429" s="15" t="e">
        <f>+VLOOKUP(K429,[1]Datos!$A:$C,3,FALSE)</f>
        <v>#N/A</v>
      </c>
      <c r="L429" s="15" t="e">
        <f>+VLOOKUP(K429,[1]Datos!$A:$C,2,FALSE)</f>
        <v>#N/A</v>
      </c>
      <c r="N429" s="17" t="e">
        <f>+VLOOKUP(M429,[1]Datos!$F:$G,2,FALSE)</f>
        <v>#N/A</v>
      </c>
      <c r="O429" s="18">
        <f>IFERROR(IF(A429="SI",VLOOKUP(R429,[1]Datos!$J$1:$K$50,2,FALSE)*C429,VLOOKUP(R429,[1]Datos!$P$1:$T$50,2,FALSE)*C429),0)</f>
        <v>0</v>
      </c>
      <c r="P429" s="30"/>
      <c r="Q429" s="17" t="e">
        <f>+VLOOKUP(P429,[1]Datos!$F:$G,2,FALSE)</f>
        <v>#N/A</v>
      </c>
      <c r="S429" s="11">
        <f t="shared" si="6"/>
        <v>0</v>
      </c>
      <c r="T429" s="11" t="e">
        <f>+VLOOKUP(M429,[1]Datos!$F:$H,3,FALSE)</f>
        <v>#N/A</v>
      </c>
      <c r="U429" s="11">
        <v>0</v>
      </c>
      <c r="V429" s="19"/>
    </row>
    <row r="430" spans="1:22">
      <c r="A430" s="11" t="s">
        <v>25</v>
      </c>
      <c r="D430" s="11" t="s">
        <v>27</v>
      </c>
      <c r="H430" s="14"/>
      <c r="I430" s="14"/>
      <c r="J430" s="15" t="e">
        <f>+VLOOKUP(K430,[1]Datos!$A:$C,3,FALSE)</f>
        <v>#N/A</v>
      </c>
      <c r="L430" s="15" t="e">
        <f>+VLOOKUP(K430,[1]Datos!$A:$C,2,FALSE)</f>
        <v>#N/A</v>
      </c>
      <c r="N430" s="17" t="e">
        <f>+VLOOKUP(M430,[1]Datos!$F:$G,2,FALSE)</f>
        <v>#N/A</v>
      </c>
      <c r="O430" s="18">
        <f>IFERROR(IF(A430="SI",VLOOKUP(R430,[1]Datos!$J$1:$K$50,2,FALSE)*C430,VLOOKUP(R430,[1]Datos!$P$1:$T$50,2,FALSE)*C430),0)</f>
        <v>0</v>
      </c>
      <c r="P430" s="30"/>
      <c r="Q430" s="17" t="e">
        <f>+VLOOKUP(P430,[1]Datos!$F:$G,2,FALSE)</f>
        <v>#N/A</v>
      </c>
      <c r="S430" s="11">
        <f t="shared" si="6"/>
        <v>0</v>
      </c>
      <c r="T430" s="11" t="e">
        <f>+VLOOKUP(M430,[1]Datos!$F:$H,3,FALSE)</f>
        <v>#N/A</v>
      </c>
      <c r="U430" s="11">
        <v>0</v>
      </c>
      <c r="V430" s="19"/>
    </row>
    <row r="431" spans="1:22">
      <c r="A431" s="11" t="s">
        <v>25</v>
      </c>
      <c r="D431" s="11" t="s">
        <v>27</v>
      </c>
      <c r="H431" s="14"/>
      <c r="I431" s="14"/>
      <c r="J431" s="15" t="e">
        <f>+VLOOKUP(K431,[1]Datos!$A:$C,3,FALSE)</f>
        <v>#N/A</v>
      </c>
      <c r="L431" s="15" t="e">
        <f>+VLOOKUP(K431,[1]Datos!$A:$C,2,FALSE)</f>
        <v>#N/A</v>
      </c>
      <c r="N431" s="17" t="e">
        <f>+VLOOKUP(M431,[1]Datos!$F:$G,2,FALSE)</f>
        <v>#N/A</v>
      </c>
      <c r="O431" s="18">
        <f>IFERROR(IF(A431="SI",VLOOKUP(R431,[1]Datos!$J$1:$K$50,2,FALSE)*C431,VLOOKUP(R431,[1]Datos!$P$1:$T$50,2,FALSE)*C431),0)</f>
        <v>0</v>
      </c>
      <c r="P431" s="30"/>
      <c r="Q431" s="17" t="e">
        <f>+VLOOKUP(P431,[1]Datos!$F:$G,2,FALSE)</f>
        <v>#N/A</v>
      </c>
      <c r="S431" s="11">
        <f t="shared" si="6"/>
        <v>0</v>
      </c>
      <c r="T431" s="11" t="e">
        <f>+VLOOKUP(M431,[1]Datos!$F:$H,3,FALSE)</f>
        <v>#N/A</v>
      </c>
      <c r="U431" s="11">
        <v>0</v>
      </c>
      <c r="V431" s="19"/>
    </row>
    <row r="432" spans="1:22">
      <c r="A432" s="11" t="s">
        <v>25</v>
      </c>
      <c r="D432" s="11" t="s">
        <v>27</v>
      </c>
      <c r="H432" s="14"/>
      <c r="I432" s="14"/>
      <c r="J432" s="15" t="e">
        <f>+VLOOKUP(K432,[1]Datos!$A:$C,3,FALSE)</f>
        <v>#N/A</v>
      </c>
      <c r="L432" s="15" t="e">
        <f>+VLOOKUP(K432,[1]Datos!$A:$C,2,FALSE)</f>
        <v>#N/A</v>
      </c>
      <c r="N432" s="17" t="e">
        <f>+VLOOKUP(M432,[1]Datos!$F:$G,2,FALSE)</f>
        <v>#N/A</v>
      </c>
      <c r="O432" s="18">
        <f>IFERROR(IF(A432="SI",VLOOKUP(R432,[1]Datos!$J$1:$K$50,2,FALSE)*C432,VLOOKUP(R432,[1]Datos!$P$1:$T$50,2,FALSE)*C432),0)</f>
        <v>0</v>
      </c>
      <c r="P432" s="30"/>
      <c r="Q432" s="17" t="e">
        <f>+VLOOKUP(P432,[1]Datos!$F:$G,2,FALSE)</f>
        <v>#N/A</v>
      </c>
      <c r="S432" s="11">
        <f t="shared" si="6"/>
        <v>0</v>
      </c>
      <c r="T432" s="11" t="e">
        <f>+VLOOKUP(M432,[1]Datos!$F:$H,3,FALSE)</f>
        <v>#N/A</v>
      </c>
      <c r="U432" s="11">
        <v>0</v>
      </c>
      <c r="V432" s="19"/>
    </row>
    <row r="433" spans="1:22">
      <c r="A433" s="11" t="s">
        <v>25</v>
      </c>
      <c r="D433" s="11" t="s">
        <v>27</v>
      </c>
      <c r="H433" s="14"/>
      <c r="I433" s="14"/>
      <c r="J433" s="15" t="e">
        <f>+VLOOKUP(K433,[1]Datos!$A:$C,3,FALSE)</f>
        <v>#N/A</v>
      </c>
      <c r="L433" s="15" t="e">
        <f>+VLOOKUP(K433,[1]Datos!$A:$C,2,FALSE)</f>
        <v>#N/A</v>
      </c>
      <c r="N433" s="17" t="e">
        <f>+VLOOKUP(M433,[1]Datos!$F:$G,2,FALSE)</f>
        <v>#N/A</v>
      </c>
      <c r="O433" s="18">
        <f>IFERROR(IF(A433="SI",VLOOKUP(R433,[1]Datos!$J$1:$K$50,2,FALSE)*C433,VLOOKUP(R433,[1]Datos!$P$1:$T$50,2,FALSE)*C433),0)</f>
        <v>0</v>
      </c>
      <c r="P433" s="30"/>
      <c r="Q433" s="17" t="e">
        <f>+VLOOKUP(P433,[1]Datos!$F:$G,2,FALSE)</f>
        <v>#N/A</v>
      </c>
      <c r="S433" s="11">
        <f t="shared" si="6"/>
        <v>0</v>
      </c>
      <c r="T433" s="11" t="e">
        <f>+VLOOKUP(M433,[1]Datos!$F:$H,3,FALSE)</f>
        <v>#N/A</v>
      </c>
      <c r="U433" s="11">
        <v>0</v>
      </c>
      <c r="V433" s="19"/>
    </row>
    <row r="434" spans="1:22">
      <c r="A434" s="11" t="s">
        <v>25</v>
      </c>
      <c r="D434" s="11" t="s">
        <v>27</v>
      </c>
      <c r="H434" s="14"/>
      <c r="I434" s="14"/>
      <c r="J434" s="15" t="e">
        <f>+VLOOKUP(K434,[1]Datos!$A:$C,3,FALSE)</f>
        <v>#N/A</v>
      </c>
      <c r="L434" s="15" t="e">
        <f>+VLOOKUP(K434,[1]Datos!$A:$C,2,FALSE)</f>
        <v>#N/A</v>
      </c>
      <c r="N434" s="17" t="e">
        <f>+VLOOKUP(M434,[1]Datos!$F:$G,2,FALSE)</f>
        <v>#N/A</v>
      </c>
      <c r="O434" s="18">
        <f>IFERROR(IF(A434="SI",VLOOKUP(R434,[1]Datos!$J$1:$K$50,2,FALSE)*C434,VLOOKUP(R434,[1]Datos!$P$1:$T$50,2,FALSE)*C434),0)</f>
        <v>0</v>
      </c>
      <c r="P434" s="30"/>
      <c r="Q434" s="17" t="e">
        <f>+VLOOKUP(P434,[1]Datos!$F:$G,2,FALSE)</f>
        <v>#N/A</v>
      </c>
      <c r="S434" s="11">
        <f t="shared" si="6"/>
        <v>0</v>
      </c>
      <c r="T434" s="11" t="e">
        <f>+VLOOKUP(M434,[1]Datos!$F:$H,3,FALSE)</f>
        <v>#N/A</v>
      </c>
      <c r="U434" s="11">
        <v>0</v>
      </c>
      <c r="V434" s="19"/>
    </row>
    <row r="435" spans="1:22">
      <c r="A435" s="11" t="s">
        <v>25</v>
      </c>
      <c r="D435" s="11" t="s">
        <v>27</v>
      </c>
      <c r="H435" s="14"/>
      <c r="I435" s="14"/>
      <c r="J435" s="15" t="e">
        <f>+VLOOKUP(K435,[1]Datos!$A:$C,3,FALSE)</f>
        <v>#N/A</v>
      </c>
      <c r="L435" s="15" t="e">
        <f>+VLOOKUP(K435,[1]Datos!$A:$C,2,FALSE)</f>
        <v>#N/A</v>
      </c>
      <c r="N435" s="17" t="e">
        <f>+VLOOKUP(M435,[1]Datos!$F:$G,2,FALSE)</f>
        <v>#N/A</v>
      </c>
      <c r="O435" s="18">
        <f>IFERROR(IF(A435="SI",VLOOKUP(R435,[1]Datos!$J$1:$K$50,2,FALSE)*C435,VLOOKUP(R435,[1]Datos!$P$1:$T$50,2,FALSE)*C435),0)</f>
        <v>0</v>
      </c>
      <c r="P435" s="30"/>
      <c r="Q435" s="17" t="e">
        <f>+VLOOKUP(P435,[1]Datos!$F:$G,2,FALSE)</f>
        <v>#N/A</v>
      </c>
      <c r="S435" s="11">
        <f t="shared" si="6"/>
        <v>0</v>
      </c>
      <c r="T435" s="11" t="e">
        <f>+VLOOKUP(M435,[1]Datos!$F:$H,3,FALSE)</f>
        <v>#N/A</v>
      </c>
      <c r="U435" s="11">
        <v>0</v>
      </c>
      <c r="V435" s="19"/>
    </row>
    <row r="436" spans="1:22">
      <c r="A436" s="11" t="s">
        <v>25</v>
      </c>
      <c r="D436" s="11" t="s">
        <v>27</v>
      </c>
      <c r="H436" s="14"/>
      <c r="I436" s="14"/>
      <c r="J436" s="15" t="e">
        <f>+VLOOKUP(K436,[1]Datos!$A:$C,3,FALSE)</f>
        <v>#N/A</v>
      </c>
      <c r="L436" s="15" t="e">
        <f>+VLOOKUP(K436,[1]Datos!$A:$C,2,FALSE)</f>
        <v>#N/A</v>
      </c>
      <c r="N436" s="17" t="e">
        <f>+VLOOKUP(M436,[1]Datos!$F:$G,2,FALSE)</f>
        <v>#N/A</v>
      </c>
      <c r="O436" s="18">
        <f>IFERROR(IF(A436="SI",VLOOKUP(R436,[1]Datos!$J$1:$K$50,2,FALSE)*C436,VLOOKUP(R436,[1]Datos!$P$1:$T$50,2,FALSE)*C436),0)</f>
        <v>0</v>
      </c>
      <c r="P436" s="30"/>
      <c r="Q436" s="17" t="e">
        <f>+VLOOKUP(P436,[1]Datos!$F:$G,2,FALSE)</f>
        <v>#N/A</v>
      </c>
      <c r="S436" s="11">
        <f t="shared" si="6"/>
        <v>0</v>
      </c>
      <c r="T436" s="11" t="e">
        <f>+VLOOKUP(M436,[1]Datos!$F:$H,3,FALSE)</f>
        <v>#N/A</v>
      </c>
      <c r="U436" s="11">
        <v>0</v>
      </c>
      <c r="V436" s="19"/>
    </row>
    <row r="437" spans="1:22">
      <c r="A437" s="11" t="s">
        <v>25</v>
      </c>
      <c r="D437" s="11" t="s">
        <v>27</v>
      </c>
      <c r="H437" s="14"/>
      <c r="I437" s="14"/>
      <c r="J437" s="15" t="e">
        <f>+VLOOKUP(K437,[1]Datos!$A:$C,3,FALSE)</f>
        <v>#N/A</v>
      </c>
      <c r="L437" s="15" t="e">
        <f>+VLOOKUP(K437,[1]Datos!$A:$C,2,FALSE)</f>
        <v>#N/A</v>
      </c>
      <c r="N437" s="17" t="e">
        <f>+VLOOKUP(M437,[1]Datos!$F:$G,2,FALSE)</f>
        <v>#N/A</v>
      </c>
      <c r="O437" s="18">
        <f>IFERROR(IF(A437="SI",VLOOKUP(R437,[1]Datos!$J$1:$K$50,2,FALSE)*C437,VLOOKUP(R437,[1]Datos!$P$1:$T$50,2,FALSE)*C437),0)</f>
        <v>0</v>
      </c>
      <c r="P437" s="30"/>
      <c r="Q437" s="17" t="e">
        <f>+VLOOKUP(P437,[1]Datos!$F:$G,2,FALSE)</f>
        <v>#N/A</v>
      </c>
      <c r="S437" s="11">
        <f t="shared" si="6"/>
        <v>0</v>
      </c>
      <c r="T437" s="11" t="e">
        <f>+VLOOKUP(M437,[1]Datos!$F:$H,3,FALSE)</f>
        <v>#N/A</v>
      </c>
      <c r="U437" s="11">
        <v>0</v>
      </c>
      <c r="V437" s="19"/>
    </row>
    <row r="438" spans="1:22">
      <c r="A438" s="11" t="s">
        <v>25</v>
      </c>
      <c r="D438" s="11" t="s">
        <v>27</v>
      </c>
      <c r="H438" s="14"/>
      <c r="I438" s="14"/>
      <c r="J438" s="15" t="e">
        <f>+VLOOKUP(K438,[1]Datos!$A:$C,3,FALSE)</f>
        <v>#N/A</v>
      </c>
      <c r="L438" s="15" t="e">
        <f>+VLOOKUP(K438,[1]Datos!$A:$C,2,FALSE)</f>
        <v>#N/A</v>
      </c>
      <c r="N438" s="17" t="e">
        <f>+VLOOKUP(M438,[1]Datos!$F:$G,2,FALSE)</f>
        <v>#N/A</v>
      </c>
      <c r="O438" s="18">
        <f>IFERROR(IF(A438="SI",VLOOKUP(R438,[1]Datos!$J$1:$K$50,2,FALSE)*C438,VLOOKUP(R438,[1]Datos!$P$1:$T$50,2,FALSE)*C438),0)</f>
        <v>0</v>
      </c>
      <c r="P438" s="30"/>
      <c r="Q438" s="17" t="e">
        <f>+VLOOKUP(P438,[1]Datos!$F:$G,2,FALSE)</f>
        <v>#N/A</v>
      </c>
      <c r="S438" s="11">
        <f t="shared" si="6"/>
        <v>0</v>
      </c>
      <c r="T438" s="11" t="e">
        <f>+VLOOKUP(M438,[1]Datos!$F:$H,3,FALSE)</f>
        <v>#N/A</v>
      </c>
      <c r="U438" s="11">
        <v>0</v>
      </c>
      <c r="V438" s="19"/>
    </row>
    <row r="439" spans="1:22">
      <c r="A439" s="11" t="s">
        <v>25</v>
      </c>
      <c r="D439" s="11" t="s">
        <v>27</v>
      </c>
      <c r="H439" s="14"/>
      <c r="I439" s="14"/>
      <c r="J439" s="15" t="e">
        <f>+VLOOKUP(K439,[1]Datos!$A:$C,3,FALSE)</f>
        <v>#N/A</v>
      </c>
      <c r="L439" s="15" t="e">
        <f>+VLOOKUP(K439,[1]Datos!$A:$C,2,FALSE)</f>
        <v>#N/A</v>
      </c>
      <c r="N439" s="17" t="e">
        <f>+VLOOKUP(M439,[1]Datos!$F:$G,2,FALSE)</f>
        <v>#N/A</v>
      </c>
      <c r="O439" s="18">
        <f>IFERROR(IF(A439="SI",VLOOKUP(R439,[1]Datos!$J$1:$K$50,2,FALSE)*C439,VLOOKUP(R439,[1]Datos!$P$1:$T$50,2,FALSE)*C439),0)</f>
        <v>0</v>
      </c>
      <c r="P439" s="30"/>
      <c r="Q439" s="17" t="e">
        <f>+VLOOKUP(P439,[1]Datos!$F:$G,2,FALSE)</f>
        <v>#N/A</v>
      </c>
      <c r="S439" s="11">
        <f t="shared" si="6"/>
        <v>0</v>
      </c>
      <c r="T439" s="11" t="e">
        <f>+VLOOKUP(M439,[1]Datos!$F:$H,3,FALSE)</f>
        <v>#N/A</v>
      </c>
      <c r="U439" s="11">
        <v>0</v>
      </c>
      <c r="V439" s="19"/>
    </row>
    <row r="440" spans="1:22">
      <c r="A440" s="11" t="s">
        <v>25</v>
      </c>
      <c r="D440" s="11" t="s">
        <v>27</v>
      </c>
      <c r="H440" s="14"/>
      <c r="I440" s="14"/>
      <c r="J440" s="15" t="e">
        <f>+VLOOKUP(K440,[1]Datos!$A:$C,3,FALSE)</f>
        <v>#N/A</v>
      </c>
      <c r="L440" s="15" t="e">
        <f>+VLOOKUP(K440,[1]Datos!$A:$C,2,FALSE)</f>
        <v>#N/A</v>
      </c>
      <c r="N440" s="17" t="e">
        <f>+VLOOKUP(M440,[1]Datos!$F:$G,2,FALSE)</f>
        <v>#N/A</v>
      </c>
      <c r="O440" s="18">
        <f>IFERROR(IF(A440="SI",VLOOKUP(R440,[1]Datos!$J$1:$K$50,2,FALSE)*C440,VLOOKUP(R440,[1]Datos!$P$1:$T$50,2,FALSE)*C440),0)</f>
        <v>0</v>
      </c>
      <c r="P440" s="30"/>
      <c r="Q440" s="17" t="e">
        <f>+VLOOKUP(P440,[1]Datos!$F:$G,2,FALSE)</f>
        <v>#N/A</v>
      </c>
      <c r="S440" s="11">
        <f t="shared" si="6"/>
        <v>0</v>
      </c>
      <c r="T440" s="11" t="e">
        <f>+VLOOKUP(M440,[1]Datos!$F:$H,3,FALSE)</f>
        <v>#N/A</v>
      </c>
      <c r="U440" s="11">
        <v>0</v>
      </c>
      <c r="V440" s="19"/>
    </row>
    <row r="441" spans="1:22">
      <c r="A441" s="11" t="s">
        <v>25</v>
      </c>
      <c r="D441" s="11" t="s">
        <v>27</v>
      </c>
      <c r="H441" s="14"/>
      <c r="I441" s="14"/>
      <c r="J441" s="15" t="e">
        <f>+VLOOKUP(K441,[1]Datos!$A:$C,3,FALSE)</f>
        <v>#N/A</v>
      </c>
      <c r="L441" s="15" t="e">
        <f>+VLOOKUP(K441,[1]Datos!$A:$C,2,FALSE)</f>
        <v>#N/A</v>
      </c>
      <c r="N441" s="17" t="e">
        <f>+VLOOKUP(M441,[1]Datos!$F:$G,2,FALSE)</f>
        <v>#N/A</v>
      </c>
      <c r="O441" s="18">
        <f>IFERROR(IF(A441="SI",VLOOKUP(R441,[1]Datos!$J$1:$K$50,2,FALSE)*C441,VLOOKUP(R441,[1]Datos!$P$1:$T$50,2,FALSE)*C441),0)</f>
        <v>0</v>
      </c>
      <c r="P441" s="30"/>
      <c r="Q441" s="17" t="e">
        <f>+VLOOKUP(P441,[1]Datos!$F:$G,2,FALSE)</f>
        <v>#N/A</v>
      </c>
      <c r="S441" s="11">
        <f t="shared" si="6"/>
        <v>0</v>
      </c>
      <c r="T441" s="11" t="e">
        <f>+VLOOKUP(M441,[1]Datos!$F:$H,3,FALSE)</f>
        <v>#N/A</v>
      </c>
      <c r="U441" s="11">
        <v>0</v>
      </c>
      <c r="V441" s="19"/>
    </row>
    <row r="442" spans="1:22">
      <c r="A442" s="11" t="s">
        <v>25</v>
      </c>
      <c r="D442" s="11" t="s">
        <v>27</v>
      </c>
      <c r="H442" s="14"/>
      <c r="I442" s="14"/>
      <c r="J442" s="15" t="e">
        <f>+VLOOKUP(K442,[1]Datos!$A:$C,3,FALSE)</f>
        <v>#N/A</v>
      </c>
      <c r="L442" s="15" t="e">
        <f>+VLOOKUP(K442,[1]Datos!$A:$C,2,FALSE)</f>
        <v>#N/A</v>
      </c>
      <c r="N442" s="17" t="e">
        <f>+VLOOKUP(M442,[1]Datos!$F:$G,2,FALSE)</f>
        <v>#N/A</v>
      </c>
      <c r="O442" s="18">
        <f>IFERROR(IF(A442="SI",VLOOKUP(R442,[1]Datos!$J$1:$K$50,2,FALSE)*C442,VLOOKUP(R442,[1]Datos!$P$1:$T$50,2,FALSE)*C442),0)</f>
        <v>0</v>
      </c>
      <c r="P442" s="30"/>
      <c r="Q442" s="17" t="e">
        <f>+VLOOKUP(P442,[1]Datos!$F:$G,2,FALSE)</f>
        <v>#N/A</v>
      </c>
      <c r="S442" s="11">
        <f t="shared" si="6"/>
        <v>0</v>
      </c>
      <c r="T442" s="11" t="e">
        <f>+VLOOKUP(M442,[1]Datos!$F:$H,3,FALSE)</f>
        <v>#N/A</v>
      </c>
      <c r="U442" s="11">
        <v>0</v>
      </c>
      <c r="V442" s="19"/>
    </row>
    <row r="443" spans="1:22">
      <c r="A443" s="11" t="s">
        <v>25</v>
      </c>
      <c r="D443" s="11" t="s">
        <v>27</v>
      </c>
      <c r="H443" s="14"/>
      <c r="I443" s="14"/>
      <c r="J443" s="15" t="e">
        <f>+VLOOKUP(K443,[1]Datos!$A:$C,3,FALSE)</f>
        <v>#N/A</v>
      </c>
      <c r="L443" s="15" t="e">
        <f>+VLOOKUP(K443,[1]Datos!$A:$C,2,FALSE)</f>
        <v>#N/A</v>
      </c>
      <c r="N443" s="17" t="e">
        <f>+VLOOKUP(M443,[1]Datos!$F:$G,2,FALSE)</f>
        <v>#N/A</v>
      </c>
      <c r="O443" s="18">
        <f>IFERROR(IF(A443="SI",VLOOKUP(R443,[1]Datos!$J$1:$K$50,2,FALSE)*C443,VLOOKUP(R443,[1]Datos!$P$1:$T$50,2,FALSE)*C443),0)</f>
        <v>0</v>
      </c>
      <c r="P443" s="30"/>
      <c r="Q443" s="17" t="e">
        <f>+VLOOKUP(P443,[1]Datos!$F:$G,2,FALSE)</f>
        <v>#N/A</v>
      </c>
      <c r="S443" s="11">
        <f t="shared" si="6"/>
        <v>0</v>
      </c>
      <c r="T443" s="11" t="e">
        <f>+VLOOKUP(M443,[1]Datos!$F:$H,3,FALSE)</f>
        <v>#N/A</v>
      </c>
      <c r="U443" s="11">
        <v>0</v>
      </c>
      <c r="V443" s="19"/>
    </row>
    <row r="444" spans="1:22">
      <c r="A444" s="11" t="s">
        <v>25</v>
      </c>
      <c r="D444" s="11" t="s">
        <v>27</v>
      </c>
      <c r="H444" s="14"/>
      <c r="I444" s="14"/>
      <c r="J444" s="15" t="e">
        <f>+VLOOKUP(K444,[1]Datos!$A:$C,3,FALSE)</f>
        <v>#N/A</v>
      </c>
      <c r="L444" s="15" t="e">
        <f>+VLOOKUP(K444,[1]Datos!$A:$C,2,FALSE)</f>
        <v>#N/A</v>
      </c>
      <c r="N444" s="17" t="e">
        <f>+VLOOKUP(M444,[1]Datos!$F:$G,2,FALSE)</f>
        <v>#N/A</v>
      </c>
      <c r="O444" s="18">
        <f>IFERROR(IF(A444="SI",VLOOKUP(R444,[1]Datos!$J$1:$K$50,2,FALSE)*C444,VLOOKUP(R444,[1]Datos!$P$1:$T$50,2,FALSE)*C444),0)</f>
        <v>0</v>
      </c>
      <c r="P444" s="30"/>
      <c r="Q444" s="17" t="e">
        <f>+VLOOKUP(P444,[1]Datos!$F:$G,2,FALSE)</f>
        <v>#N/A</v>
      </c>
      <c r="S444" s="11">
        <f t="shared" si="6"/>
        <v>0</v>
      </c>
      <c r="T444" s="11" t="e">
        <f>+VLOOKUP(M444,[1]Datos!$F:$H,3,FALSE)</f>
        <v>#N/A</v>
      </c>
      <c r="U444" s="11">
        <v>0</v>
      </c>
      <c r="V444" s="19"/>
    </row>
    <row r="445" spans="1:22">
      <c r="A445" s="11" t="s">
        <v>25</v>
      </c>
      <c r="D445" s="11" t="s">
        <v>27</v>
      </c>
      <c r="H445" s="14"/>
      <c r="I445" s="14"/>
      <c r="J445" s="15" t="e">
        <f>+VLOOKUP(K445,[1]Datos!$A:$C,3,FALSE)</f>
        <v>#N/A</v>
      </c>
      <c r="L445" s="15" t="e">
        <f>+VLOOKUP(K445,[1]Datos!$A:$C,2,FALSE)</f>
        <v>#N/A</v>
      </c>
      <c r="N445" s="17" t="e">
        <f>+VLOOKUP(M445,[1]Datos!$F:$G,2,FALSE)</f>
        <v>#N/A</v>
      </c>
      <c r="O445" s="18">
        <f>IFERROR(IF(A445="SI",VLOOKUP(R445,[1]Datos!$J$1:$K$50,2,FALSE)*C445,VLOOKUP(R445,[1]Datos!$P$1:$T$50,2,FALSE)*C445),0)</f>
        <v>0</v>
      </c>
      <c r="P445" s="30"/>
      <c r="Q445" s="17" t="e">
        <f>+VLOOKUP(P445,[1]Datos!$F:$G,2,FALSE)</f>
        <v>#N/A</v>
      </c>
      <c r="S445" s="11">
        <f t="shared" si="6"/>
        <v>0</v>
      </c>
      <c r="T445" s="11" t="e">
        <f>+VLOOKUP(M445,[1]Datos!$F:$H,3,FALSE)</f>
        <v>#N/A</v>
      </c>
      <c r="U445" s="11">
        <v>0</v>
      </c>
      <c r="V445" s="19"/>
    </row>
    <row r="446" spans="1:22">
      <c r="A446" s="11" t="s">
        <v>25</v>
      </c>
      <c r="D446" s="11" t="s">
        <v>27</v>
      </c>
      <c r="H446" s="14"/>
      <c r="I446" s="14"/>
      <c r="J446" s="15" t="e">
        <f>+VLOOKUP(K446,[1]Datos!$A:$C,3,FALSE)</f>
        <v>#N/A</v>
      </c>
      <c r="L446" s="15" t="e">
        <f>+VLOOKUP(K446,[1]Datos!$A:$C,2,FALSE)</f>
        <v>#N/A</v>
      </c>
      <c r="N446" s="17" t="e">
        <f>+VLOOKUP(M446,[1]Datos!$F:$G,2,FALSE)</f>
        <v>#N/A</v>
      </c>
      <c r="O446" s="18">
        <f>IFERROR(IF(A446="SI",VLOOKUP(R446,[1]Datos!$J$1:$K$50,2,FALSE)*C446,VLOOKUP(R446,[1]Datos!$P$1:$T$50,2,FALSE)*C446),0)</f>
        <v>0</v>
      </c>
      <c r="P446" s="30"/>
      <c r="Q446" s="17" t="e">
        <f>+VLOOKUP(P446,[1]Datos!$F:$G,2,FALSE)</f>
        <v>#N/A</v>
      </c>
      <c r="S446" s="11">
        <f t="shared" si="6"/>
        <v>0</v>
      </c>
      <c r="T446" s="11" t="e">
        <f>+VLOOKUP(M446,[1]Datos!$F:$H,3,FALSE)</f>
        <v>#N/A</v>
      </c>
      <c r="U446" s="11">
        <v>0</v>
      </c>
      <c r="V446" s="19"/>
    </row>
    <row r="447" spans="1:22">
      <c r="A447" s="11" t="s">
        <v>25</v>
      </c>
      <c r="D447" s="11" t="s">
        <v>27</v>
      </c>
      <c r="H447" s="14"/>
      <c r="I447" s="14"/>
      <c r="J447" s="15" t="e">
        <f>+VLOOKUP(K447,[1]Datos!$A:$C,3,FALSE)</f>
        <v>#N/A</v>
      </c>
      <c r="L447" s="15" t="e">
        <f>+VLOOKUP(K447,[1]Datos!$A:$C,2,FALSE)</f>
        <v>#N/A</v>
      </c>
      <c r="N447" s="17" t="e">
        <f>+VLOOKUP(M447,[1]Datos!$F:$G,2,FALSE)</f>
        <v>#N/A</v>
      </c>
      <c r="O447" s="18">
        <f>IFERROR(IF(A447="SI",VLOOKUP(R447,[1]Datos!$J$1:$K$50,2,FALSE)*C447,VLOOKUP(R447,[1]Datos!$P$1:$T$50,2,FALSE)*C447),0)</f>
        <v>0</v>
      </c>
      <c r="P447" s="30"/>
      <c r="Q447" s="17" t="e">
        <f>+VLOOKUP(P447,[1]Datos!$F:$G,2,FALSE)</f>
        <v>#N/A</v>
      </c>
      <c r="S447" s="11">
        <f t="shared" si="6"/>
        <v>0</v>
      </c>
      <c r="T447" s="11" t="e">
        <f>+VLOOKUP(M447,[1]Datos!$F:$H,3,FALSE)</f>
        <v>#N/A</v>
      </c>
      <c r="U447" s="11">
        <v>0</v>
      </c>
      <c r="V447" s="19"/>
    </row>
    <row r="448" spans="1:22">
      <c r="A448" s="11" t="s">
        <v>25</v>
      </c>
      <c r="D448" s="11" t="s">
        <v>27</v>
      </c>
      <c r="H448" s="14"/>
      <c r="I448" s="14"/>
      <c r="J448" s="15" t="e">
        <f>+VLOOKUP(K448,[1]Datos!$A:$C,3,FALSE)</f>
        <v>#N/A</v>
      </c>
      <c r="L448" s="15" t="e">
        <f>+VLOOKUP(K448,[1]Datos!$A:$C,2,FALSE)</f>
        <v>#N/A</v>
      </c>
      <c r="N448" s="17" t="e">
        <f>+VLOOKUP(M448,[1]Datos!$F:$G,2,FALSE)</f>
        <v>#N/A</v>
      </c>
      <c r="O448" s="18">
        <f>IFERROR(IF(A448="SI",VLOOKUP(R448,[1]Datos!$J$1:$K$50,2,FALSE)*C448,VLOOKUP(R448,[1]Datos!$P$1:$T$50,2,FALSE)*C448),0)</f>
        <v>0</v>
      </c>
      <c r="P448" s="30"/>
      <c r="Q448" s="17" t="e">
        <f>+VLOOKUP(P448,[1]Datos!$F:$G,2,FALSE)</f>
        <v>#N/A</v>
      </c>
      <c r="S448" s="11">
        <f t="shared" si="6"/>
        <v>0</v>
      </c>
      <c r="T448" s="11" t="e">
        <f>+VLOOKUP(M448,[1]Datos!$F:$H,3,FALSE)</f>
        <v>#N/A</v>
      </c>
      <c r="U448" s="11">
        <v>0</v>
      </c>
      <c r="V448" s="19"/>
    </row>
    <row r="449" spans="1:22">
      <c r="A449" s="11" t="s">
        <v>25</v>
      </c>
      <c r="D449" s="11" t="s">
        <v>27</v>
      </c>
      <c r="H449" s="14"/>
      <c r="I449" s="14"/>
      <c r="J449" s="15" t="e">
        <f>+VLOOKUP(K449,[1]Datos!$A:$C,3,FALSE)</f>
        <v>#N/A</v>
      </c>
      <c r="L449" s="15" t="e">
        <f>+VLOOKUP(K449,[1]Datos!$A:$C,2,FALSE)</f>
        <v>#N/A</v>
      </c>
      <c r="N449" s="17" t="e">
        <f>+VLOOKUP(M449,[1]Datos!$F:$G,2,FALSE)</f>
        <v>#N/A</v>
      </c>
      <c r="O449" s="18">
        <f>IFERROR(IF(A449="SI",VLOOKUP(R449,[1]Datos!$J$1:$K$50,2,FALSE)*C449,VLOOKUP(R449,[1]Datos!$P$1:$T$50,2,FALSE)*C449),0)</f>
        <v>0</v>
      </c>
      <c r="P449" s="30"/>
      <c r="Q449" s="17" t="e">
        <f>+VLOOKUP(P449,[1]Datos!$F:$G,2,FALSE)</f>
        <v>#N/A</v>
      </c>
      <c r="S449" s="11">
        <f t="shared" si="6"/>
        <v>0</v>
      </c>
      <c r="T449" s="11" t="e">
        <f>+VLOOKUP(M449,[1]Datos!$F:$H,3,FALSE)</f>
        <v>#N/A</v>
      </c>
      <c r="U449" s="11">
        <v>0</v>
      </c>
      <c r="V449" s="19"/>
    </row>
    <row r="450" spans="1:22">
      <c r="A450" s="11" t="s">
        <v>25</v>
      </c>
      <c r="D450" s="11" t="s">
        <v>27</v>
      </c>
      <c r="H450" s="14"/>
      <c r="I450" s="14"/>
      <c r="J450" s="15" t="e">
        <f>+VLOOKUP(K450,[1]Datos!$A:$C,3,FALSE)</f>
        <v>#N/A</v>
      </c>
      <c r="L450" s="15" t="e">
        <f>+VLOOKUP(K450,[1]Datos!$A:$C,2,FALSE)</f>
        <v>#N/A</v>
      </c>
      <c r="N450" s="17" t="e">
        <f>+VLOOKUP(M450,[1]Datos!$F:$G,2,FALSE)</f>
        <v>#N/A</v>
      </c>
      <c r="O450" s="18">
        <f>IFERROR(IF(A450="SI",VLOOKUP(R450,[1]Datos!$J$1:$K$50,2,FALSE)*C450,VLOOKUP(R450,[1]Datos!$P$1:$T$50,2,FALSE)*C450),0)</f>
        <v>0</v>
      </c>
      <c r="P450" s="30"/>
      <c r="Q450" s="17" t="e">
        <f>+VLOOKUP(P450,[1]Datos!$F:$G,2,FALSE)</f>
        <v>#N/A</v>
      </c>
      <c r="S450" s="11">
        <f t="shared" si="6"/>
        <v>0</v>
      </c>
      <c r="T450" s="11" t="e">
        <f>+VLOOKUP(M450,[1]Datos!$F:$H,3,FALSE)</f>
        <v>#N/A</v>
      </c>
      <c r="U450" s="11">
        <v>0</v>
      </c>
      <c r="V450" s="19"/>
    </row>
    <row r="451" spans="1:22">
      <c r="A451" s="11" t="s">
        <v>25</v>
      </c>
      <c r="D451" s="11" t="s">
        <v>27</v>
      </c>
      <c r="H451" s="14"/>
      <c r="I451" s="14"/>
      <c r="J451" s="15" t="e">
        <f>+VLOOKUP(K451,[1]Datos!$A:$C,3,FALSE)</f>
        <v>#N/A</v>
      </c>
      <c r="L451" s="15" t="e">
        <f>+VLOOKUP(K451,[1]Datos!$A:$C,2,FALSE)</f>
        <v>#N/A</v>
      </c>
      <c r="N451" s="17" t="e">
        <f>+VLOOKUP(M451,[1]Datos!$F:$G,2,FALSE)</f>
        <v>#N/A</v>
      </c>
      <c r="O451" s="18">
        <f>IFERROR(IF(A451="SI",VLOOKUP(R451,[1]Datos!$J$1:$K$50,2,FALSE)*C451,VLOOKUP(R451,[1]Datos!$P$1:$T$50,2,FALSE)*C451),0)</f>
        <v>0</v>
      </c>
      <c r="P451" s="30"/>
      <c r="Q451" s="17" t="e">
        <f>+VLOOKUP(P451,[1]Datos!$F:$G,2,FALSE)</f>
        <v>#N/A</v>
      </c>
      <c r="S451" s="11">
        <f t="shared" si="6"/>
        <v>0</v>
      </c>
      <c r="T451" s="11" t="e">
        <f>+VLOOKUP(M451,[1]Datos!$F:$H,3,FALSE)</f>
        <v>#N/A</v>
      </c>
      <c r="U451" s="11">
        <v>0</v>
      </c>
      <c r="V451" s="19"/>
    </row>
    <row r="452" spans="1:22">
      <c r="A452" s="11" t="s">
        <v>25</v>
      </c>
      <c r="D452" s="11" t="s">
        <v>27</v>
      </c>
      <c r="H452" s="14"/>
      <c r="I452" s="14"/>
      <c r="J452" s="15" t="e">
        <f>+VLOOKUP(K452,[1]Datos!$A:$C,3,FALSE)</f>
        <v>#N/A</v>
      </c>
      <c r="L452" s="15" t="e">
        <f>+VLOOKUP(K452,[1]Datos!$A:$C,2,FALSE)</f>
        <v>#N/A</v>
      </c>
      <c r="N452" s="17" t="e">
        <f>+VLOOKUP(M452,[1]Datos!$F:$G,2,FALSE)</f>
        <v>#N/A</v>
      </c>
      <c r="O452" s="18">
        <f>IFERROR(IF(A452="SI",VLOOKUP(R452,[1]Datos!$J$1:$K$50,2,FALSE)*C452,VLOOKUP(R452,[1]Datos!$P$1:$T$50,2,FALSE)*C452),0)</f>
        <v>0</v>
      </c>
      <c r="P452" s="30"/>
      <c r="Q452" s="17" t="e">
        <f>+VLOOKUP(P452,[1]Datos!$F:$G,2,FALSE)</f>
        <v>#N/A</v>
      </c>
      <c r="S452" s="11">
        <f t="shared" si="6"/>
        <v>0</v>
      </c>
      <c r="T452" s="11" t="e">
        <f>+VLOOKUP(M452,[1]Datos!$F:$H,3,FALSE)</f>
        <v>#N/A</v>
      </c>
      <c r="U452" s="11">
        <v>0</v>
      </c>
      <c r="V452" s="19"/>
    </row>
    <row r="453" spans="1:22">
      <c r="A453" s="11" t="s">
        <v>25</v>
      </c>
      <c r="D453" s="11" t="s">
        <v>27</v>
      </c>
      <c r="H453" s="14"/>
      <c r="I453" s="14"/>
      <c r="J453" s="15" t="e">
        <f>+VLOOKUP(K453,[1]Datos!$A:$C,3,FALSE)</f>
        <v>#N/A</v>
      </c>
      <c r="L453" s="15" t="e">
        <f>+VLOOKUP(K453,[1]Datos!$A:$C,2,FALSE)</f>
        <v>#N/A</v>
      </c>
      <c r="N453" s="17" t="e">
        <f>+VLOOKUP(M453,[1]Datos!$F:$G,2,FALSE)</f>
        <v>#N/A</v>
      </c>
      <c r="O453" s="18">
        <f>IFERROR(IF(A453="SI",VLOOKUP(R453,[1]Datos!$J$1:$K$50,2,FALSE)*C453,VLOOKUP(R453,[1]Datos!$P$1:$T$50,2,FALSE)*C453),0)</f>
        <v>0</v>
      </c>
      <c r="P453" s="30"/>
      <c r="Q453" s="17" t="e">
        <f>+VLOOKUP(P453,[1]Datos!$F:$G,2,FALSE)</f>
        <v>#N/A</v>
      </c>
      <c r="S453" s="11">
        <f t="shared" si="6"/>
        <v>0</v>
      </c>
      <c r="T453" s="11" t="e">
        <f>+VLOOKUP(M453,[1]Datos!$F:$H,3,FALSE)</f>
        <v>#N/A</v>
      </c>
      <c r="U453" s="11">
        <v>0</v>
      </c>
      <c r="V453" s="19"/>
    </row>
    <row r="454" spans="1:22">
      <c r="A454" s="11" t="s">
        <v>25</v>
      </c>
      <c r="D454" s="11" t="s">
        <v>27</v>
      </c>
      <c r="H454" s="14"/>
      <c r="I454" s="14"/>
      <c r="J454" s="15" t="e">
        <f>+VLOOKUP(K454,[1]Datos!$A:$C,3,FALSE)</f>
        <v>#N/A</v>
      </c>
      <c r="L454" s="15" t="e">
        <f>+VLOOKUP(K454,[1]Datos!$A:$C,2,FALSE)</f>
        <v>#N/A</v>
      </c>
      <c r="N454" s="17" t="e">
        <f>+VLOOKUP(M454,[1]Datos!$F:$G,2,FALSE)</f>
        <v>#N/A</v>
      </c>
      <c r="O454" s="18">
        <f>IFERROR(IF(A454="SI",VLOOKUP(R454,[1]Datos!$J$1:$K$50,2,FALSE)*C454,VLOOKUP(R454,[1]Datos!$P$1:$T$50,2,FALSE)*C454),0)</f>
        <v>0</v>
      </c>
      <c r="P454" s="30"/>
      <c r="Q454" s="17" t="e">
        <f>+VLOOKUP(P454,[1]Datos!$F:$G,2,FALSE)</f>
        <v>#N/A</v>
      </c>
      <c r="S454" s="11">
        <f t="shared" si="6"/>
        <v>0</v>
      </c>
      <c r="T454" s="11" t="e">
        <f>+VLOOKUP(M454,[1]Datos!$F:$H,3,FALSE)</f>
        <v>#N/A</v>
      </c>
      <c r="U454" s="11">
        <v>0</v>
      </c>
      <c r="V454" s="19"/>
    </row>
    <row r="455" spans="1:22">
      <c r="A455" s="11" t="s">
        <v>25</v>
      </c>
      <c r="D455" s="11" t="s">
        <v>27</v>
      </c>
      <c r="H455" s="14"/>
      <c r="I455" s="14"/>
      <c r="J455" s="15" t="e">
        <f>+VLOOKUP(K455,[1]Datos!$A:$C,3,FALSE)</f>
        <v>#N/A</v>
      </c>
      <c r="L455" s="15" t="e">
        <f>+VLOOKUP(K455,[1]Datos!$A:$C,2,FALSE)</f>
        <v>#N/A</v>
      </c>
      <c r="N455" s="17" t="e">
        <f>+VLOOKUP(M455,[1]Datos!$F:$G,2,FALSE)</f>
        <v>#N/A</v>
      </c>
      <c r="O455" s="18">
        <f>IFERROR(IF(A455="SI",VLOOKUP(R455,[1]Datos!$J$1:$K$50,2,FALSE)*C455,VLOOKUP(R455,[1]Datos!$P$1:$T$50,2,FALSE)*C455),0)</f>
        <v>0</v>
      </c>
      <c r="P455" s="30"/>
      <c r="Q455" s="17" t="e">
        <f>+VLOOKUP(P455,[1]Datos!$F:$G,2,FALSE)</f>
        <v>#N/A</v>
      </c>
      <c r="S455" s="11">
        <f t="shared" si="6"/>
        <v>0</v>
      </c>
      <c r="T455" s="11" t="e">
        <f>+VLOOKUP(M455,[1]Datos!$F:$H,3,FALSE)</f>
        <v>#N/A</v>
      </c>
      <c r="U455" s="11">
        <v>0</v>
      </c>
      <c r="V455" s="19"/>
    </row>
    <row r="456" spans="1:22">
      <c r="A456" s="11" t="s">
        <v>25</v>
      </c>
      <c r="D456" s="11" t="s">
        <v>27</v>
      </c>
      <c r="H456" s="14"/>
      <c r="I456" s="14"/>
      <c r="J456" s="15" t="e">
        <f>+VLOOKUP(K456,[1]Datos!$A:$C,3,FALSE)</f>
        <v>#N/A</v>
      </c>
      <c r="L456" s="15" t="e">
        <f>+VLOOKUP(K456,[1]Datos!$A:$C,2,FALSE)</f>
        <v>#N/A</v>
      </c>
      <c r="N456" s="17" t="e">
        <f>+VLOOKUP(M456,[1]Datos!$F:$G,2,FALSE)</f>
        <v>#N/A</v>
      </c>
      <c r="O456" s="18">
        <f>IFERROR(IF(A456="SI",VLOOKUP(R456,[1]Datos!$J$1:$K$50,2,FALSE)*C456,VLOOKUP(R456,[1]Datos!$P$1:$T$50,2,FALSE)*C456),0)</f>
        <v>0</v>
      </c>
      <c r="P456" s="30"/>
      <c r="Q456" s="17" t="e">
        <f>+VLOOKUP(P456,[1]Datos!$F:$G,2,FALSE)</f>
        <v>#N/A</v>
      </c>
      <c r="S456" s="11">
        <f t="shared" ref="S456:S519" si="7">+COUNTIFS($G$2:$G$607,G456)</f>
        <v>0</v>
      </c>
      <c r="T456" s="11" t="e">
        <f>+VLOOKUP(M456,[1]Datos!$F:$H,3,FALSE)</f>
        <v>#N/A</v>
      </c>
      <c r="U456" s="11">
        <v>0</v>
      </c>
      <c r="V456" s="19"/>
    </row>
    <row r="457" spans="1:22">
      <c r="A457" s="11" t="s">
        <v>25</v>
      </c>
      <c r="D457" s="11" t="s">
        <v>27</v>
      </c>
      <c r="H457" s="14"/>
      <c r="I457" s="14"/>
      <c r="J457" s="15" t="e">
        <f>+VLOOKUP(K457,[1]Datos!$A:$C,3,FALSE)</f>
        <v>#N/A</v>
      </c>
      <c r="L457" s="15" t="e">
        <f>+VLOOKUP(K457,[1]Datos!$A:$C,2,FALSE)</f>
        <v>#N/A</v>
      </c>
      <c r="N457" s="17" t="e">
        <f>+VLOOKUP(M457,[1]Datos!$F:$G,2,FALSE)</f>
        <v>#N/A</v>
      </c>
      <c r="O457" s="18">
        <f>IFERROR(IF(A457="SI",VLOOKUP(R457,[1]Datos!$J$1:$K$50,2,FALSE)*C457,VLOOKUP(R457,[1]Datos!$P$1:$T$50,2,FALSE)*C457),0)</f>
        <v>0</v>
      </c>
      <c r="P457" s="30"/>
      <c r="Q457" s="17" t="e">
        <f>+VLOOKUP(P457,[1]Datos!$F:$G,2,FALSE)</f>
        <v>#N/A</v>
      </c>
      <c r="S457" s="11">
        <f t="shared" si="7"/>
        <v>0</v>
      </c>
      <c r="T457" s="11" t="e">
        <f>+VLOOKUP(M457,[1]Datos!$F:$H,3,FALSE)</f>
        <v>#N/A</v>
      </c>
      <c r="U457" s="11">
        <v>0</v>
      </c>
      <c r="V457" s="19"/>
    </row>
    <row r="458" spans="1:22">
      <c r="A458" s="11" t="s">
        <v>25</v>
      </c>
      <c r="D458" s="11" t="s">
        <v>27</v>
      </c>
      <c r="H458" s="14"/>
      <c r="I458" s="14"/>
      <c r="J458" s="15" t="e">
        <f>+VLOOKUP(K458,[1]Datos!$A:$C,3,FALSE)</f>
        <v>#N/A</v>
      </c>
      <c r="L458" s="15" t="e">
        <f>+VLOOKUP(K458,[1]Datos!$A:$C,2,FALSE)</f>
        <v>#N/A</v>
      </c>
      <c r="N458" s="17" t="e">
        <f>+VLOOKUP(M458,[1]Datos!$F:$G,2,FALSE)</f>
        <v>#N/A</v>
      </c>
      <c r="O458" s="18">
        <f>IFERROR(IF(A458="SI",VLOOKUP(R458,[1]Datos!$J$1:$K$50,2,FALSE)*C458,VLOOKUP(R458,[1]Datos!$P$1:$T$50,2,FALSE)*C458),0)</f>
        <v>0</v>
      </c>
      <c r="P458" s="30"/>
      <c r="Q458" s="17" t="e">
        <f>+VLOOKUP(P458,[1]Datos!$F:$G,2,FALSE)</f>
        <v>#N/A</v>
      </c>
      <c r="S458" s="11">
        <f t="shared" si="7"/>
        <v>0</v>
      </c>
      <c r="T458" s="11" t="e">
        <f>+VLOOKUP(M458,[1]Datos!$F:$H,3,FALSE)</f>
        <v>#N/A</v>
      </c>
      <c r="U458" s="11">
        <v>0</v>
      </c>
      <c r="V458" s="19"/>
    </row>
    <row r="459" spans="1:22">
      <c r="A459" s="11" t="s">
        <v>25</v>
      </c>
      <c r="D459" s="11" t="s">
        <v>27</v>
      </c>
      <c r="H459" s="14"/>
      <c r="I459" s="14"/>
      <c r="J459" s="15" t="e">
        <f>+VLOOKUP(K459,[1]Datos!$A:$C,3,FALSE)</f>
        <v>#N/A</v>
      </c>
      <c r="L459" s="15" t="e">
        <f>+VLOOKUP(K459,[1]Datos!$A:$C,2,FALSE)</f>
        <v>#N/A</v>
      </c>
      <c r="N459" s="17" t="e">
        <f>+VLOOKUP(M459,[1]Datos!$F:$G,2,FALSE)</f>
        <v>#N/A</v>
      </c>
      <c r="O459" s="18">
        <f>IFERROR(IF(A459="SI",VLOOKUP(R459,[1]Datos!$J$1:$K$50,2,FALSE)*C459,VLOOKUP(R459,[1]Datos!$P$1:$T$50,2,FALSE)*C459),0)</f>
        <v>0</v>
      </c>
      <c r="P459" s="30"/>
      <c r="Q459" s="17" t="e">
        <f>+VLOOKUP(P459,[1]Datos!$F:$G,2,FALSE)</f>
        <v>#N/A</v>
      </c>
      <c r="S459" s="11">
        <f t="shared" si="7"/>
        <v>0</v>
      </c>
      <c r="T459" s="11" t="e">
        <f>+VLOOKUP(M459,[1]Datos!$F:$H,3,FALSE)</f>
        <v>#N/A</v>
      </c>
      <c r="U459" s="11">
        <v>0</v>
      </c>
      <c r="V459" s="19"/>
    </row>
    <row r="460" spans="1:22">
      <c r="A460" s="11" t="s">
        <v>25</v>
      </c>
      <c r="D460" s="11" t="s">
        <v>27</v>
      </c>
      <c r="H460" s="14"/>
      <c r="I460" s="14"/>
      <c r="J460" s="15" t="e">
        <f>+VLOOKUP(K460,[1]Datos!$A:$C,3,FALSE)</f>
        <v>#N/A</v>
      </c>
      <c r="L460" s="15" t="e">
        <f>+VLOOKUP(K460,[1]Datos!$A:$C,2,FALSE)</f>
        <v>#N/A</v>
      </c>
      <c r="N460" s="17" t="e">
        <f>+VLOOKUP(M460,[1]Datos!$F:$G,2,FALSE)</f>
        <v>#N/A</v>
      </c>
      <c r="O460" s="18">
        <f>IFERROR(IF(A460="SI",VLOOKUP(R460,[1]Datos!$J$1:$K$50,2,FALSE)*C460,VLOOKUP(R460,[1]Datos!$P$1:$T$50,2,FALSE)*C460),0)</f>
        <v>0</v>
      </c>
      <c r="P460" s="30"/>
      <c r="Q460" s="17" t="e">
        <f>+VLOOKUP(P460,[1]Datos!$F:$G,2,FALSE)</f>
        <v>#N/A</v>
      </c>
      <c r="S460" s="11">
        <f t="shared" si="7"/>
        <v>0</v>
      </c>
      <c r="T460" s="11" t="e">
        <f>+VLOOKUP(M460,[1]Datos!$F:$H,3,FALSE)</f>
        <v>#N/A</v>
      </c>
      <c r="U460" s="11">
        <v>0</v>
      </c>
      <c r="V460" s="19"/>
    </row>
    <row r="461" spans="1:22">
      <c r="A461" s="11" t="s">
        <v>25</v>
      </c>
      <c r="D461" s="11" t="s">
        <v>27</v>
      </c>
      <c r="H461" s="14"/>
      <c r="I461" s="14"/>
      <c r="J461" s="15" t="e">
        <f>+VLOOKUP(K461,[1]Datos!$A:$C,3,FALSE)</f>
        <v>#N/A</v>
      </c>
      <c r="L461" s="15" t="e">
        <f>+VLOOKUP(K461,[1]Datos!$A:$C,2,FALSE)</f>
        <v>#N/A</v>
      </c>
      <c r="N461" s="17" t="e">
        <f>+VLOOKUP(M461,[1]Datos!$F:$G,2,FALSE)</f>
        <v>#N/A</v>
      </c>
      <c r="O461" s="18">
        <f>IFERROR(IF(A461="SI",VLOOKUP(R461,[1]Datos!$J$1:$K$50,2,FALSE)*C461,VLOOKUP(R461,[1]Datos!$P$1:$T$50,2,FALSE)*C461),0)</f>
        <v>0</v>
      </c>
      <c r="P461" s="30"/>
      <c r="Q461" s="17" t="e">
        <f>+VLOOKUP(P461,[1]Datos!$F:$G,2,FALSE)</f>
        <v>#N/A</v>
      </c>
      <c r="S461" s="11">
        <f t="shared" si="7"/>
        <v>0</v>
      </c>
      <c r="T461" s="11" t="e">
        <f>+VLOOKUP(M461,[1]Datos!$F:$H,3,FALSE)</f>
        <v>#N/A</v>
      </c>
      <c r="U461" s="11">
        <v>0</v>
      </c>
      <c r="V461" s="19"/>
    </row>
    <row r="462" spans="1:22">
      <c r="A462" s="11" t="s">
        <v>25</v>
      </c>
      <c r="D462" s="11" t="s">
        <v>27</v>
      </c>
      <c r="H462" s="14"/>
      <c r="I462" s="14"/>
      <c r="J462" s="15" t="e">
        <f>+VLOOKUP(K462,[1]Datos!$A:$C,3,FALSE)</f>
        <v>#N/A</v>
      </c>
      <c r="L462" s="15" t="e">
        <f>+VLOOKUP(K462,[1]Datos!$A:$C,2,FALSE)</f>
        <v>#N/A</v>
      </c>
      <c r="N462" s="17" t="e">
        <f>+VLOOKUP(M462,[1]Datos!$F:$G,2,FALSE)</f>
        <v>#N/A</v>
      </c>
      <c r="O462" s="18">
        <f>IFERROR(IF(A462="SI",VLOOKUP(R462,[1]Datos!$J$1:$K$50,2,FALSE)*C462,VLOOKUP(R462,[1]Datos!$P$1:$T$50,2,FALSE)*C462),0)</f>
        <v>0</v>
      </c>
      <c r="P462" s="30"/>
      <c r="Q462" s="17" t="e">
        <f>+VLOOKUP(P462,[1]Datos!$F:$G,2,FALSE)</f>
        <v>#N/A</v>
      </c>
      <c r="S462" s="11">
        <f t="shared" si="7"/>
        <v>0</v>
      </c>
      <c r="T462" s="11" t="e">
        <f>+VLOOKUP(M462,[1]Datos!$F:$H,3,FALSE)</f>
        <v>#N/A</v>
      </c>
      <c r="U462" s="11">
        <v>0</v>
      </c>
      <c r="V462" s="19"/>
    </row>
    <row r="463" spans="1:22">
      <c r="A463" s="11" t="s">
        <v>25</v>
      </c>
      <c r="D463" s="11" t="s">
        <v>27</v>
      </c>
      <c r="H463" s="14"/>
      <c r="I463" s="14"/>
      <c r="J463" s="15" t="e">
        <f>+VLOOKUP(K463,[1]Datos!$A:$C,3,FALSE)</f>
        <v>#N/A</v>
      </c>
      <c r="L463" s="15" t="e">
        <f>+VLOOKUP(K463,[1]Datos!$A:$C,2,FALSE)</f>
        <v>#N/A</v>
      </c>
      <c r="N463" s="17" t="e">
        <f>+VLOOKUP(M463,[1]Datos!$F:$G,2,FALSE)</f>
        <v>#N/A</v>
      </c>
      <c r="O463" s="18">
        <f>IFERROR(IF(A463="SI",VLOOKUP(R463,[1]Datos!$J$1:$K$50,2,FALSE)*C463,VLOOKUP(R463,[1]Datos!$P$1:$T$50,2,FALSE)*C463),0)</f>
        <v>0</v>
      </c>
      <c r="P463" s="30"/>
      <c r="Q463" s="17" t="e">
        <f>+VLOOKUP(P463,[1]Datos!$F:$G,2,FALSE)</f>
        <v>#N/A</v>
      </c>
      <c r="S463" s="11">
        <f t="shared" si="7"/>
        <v>0</v>
      </c>
      <c r="T463" s="11" t="e">
        <f>+VLOOKUP(M463,[1]Datos!$F:$H,3,FALSE)</f>
        <v>#N/A</v>
      </c>
      <c r="U463" s="11">
        <v>0</v>
      </c>
      <c r="V463" s="19"/>
    </row>
    <row r="464" spans="1:22">
      <c r="A464" s="11" t="s">
        <v>25</v>
      </c>
      <c r="D464" s="11" t="s">
        <v>27</v>
      </c>
      <c r="H464" s="14"/>
      <c r="I464" s="14"/>
      <c r="J464" s="15" t="e">
        <f>+VLOOKUP(K464,[1]Datos!$A:$C,3,FALSE)</f>
        <v>#N/A</v>
      </c>
      <c r="L464" s="15" t="e">
        <f>+VLOOKUP(K464,[1]Datos!$A:$C,2,FALSE)</f>
        <v>#N/A</v>
      </c>
      <c r="N464" s="17" t="e">
        <f>+VLOOKUP(M464,[1]Datos!$F:$G,2,FALSE)</f>
        <v>#N/A</v>
      </c>
      <c r="O464" s="18">
        <f>IFERROR(IF(A464="SI",VLOOKUP(R464,[1]Datos!$J$1:$K$50,2,FALSE)*C464,VLOOKUP(R464,[1]Datos!$P$1:$T$50,2,FALSE)*C464),0)</f>
        <v>0</v>
      </c>
      <c r="P464" s="30"/>
      <c r="Q464" s="17" t="e">
        <f>+VLOOKUP(P464,[1]Datos!$F:$G,2,FALSE)</f>
        <v>#N/A</v>
      </c>
      <c r="S464" s="11">
        <f t="shared" si="7"/>
        <v>0</v>
      </c>
      <c r="T464" s="11" t="e">
        <f>+VLOOKUP(M464,[1]Datos!$F:$H,3,FALSE)</f>
        <v>#N/A</v>
      </c>
      <c r="U464" s="11">
        <v>0</v>
      </c>
      <c r="V464" s="19"/>
    </row>
    <row r="465" spans="1:22">
      <c r="A465" s="11" t="s">
        <v>25</v>
      </c>
      <c r="D465" s="11" t="s">
        <v>27</v>
      </c>
      <c r="H465" s="14"/>
      <c r="I465" s="14"/>
      <c r="J465" s="15" t="e">
        <f>+VLOOKUP(K465,[1]Datos!$A:$C,3,FALSE)</f>
        <v>#N/A</v>
      </c>
      <c r="L465" s="15" t="e">
        <f>+VLOOKUP(K465,[1]Datos!$A:$C,2,FALSE)</f>
        <v>#N/A</v>
      </c>
      <c r="N465" s="17" t="e">
        <f>+VLOOKUP(M465,[1]Datos!$F:$G,2,FALSE)</f>
        <v>#N/A</v>
      </c>
      <c r="O465" s="18">
        <f>IFERROR(IF(A465="SI",VLOOKUP(R465,[1]Datos!$J$1:$K$50,2,FALSE)*C465,VLOOKUP(R465,[1]Datos!$P$1:$T$50,2,FALSE)*C465),0)</f>
        <v>0</v>
      </c>
      <c r="P465" s="30"/>
      <c r="Q465" s="17" t="e">
        <f>+VLOOKUP(P465,[1]Datos!$F:$G,2,FALSE)</f>
        <v>#N/A</v>
      </c>
      <c r="S465" s="11">
        <f t="shared" si="7"/>
        <v>0</v>
      </c>
      <c r="T465" s="11" t="e">
        <f>+VLOOKUP(M465,[1]Datos!$F:$H,3,FALSE)</f>
        <v>#N/A</v>
      </c>
      <c r="U465" s="11">
        <v>0</v>
      </c>
      <c r="V465" s="19"/>
    </row>
    <row r="466" spans="1:22">
      <c r="A466" s="11" t="s">
        <v>25</v>
      </c>
      <c r="D466" s="11" t="s">
        <v>27</v>
      </c>
      <c r="H466" s="14"/>
      <c r="I466" s="14"/>
      <c r="J466" s="15" t="e">
        <f>+VLOOKUP(K466,[1]Datos!$A:$C,3,FALSE)</f>
        <v>#N/A</v>
      </c>
      <c r="L466" s="15" t="e">
        <f>+VLOOKUP(K466,[1]Datos!$A:$C,2,FALSE)</f>
        <v>#N/A</v>
      </c>
      <c r="N466" s="17" t="e">
        <f>+VLOOKUP(M466,[1]Datos!$F:$G,2,FALSE)</f>
        <v>#N/A</v>
      </c>
      <c r="O466" s="18">
        <f>IFERROR(IF(A466="SI",VLOOKUP(R466,[1]Datos!$J$1:$K$50,2,FALSE)*C466,VLOOKUP(R466,[1]Datos!$P$1:$T$50,2,FALSE)*C466),0)</f>
        <v>0</v>
      </c>
      <c r="P466" s="30"/>
      <c r="Q466" s="17" t="e">
        <f>+VLOOKUP(P466,[1]Datos!$F:$G,2,FALSE)</f>
        <v>#N/A</v>
      </c>
      <c r="S466" s="11">
        <f t="shared" si="7"/>
        <v>0</v>
      </c>
      <c r="T466" s="11" t="e">
        <f>+VLOOKUP(M466,[1]Datos!$F:$H,3,FALSE)</f>
        <v>#N/A</v>
      </c>
      <c r="U466" s="11">
        <v>0</v>
      </c>
      <c r="V466" s="19"/>
    </row>
    <row r="467" spans="1:22">
      <c r="A467" s="11" t="s">
        <v>25</v>
      </c>
      <c r="D467" s="11" t="s">
        <v>27</v>
      </c>
      <c r="H467" s="14"/>
      <c r="I467" s="14"/>
      <c r="J467" s="15" t="e">
        <f>+VLOOKUP(K467,[1]Datos!$A:$C,3,FALSE)</f>
        <v>#N/A</v>
      </c>
      <c r="L467" s="15" t="e">
        <f>+VLOOKUP(K467,[1]Datos!$A:$C,2,FALSE)</f>
        <v>#N/A</v>
      </c>
      <c r="N467" s="17" t="e">
        <f>+VLOOKUP(M467,[1]Datos!$F:$G,2,FALSE)</f>
        <v>#N/A</v>
      </c>
      <c r="O467" s="18">
        <f>IFERROR(IF(A467="SI",VLOOKUP(R467,[1]Datos!$J$1:$K$50,2,FALSE)*C467,VLOOKUP(R467,[1]Datos!$P$1:$T$50,2,FALSE)*C467),0)</f>
        <v>0</v>
      </c>
      <c r="P467" s="30"/>
      <c r="Q467" s="17" t="e">
        <f>+VLOOKUP(P467,[1]Datos!$F:$G,2,FALSE)</f>
        <v>#N/A</v>
      </c>
      <c r="S467" s="11">
        <f t="shared" si="7"/>
        <v>0</v>
      </c>
      <c r="T467" s="11" t="e">
        <f>+VLOOKUP(M467,[1]Datos!$F:$H,3,FALSE)</f>
        <v>#N/A</v>
      </c>
      <c r="U467" s="11">
        <v>0</v>
      </c>
      <c r="V467" s="19"/>
    </row>
    <row r="468" spans="1:22">
      <c r="A468" s="11" t="s">
        <v>25</v>
      </c>
      <c r="D468" s="11" t="s">
        <v>27</v>
      </c>
      <c r="H468" s="14"/>
      <c r="I468" s="14"/>
      <c r="J468" s="15" t="e">
        <f>+VLOOKUP(K468,[1]Datos!$A:$C,3,FALSE)</f>
        <v>#N/A</v>
      </c>
      <c r="L468" s="15" t="e">
        <f>+VLOOKUP(K468,[1]Datos!$A:$C,2,FALSE)</f>
        <v>#N/A</v>
      </c>
      <c r="N468" s="17" t="e">
        <f>+VLOOKUP(M468,[1]Datos!$F:$G,2,FALSE)</f>
        <v>#N/A</v>
      </c>
      <c r="O468" s="18">
        <f>IFERROR(IF(A468="SI",VLOOKUP(R468,[1]Datos!$J$1:$K$50,2,FALSE)*C468,VLOOKUP(R468,[1]Datos!$P$1:$T$50,2,FALSE)*C468),0)</f>
        <v>0</v>
      </c>
      <c r="P468" s="30"/>
      <c r="Q468" s="17" t="e">
        <f>+VLOOKUP(P468,[1]Datos!$F:$G,2,FALSE)</f>
        <v>#N/A</v>
      </c>
      <c r="S468" s="11">
        <f t="shared" si="7"/>
        <v>0</v>
      </c>
      <c r="T468" s="11" t="e">
        <f>+VLOOKUP(M468,[1]Datos!$F:$H,3,FALSE)</f>
        <v>#N/A</v>
      </c>
      <c r="U468" s="11">
        <v>0</v>
      </c>
      <c r="V468" s="19"/>
    </row>
    <row r="469" spans="1:22">
      <c r="A469" s="11" t="s">
        <v>25</v>
      </c>
      <c r="D469" s="11" t="s">
        <v>27</v>
      </c>
      <c r="H469" s="14"/>
      <c r="I469" s="14"/>
      <c r="J469" s="15" t="e">
        <f>+VLOOKUP(K469,[1]Datos!$A:$C,3,FALSE)</f>
        <v>#N/A</v>
      </c>
      <c r="L469" s="15" t="e">
        <f>+VLOOKUP(K469,[1]Datos!$A:$C,2,FALSE)</f>
        <v>#N/A</v>
      </c>
      <c r="N469" s="17" t="e">
        <f>+VLOOKUP(M469,[1]Datos!$F:$G,2,FALSE)</f>
        <v>#N/A</v>
      </c>
      <c r="O469" s="18">
        <f>IFERROR(IF(A469="SI",VLOOKUP(R469,[1]Datos!$J$1:$K$50,2,FALSE)*C469,VLOOKUP(R469,[1]Datos!$P$1:$T$50,2,FALSE)*C469),0)</f>
        <v>0</v>
      </c>
      <c r="P469" s="30"/>
      <c r="Q469" s="17" t="e">
        <f>+VLOOKUP(P469,[1]Datos!$F:$G,2,FALSE)</f>
        <v>#N/A</v>
      </c>
      <c r="S469" s="11">
        <f t="shared" si="7"/>
        <v>0</v>
      </c>
      <c r="T469" s="11" t="e">
        <f>+VLOOKUP(M469,[1]Datos!$F:$H,3,FALSE)</f>
        <v>#N/A</v>
      </c>
      <c r="U469" s="11">
        <v>0</v>
      </c>
      <c r="V469" s="19"/>
    </row>
    <row r="470" spans="1:22">
      <c r="A470" s="11" t="s">
        <v>25</v>
      </c>
      <c r="D470" s="11" t="s">
        <v>27</v>
      </c>
      <c r="H470" s="14"/>
      <c r="I470" s="14"/>
      <c r="J470" s="15" t="e">
        <f>+VLOOKUP(K470,[1]Datos!$A:$C,3,FALSE)</f>
        <v>#N/A</v>
      </c>
      <c r="L470" s="15" t="e">
        <f>+VLOOKUP(K470,[1]Datos!$A:$C,2,FALSE)</f>
        <v>#N/A</v>
      </c>
      <c r="N470" s="17" t="e">
        <f>+VLOOKUP(M470,[1]Datos!$F:$G,2,FALSE)</f>
        <v>#N/A</v>
      </c>
      <c r="O470" s="18">
        <f>IFERROR(IF(A470="SI",VLOOKUP(R470,[1]Datos!$J$1:$K$50,2,FALSE)*C470,VLOOKUP(R470,[1]Datos!$P$1:$T$50,2,FALSE)*C470),0)</f>
        <v>0</v>
      </c>
      <c r="P470" s="30"/>
      <c r="Q470" s="17" t="e">
        <f>+VLOOKUP(P470,[1]Datos!$F:$G,2,FALSE)</f>
        <v>#N/A</v>
      </c>
      <c r="S470" s="11">
        <f t="shared" si="7"/>
        <v>0</v>
      </c>
      <c r="T470" s="11" t="e">
        <f>+VLOOKUP(M470,[1]Datos!$F:$H,3,FALSE)</f>
        <v>#N/A</v>
      </c>
      <c r="U470" s="11">
        <v>0</v>
      </c>
      <c r="V470" s="19"/>
    </row>
    <row r="471" spans="1:22">
      <c r="A471" s="11" t="s">
        <v>25</v>
      </c>
      <c r="D471" s="11" t="s">
        <v>27</v>
      </c>
      <c r="H471" s="14"/>
      <c r="I471" s="14"/>
      <c r="J471" s="15" t="e">
        <f>+VLOOKUP(K471,[1]Datos!$A:$C,3,FALSE)</f>
        <v>#N/A</v>
      </c>
      <c r="L471" s="15" t="e">
        <f>+VLOOKUP(K471,[1]Datos!$A:$C,2,FALSE)</f>
        <v>#N/A</v>
      </c>
      <c r="N471" s="17" t="e">
        <f>+VLOOKUP(M471,[1]Datos!$F:$G,2,FALSE)</f>
        <v>#N/A</v>
      </c>
      <c r="O471" s="18">
        <f>IFERROR(IF(A471="SI",VLOOKUP(R471,[1]Datos!$J$1:$K$50,2,FALSE)*C471,VLOOKUP(R471,[1]Datos!$P$1:$T$50,2,FALSE)*C471),0)</f>
        <v>0</v>
      </c>
      <c r="P471" s="30"/>
      <c r="Q471" s="17" t="e">
        <f>+VLOOKUP(P471,[1]Datos!$F:$G,2,FALSE)</f>
        <v>#N/A</v>
      </c>
      <c r="S471" s="11">
        <f t="shared" si="7"/>
        <v>0</v>
      </c>
      <c r="T471" s="11" t="e">
        <f>+VLOOKUP(M471,[1]Datos!$F:$H,3,FALSE)</f>
        <v>#N/A</v>
      </c>
      <c r="U471" s="11">
        <v>0</v>
      </c>
      <c r="V471" s="19"/>
    </row>
    <row r="472" spans="1:22">
      <c r="A472" s="11" t="s">
        <v>25</v>
      </c>
      <c r="D472" s="11" t="s">
        <v>27</v>
      </c>
      <c r="H472" s="14"/>
      <c r="I472" s="14"/>
      <c r="J472" s="15" t="e">
        <f>+VLOOKUP(K472,[1]Datos!$A:$C,3,FALSE)</f>
        <v>#N/A</v>
      </c>
      <c r="L472" s="15" t="e">
        <f>+VLOOKUP(K472,[1]Datos!$A:$C,2,FALSE)</f>
        <v>#N/A</v>
      </c>
      <c r="N472" s="17" t="e">
        <f>+VLOOKUP(M472,[1]Datos!$F:$G,2,FALSE)</f>
        <v>#N/A</v>
      </c>
      <c r="O472" s="18">
        <f>IFERROR(IF(A472="SI",VLOOKUP(R472,[1]Datos!$J$1:$K$50,2,FALSE)*C472,VLOOKUP(R472,[1]Datos!$P$1:$T$50,2,FALSE)*C472),0)</f>
        <v>0</v>
      </c>
      <c r="P472" s="30"/>
      <c r="Q472" s="17" t="e">
        <f>+VLOOKUP(P472,[1]Datos!$F:$G,2,FALSE)</f>
        <v>#N/A</v>
      </c>
      <c r="S472" s="11">
        <f t="shared" si="7"/>
        <v>0</v>
      </c>
      <c r="T472" s="11" t="e">
        <f>+VLOOKUP(M472,[1]Datos!$F:$H,3,FALSE)</f>
        <v>#N/A</v>
      </c>
      <c r="U472" s="11">
        <v>0</v>
      </c>
      <c r="V472" s="19"/>
    </row>
    <row r="473" spans="1:22">
      <c r="A473" s="11" t="s">
        <v>25</v>
      </c>
      <c r="D473" s="11" t="s">
        <v>27</v>
      </c>
      <c r="H473" s="14"/>
      <c r="I473" s="14"/>
      <c r="J473" s="15" t="e">
        <f>+VLOOKUP(K473,[1]Datos!$A:$C,3,FALSE)</f>
        <v>#N/A</v>
      </c>
      <c r="L473" s="15" t="e">
        <f>+VLOOKUP(K473,[1]Datos!$A:$C,2,FALSE)</f>
        <v>#N/A</v>
      </c>
      <c r="N473" s="17" t="e">
        <f>+VLOOKUP(M473,[1]Datos!$F:$G,2,FALSE)</f>
        <v>#N/A</v>
      </c>
      <c r="O473" s="18">
        <f>IFERROR(IF(A473="SI",VLOOKUP(R473,[1]Datos!$J$1:$K$50,2,FALSE)*C473,VLOOKUP(R473,[1]Datos!$P$1:$T$50,2,FALSE)*C473),0)</f>
        <v>0</v>
      </c>
      <c r="P473" s="30"/>
      <c r="Q473" s="17" t="e">
        <f>+VLOOKUP(P473,[1]Datos!$F:$G,2,FALSE)</f>
        <v>#N/A</v>
      </c>
      <c r="S473" s="11">
        <f t="shared" si="7"/>
        <v>0</v>
      </c>
      <c r="T473" s="11" t="e">
        <f>+VLOOKUP(M473,[1]Datos!$F:$H,3,FALSE)</f>
        <v>#N/A</v>
      </c>
      <c r="U473" s="11">
        <v>0</v>
      </c>
      <c r="V473" s="19"/>
    </row>
    <row r="474" spans="1:22">
      <c r="A474" s="11" t="s">
        <v>25</v>
      </c>
      <c r="D474" s="11" t="s">
        <v>27</v>
      </c>
      <c r="H474" s="14"/>
      <c r="I474" s="14"/>
      <c r="J474" s="15" t="e">
        <f>+VLOOKUP(K474,[1]Datos!$A:$C,3,FALSE)</f>
        <v>#N/A</v>
      </c>
      <c r="L474" s="15" t="e">
        <f>+VLOOKUP(K474,[1]Datos!$A:$C,2,FALSE)</f>
        <v>#N/A</v>
      </c>
      <c r="N474" s="17" t="e">
        <f>+VLOOKUP(M474,[1]Datos!$F:$G,2,FALSE)</f>
        <v>#N/A</v>
      </c>
      <c r="O474" s="18">
        <f>IFERROR(IF(A474="SI",VLOOKUP(R474,[1]Datos!$J$1:$K$50,2,FALSE)*C474,VLOOKUP(R474,[1]Datos!$P$1:$T$50,2,FALSE)*C474),0)</f>
        <v>0</v>
      </c>
      <c r="P474" s="30"/>
      <c r="Q474" s="17" t="e">
        <f>+VLOOKUP(P474,[1]Datos!$F:$G,2,FALSE)</f>
        <v>#N/A</v>
      </c>
      <c r="S474" s="11">
        <f t="shared" si="7"/>
        <v>0</v>
      </c>
      <c r="T474" s="11" t="e">
        <f>+VLOOKUP(M474,[1]Datos!$F:$H,3,FALSE)</f>
        <v>#N/A</v>
      </c>
      <c r="U474" s="11">
        <v>0</v>
      </c>
      <c r="V474" s="19"/>
    </row>
    <row r="475" spans="1:22">
      <c r="A475" s="11" t="s">
        <v>25</v>
      </c>
      <c r="D475" s="11" t="s">
        <v>27</v>
      </c>
      <c r="H475" s="14"/>
      <c r="I475" s="14"/>
      <c r="J475" s="15" t="e">
        <f>+VLOOKUP(K475,[1]Datos!$A:$C,3,FALSE)</f>
        <v>#N/A</v>
      </c>
      <c r="L475" s="15" t="e">
        <f>+VLOOKUP(K475,[1]Datos!$A:$C,2,FALSE)</f>
        <v>#N/A</v>
      </c>
      <c r="N475" s="17" t="e">
        <f>+VLOOKUP(M475,[1]Datos!$F:$G,2,FALSE)</f>
        <v>#N/A</v>
      </c>
      <c r="O475" s="18">
        <f>IFERROR(IF(A475="SI",VLOOKUP(R475,[1]Datos!$J$1:$K$50,2,FALSE)*C475,VLOOKUP(R475,[1]Datos!$P$1:$T$50,2,FALSE)*C475),0)</f>
        <v>0</v>
      </c>
      <c r="P475" s="30"/>
      <c r="Q475" s="17" t="e">
        <f>+VLOOKUP(P475,[1]Datos!$F:$G,2,FALSE)</f>
        <v>#N/A</v>
      </c>
      <c r="S475" s="11">
        <f t="shared" si="7"/>
        <v>0</v>
      </c>
      <c r="T475" s="11" t="e">
        <f>+VLOOKUP(M475,[1]Datos!$F:$H,3,FALSE)</f>
        <v>#N/A</v>
      </c>
      <c r="U475" s="11">
        <v>0</v>
      </c>
      <c r="V475" s="19"/>
    </row>
    <row r="476" spans="1:22">
      <c r="A476" s="11" t="s">
        <v>25</v>
      </c>
      <c r="D476" s="11" t="s">
        <v>27</v>
      </c>
      <c r="H476" s="14"/>
      <c r="I476" s="14"/>
      <c r="J476" s="15" t="e">
        <f>+VLOOKUP(K476,[1]Datos!$A:$C,3,FALSE)</f>
        <v>#N/A</v>
      </c>
      <c r="L476" s="15" t="e">
        <f>+VLOOKUP(K476,[1]Datos!$A:$C,2,FALSE)</f>
        <v>#N/A</v>
      </c>
      <c r="N476" s="17" t="e">
        <f>+VLOOKUP(M476,[1]Datos!$F:$G,2,FALSE)</f>
        <v>#N/A</v>
      </c>
      <c r="O476" s="18">
        <f>IFERROR(IF(A476="SI",VLOOKUP(R476,[1]Datos!$J$1:$K$50,2,FALSE)*C476,VLOOKUP(R476,[1]Datos!$P$1:$T$50,2,FALSE)*C476),0)</f>
        <v>0</v>
      </c>
      <c r="P476" s="30"/>
      <c r="Q476" s="17" t="e">
        <f>+VLOOKUP(P476,[1]Datos!$F:$G,2,FALSE)</f>
        <v>#N/A</v>
      </c>
      <c r="S476" s="11">
        <f t="shared" si="7"/>
        <v>0</v>
      </c>
      <c r="T476" s="11" t="e">
        <f>+VLOOKUP(M476,[1]Datos!$F:$H,3,FALSE)</f>
        <v>#N/A</v>
      </c>
      <c r="U476" s="11">
        <v>0</v>
      </c>
      <c r="V476" s="19"/>
    </row>
    <row r="477" spans="1:22">
      <c r="A477" s="11" t="s">
        <v>25</v>
      </c>
      <c r="D477" s="11" t="s">
        <v>27</v>
      </c>
      <c r="H477" s="14"/>
      <c r="I477" s="14"/>
      <c r="J477" s="15" t="e">
        <f>+VLOOKUP(K477,[1]Datos!$A:$C,3,FALSE)</f>
        <v>#N/A</v>
      </c>
      <c r="L477" s="15" t="e">
        <f>+VLOOKUP(K477,[1]Datos!$A:$C,2,FALSE)</f>
        <v>#N/A</v>
      </c>
      <c r="N477" s="17" t="e">
        <f>+VLOOKUP(M477,[1]Datos!$F:$G,2,FALSE)</f>
        <v>#N/A</v>
      </c>
      <c r="O477" s="18">
        <f>IFERROR(IF(A477="SI",VLOOKUP(R477,[1]Datos!$J$1:$K$50,2,FALSE)*C477,VLOOKUP(R477,[1]Datos!$P$1:$T$50,2,FALSE)*C477),0)</f>
        <v>0</v>
      </c>
      <c r="P477" s="30"/>
      <c r="Q477" s="17" t="e">
        <f>+VLOOKUP(P477,[1]Datos!$F:$G,2,FALSE)</f>
        <v>#N/A</v>
      </c>
      <c r="S477" s="11">
        <f t="shared" si="7"/>
        <v>0</v>
      </c>
      <c r="T477" s="11" t="e">
        <f>+VLOOKUP(M477,[1]Datos!$F:$H,3,FALSE)</f>
        <v>#N/A</v>
      </c>
      <c r="U477" s="11">
        <v>0</v>
      </c>
      <c r="V477" s="19"/>
    </row>
    <row r="478" spans="1:22">
      <c r="A478" s="11" t="s">
        <v>25</v>
      </c>
      <c r="D478" s="11" t="s">
        <v>27</v>
      </c>
      <c r="H478" s="14"/>
      <c r="I478" s="14"/>
      <c r="J478" s="15" t="e">
        <f>+VLOOKUP(K478,[1]Datos!$A:$C,3,FALSE)</f>
        <v>#N/A</v>
      </c>
      <c r="L478" s="15" t="e">
        <f>+VLOOKUP(K478,[1]Datos!$A:$C,2,FALSE)</f>
        <v>#N/A</v>
      </c>
      <c r="N478" s="17" t="e">
        <f>+VLOOKUP(M478,[1]Datos!$F:$G,2,FALSE)</f>
        <v>#N/A</v>
      </c>
      <c r="O478" s="18">
        <f>IFERROR(IF(A478="SI",VLOOKUP(R478,[1]Datos!$J$1:$K$50,2,FALSE)*C478,VLOOKUP(R478,[1]Datos!$P$1:$T$50,2,FALSE)*C478),0)</f>
        <v>0</v>
      </c>
      <c r="P478" s="30"/>
      <c r="Q478" s="17" t="e">
        <f>+VLOOKUP(P478,[1]Datos!$F:$G,2,FALSE)</f>
        <v>#N/A</v>
      </c>
      <c r="S478" s="11">
        <f t="shared" si="7"/>
        <v>0</v>
      </c>
      <c r="T478" s="11" t="e">
        <f>+VLOOKUP(M478,[1]Datos!$F:$H,3,FALSE)</f>
        <v>#N/A</v>
      </c>
      <c r="U478" s="11">
        <v>0</v>
      </c>
      <c r="V478" s="19"/>
    </row>
    <row r="479" spans="1:22">
      <c r="A479" s="11" t="s">
        <v>25</v>
      </c>
      <c r="D479" s="11" t="s">
        <v>27</v>
      </c>
      <c r="H479" s="14"/>
      <c r="I479" s="14"/>
      <c r="J479" s="15" t="e">
        <f>+VLOOKUP(K479,[1]Datos!$A:$C,3,FALSE)</f>
        <v>#N/A</v>
      </c>
      <c r="L479" s="15" t="e">
        <f>+VLOOKUP(K479,[1]Datos!$A:$C,2,FALSE)</f>
        <v>#N/A</v>
      </c>
      <c r="N479" s="17" t="e">
        <f>+VLOOKUP(M479,[1]Datos!$F:$G,2,FALSE)</f>
        <v>#N/A</v>
      </c>
      <c r="O479" s="18">
        <f>IFERROR(IF(A479="SI",VLOOKUP(R479,[1]Datos!$J$1:$K$50,2,FALSE)*C479,VLOOKUP(R479,[1]Datos!$P$1:$T$50,2,FALSE)*C479),0)</f>
        <v>0</v>
      </c>
      <c r="P479" s="30"/>
      <c r="Q479" s="17" t="e">
        <f>+VLOOKUP(P479,[1]Datos!$F:$G,2,FALSE)</f>
        <v>#N/A</v>
      </c>
      <c r="S479" s="11">
        <f t="shared" si="7"/>
        <v>0</v>
      </c>
      <c r="T479" s="11" t="e">
        <f>+VLOOKUP(M479,[1]Datos!$F:$H,3,FALSE)</f>
        <v>#N/A</v>
      </c>
      <c r="U479" s="11">
        <v>0</v>
      </c>
      <c r="V479" s="19"/>
    </row>
    <row r="480" spans="1:22">
      <c r="A480" s="11" t="s">
        <v>25</v>
      </c>
      <c r="D480" s="11" t="s">
        <v>27</v>
      </c>
      <c r="H480" s="14"/>
      <c r="I480" s="14"/>
      <c r="J480" s="15" t="e">
        <f>+VLOOKUP(K480,[1]Datos!$A:$C,3,FALSE)</f>
        <v>#N/A</v>
      </c>
      <c r="L480" s="15" t="e">
        <f>+VLOOKUP(K480,[1]Datos!$A:$C,2,FALSE)</f>
        <v>#N/A</v>
      </c>
      <c r="N480" s="17" t="e">
        <f>+VLOOKUP(M480,[1]Datos!$F:$G,2,FALSE)</f>
        <v>#N/A</v>
      </c>
      <c r="O480" s="18">
        <f>IFERROR(IF(A480="SI",VLOOKUP(R480,[1]Datos!$J$1:$K$50,2,FALSE)*C480,VLOOKUP(R480,[1]Datos!$P$1:$T$50,2,FALSE)*C480),0)</f>
        <v>0</v>
      </c>
      <c r="P480" s="30"/>
      <c r="Q480" s="17" t="e">
        <f>+VLOOKUP(P480,[1]Datos!$F:$G,2,FALSE)</f>
        <v>#N/A</v>
      </c>
      <c r="S480" s="11">
        <f t="shared" si="7"/>
        <v>0</v>
      </c>
      <c r="T480" s="11" t="e">
        <f>+VLOOKUP(M480,[1]Datos!$F:$H,3,FALSE)</f>
        <v>#N/A</v>
      </c>
      <c r="U480" s="11">
        <v>0</v>
      </c>
      <c r="V480" s="19"/>
    </row>
    <row r="481" spans="1:22">
      <c r="A481" s="11" t="s">
        <v>25</v>
      </c>
      <c r="D481" s="11" t="s">
        <v>27</v>
      </c>
      <c r="H481" s="14"/>
      <c r="I481" s="14"/>
      <c r="J481" s="15" t="e">
        <f>+VLOOKUP(K481,[1]Datos!$A:$C,3,FALSE)</f>
        <v>#N/A</v>
      </c>
      <c r="L481" s="15" t="e">
        <f>+VLOOKUP(K481,[1]Datos!$A:$C,2,FALSE)</f>
        <v>#N/A</v>
      </c>
      <c r="N481" s="17" t="e">
        <f>+VLOOKUP(M481,[1]Datos!$F:$G,2,FALSE)</f>
        <v>#N/A</v>
      </c>
      <c r="O481" s="18">
        <f>IFERROR(IF(A481="SI",VLOOKUP(R481,[1]Datos!$J$1:$K$50,2,FALSE)*C481,VLOOKUP(R481,[1]Datos!$P$1:$T$50,2,FALSE)*C481),0)</f>
        <v>0</v>
      </c>
      <c r="P481" s="30"/>
      <c r="Q481" s="17" t="e">
        <f>+VLOOKUP(P481,[1]Datos!$F:$G,2,FALSE)</f>
        <v>#N/A</v>
      </c>
      <c r="S481" s="11">
        <f t="shared" si="7"/>
        <v>0</v>
      </c>
      <c r="T481" s="11" t="e">
        <f>+VLOOKUP(M481,[1]Datos!$F:$H,3,FALSE)</f>
        <v>#N/A</v>
      </c>
      <c r="U481" s="11">
        <v>0</v>
      </c>
      <c r="V481" s="19"/>
    </row>
    <row r="482" spans="1:22">
      <c r="A482" s="11" t="s">
        <v>25</v>
      </c>
      <c r="D482" s="11" t="s">
        <v>27</v>
      </c>
      <c r="H482" s="14"/>
      <c r="I482" s="14"/>
      <c r="J482" s="15" t="e">
        <f>+VLOOKUP(K482,[1]Datos!$A:$C,3,FALSE)</f>
        <v>#N/A</v>
      </c>
      <c r="L482" s="15" t="e">
        <f>+VLOOKUP(K482,[1]Datos!$A:$C,2,FALSE)</f>
        <v>#N/A</v>
      </c>
      <c r="N482" s="17" t="e">
        <f>+VLOOKUP(M482,[1]Datos!$F:$G,2,FALSE)</f>
        <v>#N/A</v>
      </c>
      <c r="O482" s="18">
        <f>IFERROR(IF(A482="SI",VLOOKUP(R482,[1]Datos!$J$1:$K$50,2,FALSE)*C482,VLOOKUP(R482,[1]Datos!$P$1:$T$50,2,FALSE)*C482),0)</f>
        <v>0</v>
      </c>
      <c r="P482" s="30"/>
      <c r="Q482" s="17" t="e">
        <f>+VLOOKUP(P482,[1]Datos!$F:$G,2,FALSE)</f>
        <v>#N/A</v>
      </c>
      <c r="S482" s="11">
        <f t="shared" si="7"/>
        <v>0</v>
      </c>
      <c r="T482" s="11" t="e">
        <f>+VLOOKUP(M482,[1]Datos!$F:$H,3,FALSE)</f>
        <v>#N/A</v>
      </c>
      <c r="U482" s="11">
        <v>0</v>
      </c>
      <c r="V482" s="19"/>
    </row>
    <row r="483" spans="1:22">
      <c r="A483" s="11" t="s">
        <v>25</v>
      </c>
      <c r="D483" s="11" t="s">
        <v>27</v>
      </c>
      <c r="H483" s="14"/>
      <c r="I483" s="14"/>
      <c r="J483" s="15" t="e">
        <f>+VLOOKUP(K483,[1]Datos!$A:$C,3,FALSE)</f>
        <v>#N/A</v>
      </c>
      <c r="L483" s="15" t="e">
        <f>+VLOOKUP(K483,[1]Datos!$A:$C,2,FALSE)</f>
        <v>#N/A</v>
      </c>
      <c r="N483" s="17" t="e">
        <f>+VLOOKUP(M483,[1]Datos!$F:$G,2,FALSE)</f>
        <v>#N/A</v>
      </c>
      <c r="O483" s="18">
        <f>IFERROR(IF(A483="SI",VLOOKUP(R483,[1]Datos!$J$1:$K$50,2,FALSE)*C483,VLOOKUP(R483,[1]Datos!$P$1:$T$50,2,FALSE)*C483),0)</f>
        <v>0</v>
      </c>
      <c r="P483" s="30"/>
      <c r="Q483" s="17" t="e">
        <f>+VLOOKUP(P483,[1]Datos!$F:$G,2,FALSE)</f>
        <v>#N/A</v>
      </c>
      <c r="S483" s="11">
        <f t="shared" si="7"/>
        <v>0</v>
      </c>
      <c r="T483" s="11" t="e">
        <f>+VLOOKUP(M483,[1]Datos!$F:$H,3,FALSE)</f>
        <v>#N/A</v>
      </c>
      <c r="U483" s="11">
        <v>0</v>
      </c>
      <c r="V483" s="19"/>
    </row>
    <row r="484" spans="1:22">
      <c r="A484" s="11" t="s">
        <v>25</v>
      </c>
      <c r="D484" s="11" t="s">
        <v>27</v>
      </c>
      <c r="H484" s="14"/>
      <c r="I484" s="14"/>
      <c r="J484" s="15" t="e">
        <f>+VLOOKUP(K484,[1]Datos!$A:$C,3,FALSE)</f>
        <v>#N/A</v>
      </c>
      <c r="L484" s="15" t="e">
        <f>+VLOOKUP(K484,[1]Datos!$A:$C,2,FALSE)</f>
        <v>#N/A</v>
      </c>
      <c r="N484" s="17" t="e">
        <f>+VLOOKUP(M484,[1]Datos!$F:$G,2,FALSE)</f>
        <v>#N/A</v>
      </c>
      <c r="O484" s="18">
        <f>IFERROR(IF(A484="SI",VLOOKUP(R484,[1]Datos!$J$1:$K$50,2,FALSE)*C484,VLOOKUP(R484,[1]Datos!$P$1:$T$50,2,FALSE)*C484),0)</f>
        <v>0</v>
      </c>
      <c r="P484" s="30"/>
      <c r="Q484" s="17" t="e">
        <f>+VLOOKUP(P484,[1]Datos!$F:$G,2,FALSE)</f>
        <v>#N/A</v>
      </c>
      <c r="S484" s="11">
        <f t="shared" si="7"/>
        <v>0</v>
      </c>
      <c r="T484" s="11" t="e">
        <f>+VLOOKUP(M484,[1]Datos!$F:$H,3,FALSE)</f>
        <v>#N/A</v>
      </c>
      <c r="U484" s="11">
        <v>0</v>
      </c>
      <c r="V484" s="19"/>
    </row>
    <row r="485" spans="1:22">
      <c r="A485" s="11" t="s">
        <v>25</v>
      </c>
      <c r="D485" s="11" t="s">
        <v>27</v>
      </c>
      <c r="H485" s="14"/>
      <c r="I485" s="14"/>
      <c r="J485" s="15" t="e">
        <f>+VLOOKUP(K485,[1]Datos!$A:$C,3,FALSE)</f>
        <v>#N/A</v>
      </c>
      <c r="L485" s="15" t="e">
        <f>+VLOOKUP(K485,[1]Datos!$A:$C,2,FALSE)</f>
        <v>#N/A</v>
      </c>
      <c r="N485" s="17" t="e">
        <f>+VLOOKUP(M485,[1]Datos!$F:$G,2,FALSE)</f>
        <v>#N/A</v>
      </c>
      <c r="O485" s="18">
        <f>IFERROR(IF(A485="SI",VLOOKUP(R485,[1]Datos!$J$1:$K$50,2,FALSE)*C485,VLOOKUP(R485,[1]Datos!$P$1:$T$50,2,FALSE)*C485),0)</f>
        <v>0</v>
      </c>
      <c r="P485" s="30"/>
      <c r="Q485" s="17" t="e">
        <f>+VLOOKUP(P485,[1]Datos!$F:$G,2,FALSE)</f>
        <v>#N/A</v>
      </c>
      <c r="S485" s="11">
        <f t="shared" si="7"/>
        <v>0</v>
      </c>
      <c r="T485" s="11" t="e">
        <f>+VLOOKUP(M485,[1]Datos!$F:$H,3,FALSE)</f>
        <v>#N/A</v>
      </c>
      <c r="U485" s="11">
        <v>0</v>
      </c>
      <c r="V485" s="19"/>
    </row>
    <row r="486" spans="1:22">
      <c r="A486" s="11" t="s">
        <v>25</v>
      </c>
      <c r="D486" s="11" t="s">
        <v>27</v>
      </c>
      <c r="H486" s="14"/>
      <c r="I486" s="14"/>
      <c r="J486" s="15" t="e">
        <f>+VLOOKUP(K486,[1]Datos!$A:$C,3,FALSE)</f>
        <v>#N/A</v>
      </c>
      <c r="L486" s="15" t="e">
        <f>+VLOOKUP(K486,[1]Datos!$A:$C,2,FALSE)</f>
        <v>#N/A</v>
      </c>
      <c r="N486" s="17" t="e">
        <f>+VLOOKUP(M486,[1]Datos!$F:$G,2,FALSE)</f>
        <v>#N/A</v>
      </c>
      <c r="O486" s="18">
        <f>IFERROR(IF(A486="SI",VLOOKUP(R486,[1]Datos!$J$1:$K$50,2,FALSE)*C486,VLOOKUP(R486,[1]Datos!$P$1:$T$50,2,FALSE)*C486),0)</f>
        <v>0</v>
      </c>
      <c r="P486" s="30"/>
      <c r="Q486" s="17" t="e">
        <f>+VLOOKUP(P486,[1]Datos!$F:$G,2,FALSE)</f>
        <v>#N/A</v>
      </c>
      <c r="S486" s="11">
        <f t="shared" si="7"/>
        <v>0</v>
      </c>
      <c r="T486" s="11" t="e">
        <f>+VLOOKUP(M486,[1]Datos!$F:$H,3,FALSE)</f>
        <v>#N/A</v>
      </c>
      <c r="U486" s="11">
        <v>0</v>
      </c>
      <c r="V486" s="19"/>
    </row>
    <row r="487" spans="1:22">
      <c r="A487" s="11" t="s">
        <v>25</v>
      </c>
      <c r="D487" s="11" t="s">
        <v>27</v>
      </c>
      <c r="H487" s="14"/>
      <c r="I487" s="14"/>
      <c r="J487" s="15" t="e">
        <f>+VLOOKUP(K487,[1]Datos!$A:$C,3,FALSE)</f>
        <v>#N/A</v>
      </c>
      <c r="L487" s="15" t="e">
        <f>+VLOOKUP(K487,[1]Datos!$A:$C,2,FALSE)</f>
        <v>#N/A</v>
      </c>
      <c r="N487" s="17" t="e">
        <f>+VLOOKUP(M487,[1]Datos!$F:$G,2,FALSE)</f>
        <v>#N/A</v>
      </c>
      <c r="O487" s="18">
        <f>IFERROR(IF(A487="SI",VLOOKUP(R487,[1]Datos!$J$1:$K$50,2,FALSE)*C487,VLOOKUP(R487,[1]Datos!$P$1:$T$50,2,FALSE)*C487),0)</f>
        <v>0</v>
      </c>
      <c r="P487" s="30"/>
      <c r="Q487" s="17" t="e">
        <f>+VLOOKUP(P487,[1]Datos!$F:$G,2,FALSE)</f>
        <v>#N/A</v>
      </c>
      <c r="S487" s="11">
        <f t="shared" si="7"/>
        <v>0</v>
      </c>
      <c r="T487" s="11" t="e">
        <f>+VLOOKUP(M487,[1]Datos!$F:$H,3,FALSE)</f>
        <v>#N/A</v>
      </c>
      <c r="U487" s="11">
        <v>0</v>
      </c>
      <c r="V487" s="19"/>
    </row>
    <row r="488" spans="1:22">
      <c r="A488" s="11" t="s">
        <v>25</v>
      </c>
      <c r="D488" s="11" t="s">
        <v>27</v>
      </c>
      <c r="H488" s="14"/>
      <c r="I488" s="14"/>
      <c r="J488" s="15" t="e">
        <f>+VLOOKUP(K488,[1]Datos!$A:$C,3,FALSE)</f>
        <v>#N/A</v>
      </c>
      <c r="L488" s="15" t="e">
        <f>+VLOOKUP(K488,[1]Datos!$A:$C,2,FALSE)</f>
        <v>#N/A</v>
      </c>
      <c r="N488" s="17" t="e">
        <f>+VLOOKUP(M488,[1]Datos!$F:$G,2,FALSE)</f>
        <v>#N/A</v>
      </c>
      <c r="O488" s="18">
        <f>IFERROR(IF(A488="SI",VLOOKUP(R488,[1]Datos!$J$1:$K$50,2,FALSE)*C488,VLOOKUP(R488,[1]Datos!$P$1:$T$50,2,FALSE)*C488),0)</f>
        <v>0</v>
      </c>
      <c r="P488" s="30"/>
      <c r="Q488" s="17" t="e">
        <f>+VLOOKUP(P488,[1]Datos!$F:$G,2,FALSE)</f>
        <v>#N/A</v>
      </c>
      <c r="S488" s="11">
        <f t="shared" si="7"/>
        <v>0</v>
      </c>
      <c r="T488" s="11" t="e">
        <f>+VLOOKUP(M488,[1]Datos!$F:$H,3,FALSE)</f>
        <v>#N/A</v>
      </c>
      <c r="U488" s="11">
        <v>0</v>
      </c>
      <c r="V488" s="19"/>
    </row>
    <row r="489" spans="1:22">
      <c r="A489" s="11" t="s">
        <v>25</v>
      </c>
      <c r="D489" s="11" t="s">
        <v>27</v>
      </c>
      <c r="H489" s="14"/>
      <c r="I489" s="14"/>
      <c r="J489" s="15" t="e">
        <f>+VLOOKUP(K489,[1]Datos!$A:$C,3,FALSE)</f>
        <v>#N/A</v>
      </c>
      <c r="L489" s="15" t="e">
        <f>+VLOOKUP(K489,[1]Datos!$A:$C,2,FALSE)</f>
        <v>#N/A</v>
      </c>
      <c r="N489" s="17" t="e">
        <f>+VLOOKUP(M489,[1]Datos!$F:$G,2,FALSE)</f>
        <v>#N/A</v>
      </c>
      <c r="O489" s="18">
        <f>IFERROR(IF(A489="SI",VLOOKUP(R489,[1]Datos!$J$1:$K$50,2,FALSE)*C489,VLOOKUP(R489,[1]Datos!$P$1:$T$50,2,FALSE)*C489),0)</f>
        <v>0</v>
      </c>
      <c r="P489" s="30"/>
      <c r="Q489" s="17" t="e">
        <f>+VLOOKUP(P489,[1]Datos!$F:$G,2,FALSE)</f>
        <v>#N/A</v>
      </c>
      <c r="S489" s="11">
        <f t="shared" si="7"/>
        <v>0</v>
      </c>
      <c r="T489" s="11" t="e">
        <f>+VLOOKUP(M489,[1]Datos!$F:$H,3,FALSE)</f>
        <v>#N/A</v>
      </c>
      <c r="U489" s="11">
        <v>0</v>
      </c>
      <c r="V489" s="19"/>
    </row>
    <row r="490" spans="1:22">
      <c r="A490" s="11" t="s">
        <v>25</v>
      </c>
      <c r="D490" s="11" t="s">
        <v>27</v>
      </c>
      <c r="H490" s="14"/>
      <c r="I490" s="14"/>
      <c r="J490" s="15" t="e">
        <f>+VLOOKUP(K490,[1]Datos!$A:$C,3,FALSE)</f>
        <v>#N/A</v>
      </c>
      <c r="L490" s="15" t="e">
        <f>+VLOOKUP(K490,[1]Datos!$A:$C,2,FALSE)</f>
        <v>#N/A</v>
      </c>
      <c r="N490" s="17" t="e">
        <f>+VLOOKUP(M490,[1]Datos!$F:$G,2,FALSE)</f>
        <v>#N/A</v>
      </c>
      <c r="O490" s="18">
        <f>IFERROR(IF(A490="SI",VLOOKUP(R490,[1]Datos!$J$1:$K$50,2,FALSE)*C490,VLOOKUP(R490,[1]Datos!$P$1:$T$50,2,FALSE)*C490),0)</f>
        <v>0</v>
      </c>
      <c r="P490" s="30"/>
      <c r="Q490" s="17" t="e">
        <f>+VLOOKUP(P490,[1]Datos!$F:$G,2,FALSE)</f>
        <v>#N/A</v>
      </c>
      <c r="S490" s="11">
        <f t="shared" si="7"/>
        <v>0</v>
      </c>
      <c r="T490" s="11" t="e">
        <f>+VLOOKUP(M490,[1]Datos!$F:$H,3,FALSE)</f>
        <v>#N/A</v>
      </c>
      <c r="U490" s="11">
        <v>0</v>
      </c>
      <c r="V490" s="19"/>
    </row>
    <row r="491" spans="1:22">
      <c r="A491" s="11" t="s">
        <v>25</v>
      </c>
      <c r="D491" s="11" t="s">
        <v>27</v>
      </c>
      <c r="H491" s="14"/>
      <c r="I491" s="14"/>
      <c r="J491" s="15" t="e">
        <f>+VLOOKUP(K491,[1]Datos!$A:$C,3,FALSE)</f>
        <v>#N/A</v>
      </c>
      <c r="L491" s="15" t="e">
        <f>+VLOOKUP(K491,[1]Datos!$A:$C,2,FALSE)</f>
        <v>#N/A</v>
      </c>
      <c r="N491" s="17" t="e">
        <f>+VLOOKUP(M491,[1]Datos!$F:$G,2,FALSE)</f>
        <v>#N/A</v>
      </c>
      <c r="O491" s="18">
        <f>IFERROR(IF(A491="SI",VLOOKUP(R491,[1]Datos!$J$1:$K$50,2,FALSE)*C491,VLOOKUP(R491,[1]Datos!$P$1:$T$50,2,FALSE)*C491),0)</f>
        <v>0</v>
      </c>
      <c r="P491" s="30"/>
      <c r="Q491" s="17" t="e">
        <f>+VLOOKUP(P491,[1]Datos!$F:$G,2,FALSE)</f>
        <v>#N/A</v>
      </c>
      <c r="S491" s="11">
        <f t="shared" si="7"/>
        <v>0</v>
      </c>
      <c r="T491" s="11" t="e">
        <f>+VLOOKUP(M491,[1]Datos!$F:$H,3,FALSE)</f>
        <v>#N/A</v>
      </c>
      <c r="U491" s="11">
        <v>0</v>
      </c>
      <c r="V491" s="19"/>
    </row>
    <row r="492" spans="1:22">
      <c r="A492" s="11" t="s">
        <v>25</v>
      </c>
      <c r="D492" s="11" t="s">
        <v>27</v>
      </c>
      <c r="H492" s="14"/>
      <c r="I492" s="14"/>
      <c r="J492" s="15" t="e">
        <f>+VLOOKUP(K492,[1]Datos!$A:$C,3,FALSE)</f>
        <v>#N/A</v>
      </c>
      <c r="L492" s="15" t="e">
        <f>+VLOOKUP(K492,[1]Datos!$A:$C,2,FALSE)</f>
        <v>#N/A</v>
      </c>
      <c r="N492" s="17" t="e">
        <f>+VLOOKUP(M492,[1]Datos!$F:$G,2,FALSE)</f>
        <v>#N/A</v>
      </c>
      <c r="O492" s="18">
        <f>IFERROR(IF(A492="SI",VLOOKUP(R492,[1]Datos!$J$1:$K$50,2,FALSE)*C492,VLOOKUP(R492,[1]Datos!$P$1:$T$50,2,FALSE)*C492),0)</f>
        <v>0</v>
      </c>
      <c r="P492" s="30"/>
      <c r="Q492" s="17" t="e">
        <f>+VLOOKUP(P492,[1]Datos!$F:$G,2,FALSE)</f>
        <v>#N/A</v>
      </c>
      <c r="S492" s="11">
        <f t="shared" si="7"/>
        <v>0</v>
      </c>
      <c r="T492" s="11" t="e">
        <f>+VLOOKUP(M492,[1]Datos!$F:$H,3,FALSE)</f>
        <v>#N/A</v>
      </c>
      <c r="U492" s="11">
        <v>0</v>
      </c>
      <c r="V492" s="19"/>
    </row>
    <row r="493" spans="1:22">
      <c r="A493" s="11" t="s">
        <v>25</v>
      </c>
      <c r="D493" s="11" t="s">
        <v>27</v>
      </c>
      <c r="H493" s="14"/>
      <c r="I493" s="14"/>
      <c r="J493" s="15" t="e">
        <f>+VLOOKUP(K493,[1]Datos!$A:$C,3,FALSE)</f>
        <v>#N/A</v>
      </c>
      <c r="L493" s="15" t="e">
        <f>+VLOOKUP(K493,[1]Datos!$A:$C,2,FALSE)</f>
        <v>#N/A</v>
      </c>
      <c r="N493" s="17" t="e">
        <f>+VLOOKUP(M493,[1]Datos!$F:$G,2,FALSE)</f>
        <v>#N/A</v>
      </c>
      <c r="O493" s="18">
        <f>IFERROR(IF(A493="SI",VLOOKUP(R493,[1]Datos!$J$1:$K$50,2,FALSE)*C493,VLOOKUP(R493,[1]Datos!$P$1:$T$50,2,FALSE)*C493),0)</f>
        <v>0</v>
      </c>
      <c r="P493" s="30"/>
      <c r="Q493" s="17" t="e">
        <f>+VLOOKUP(P493,[1]Datos!$F:$G,2,FALSE)</f>
        <v>#N/A</v>
      </c>
      <c r="S493" s="11">
        <f t="shared" si="7"/>
        <v>0</v>
      </c>
      <c r="T493" s="11" t="e">
        <f>+VLOOKUP(M493,[1]Datos!$F:$H,3,FALSE)</f>
        <v>#N/A</v>
      </c>
      <c r="U493" s="11">
        <v>0</v>
      </c>
      <c r="V493" s="19"/>
    </row>
    <row r="494" spans="1:22">
      <c r="A494" s="11" t="s">
        <v>25</v>
      </c>
      <c r="D494" s="11" t="s">
        <v>27</v>
      </c>
      <c r="H494" s="14"/>
      <c r="I494" s="14"/>
      <c r="J494" s="15" t="e">
        <f>+VLOOKUP(K494,[1]Datos!$A:$C,3,FALSE)</f>
        <v>#N/A</v>
      </c>
      <c r="L494" s="15" t="e">
        <f>+VLOOKUP(K494,[1]Datos!$A:$C,2,FALSE)</f>
        <v>#N/A</v>
      </c>
      <c r="N494" s="17" t="e">
        <f>+VLOOKUP(M494,[1]Datos!$F:$G,2,FALSE)</f>
        <v>#N/A</v>
      </c>
      <c r="O494" s="18">
        <f>IFERROR(IF(A494="SI",VLOOKUP(R494,[1]Datos!$J$1:$K$50,2,FALSE)*C494,VLOOKUP(R494,[1]Datos!$P$1:$T$50,2,FALSE)*C494),0)</f>
        <v>0</v>
      </c>
      <c r="P494" s="30"/>
      <c r="Q494" s="17" t="e">
        <f>+VLOOKUP(P494,[1]Datos!$F:$G,2,FALSE)</f>
        <v>#N/A</v>
      </c>
      <c r="S494" s="11">
        <f t="shared" si="7"/>
        <v>0</v>
      </c>
      <c r="T494" s="11" t="e">
        <f>+VLOOKUP(M494,[1]Datos!$F:$H,3,FALSE)</f>
        <v>#N/A</v>
      </c>
      <c r="U494" s="11">
        <v>0</v>
      </c>
      <c r="V494" s="19"/>
    </row>
    <row r="495" spans="1:22">
      <c r="A495" s="11" t="s">
        <v>25</v>
      </c>
      <c r="D495" s="11" t="s">
        <v>27</v>
      </c>
      <c r="H495" s="14"/>
      <c r="I495" s="14"/>
      <c r="J495" s="15" t="e">
        <f>+VLOOKUP(K495,[1]Datos!$A:$C,3,FALSE)</f>
        <v>#N/A</v>
      </c>
      <c r="L495" s="15" t="e">
        <f>+VLOOKUP(K495,[1]Datos!$A:$C,2,FALSE)</f>
        <v>#N/A</v>
      </c>
      <c r="N495" s="17" t="e">
        <f>+VLOOKUP(M495,[1]Datos!$F:$G,2,FALSE)</f>
        <v>#N/A</v>
      </c>
      <c r="O495" s="18">
        <f>IFERROR(IF(A495="SI",VLOOKUP(R495,[1]Datos!$J$1:$K$50,2,FALSE)*C495,VLOOKUP(R495,[1]Datos!$P$1:$T$50,2,FALSE)*C495),0)</f>
        <v>0</v>
      </c>
      <c r="P495" s="30"/>
      <c r="Q495" s="17" t="e">
        <f>+VLOOKUP(P495,[1]Datos!$F:$G,2,FALSE)</f>
        <v>#N/A</v>
      </c>
      <c r="S495" s="11">
        <f t="shared" si="7"/>
        <v>0</v>
      </c>
      <c r="T495" s="11" t="e">
        <f>+VLOOKUP(M495,[1]Datos!$F:$H,3,FALSE)</f>
        <v>#N/A</v>
      </c>
      <c r="U495" s="11">
        <v>0</v>
      </c>
      <c r="V495" s="19"/>
    </row>
    <row r="496" spans="1:22">
      <c r="A496" s="11" t="s">
        <v>25</v>
      </c>
      <c r="D496" s="11" t="s">
        <v>27</v>
      </c>
      <c r="H496" s="14"/>
      <c r="I496" s="14"/>
      <c r="J496" s="15" t="e">
        <f>+VLOOKUP(K496,[1]Datos!$A:$C,3,FALSE)</f>
        <v>#N/A</v>
      </c>
      <c r="L496" s="15" t="e">
        <f>+VLOOKUP(K496,[1]Datos!$A:$C,2,FALSE)</f>
        <v>#N/A</v>
      </c>
      <c r="N496" s="17" t="e">
        <f>+VLOOKUP(M496,[1]Datos!$F:$G,2,FALSE)</f>
        <v>#N/A</v>
      </c>
      <c r="O496" s="18">
        <f>IFERROR(IF(A496="SI",VLOOKUP(R496,[1]Datos!$J$1:$K$50,2,FALSE)*C496,VLOOKUP(R496,[1]Datos!$P$1:$T$50,2,FALSE)*C496),0)</f>
        <v>0</v>
      </c>
      <c r="P496" s="30"/>
      <c r="Q496" s="17" t="e">
        <f>+VLOOKUP(P496,[1]Datos!$F:$G,2,FALSE)</f>
        <v>#N/A</v>
      </c>
      <c r="S496" s="11">
        <f t="shared" si="7"/>
        <v>0</v>
      </c>
      <c r="T496" s="11" t="e">
        <f>+VLOOKUP(M496,[1]Datos!$F:$H,3,FALSE)</f>
        <v>#N/A</v>
      </c>
      <c r="U496" s="11">
        <v>0</v>
      </c>
      <c r="V496" s="19"/>
    </row>
    <row r="497" spans="1:22">
      <c r="A497" s="11" t="s">
        <v>25</v>
      </c>
      <c r="D497" s="11" t="s">
        <v>27</v>
      </c>
      <c r="H497" s="14"/>
      <c r="I497" s="14"/>
      <c r="J497" s="15" t="e">
        <f>+VLOOKUP(K497,[1]Datos!$A:$C,3,FALSE)</f>
        <v>#N/A</v>
      </c>
      <c r="L497" s="15" t="e">
        <f>+VLOOKUP(K497,[1]Datos!$A:$C,2,FALSE)</f>
        <v>#N/A</v>
      </c>
      <c r="N497" s="17" t="e">
        <f>+VLOOKUP(M497,[1]Datos!$F:$G,2,FALSE)</f>
        <v>#N/A</v>
      </c>
      <c r="O497" s="18">
        <f>IFERROR(IF(A497="SI",VLOOKUP(R497,[1]Datos!$J$1:$K$50,2,FALSE)*C497,VLOOKUP(R497,[1]Datos!$P$1:$T$50,2,FALSE)*C497),0)</f>
        <v>0</v>
      </c>
      <c r="P497" s="30"/>
      <c r="Q497" s="17" t="e">
        <f>+VLOOKUP(P497,[1]Datos!$F:$G,2,FALSE)</f>
        <v>#N/A</v>
      </c>
      <c r="S497" s="11">
        <f t="shared" si="7"/>
        <v>0</v>
      </c>
      <c r="T497" s="11" t="e">
        <f>+VLOOKUP(M497,[1]Datos!$F:$H,3,FALSE)</f>
        <v>#N/A</v>
      </c>
      <c r="U497" s="11">
        <v>0</v>
      </c>
      <c r="V497" s="19"/>
    </row>
    <row r="498" spans="1:22">
      <c r="A498" s="11" t="s">
        <v>25</v>
      </c>
      <c r="D498" s="11" t="s">
        <v>27</v>
      </c>
      <c r="H498" s="14"/>
      <c r="I498" s="14"/>
      <c r="J498" s="15" t="e">
        <f>+VLOOKUP(K498,[1]Datos!$A:$C,3,FALSE)</f>
        <v>#N/A</v>
      </c>
      <c r="L498" s="15" t="e">
        <f>+VLOOKUP(K498,[1]Datos!$A:$C,2,FALSE)</f>
        <v>#N/A</v>
      </c>
      <c r="N498" s="17" t="e">
        <f>+VLOOKUP(M498,[1]Datos!$F:$G,2,FALSE)</f>
        <v>#N/A</v>
      </c>
      <c r="O498" s="18">
        <f>IFERROR(IF(A498="SI",VLOOKUP(R498,[1]Datos!$J$1:$K$50,2,FALSE)*C498,VLOOKUP(R498,[1]Datos!$P$1:$T$50,2,FALSE)*C498),0)</f>
        <v>0</v>
      </c>
      <c r="P498" s="30"/>
      <c r="Q498" s="17" t="e">
        <f>+VLOOKUP(P498,[1]Datos!$F:$G,2,FALSE)</f>
        <v>#N/A</v>
      </c>
      <c r="S498" s="11">
        <f t="shared" si="7"/>
        <v>0</v>
      </c>
      <c r="T498" s="11" t="e">
        <f>+VLOOKUP(M498,[1]Datos!$F:$H,3,FALSE)</f>
        <v>#N/A</v>
      </c>
      <c r="U498" s="11">
        <v>0</v>
      </c>
      <c r="V498" s="19"/>
    </row>
    <row r="499" spans="1:22">
      <c r="A499" s="11" t="s">
        <v>25</v>
      </c>
      <c r="D499" s="11" t="s">
        <v>27</v>
      </c>
      <c r="H499" s="14"/>
      <c r="I499" s="14"/>
      <c r="J499" s="15" t="e">
        <f>+VLOOKUP(K499,[1]Datos!$A:$C,3,FALSE)</f>
        <v>#N/A</v>
      </c>
      <c r="L499" s="15" t="e">
        <f>+VLOOKUP(K499,[1]Datos!$A:$C,2,FALSE)</f>
        <v>#N/A</v>
      </c>
      <c r="N499" s="17" t="e">
        <f>+VLOOKUP(M499,[1]Datos!$F:$G,2,FALSE)</f>
        <v>#N/A</v>
      </c>
      <c r="O499" s="18">
        <f>IFERROR(IF(A499="SI",VLOOKUP(R499,[1]Datos!$J$1:$K$50,2,FALSE)*C499,VLOOKUP(R499,[1]Datos!$P$1:$T$50,2,FALSE)*C499),0)</f>
        <v>0</v>
      </c>
      <c r="P499" s="30"/>
      <c r="Q499" s="17" t="e">
        <f>+VLOOKUP(P499,[1]Datos!$F:$G,2,FALSE)</f>
        <v>#N/A</v>
      </c>
      <c r="S499" s="11">
        <f t="shared" si="7"/>
        <v>0</v>
      </c>
      <c r="T499" s="11" t="e">
        <f>+VLOOKUP(M499,[1]Datos!$F:$H,3,FALSE)</f>
        <v>#N/A</v>
      </c>
      <c r="U499" s="11">
        <v>0</v>
      </c>
      <c r="V499" s="19"/>
    </row>
    <row r="500" spans="1:22">
      <c r="A500" s="11" t="s">
        <v>25</v>
      </c>
      <c r="D500" s="11" t="s">
        <v>27</v>
      </c>
      <c r="H500" s="14"/>
      <c r="I500" s="14"/>
      <c r="J500" s="15" t="e">
        <f>+VLOOKUP(K500,[1]Datos!$A:$C,3,FALSE)</f>
        <v>#N/A</v>
      </c>
      <c r="L500" s="15" t="e">
        <f>+VLOOKUP(K500,[1]Datos!$A:$C,2,FALSE)</f>
        <v>#N/A</v>
      </c>
      <c r="N500" s="17" t="e">
        <f>+VLOOKUP(M500,[1]Datos!$F:$G,2,FALSE)</f>
        <v>#N/A</v>
      </c>
      <c r="O500" s="18">
        <f>IFERROR(IF(A500="SI",VLOOKUP(R500,[1]Datos!$J$1:$K$50,2,FALSE)*C500,VLOOKUP(R500,[1]Datos!$P$1:$T$50,2,FALSE)*C500),0)</f>
        <v>0</v>
      </c>
      <c r="P500" s="30"/>
      <c r="Q500" s="17" t="e">
        <f>+VLOOKUP(P500,[1]Datos!$F:$G,2,FALSE)</f>
        <v>#N/A</v>
      </c>
      <c r="S500" s="11">
        <f t="shared" si="7"/>
        <v>0</v>
      </c>
      <c r="T500" s="11" t="e">
        <f>+VLOOKUP(M500,[1]Datos!$F:$H,3,FALSE)</f>
        <v>#N/A</v>
      </c>
      <c r="U500" s="11">
        <v>0</v>
      </c>
      <c r="V500" s="19"/>
    </row>
    <row r="501" spans="1:22">
      <c r="A501" s="11" t="s">
        <v>25</v>
      </c>
      <c r="D501" s="11" t="s">
        <v>27</v>
      </c>
      <c r="H501" s="14"/>
      <c r="I501" s="14"/>
      <c r="J501" s="15" t="e">
        <f>+VLOOKUP(K501,[1]Datos!$A:$C,3,FALSE)</f>
        <v>#N/A</v>
      </c>
      <c r="L501" s="15" t="e">
        <f>+VLOOKUP(K501,[1]Datos!$A:$C,2,FALSE)</f>
        <v>#N/A</v>
      </c>
      <c r="N501" s="17" t="e">
        <f>+VLOOKUP(M501,[1]Datos!$F:$G,2,FALSE)</f>
        <v>#N/A</v>
      </c>
      <c r="O501" s="18">
        <f>IFERROR(IF(A501="SI",VLOOKUP(R501,[1]Datos!$J$1:$K$50,2,FALSE)*C501,VLOOKUP(R501,[1]Datos!$P$1:$T$50,2,FALSE)*C501),0)</f>
        <v>0</v>
      </c>
      <c r="P501" s="30"/>
      <c r="Q501" s="17" t="e">
        <f>+VLOOKUP(P501,[1]Datos!$F:$G,2,FALSE)</f>
        <v>#N/A</v>
      </c>
      <c r="S501" s="11">
        <f t="shared" si="7"/>
        <v>0</v>
      </c>
      <c r="T501" s="11" t="e">
        <f>+VLOOKUP(M501,[1]Datos!$F:$H,3,FALSE)</f>
        <v>#N/A</v>
      </c>
      <c r="U501" s="11">
        <v>0</v>
      </c>
      <c r="V501" s="19"/>
    </row>
    <row r="502" spans="1:22">
      <c r="A502" s="11" t="s">
        <v>25</v>
      </c>
      <c r="D502" s="11" t="s">
        <v>27</v>
      </c>
      <c r="H502" s="14"/>
      <c r="I502" s="14"/>
      <c r="J502" s="15" t="e">
        <f>+VLOOKUP(K502,[1]Datos!$A:$C,3,FALSE)</f>
        <v>#N/A</v>
      </c>
      <c r="L502" s="15" t="e">
        <f>+VLOOKUP(K502,[1]Datos!$A:$C,2,FALSE)</f>
        <v>#N/A</v>
      </c>
      <c r="N502" s="17" t="e">
        <f>+VLOOKUP(M502,[1]Datos!$F:$G,2,FALSE)</f>
        <v>#N/A</v>
      </c>
      <c r="O502" s="18">
        <f>IFERROR(IF(A502="SI",VLOOKUP(R502,[1]Datos!$J$1:$K$50,2,FALSE)*C502,VLOOKUP(R502,[1]Datos!$P$1:$T$50,2,FALSE)*C502),0)</f>
        <v>0</v>
      </c>
      <c r="P502" s="30"/>
      <c r="Q502" s="17" t="e">
        <f>+VLOOKUP(P502,[1]Datos!$F:$G,2,FALSE)</f>
        <v>#N/A</v>
      </c>
      <c r="S502" s="11">
        <f t="shared" si="7"/>
        <v>0</v>
      </c>
      <c r="T502" s="11" t="e">
        <f>+VLOOKUP(M502,[1]Datos!$F:$H,3,FALSE)</f>
        <v>#N/A</v>
      </c>
      <c r="U502" s="11">
        <v>0</v>
      </c>
      <c r="V502" s="19"/>
    </row>
    <row r="503" spans="1:22">
      <c r="A503" s="11" t="s">
        <v>25</v>
      </c>
      <c r="D503" s="11" t="s">
        <v>27</v>
      </c>
      <c r="H503" s="14"/>
      <c r="I503" s="14"/>
      <c r="J503" s="15" t="e">
        <f>+VLOOKUP(K503,[1]Datos!$A:$C,3,FALSE)</f>
        <v>#N/A</v>
      </c>
      <c r="L503" s="15" t="e">
        <f>+VLOOKUP(K503,[1]Datos!$A:$C,2,FALSE)</f>
        <v>#N/A</v>
      </c>
      <c r="N503" s="17" t="e">
        <f>+VLOOKUP(M503,[1]Datos!$F:$G,2,FALSE)</f>
        <v>#N/A</v>
      </c>
      <c r="O503" s="18">
        <f>IFERROR(IF(A503="SI",VLOOKUP(R503,[1]Datos!$J$1:$K$50,2,FALSE)*C503,VLOOKUP(R503,[1]Datos!$P$1:$T$50,2,FALSE)*C503),0)</f>
        <v>0</v>
      </c>
      <c r="P503" s="30"/>
      <c r="Q503" s="17" t="e">
        <f>+VLOOKUP(P503,[1]Datos!$F:$G,2,FALSE)</f>
        <v>#N/A</v>
      </c>
      <c r="S503" s="11">
        <f t="shared" si="7"/>
        <v>0</v>
      </c>
      <c r="T503" s="11" t="e">
        <f>+VLOOKUP(M503,[1]Datos!$F:$H,3,FALSE)</f>
        <v>#N/A</v>
      </c>
      <c r="U503" s="11">
        <v>0</v>
      </c>
      <c r="V503" s="19"/>
    </row>
    <row r="504" spans="1:22">
      <c r="A504" s="11" t="s">
        <v>25</v>
      </c>
      <c r="D504" s="11" t="s">
        <v>27</v>
      </c>
      <c r="H504" s="14"/>
      <c r="I504" s="14"/>
      <c r="J504" s="15" t="e">
        <f>+VLOOKUP(K504,[1]Datos!$A:$C,3,FALSE)</f>
        <v>#N/A</v>
      </c>
      <c r="L504" s="15" t="e">
        <f>+VLOOKUP(K504,[1]Datos!$A:$C,2,FALSE)</f>
        <v>#N/A</v>
      </c>
      <c r="N504" s="17" t="e">
        <f>+VLOOKUP(M504,[1]Datos!$F:$G,2,FALSE)</f>
        <v>#N/A</v>
      </c>
      <c r="O504" s="18">
        <f>IFERROR(IF(A504="SI",VLOOKUP(R504,[1]Datos!$J$1:$K$50,2,FALSE)*C504,VLOOKUP(R504,[1]Datos!$P$1:$T$50,2,FALSE)*C504),0)</f>
        <v>0</v>
      </c>
      <c r="P504" s="30"/>
      <c r="Q504" s="17" t="e">
        <f>+VLOOKUP(P504,[1]Datos!$F:$G,2,FALSE)</f>
        <v>#N/A</v>
      </c>
      <c r="S504" s="11">
        <f t="shared" si="7"/>
        <v>0</v>
      </c>
      <c r="T504" s="11" t="e">
        <f>+VLOOKUP(M504,[1]Datos!$F:$H,3,FALSE)</f>
        <v>#N/A</v>
      </c>
      <c r="U504" s="11">
        <v>0</v>
      </c>
      <c r="V504" s="19"/>
    </row>
    <row r="505" spans="1:22">
      <c r="A505" s="11" t="s">
        <v>25</v>
      </c>
      <c r="D505" s="11" t="s">
        <v>27</v>
      </c>
      <c r="H505" s="14"/>
      <c r="I505" s="14"/>
      <c r="J505" s="15" t="e">
        <f>+VLOOKUP(K505,[1]Datos!$A:$C,3,FALSE)</f>
        <v>#N/A</v>
      </c>
      <c r="L505" s="15" t="e">
        <f>+VLOOKUP(K505,[1]Datos!$A:$C,2,FALSE)</f>
        <v>#N/A</v>
      </c>
      <c r="N505" s="17" t="e">
        <f>+VLOOKUP(M505,[1]Datos!$F:$G,2,FALSE)</f>
        <v>#N/A</v>
      </c>
      <c r="O505" s="18">
        <f>IFERROR(IF(A505="SI",VLOOKUP(R505,[1]Datos!$J$1:$K$50,2,FALSE)*C505,VLOOKUP(R505,[1]Datos!$P$1:$T$50,2,FALSE)*C505),0)</f>
        <v>0</v>
      </c>
      <c r="P505" s="30"/>
      <c r="Q505" s="17" t="e">
        <f>+VLOOKUP(P505,[1]Datos!$F:$G,2,FALSE)</f>
        <v>#N/A</v>
      </c>
      <c r="S505" s="11">
        <f t="shared" si="7"/>
        <v>0</v>
      </c>
      <c r="T505" s="11" t="e">
        <f>+VLOOKUP(M505,[1]Datos!$F:$H,3,FALSE)</f>
        <v>#N/A</v>
      </c>
      <c r="U505" s="11">
        <v>0</v>
      </c>
      <c r="V505" s="19"/>
    </row>
    <row r="506" spans="1:22">
      <c r="A506" s="11" t="s">
        <v>25</v>
      </c>
      <c r="D506" s="11" t="s">
        <v>27</v>
      </c>
      <c r="H506" s="14"/>
      <c r="I506" s="14"/>
      <c r="J506" s="15" t="e">
        <f>+VLOOKUP(K506,[1]Datos!$A:$C,3,FALSE)</f>
        <v>#N/A</v>
      </c>
      <c r="L506" s="15" t="e">
        <f>+VLOOKUP(K506,[1]Datos!$A:$C,2,FALSE)</f>
        <v>#N/A</v>
      </c>
      <c r="N506" s="17" t="e">
        <f>+VLOOKUP(M506,[1]Datos!$F:$G,2,FALSE)</f>
        <v>#N/A</v>
      </c>
      <c r="O506" s="18">
        <f>IFERROR(IF(A506="SI",VLOOKUP(R506,[1]Datos!$J$1:$K$50,2,FALSE)*C506,VLOOKUP(R506,[1]Datos!$P$1:$T$50,2,FALSE)*C506),0)</f>
        <v>0</v>
      </c>
      <c r="P506" s="30"/>
      <c r="Q506" s="17" t="e">
        <f>+VLOOKUP(P506,[1]Datos!$F:$G,2,FALSE)</f>
        <v>#N/A</v>
      </c>
      <c r="S506" s="11">
        <f t="shared" si="7"/>
        <v>0</v>
      </c>
      <c r="T506" s="11" t="e">
        <f>+VLOOKUP(M506,[1]Datos!$F:$H,3,FALSE)</f>
        <v>#N/A</v>
      </c>
      <c r="U506" s="11">
        <v>0</v>
      </c>
      <c r="V506" s="19"/>
    </row>
    <row r="507" spans="1:22">
      <c r="A507" s="11" t="s">
        <v>25</v>
      </c>
      <c r="D507" s="11" t="s">
        <v>27</v>
      </c>
      <c r="H507" s="14"/>
      <c r="I507" s="14"/>
      <c r="J507" s="15" t="e">
        <f>+VLOOKUP(K507,[1]Datos!$A:$C,3,FALSE)</f>
        <v>#N/A</v>
      </c>
      <c r="L507" s="15" t="e">
        <f>+VLOOKUP(K507,[1]Datos!$A:$C,2,FALSE)</f>
        <v>#N/A</v>
      </c>
      <c r="N507" s="17" t="e">
        <f>+VLOOKUP(M507,[1]Datos!$F:$G,2,FALSE)</f>
        <v>#N/A</v>
      </c>
      <c r="O507" s="18">
        <f>IFERROR(IF(A507="SI",VLOOKUP(R507,[1]Datos!$J$1:$K$50,2,FALSE)*C507,VLOOKUP(R507,[1]Datos!$P$1:$T$50,2,FALSE)*C507),0)</f>
        <v>0</v>
      </c>
      <c r="P507" s="30"/>
      <c r="Q507" s="17" t="e">
        <f>+VLOOKUP(P507,[1]Datos!$F:$G,2,FALSE)</f>
        <v>#N/A</v>
      </c>
      <c r="S507" s="11">
        <f t="shared" si="7"/>
        <v>0</v>
      </c>
      <c r="T507" s="11" t="e">
        <f>+VLOOKUP(M507,[1]Datos!$F:$H,3,FALSE)</f>
        <v>#N/A</v>
      </c>
      <c r="U507" s="11">
        <v>0</v>
      </c>
      <c r="V507" s="19"/>
    </row>
    <row r="508" spans="1:22">
      <c r="A508" s="11" t="s">
        <v>25</v>
      </c>
      <c r="D508" s="11" t="s">
        <v>27</v>
      </c>
      <c r="H508" s="14"/>
      <c r="I508" s="14"/>
      <c r="J508" s="15" t="e">
        <f>+VLOOKUP(K508,[1]Datos!$A:$C,3,FALSE)</f>
        <v>#N/A</v>
      </c>
      <c r="L508" s="15" t="e">
        <f>+VLOOKUP(K508,[1]Datos!$A:$C,2,FALSE)</f>
        <v>#N/A</v>
      </c>
      <c r="N508" s="17" t="e">
        <f>+VLOOKUP(M508,[1]Datos!$F:$G,2,FALSE)</f>
        <v>#N/A</v>
      </c>
      <c r="O508" s="18">
        <f>IFERROR(IF(A508="SI",VLOOKUP(R508,[1]Datos!$J$1:$K$50,2,FALSE)*C508,VLOOKUP(R508,[1]Datos!$P$1:$T$50,2,FALSE)*C508),0)</f>
        <v>0</v>
      </c>
      <c r="P508" s="30"/>
      <c r="Q508" s="17" t="e">
        <f>+VLOOKUP(P508,[1]Datos!$F:$G,2,FALSE)</f>
        <v>#N/A</v>
      </c>
      <c r="S508" s="11">
        <f t="shared" si="7"/>
        <v>0</v>
      </c>
      <c r="T508" s="11" t="e">
        <f>+VLOOKUP(M508,[1]Datos!$F:$H,3,FALSE)</f>
        <v>#N/A</v>
      </c>
      <c r="U508" s="11">
        <v>0</v>
      </c>
      <c r="V508" s="19"/>
    </row>
    <row r="509" spans="1:22">
      <c r="A509" s="11" t="s">
        <v>25</v>
      </c>
      <c r="D509" s="11" t="s">
        <v>27</v>
      </c>
      <c r="H509" s="14"/>
      <c r="I509" s="14"/>
      <c r="J509" s="15" t="e">
        <f>+VLOOKUP(K509,[1]Datos!$A:$C,3,FALSE)</f>
        <v>#N/A</v>
      </c>
      <c r="L509" s="15" t="e">
        <f>+VLOOKUP(K509,[1]Datos!$A:$C,2,FALSE)</f>
        <v>#N/A</v>
      </c>
      <c r="N509" s="17" t="e">
        <f>+VLOOKUP(M509,[1]Datos!$F:$G,2,FALSE)</f>
        <v>#N/A</v>
      </c>
      <c r="O509" s="18">
        <f>IFERROR(IF(A509="SI",VLOOKUP(R509,[1]Datos!$J$1:$K$50,2,FALSE)*C509,VLOOKUP(R509,[1]Datos!$P$1:$T$50,2,FALSE)*C509),0)</f>
        <v>0</v>
      </c>
      <c r="P509" s="30"/>
      <c r="Q509" s="17" t="e">
        <f>+VLOOKUP(P509,[1]Datos!$F:$G,2,FALSE)</f>
        <v>#N/A</v>
      </c>
      <c r="S509" s="11">
        <f t="shared" si="7"/>
        <v>0</v>
      </c>
      <c r="T509" s="11" t="e">
        <f>+VLOOKUP(M509,[1]Datos!$F:$H,3,FALSE)</f>
        <v>#N/A</v>
      </c>
      <c r="U509" s="11">
        <v>0</v>
      </c>
      <c r="V509" s="19"/>
    </row>
    <row r="510" spans="1:22">
      <c r="A510" s="11" t="s">
        <v>25</v>
      </c>
      <c r="D510" s="11" t="s">
        <v>27</v>
      </c>
      <c r="H510" s="14"/>
      <c r="I510" s="14"/>
      <c r="J510" s="15" t="e">
        <f>+VLOOKUP(K510,[1]Datos!$A:$C,3,FALSE)</f>
        <v>#N/A</v>
      </c>
      <c r="L510" s="15" t="e">
        <f>+VLOOKUP(K510,[1]Datos!$A:$C,2,FALSE)</f>
        <v>#N/A</v>
      </c>
      <c r="N510" s="17" t="e">
        <f>+VLOOKUP(M510,[1]Datos!$F:$G,2,FALSE)</f>
        <v>#N/A</v>
      </c>
      <c r="O510" s="18">
        <f>IFERROR(IF(A510="SI",VLOOKUP(R510,[1]Datos!$J$1:$K$50,2,FALSE)*C510,VLOOKUP(R510,[1]Datos!$P$1:$T$50,2,FALSE)*C510),0)</f>
        <v>0</v>
      </c>
      <c r="P510" s="30"/>
      <c r="Q510" s="17" t="e">
        <f>+VLOOKUP(P510,[1]Datos!$F:$G,2,FALSE)</f>
        <v>#N/A</v>
      </c>
      <c r="S510" s="11">
        <f t="shared" si="7"/>
        <v>0</v>
      </c>
      <c r="T510" s="11" t="e">
        <f>+VLOOKUP(M510,[1]Datos!$F:$H,3,FALSE)</f>
        <v>#N/A</v>
      </c>
      <c r="U510" s="11">
        <v>0</v>
      </c>
      <c r="V510" s="19"/>
    </row>
    <row r="511" spans="1:22">
      <c r="A511" s="11" t="s">
        <v>25</v>
      </c>
      <c r="D511" s="11" t="s">
        <v>27</v>
      </c>
      <c r="H511" s="14"/>
      <c r="I511" s="14"/>
      <c r="J511" s="15" t="e">
        <f>+VLOOKUP(K511,[1]Datos!$A:$C,3,FALSE)</f>
        <v>#N/A</v>
      </c>
      <c r="L511" s="15" t="e">
        <f>+VLOOKUP(K511,[1]Datos!$A:$C,2,FALSE)</f>
        <v>#N/A</v>
      </c>
      <c r="N511" s="17" t="e">
        <f>+VLOOKUP(M511,[1]Datos!$F:$G,2,FALSE)</f>
        <v>#N/A</v>
      </c>
      <c r="O511" s="18">
        <f>IFERROR(IF(A511="SI",VLOOKUP(R511,[1]Datos!$J$1:$K$50,2,FALSE)*C511,VLOOKUP(R511,[1]Datos!$P$1:$T$50,2,FALSE)*C511),0)</f>
        <v>0</v>
      </c>
      <c r="P511" s="30"/>
      <c r="Q511" s="17" t="e">
        <f>+VLOOKUP(P511,[1]Datos!$F:$G,2,FALSE)</f>
        <v>#N/A</v>
      </c>
      <c r="S511" s="11">
        <f t="shared" si="7"/>
        <v>0</v>
      </c>
      <c r="T511" s="11" t="e">
        <f>+VLOOKUP(M511,[1]Datos!$F:$H,3,FALSE)</f>
        <v>#N/A</v>
      </c>
      <c r="U511" s="11">
        <v>0</v>
      </c>
      <c r="V511" s="19"/>
    </row>
    <row r="512" spans="1:22">
      <c r="A512" s="11" t="s">
        <v>25</v>
      </c>
      <c r="D512" s="11" t="s">
        <v>27</v>
      </c>
      <c r="H512" s="14"/>
      <c r="I512" s="14"/>
      <c r="J512" s="15" t="e">
        <f>+VLOOKUP(K512,[1]Datos!$A:$C,3,FALSE)</f>
        <v>#N/A</v>
      </c>
      <c r="L512" s="15" t="e">
        <f>+VLOOKUP(K512,[1]Datos!$A:$C,2,FALSE)</f>
        <v>#N/A</v>
      </c>
      <c r="N512" s="17" t="e">
        <f>+VLOOKUP(M512,[1]Datos!$F:$G,2,FALSE)</f>
        <v>#N/A</v>
      </c>
      <c r="O512" s="18">
        <f>IFERROR(IF(A512="SI",VLOOKUP(R512,[1]Datos!$J$1:$K$50,2,FALSE)*C512,VLOOKUP(R512,[1]Datos!$P$1:$T$50,2,FALSE)*C512),0)</f>
        <v>0</v>
      </c>
      <c r="P512" s="30"/>
      <c r="Q512" s="17" t="e">
        <f>+VLOOKUP(P512,[1]Datos!$F:$G,2,FALSE)</f>
        <v>#N/A</v>
      </c>
      <c r="S512" s="11">
        <f t="shared" si="7"/>
        <v>0</v>
      </c>
      <c r="T512" s="11" t="e">
        <f>+VLOOKUP(M512,[1]Datos!$F:$H,3,FALSE)</f>
        <v>#N/A</v>
      </c>
      <c r="U512" s="11">
        <v>0</v>
      </c>
      <c r="V512" s="19"/>
    </row>
    <row r="513" spans="1:22">
      <c r="A513" s="11" t="s">
        <v>25</v>
      </c>
      <c r="D513" s="11" t="s">
        <v>27</v>
      </c>
      <c r="H513" s="14"/>
      <c r="I513" s="14"/>
      <c r="J513" s="15" t="e">
        <f>+VLOOKUP(K513,[1]Datos!$A:$C,3,FALSE)</f>
        <v>#N/A</v>
      </c>
      <c r="L513" s="15" t="e">
        <f>+VLOOKUP(K513,[1]Datos!$A:$C,2,FALSE)</f>
        <v>#N/A</v>
      </c>
      <c r="N513" s="17" t="e">
        <f>+VLOOKUP(M513,[1]Datos!$F:$G,2,FALSE)</f>
        <v>#N/A</v>
      </c>
      <c r="O513" s="18">
        <f>IFERROR(IF(A513="SI",VLOOKUP(R513,[1]Datos!$J$1:$K$50,2,FALSE)*C513,VLOOKUP(R513,[1]Datos!$P$1:$T$50,2,FALSE)*C513),0)</f>
        <v>0</v>
      </c>
      <c r="P513" s="30"/>
      <c r="Q513" s="17" t="e">
        <f>+VLOOKUP(P513,[1]Datos!$F:$G,2,FALSE)</f>
        <v>#N/A</v>
      </c>
      <c r="S513" s="11">
        <f t="shared" si="7"/>
        <v>0</v>
      </c>
      <c r="T513" s="11" t="e">
        <f>+VLOOKUP(M513,[1]Datos!$F:$H,3,FALSE)</f>
        <v>#N/A</v>
      </c>
      <c r="U513" s="11">
        <v>0</v>
      </c>
      <c r="V513" s="19"/>
    </row>
    <row r="514" spans="1:22">
      <c r="A514" s="11" t="s">
        <v>25</v>
      </c>
      <c r="D514" s="11" t="s">
        <v>27</v>
      </c>
      <c r="H514" s="14"/>
      <c r="I514" s="14"/>
      <c r="J514" s="15" t="e">
        <f>+VLOOKUP(K514,[1]Datos!$A:$C,3,FALSE)</f>
        <v>#N/A</v>
      </c>
      <c r="L514" s="15" t="e">
        <f>+VLOOKUP(K514,[1]Datos!$A:$C,2,FALSE)</f>
        <v>#N/A</v>
      </c>
      <c r="N514" s="17" t="e">
        <f>+VLOOKUP(M514,[1]Datos!$F:$G,2,FALSE)</f>
        <v>#N/A</v>
      </c>
      <c r="O514" s="18">
        <f>IFERROR(IF(A514="SI",VLOOKUP(R514,[1]Datos!$J$1:$K$50,2,FALSE)*C514,VLOOKUP(R514,[1]Datos!$P$1:$T$50,2,FALSE)*C514),0)</f>
        <v>0</v>
      </c>
      <c r="P514" s="30"/>
      <c r="Q514" s="17" t="e">
        <f>+VLOOKUP(P514,[1]Datos!$F:$G,2,FALSE)</f>
        <v>#N/A</v>
      </c>
      <c r="S514" s="11">
        <f t="shared" si="7"/>
        <v>0</v>
      </c>
      <c r="T514" s="11" t="e">
        <f>+VLOOKUP(M514,[1]Datos!$F:$H,3,FALSE)</f>
        <v>#N/A</v>
      </c>
      <c r="U514" s="11">
        <v>0</v>
      </c>
      <c r="V514" s="19"/>
    </row>
    <row r="515" spans="1:22">
      <c r="A515" s="11" t="s">
        <v>25</v>
      </c>
      <c r="D515" s="11" t="s">
        <v>27</v>
      </c>
      <c r="H515" s="14"/>
      <c r="I515" s="14"/>
      <c r="J515" s="15" t="e">
        <f>+VLOOKUP(K515,[1]Datos!$A:$C,3,FALSE)</f>
        <v>#N/A</v>
      </c>
      <c r="L515" s="15" t="e">
        <f>+VLOOKUP(K515,[1]Datos!$A:$C,2,FALSE)</f>
        <v>#N/A</v>
      </c>
      <c r="N515" s="17" t="e">
        <f>+VLOOKUP(M515,[1]Datos!$F:$G,2,FALSE)</f>
        <v>#N/A</v>
      </c>
      <c r="O515" s="18">
        <f>IFERROR(IF(A515="SI",VLOOKUP(R515,[1]Datos!$J$1:$K$50,2,FALSE)*C515,VLOOKUP(R515,[1]Datos!$P$1:$T$50,2,FALSE)*C515),0)</f>
        <v>0</v>
      </c>
      <c r="P515" s="30"/>
      <c r="Q515" s="17" t="e">
        <f>+VLOOKUP(P515,[1]Datos!$F:$G,2,FALSE)</f>
        <v>#N/A</v>
      </c>
      <c r="S515" s="11">
        <f t="shared" si="7"/>
        <v>0</v>
      </c>
      <c r="T515" s="11" t="e">
        <f>+VLOOKUP(M515,[1]Datos!$F:$H,3,FALSE)</f>
        <v>#N/A</v>
      </c>
      <c r="U515" s="11">
        <v>0</v>
      </c>
      <c r="V515" s="19"/>
    </row>
    <row r="516" spans="1:22">
      <c r="A516" s="11" t="s">
        <v>25</v>
      </c>
      <c r="D516" s="11" t="s">
        <v>27</v>
      </c>
      <c r="H516" s="14"/>
      <c r="I516" s="14"/>
      <c r="J516" s="15" t="e">
        <f>+VLOOKUP(K516,[1]Datos!$A:$C,3,FALSE)</f>
        <v>#N/A</v>
      </c>
      <c r="L516" s="15" t="e">
        <f>+VLOOKUP(K516,[1]Datos!$A:$C,2,FALSE)</f>
        <v>#N/A</v>
      </c>
      <c r="N516" s="17" t="e">
        <f>+VLOOKUP(M516,[1]Datos!$F:$G,2,FALSE)</f>
        <v>#N/A</v>
      </c>
      <c r="O516" s="18">
        <f>IFERROR(IF(A516="SI",VLOOKUP(R516,[1]Datos!$J$1:$K$50,2,FALSE)*C516,VLOOKUP(R516,[1]Datos!$P$1:$T$50,2,FALSE)*C516),0)</f>
        <v>0</v>
      </c>
      <c r="P516" s="30"/>
      <c r="Q516" s="17" t="e">
        <f>+VLOOKUP(P516,[1]Datos!$F:$G,2,FALSE)</f>
        <v>#N/A</v>
      </c>
      <c r="S516" s="11">
        <f t="shared" si="7"/>
        <v>0</v>
      </c>
      <c r="T516" s="11" t="e">
        <f>+VLOOKUP(M516,[1]Datos!$F:$H,3,FALSE)</f>
        <v>#N/A</v>
      </c>
      <c r="U516" s="11">
        <v>0</v>
      </c>
      <c r="V516" s="19"/>
    </row>
    <row r="517" spans="1:22">
      <c r="A517" s="11" t="s">
        <v>25</v>
      </c>
      <c r="D517" s="11" t="s">
        <v>27</v>
      </c>
      <c r="E517" s="30" t="s">
        <v>73</v>
      </c>
      <c r="F517" s="30" t="s">
        <v>73</v>
      </c>
      <c r="H517" s="14"/>
      <c r="I517" s="14"/>
      <c r="J517" s="15" t="e">
        <f>+VLOOKUP(K517,[1]Datos!$A:$C,3,FALSE)</f>
        <v>#N/A</v>
      </c>
      <c r="L517" s="15" t="e">
        <f>+VLOOKUP(K517,[1]Datos!$A:$C,2,FALSE)</f>
        <v>#N/A</v>
      </c>
      <c r="N517" s="17" t="e">
        <f>+VLOOKUP(M517,[1]Datos!$F:$G,2,FALSE)</f>
        <v>#N/A</v>
      </c>
      <c r="O517" s="18">
        <f>IFERROR(IF(A517="SI",VLOOKUP(R517,[1]Datos!$J$1:$K$50,2,FALSE)*C517,VLOOKUP(R517,[1]Datos!$P$1:$T$50,2,FALSE)*C517),0)</f>
        <v>0</v>
      </c>
      <c r="P517" s="30"/>
      <c r="Q517" s="17" t="e">
        <f>+VLOOKUP(P517,[1]Datos!$F:$G,2,FALSE)</f>
        <v>#N/A</v>
      </c>
      <c r="S517" s="11">
        <f t="shared" si="7"/>
        <v>0</v>
      </c>
      <c r="T517" s="11" t="e">
        <f>+VLOOKUP(M517,[1]Datos!$F:$H,3,FALSE)</f>
        <v>#N/A</v>
      </c>
      <c r="U517" s="11">
        <v>0</v>
      </c>
      <c r="V517" s="19"/>
    </row>
    <row r="518" spans="1:22">
      <c r="A518" s="11" t="s">
        <v>25</v>
      </c>
      <c r="D518" s="11" t="s">
        <v>27</v>
      </c>
      <c r="E518" s="30" t="s">
        <v>73</v>
      </c>
      <c r="F518" s="30" t="s">
        <v>73</v>
      </c>
      <c r="H518" s="14"/>
      <c r="I518" s="14"/>
      <c r="J518" s="15" t="e">
        <f>+VLOOKUP(K518,[1]Datos!$A:$C,3,FALSE)</f>
        <v>#N/A</v>
      </c>
      <c r="L518" s="15" t="e">
        <f>+VLOOKUP(K518,[1]Datos!$A:$C,2,FALSE)</f>
        <v>#N/A</v>
      </c>
      <c r="N518" s="17" t="e">
        <f>+VLOOKUP(M518,[1]Datos!$F:$G,2,FALSE)</f>
        <v>#N/A</v>
      </c>
      <c r="O518" s="18">
        <f>IFERROR(IF(A518="SI",VLOOKUP(R518,[1]Datos!$J$1:$K$50,2,FALSE)*C518,VLOOKUP(R518,[1]Datos!$P$1:$T$50,2,FALSE)*C518),0)</f>
        <v>0</v>
      </c>
      <c r="P518" s="30"/>
      <c r="Q518" s="17" t="e">
        <f>+VLOOKUP(P518,[1]Datos!$F:$G,2,FALSE)</f>
        <v>#N/A</v>
      </c>
      <c r="S518" s="11">
        <f t="shared" si="7"/>
        <v>0</v>
      </c>
      <c r="T518" s="11" t="e">
        <f>+VLOOKUP(M518,[1]Datos!$F:$H,3,FALSE)</f>
        <v>#N/A</v>
      </c>
      <c r="U518" s="11">
        <v>0</v>
      </c>
      <c r="V518" s="19"/>
    </row>
    <row r="519" spans="1:22">
      <c r="A519" s="11" t="s">
        <v>25</v>
      </c>
      <c r="D519" s="11" t="s">
        <v>27</v>
      </c>
      <c r="E519" s="30" t="s">
        <v>73</v>
      </c>
      <c r="F519" s="30" t="s">
        <v>73</v>
      </c>
      <c r="H519" s="14"/>
      <c r="I519" s="14"/>
      <c r="J519" s="15" t="e">
        <f>+VLOOKUP(K519,[1]Datos!$A:$C,3,FALSE)</f>
        <v>#N/A</v>
      </c>
      <c r="L519" s="15" t="e">
        <f>+VLOOKUP(K519,[1]Datos!$A:$C,2,FALSE)</f>
        <v>#N/A</v>
      </c>
      <c r="N519" s="17" t="e">
        <f>+VLOOKUP(M519,[1]Datos!$F:$G,2,FALSE)</f>
        <v>#N/A</v>
      </c>
      <c r="O519" s="18">
        <f>IFERROR(IF(A519="SI",VLOOKUP(R519,[1]Datos!$J$1:$K$50,2,FALSE)*C519,VLOOKUP(R519,[1]Datos!$P$1:$T$50,2,FALSE)*C519),0)</f>
        <v>0</v>
      </c>
      <c r="P519" s="30"/>
      <c r="Q519" s="17" t="e">
        <f>+VLOOKUP(P519,[1]Datos!$F:$G,2,FALSE)</f>
        <v>#N/A</v>
      </c>
      <c r="S519" s="11">
        <f t="shared" si="7"/>
        <v>0</v>
      </c>
      <c r="T519" s="11" t="e">
        <f>+VLOOKUP(M519,[1]Datos!$F:$H,3,FALSE)</f>
        <v>#N/A</v>
      </c>
      <c r="U519" s="11">
        <v>0</v>
      </c>
      <c r="V519" s="19"/>
    </row>
    <row r="520" spans="1:22">
      <c r="A520" s="11" t="s">
        <v>25</v>
      </c>
      <c r="D520" s="11" t="s">
        <v>27</v>
      </c>
      <c r="E520" s="30" t="s">
        <v>73</v>
      </c>
      <c r="F520" s="30" t="s">
        <v>73</v>
      </c>
      <c r="H520" s="14"/>
      <c r="I520" s="14"/>
      <c r="J520" s="15" t="e">
        <f>+VLOOKUP(K520,[1]Datos!$A:$C,3,FALSE)</f>
        <v>#N/A</v>
      </c>
      <c r="L520" s="15" t="e">
        <f>+VLOOKUP(K520,[1]Datos!$A:$C,2,FALSE)</f>
        <v>#N/A</v>
      </c>
      <c r="N520" s="17" t="e">
        <f>+VLOOKUP(M520,[1]Datos!$F:$G,2,FALSE)</f>
        <v>#N/A</v>
      </c>
      <c r="O520" s="18">
        <f>IFERROR(IF(A520="SI",VLOOKUP(R520,[1]Datos!$J$1:$K$50,2,FALSE)*C520,VLOOKUP(R520,[1]Datos!$P$1:$T$50,2,FALSE)*C520),0)</f>
        <v>0</v>
      </c>
      <c r="P520" s="30"/>
      <c r="Q520" s="17" t="e">
        <f>+VLOOKUP(P520,[1]Datos!$F:$G,2,FALSE)</f>
        <v>#N/A</v>
      </c>
      <c r="S520" s="11">
        <f t="shared" ref="S520:S583" si="8">+COUNTIFS($G$2:$G$607,G520)</f>
        <v>0</v>
      </c>
      <c r="T520" s="11" t="e">
        <f>+VLOOKUP(M520,[1]Datos!$F:$H,3,FALSE)</f>
        <v>#N/A</v>
      </c>
      <c r="U520" s="11">
        <v>0</v>
      </c>
      <c r="V520" s="19"/>
    </row>
    <row r="521" spans="1:22">
      <c r="A521" s="11" t="s">
        <v>25</v>
      </c>
      <c r="D521" s="11" t="s">
        <v>27</v>
      </c>
      <c r="E521" s="30" t="s">
        <v>73</v>
      </c>
      <c r="F521" s="30" t="s">
        <v>73</v>
      </c>
      <c r="H521" s="14"/>
      <c r="I521" s="14"/>
      <c r="J521" s="15" t="e">
        <f>+VLOOKUP(K521,[1]Datos!$A:$C,3,FALSE)</f>
        <v>#N/A</v>
      </c>
      <c r="L521" s="15" t="e">
        <f>+VLOOKUP(K521,[1]Datos!$A:$C,2,FALSE)</f>
        <v>#N/A</v>
      </c>
      <c r="N521" s="17" t="e">
        <f>+VLOOKUP(M521,[1]Datos!$F:$G,2,FALSE)</f>
        <v>#N/A</v>
      </c>
      <c r="O521" s="18">
        <f>IFERROR(IF(A521="SI",VLOOKUP(R521,[1]Datos!$J$1:$K$50,2,FALSE)*C521,VLOOKUP(R521,[1]Datos!$P$1:$T$50,2,FALSE)*C521),0)</f>
        <v>0</v>
      </c>
      <c r="P521" s="30"/>
      <c r="Q521" s="17" t="e">
        <f>+VLOOKUP(P521,[1]Datos!$F:$G,2,FALSE)</f>
        <v>#N/A</v>
      </c>
      <c r="S521" s="11">
        <f t="shared" si="8"/>
        <v>0</v>
      </c>
      <c r="T521" s="11" t="e">
        <f>+VLOOKUP(M521,[1]Datos!$F:$H,3,FALSE)</f>
        <v>#N/A</v>
      </c>
      <c r="U521" s="11">
        <v>0</v>
      </c>
      <c r="V521" s="19"/>
    </row>
    <row r="522" spans="1:22">
      <c r="A522" s="11" t="s">
        <v>25</v>
      </c>
      <c r="D522" s="11" t="s">
        <v>27</v>
      </c>
      <c r="E522" s="30" t="s">
        <v>73</v>
      </c>
      <c r="F522" s="30" t="s">
        <v>73</v>
      </c>
      <c r="H522" s="14"/>
      <c r="I522" s="14"/>
      <c r="J522" s="15" t="e">
        <f>+VLOOKUP(K522,[1]Datos!$A:$C,3,FALSE)</f>
        <v>#N/A</v>
      </c>
      <c r="L522" s="15" t="e">
        <f>+VLOOKUP(K522,[1]Datos!$A:$C,2,FALSE)</f>
        <v>#N/A</v>
      </c>
      <c r="N522" s="17" t="e">
        <f>+VLOOKUP(M522,[1]Datos!$F:$G,2,FALSE)</f>
        <v>#N/A</v>
      </c>
      <c r="O522" s="18">
        <f>IFERROR(IF(A522="SI",VLOOKUP(R522,[1]Datos!$J$1:$K$50,2,FALSE)*C522,VLOOKUP(R522,[1]Datos!$P$1:$T$50,2,FALSE)*C522),0)</f>
        <v>0</v>
      </c>
      <c r="P522" s="30"/>
      <c r="Q522" s="17" t="e">
        <f>+VLOOKUP(P522,[1]Datos!$F:$G,2,FALSE)</f>
        <v>#N/A</v>
      </c>
      <c r="S522" s="11">
        <f t="shared" si="8"/>
        <v>0</v>
      </c>
      <c r="T522" s="11" t="e">
        <f>+VLOOKUP(M522,[1]Datos!$F:$H,3,FALSE)</f>
        <v>#N/A</v>
      </c>
      <c r="U522" s="11">
        <v>0</v>
      </c>
      <c r="V522" s="19"/>
    </row>
    <row r="523" spans="1:22">
      <c r="A523" s="11" t="s">
        <v>25</v>
      </c>
      <c r="D523" s="11" t="s">
        <v>27</v>
      </c>
      <c r="E523" s="30" t="s">
        <v>73</v>
      </c>
      <c r="F523" s="30" t="s">
        <v>73</v>
      </c>
      <c r="H523" s="14"/>
      <c r="I523" s="14"/>
      <c r="J523" s="15" t="e">
        <f>+VLOOKUP(K523,[1]Datos!$A:$C,3,FALSE)</f>
        <v>#N/A</v>
      </c>
      <c r="L523" s="15" t="e">
        <f>+VLOOKUP(K523,[1]Datos!$A:$C,2,FALSE)</f>
        <v>#N/A</v>
      </c>
      <c r="N523" s="17" t="e">
        <f>+VLOOKUP(M523,[1]Datos!$F:$G,2,FALSE)</f>
        <v>#N/A</v>
      </c>
      <c r="O523" s="18">
        <f>IFERROR(IF(A523="SI",VLOOKUP(R523,[1]Datos!$J$1:$K$50,2,FALSE)*C523,VLOOKUP(R523,[1]Datos!$P$1:$T$50,2,FALSE)*C523),0)</f>
        <v>0</v>
      </c>
      <c r="P523" s="30"/>
      <c r="Q523" s="17" t="e">
        <f>+VLOOKUP(P523,[1]Datos!$F:$G,2,FALSE)</f>
        <v>#N/A</v>
      </c>
      <c r="S523" s="11">
        <f t="shared" si="8"/>
        <v>0</v>
      </c>
      <c r="T523" s="11" t="e">
        <f>+VLOOKUP(M523,[1]Datos!$F:$H,3,FALSE)</f>
        <v>#N/A</v>
      </c>
      <c r="U523" s="11">
        <v>0</v>
      </c>
      <c r="V523" s="19"/>
    </row>
    <row r="524" spans="1:22">
      <c r="A524" s="11" t="s">
        <v>25</v>
      </c>
      <c r="D524" s="11" t="s">
        <v>27</v>
      </c>
      <c r="E524" s="30" t="s">
        <v>73</v>
      </c>
      <c r="F524" s="30" t="s">
        <v>73</v>
      </c>
      <c r="H524" s="14"/>
      <c r="I524" s="14"/>
      <c r="J524" s="15" t="e">
        <f>+VLOOKUP(K524,[1]Datos!$A:$C,3,FALSE)</f>
        <v>#N/A</v>
      </c>
      <c r="L524" s="15" t="e">
        <f>+VLOOKUP(K524,[1]Datos!$A:$C,2,FALSE)</f>
        <v>#N/A</v>
      </c>
      <c r="N524" s="17" t="e">
        <f>+VLOOKUP(M524,[1]Datos!$F:$G,2,FALSE)</f>
        <v>#N/A</v>
      </c>
      <c r="O524" s="18">
        <f>IFERROR(IF(A524="SI",VLOOKUP(R524,[1]Datos!$J$1:$K$50,2,FALSE)*C524,VLOOKUP(R524,[1]Datos!$P$1:$T$50,2,FALSE)*C524),0)</f>
        <v>0</v>
      </c>
      <c r="P524" s="30"/>
      <c r="Q524" s="17" t="e">
        <f>+VLOOKUP(P524,[1]Datos!$F:$G,2,FALSE)</f>
        <v>#N/A</v>
      </c>
      <c r="S524" s="11">
        <f t="shared" si="8"/>
        <v>0</v>
      </c>
      <c r="T524" s="11" t="e">
        <f>+VLOOKUP(M524,[1]Datos!$F:$H,3,FALSE)</f>
        <v>#N/A</v>
      </c>
      <c r="U524" s="11">
        <v>0</v>
      </c>
      <c r="V524" s="19"/>
    </row>
    <row r="525" spans="1:22">
      <c r="A525" s="11" t="s">
        <v>25</v>
      </c>
      <c r="D525" s="11" t="s">
        <v>27</v>
      </c>
      <c r="E525" s="30" t="s">
        <v>73</v>
      </c>
      <c r="F525" s="30" t="s">
        <v>73</v>
      </c>
      <c r="H525" s="14"/>
      <c r="I525" s="14"/>
      <c r="J525" s="15" t="e">
        <f>+VLOOKUP(K525,[1]Datos!$A:$C,3,FALSE)</f>
        <v>#N/A</v>
      </c>
      <c r="L525" s="15" t="e">
        <f>+VLOOKUP(K525,[1]Datos!$A:$C,2,FALSE)</f>
        <v>#N/A</v>
      </c>
      <c r="N525" s="17" t="e">
        <f>+VLOOKUP(M525,[1]Datos!$F:$G,2,FALSE)</f>
        <v>#N/A</v>
      </c>
      <c r="O525" s="18">
        <f>IFERROR(IF(A525="SI",VLOOKUP(R525,[1]Datos!$J$1:$K$50,2,FALSE)*C525,VLOOKUP(R525,[1]Datos!$P$1:$T$50,2,FALSE)*C525),0)</f>
        <v>0</v>
      </c>
      <c r="P525" s="30"/>
      <c r="Q525" s="17" t="e">
        <f>+VLOOKUP(P525,[1]Datos!$F:$G,2,FALSE)</f>
        <v>#N/A</v>
      </c>
      <c r="S525" s="11">
        <f t="shared" si="8"/>
        <v>0</v>
      </c>
      <c r="T525" s="11" t="e">
        <f>+VLOOKUP(M525,[1]Datos!$F:$H,3,FALSE)</f>
        <v>#N/A</v>
      </c>
      <c r="U525" s="11">
        <v>0</v>
      </c>
      <c r="V525" s="19"/>
    </row>
    <row r="526" spans="1:22">
      <c r="A526" s="11" t="s">
        <v>25</v>
      </c>
      <c r="D526" s="11" t="s">
        <v>27</v>
      </c>
      <c r="E526" s="30" t="s">
        <v>73</v>
      </c>
      <c r="F526" s="30" t="s">
        <v>73</v>
      </c>
      <c r="H526" s="14"/>
      <c r="I526" s="14"/>
      <c r="J526" s="15" t="e">
        <f>+VLOOKUP(K526,[1]Datos!$A:$C,3,FALSE)</f>
        <v>#N/A</v>
      </c>
      <c r="L526" s="15" t="e">
        <f>+VLOOKUP(K526,[1]Datos!$A:$C,2,FALSE)</f>
        <v>#N/A</v>
      </c>
      <c r="N526" s="17" t="e">
        <f>+VLOOKUP(M526,[1]Datos!$F:$G,2,FALSE)</f>
        <v>#N/A</v>
      </c>
      <c r="O526" s="18">
        <f>IFERROR(IF(A526="SI",VLOOKUP(R526,[1]Datos!$J$1:$K$50,2,FALSE)*C526,VLOOKUP(R526,[1]Datos!$P$1:$T$50,2,FALSE)*C526),0)</f>
        <v>0</v>
      </c>
      <c r="P526" s="30"/>
      <c r="Q526" s="17" t="e">
        <f>+VLOOKUP(P526,[1]Datos!$F:$G,2,FALSE)</f>
        <v>#N/A</v>
      </c>
      <c r="S526" s="11">
        <f t="shared" si="8"/>
        <v>0</v>
      </c>
      <c r="T526" s="11" t="e">
        <f>+VLOOKUP(M526,[1]Datos!$F:$H,3,FALSE)</f>
        <v>#N/A</v>
      </c>
      <c r="U526" s="11">
        <v>0</v>
      </c>
      <c r="V526" s="19"/>
    </row>
    <row r="527" spans="1:22">
      <c r="A527" s="11" t="s">
        <v>25</v>
      </c>
      <c r="D527" s="11" t="s">
        <v>27</v>
      </c>
      <c r="E527" s="30" t="s">
        <v>73</v>
      </c>
      <c r="F527" s="30" t="s">
        <v>73</v>
      </c>
      <c r="H527" s="14"/>
      <c r="I527" s="14"/>
      <c r="J527" s="15" t="e">
        <f>+VLOOKUP(K527,[1]Datos!$A:$C,3,FALSE)</f>
        <v>#N/A</v>
      </c>
      <c r="L527" s="15" t="e">
        <f>+VLOOKUP(K527,[1]Datos!$A:$C,2,FALSE)</f>
        <v>#N/A</v>
      </c>
      <c r="N527" s="17" t="e">
        <f>+VLOOKUP(M527,[1]Datos!$F:$G,2,FALSE)</f>
        <v>#N/A</v>
      </c>
      <c r="O527" s="18">
        <f>IFERROR(IF(A527="SI",VLOOKUP(R527,[1]Datos!$J$1:$K$50,2,FALSE)*C527,VLOOKUP(R527,[1]Datos!$P$1:$T$50,2,FALSE)*C527),0)</f>
        <v>0</v>
      </c>
      <c r="P527" s="30"/>
      <c r="Q527" s="17" t="e">
        <f>+VLOOKUP(P527,[1]Datos!$F:$G,2,FALSE)</f>
        <v>#N/A</v>
      </c>
      <c r="S527" s="11">
        <f t="shared" si="8"/>
        <v>0</v>
      </c>
      <c r="T527" s="11" t="e">
        <f>+VLOOKUP(M527,[1]Datos!$F:$H,3,FALSE)</f>
        <v>#N/A</v>
      </c>
      <c r="U527" s="11">
        <v>0</v>
      </c>
      <c r="V527" s="19"/>
    </row>
    <row r="528" spans="1:22">
      <c r="A528" s="11" t="s">
        <v>25</v>
      </c>
      <c r="D528" s="11" t="s">
        <v>27</v>
      </c>
      <c r="E528" s="30" t="s">
        <v>73</v>
      </c>
      <c r="F528" s="30" t="s">
        <v>73</v>
      </c>
      <c r="H528" s="14"/>
      <c r="I528" s="14"/>
      <c r="J528" s="15" t="e">
        <f>+VLOOKUP(K528,[1]Datos!$A:$C,3,FALSE)</f>
        <v>#N/A</v>
      </c>
      <c r="L528" s="15" t="e">
        <f>+VLOOKUP(K528,[1]Datos!$A:$C,2,FALSE)</f>
        <v>#N/A</v>
      </c>
      <c r="N528" s="17" t="e">
        <f>+VLOOKUP(M528,[1]Datos!$F:$G,2,FALSE)</f>
        <v>#N/A</v>
      </c>
      <c r="O528" s="18">
        <f>IFERROR(IF(A528="SI",VLOOKUP(R528,[1]Datos!$J$1:$K$50,2,FALSE)*C528,VLOOKUP(R528,[1]Datos!$P$1:$T$50,2,FALSE)*C528),0)</f>
        <v>0</v>
      </c>
      <c r="P528" s="30"/>
      <c r="Q528" s="17" t="e">
        <f>+VLOOKUP(P528,[1]Datos!$F:$G,2,FALSE)</f>
        <v>#N/A</v>
      </c>
      <c r="S528" s="11">
        <f t="shared" si="8"/>
        <v>0</v>
      </c>
      <c r="T528" s="11" t="e">
        <f>+VLOOKUP(M528,[1]Datos!$F:$H,3,FALSE)</f>
        <v>#N/A</v>
      </c>
      <c r="U528" s="11">
        <v>0</v>
      </c>
      <c r="V528" s="19"/>
    </row>
    <row r="529" spans="1:22">
      <c r="A529" s="11" t="s">
        <v>25</v>
      </c>
      <c r="D529" s="11" t="s">
        <v>27</v>
      </c>
      <c r="E529" s="30" t="s">
        <v>73</v>
      </c>
      <c r="F529" s="30" t="s">
        <v>73</v>
      </c>
      <c r="H529" s="14"/>
      <c r="I529" s="14"/>
      <c r="J529" s="15" t="e">
        <f>+VLOOKUP(K529,[1]Datos!$A:$C,3,FALSE)</f>
        <v>#N/A</v>
      </c>
      <c r="L529" s="15" t="e">
        <f>+VLOOKUP(K529,[1]Datos!$A:$C,2,FALSE)</f>
        <v>#N/A</v>
      </c>
      <c r="N529" s="17" t="e">
        <f>+VLOOKUP(M529,[1]Datos!$F:$G,2,FALSE)</f>
        <v>#N/A</v>
      </c>
      <c r="O529" s="18">
        <f>IFERROR(IF(A529="SI",VLOOKUP(R529,[1]Datos!$J$1:$K$50,2,FALSE)*C529,VLOOKUP(R529,[1]Datos!$P$1:$T$50,2,FALSE)*C529),0)</f>
        <v>0</v>
      </c>
      <c r="P529" s="30"/>
      <c r="Q529" s="17" t="e">
        <f>+VLOOKUP(P529,[1]Datos!$F:$G,2,FALSE)</f>
        <v>#N/A</v>
      </c>
      <c r="S529" s="11">
        <f t="shared" si="8"/>
        <v>0</v>
      </c>
      <c r="T529" s="11" t="e">
        <f>+VLOOKUP(M529,[1]Datos!$F:$H,3,FALSE)</f>
        <v>#N/A</v>
      </c>
      <c r="U529" s="11">
        <v>0</v>
      </c>
      <c r="V529" s="19"/>
    </row>
    <row r="530" spans="1:22">
      <c r="A530" s="11" t="s">
        <v>25</v>
      </c>
      <c r="D530" s="11" t="s">
        <v>27</v>
      </c>
      <c r="E530" s="30" t="s">
        <v>73</v>
      </c>
      <c r="F530" s="30" t="s">
        <v>73</v>
      </c>
      <c r="H530" s="14"/>
      <c r="I530" s="14"/>
      <c r="J530" s="15" t="e">
        <f>+VLOOKUP(K530,[1]Datos!$A:$C,3,FALSE)</f>
        <v>#N/A</v>
      </c>
      <c r="L530" s="15" t="e">
        <f>+VLOOKUP(K530,[1]Datos!$A:$C,2,FALSE)</f>
        <v>#N/A</v>
      </c>
      <c r="N530" s="17" t="e">
        <f>+VLOOKUP(M530,[1]Datos!$F:$G,2,FALSE)</f>
        <v>#N/A</v>
      </c>
      <c r="O530" s="18">
        <f>IFERROR(IF(A530="SI",VLOOKUP(R530,[1]Datos!$J$1:$K$50,2,FALSE)*C530,VLOOKUP(R530,[1]Datos!$P$1:$T$50,2,FALSE)*C530),0)</f>
        <v>0</v>
      </c>
      <c r="P530" s="30"/>
      <c r="Q530" s="17" t="e">
        <f>+VLOOKUP(P530,[1]Datos!$F:$G,2,FALSE)</f>
        <v>#N/A</v>
      </c>
      <c r="S530" s="11">
        <f t="shared" si="8"/>
        <v>0</v>
      </c>
      <c r="T530" s="11" t="e">
        <f>+VLOOKUP(M530,[1]Datos!$F:$H,3,FALSE)</f>
        <v>#N/A</v>
      </c>
      <c r="U530" s="11">
        <v>0</v>
      </c>
      <c r="V530" s="19"/>
    </row>
    <row r="531" spans="1:22">
      <c r="A531" s="11" t="s">
        <v>25</v>
      </c>
      <c r="D531" s="11" t="s">
        <v>27</v>
      </c>
      <c r="E531" s="30" t="s">
        <v>73</v>
      </c>
      <c r="F531" s="30" t="s">
        <v>73</v>
      </c>
      <c r="H531" s="14"/>
      <c r="I531" s="14"/>
      <c r="J531" s="15" t="e">
        <f>+VLOOKUP(K531,[1]Datos!$A:$C,3,FALSE)</f>
        <v>#N/A</v>
      </c>
      <c r="L531" s="15" t="e">
        <f>+VLOOKUP(K531,[1]Datos!$A:$C,2,FALSE)</f>
        <v>#N/A</v>
      </c>
      <c r="N531" s="17" t="e">
        <f>+VLOOKUP(M531,[1]Datos!$F:$G,2,FALSE)</f>
        <v>#N/A</v>
      </c>
      <c r="O531" s="18">
        <f>IFERROR(IF(A531="SI",VLOOKUP(R531,[1]Datos!$J$1:$K$50,2,FALSE)*C531,VLOOKUP(R531,[1]Datos!$P$1:$T$50,2,FALSE)*C531),0)</f>
        <v>0</v>
      </c>
      <c r="P531" s="30"/>
      <c r="Q531" s="17" t="e">
        <f>+VLOOKUP(P531,[1]Datos!$F:$G,2,FALSE)</f>
        <v>#N/A</v>
      </c>
      <c r="S531" s="11">
        <f t="shared" si="8"/>
        <v>0</v>
      </c>
      <c r="T531" s="11" t="e">
        <f>+VLOOKUP(M531,[1]Datos!$F:$H,3,FALSE)</f>
        <v>#N/A</v>
      </c>
      <c r="U531" s="11">
        <v>0</v>
      </c>
      <c r="V531" s="19"/>
    </row>
    <row r="532" spans="1:22">
      <c r="A532" s="11" t="s">
        <v>25</v>
      </c>
      <c r="D532" s="11" t="s">
        <v>27</v>
      </c>
      <c r="E532" s="30" t="s">
        <v>73</v>
      </c>
      <c r="F532" s="30" t="s">
        <v>73</v>
      </c>
      <c r="H532" s="14"/>
      <c r="I532" s="14"/>
      <c r="J532" s="15" t="e">
        <f>+VLOOKUP(K532,[1]Datos!$A:$C,3,FALSE)</f>
        <v>#N/A</v>
      </c>
      <c r="L532" s="15" t="e">
        <f>+VLOOKUP(K532,[1]Datos!$A:$C,2,FALSE)</f>
        <v>#N/A</v>
      </c>
      <c r="N532" s="17" t="e">
        <f>+VLOOKUP(M532,[1]Datos!$F:$G,2,FALSE)</f>
        <v>#N/A</v>
      </c>
      <c r="O532" s="18">
        <f>IFERROR(IF(A532="SI",VLOOKUP(R532,[1]Datos!$J$1:$K$50,2,FALSE)*C532,VLOOKUP(R532,[1]Datos!$P$1:$T$50,2,FALSE)*C532),0)</f>
        <v>0</v>
      </c>
      <c r="P532" s="30"/>
      <c r="Q532" s="17" t="e">
        <f>+VLOOKUP(P532,[1]Datos!$F:$G,2,FALSE)</f>
        <v>#N/A</v>
      </c>
      <c r="S532" s="11">
        <f t="shared" si="8"/>
        <v>0</v>
      </c>
      <c r="T532" s="11" t="e">
        <f>+VLOOKUP(M532,[1]Datos!$F:$H,3,FALSE)</f>
        <v>#N/A</v>
      </c>
      <c r="U532" s="11">
        <v>0</v>
      </c>
      <c r="V532" s="19"/>
    </row>
    <row r="533" spans="1:22">
      <c r="A533" s="11" t="s">
        <v>25</v>
      </c>
      <c r="D533" s="11" t="s">
        <v>27</v>
      </c>
      <c r="E533" s="30" t="s">
        <v>73</v>
      </c>
      <c r="F533" s="30" t="s">
        <v>73</v>
      </c>
      <c r="H533" s="14"/>
      <c r="I533" s="14"/>
      <c r="J533" s="15" t="e">
        <f>+VLOOKUP(K533,[1]Datos!$A:$C,3,FALSE)</f>
        <v>#N/A</v>
      </c>
      <c r="L533" s="15" t="e">
        <f>+VLOOKUP(K533,[1]Datos!$A:$C,2,FALSE)</f>
        <v>#N/A</v>
      </c>
      <c r="N533" s="17" t="e">
        <f>+VLOOKUP(M533,[1]Datos!$F:$G,2,FALSE)</f>
        <v>#N/A</v>
      </c>
      <c r="O533" s="18">
        <f>IFERROR(IF(A533="SI",VLOOKUP(R533,[1]Datos!$J$1:$K$50,2,FALSE)*C533,VLOOKUP(R533,[1]Datos!$P$1:$T$50,2,FALSE)*C533),0)</f>
        <v>0</v>
      </c>
      <c r="P533" s="30"/>
      <c r="Q533" s="17" t="e">
        <f>+VLOOKUP(P533,[1]Datos!$F:$G,2,FALSE)</f>
        <v>#N/A</v>
      </c>
      <c r="S533" s="11">
        <f t="shared" si="8"/>
        <v>0</v>
      </c>
      <c r="T533" s="11" t="e">
        <f>+VLOOKUP(M533,[1]Datos!$F:$H,3,FALSE)</f>
        <v>#N/A</v>
      </c>
      <c r="U533" s="11">
        <v>0</v>
      </c>
      <c r="V533" s="19"/>
    </row>
    <row r="534" spans="1:22">
      <c r="A534" s="11" t="s">
        <v>25</v>
      </c>
      <c r="D534" s="11" t="s">
        <v>27</v>
      </c>
      <c r="E534" s="30" t="s">
        <v>73</v>
      </c>
      <c r="F534" s="30" t="s">
        <v>73</v>
      </c>
      <c r="H534" s="14"/>
      <c r="I534" s="14"/>
      <c r="J534" s="15" t="e">
        <f>+VLOOKUP(K534,[1]Datos!$A:$C,3,FALSE)</f>
        <v>#N/A</v>
      </c>
      <c r="L534" s="15" t="e">
        <f>+VLOOKUP(K534,[1]Datos!$A:$C,2,FALSE)</f>
        <v>#N/A</v>
      </c>
      <c r="N534" s="17" t="e">
        <f>+VLOOKUP(M534,[1]Datos!$F:$G,2,FALSE)</f>
        <v>#N/A</v>
      </c>
      <c r="O534" s="18">
        <f>IFERROR(IF(A534="SI",VLOOKUP(R534,[1]Datos!$J$1:$K$50,2,FALSE)*C534,VLOOKUP(R534,[1]Datos!$P$1:$T$50,2,FALSE)*C534),0)</f>
        <v>0</v>
      </c>
      <c r="P534" s="30"/>
      <c r="Q534" s="17" t="e">
        <f>+VLOOKUP(P534,[1]Datos!$F:$G,2,FALSE)</f>
        <v>#N/A</v>
      </c>
      <c r="S534" s="11">
        <f t="shared" si="8"/>
        <v>0</v>
      </c>
      <c r="T534" s="11" t="e">
        <f>+VLOOKUP(M534,[1]Datos!$F:$H,3,FALSE)</f>
        <v>#N/A</v>
      </c>
      <c r="U534" s="11">
        <v>0</v>
      </c>
      <c r="V534" s="19"/>
    </row>
    <row r="535" spans="1:22">
      <c r="A535" s="11" t="s">
        <v>25</v>
      </c>
      <c r="D535" s="11" t="s">
        <v>27</v>
      </c>
      <c r="E535" s="30" t="s">
        <v>73</v>
      </c>
      <c r="F535" s="30" t="s">
        <v>73</v>
      </c>
      <c r="H535" s="14"/>
      <c r="I535" s="14"/>
      <c r="J535" s="15" t="e">
        <f>+VLOOKUP(K535,[1]Datos!$A:$C,3,FALSE)</f>
        <v>#N/A</v>
      </c>
      <c r="L535" s="15" t="e">
        <f>+VLOOKUP(K535,[1]Datos!$A:$C,2,FALSE)</f>
        <v>#N/A</v>
      </c>
      <c r="N535" s="17" t="e">
        <f>+VLOOKUP(M535,[1]Datos!$F:$G,2,FALSE)</f>
        <v>#N/A</v>
      </c>
      <c r="O535" s="18">
        <f>IFERROR(IF(A535="SI",VLOOKUP(R535,[1]Datos!$J$1:$K$50,2,FALSE)*C535,VLOOKUP(R535,[1]Datos!$P$1:$T$50,2,FALSE)*C535),0)</f>
        <v>0</v>
      </c>
      <c r="P535" s="30"/>
      <c r="Q535" s="17" t="e">
        <f>+VLOOKUP(P535,[1]Datos!$F:$G,2,FALSE)</f>
        <v>#N/A</v>
      </c>
      <c r="S535" s="11">
        <f t="shared" si="8"/>
        <v>0</v>
      </c>
      <c r="T535" s="11" t="e">
        <f>+VLOOKUP(M535,[1]Datos!$F:$H,3,FALSE)</f>
        <v>#N/A</v>
      </c>
      <c r="U535" s="11">
        <v>0</v>
      </c>
      <c r="V535" s="19"/>
    </row>
    <row r="536" spans="1:22">
      <c r="A536" s="11" t="s">
        <v>25</v>
      </c>
      <c r="D536" s="11" t="s">
        <v>27</v>
      </c>
      <c r="E536" s="30" t="s">
        <v>73</v>
      </c>
      <c r="F536" s="30" t="s">
        <v>73</v>
      </c>
      <c r="H536" s="14"/>
      <c r="I536" s="14"/>
      <c r="J536" s="15" t="e">
        <f>+VLOOKUP(K536,[1]Datos!$A:$C,3,FALSE)</f>
        <v>#N/A</v>
      </c>
      <c r="L536" s="15" t="e">
        <f>+VLOOKUP(K536,[1]Datos!$A:$C,2,FALSE)</f>
        <v>#N/A</v>
      </c>
      <c r="N536" s="17" t="e">
        <f>+VLOOKUP(M536,[1]Datos!$F:$G,2,FALSE)</f>
        <v>#N/A</v>
      </c>
      <c r="O536" s="18">
        <f>IFERROR(IF(A536="SI",VLOOKUP(R536,[1]Datos!$J$1:$K$50,2,FALSE)*C536,VLOOKUP(R536,[1]Datos!$P$1:$T$50,2,FALSE)*C536),0)</f>
        <v>0</v>
      </c>
      <c r="P536" s="30"/>
      <c r="Q536" s="17" t="e">
        <f>+VLOOKUP(P536,[1]Datos!$F:$G,2,FALSE)</f>
        <v>#N/A</v>
      </c>
      <c r="S536" s="11">
        <f t="shared" si="8"/>
        <v>0</v>
      </c>
      <c r="T536" s="11" t="e">
        <f>+VLOOKUP(M536,[1]Datos!$F:$H,3,FALSE)</f>
        <v>#N/A</v>
      </c>
      <c r="U536" s="11">
        <v>0</v>
      </c>
      <c r="V536" s="19"/>
    </row>
    <row r="537" spans="1:22">
      <c r="A537" s="11" t="s">
        <v>25</v>
      </c>
      <c r="D537" s="11" t="s">
        <v>27</v>
      </c>
      <c r="E537" s="30" t="s">
        <v>73</v>
      </c>
      <c r="F537" s="30" t="s">
        <v>73</v>
      </c>
      <c r="H537" s="14"/>
      <c r="I537" s="14"/>
      <c r="J537" s="15" t="e">
        <f>+VLOOKUP(K537,[1]Datos!$A:$C,3,FALSE)</f>
        <v>#N/A</v>
      </c>
      <c r="L537" s="15" t="e">
        <f>+VLOOKUP(K537,[1]Datos!$A:$C,2,FALSE)</f>
        <v>#N/A</v>
      </c>
      <c r="N537" s="17" t="e">
        <f>+VLOOKUP(M537,[1]Datos!$F:$G,2,FALSE)</f>
        <v>#N/A</v>
      </c>
      <c r="O537" s="18">
        <f>IFERROR(IF(A537="SI",VLOOKUP(R537,[1]Datos!$J$1:$K$50,2,FALSE)*C537,VLOOKUP(R537,[1]Datos!$P$1:$T$50,2,FALSE)*C537),0)</f>
        <v>0</v>
      </c>
      <c r="P537" s="30"/>
      <c r="Q537" s="17" t="e">
        <f>+VLOOKUP(P537,[1]Datos!$F:$G,2,FALSE)</f>
        <v>#N/A</v>
      </c>
      <c r="S537" s="11">
        <f t="shared" si="8"/>
        <v>0</v>
      </c>
      <c r="T537" s="11" t="e">
        <f>+VLOOKUP(M537,[1]Datos!$F:$H,3,FALSE)</f>
        <v>#N/A</v>
      </c>
      <c r="U537" s="11">
        <v>0</v>
      </c>
      <c r="V537" s="19"/>
    </row>
    <row r="538" spans="1:22">
      <c r="A538" s="11" t="s">
        <v>25</v>
      </c>
      <c r="D538" s="11" t="s">
        <v>27</v>
      </c>
      <c r="E538" s="30" t="s">
        <v>73</v>
      </c>
      <c r="F538" s="30" t="s">
        <v>73</v>
      </c>
      <c r="H538" s="14"/>
      <c r="I538" s="14"/>
      <c r="J538" s="15" t="e">
        <f>+VLOOKUP(K538,[1]Datos!$A:$C,3,FALSE)</f>
        <v>#N/A</v>
      </c>
      <c r="L538" s="15" t="e">
        <f>+VLOOKUP(K538,[1]Datos!$A:$C,2,FALSE)</f>
        <v>#N/A</v>
      </c>
      <c r="N538" s="17" t="e">
        <f>+VLOOKUP(M538,[1]Datos!$F:$G,2,FALSE)</f>
        <v>#N/A</v>
      </c>
      <c r="O538" s="18">
        <f>IFERROR(IF(A538="SI",VLOOKUP(R538,[1]Datos!$J$1:$K$50,2,FALSE)*C538,VLOOKUP(R538,[1]Datos!$P$1:$T$50,2,FALSE)*C538),0)</f>
        <v>0</v>
      </c>
      <c r="P538" s="30"/>
      <c r="Q538" s="17" t="e">
        <f>+VLOOKUP(P538,[1]Datos!$F:$G,2,FALSE)</f>
        <v>#N/A</v>
      </c>
      <c r="S538" s="11">
        <f t="shared" si="8"/>
        <v>0</v>
      </c>
      <c r="T538" s="11" t="e">
        <f>+VLOOKUP(M538,[1]Datos!$F:$H,3,FALSE)</f>
        <v>#N/A</v>
      </c>
      <c r="U538" s="11">
        <v>0</v>
      </c>
      <c r="V538" s="19"/>
    </row>
    <row r="539" spans="1:22">
      <c r="A539" s="11" t="s">
        <v>25</v>
      </c>
      <c r="D539" s="11" t="s">
        <v>27</v>
      </c>
      <c r="E539" s="30" t="s">
        <v>73</v>
      </c>
      <c r="F539" s="30" t="s">
        <v>73</v>
      </c>
      <c r="H539" s="14"/>
      <c r="I539" s="14"/>
      <c r="J539" s="15" t="e">
        <f>+VLOOKUP(K539,[1]Datos!$A:$C,3,FALSE)</f>
        <v>#N/A</v>
      </c>
      <c r="L539" s="15" t="e">
        <f>+VLOOKUP(K539,[1]Datos!$A:$C,2,FALSE)</f>
        <v>#N/A</v>
      </c>
      <c r="N539" s="17" t="e">
        <f>+VLOOKUP(M539,[1]Datos!$F:$G,2,FALSE)</f>
        <v>#N/A</v>
      </c>
      <c r="O539" s="18">
        <f>IFERROR(IF(A539="SI",VLOOKUP(R539,[1]Datos!$J$1:$K$50,2,FALSE)*C539,VLOOKUP(R539,[1]Datos!$P$1:$T$50,2,FALSE)*C539),0)</f>
        <v>0</v>
      </c>
      <c r="P539" s="30"/>
      <c r="Q539" s="17" t="e">
        <f>+VLOOKUP(P539,[1]Datos!$F:$G,2,FALSE)</f>
        <v>#N/A</v>
      </c>
      <c r="S539" s="11">
        <f t="shared" si="8"/>
        <v>0</v>
      </c>
      <c r="T539" s="11" t="e">
        <f>+VLOOKUP(M539,[1]Datos!$F:$H,3,FALSE)</f>
        <v>#N/A</v>
      </c>
      <c r="U539" s="11">
        <v>0</v>
      </c>
      <c r="V539" s="19"/>
    </row>
    <row r="540" spans="1:22">
      <c r="A540" s="11" t="s">
        <v>25</v>
      </c>
      <c r="D540" s="11" t="s">
        <v>27</v>
      </c>
      <c r="E540" s="30" t="s">
        <v>73</v>
      </c>
      <c r="F540" s="30" t="s">
        <v>73</v>
      </c>
      <c r="H540" s="14"/>
      <c r="I540" s="14"/>
      <c r="J540" s="15" t="e">
        <f>+VLOOKUP(K540,[1]Datos!$A:$C,3,FALSE)</f>
        <v>#N/A</v>
      </c>
      <c r="L540" s="15" t="e">
        <f>+VLOOKUP(K540,[1]Datos!$A:$C,2,FALSE)</f>
        <v>#N/A</v>
      </c>
      <c r="N540" s="17" t="e">
        <f>+VLOOKUP(M540,[1]Datos!$F:$G,2,FALSE)</f>
        <v>#N/A</v>
      </c>
      <c r="O540" s="18">
        <f>IFERROR(IF(A540="SI",VLOOKUP(R540,[1]Datos!$J$1:$K$50,2,FALSE)*C540,VLOOKUP(R540,[1]Datos!$P$1:$T$50,2,FALSE)*C540),0)</f>
        <v>0</v>
      </c>
      <c r="P540" s="30"/>
      <c r="Q540" s="17" t="e">
        <f>+VLOOKUP(P540,[1]Datos!$F:$G,2,FALSE)</f>
        <v>#N/A</v>
      </c>
      <c r="S540" s="11">
        <f t="shared" si="8"/>
        <v>0</v>
      </c>
      <c r="T540" s="11" t="e">
        <f>+VLOOKUP(M540,[1]Datos!$F:$H,3,FALSE)</f>
        <v>#N/A</v>
      </c>
      <c r="U540" s="11">
        <v>0</v>
      </c>
      <c r="V540" s="19"/>
    </row>
    <row r="541" spans="1:22">
      <c r="A541" s="11" t="s">
        <v>25</v>
      </c>
      <c r="D541" s="11" t="s">
        <v>27</v>
      </c>
      <c r="E541" s="30" t="s">
        <v>73</v>
      </c>
      <c r="F541" s="30" t="s">
        <v>73</v>
      </c>
      <c r="H541" s="14"/>
      <c r="I541" s="14"/>
      <c r="J541" s="15" t="e">
        <f>+VLOOKUP(K541,[1]Datos!$A:$C,3,FALSE)</f>
        <v>#N/A</v>
      </c>
      <c r="L541" s="15" t="e">
        <f>+VLOOKUP(K541,[1]Datos!$A:$C,2,FALSE)</f>
        <v>#N/A</v>
      </c>
      <c r="N541" s="17" t="e">
        <f>+VLOOKUP(M541,[1]Datos!$F:$G,2,FALSE)</f>
        <v>#N/A</v>
      </c>
      <c r="O541" s="18">
        <f>IFERROR(IF(A541="SI",VLOOKUP(R541,[1]Datos!$J$1:$K$50,2,FALSE)*C541,VLOOKUP(R541,[1]Datos!$P$1:$T$50,2,FALSE)*C541),0)</f>
        <v>0</v>
      </c>
      <c r="P541" s="30"/>
      <c r="Q541" s="17" t="e">
        <f>+VLOOKUP(P541,[1]Datos!$F:$G,2,FALSE)</f>
        <v>#N/A</v>
      </c>
      <c r="S541" s="11">
        <f t="shared" si="8"/>
        <v>0</v>
      </c>
      <c r="T541" s="11" t="e">
        <f>+VLOOKUP(M541,[1]Datos!$F:$H,3,FALSE)</f>
        <v>#N/A</v>
      </c>
      <c r="U541" s="11">
        <v>0</v>
      </c>
      <c r="V541" s="19"/>
    </row>
    <row r="542" spans="1:22">
      <c r="A542" s="11" t="s">
        <v>25</v>
      </c>
      <c r="D542" s="11" t="s">
        <v>27</v>
      </c>
      <c r="E542" s="30" t="s">
        <v>73</v>
      </c>
      <c r="F542" s="30" t="s">
        <v>73</v>
      </c>
      <c r="H542" s="14"/>
      <c r="I542" s="14"/>
      <c r="J542" s="15" t="e">
        <f>+VLOOKUP(K542,[1]Datos!$A:$C,3,FALSE)</f>
        <v>#N/A</v>
      </c>
      <c r="L542" s="15" t="e">
        <f>+VLOOKUP(K542,[1]Datos!$A:$C,2,FALSE)</f>
        <v>#N/A</v>
      </c>
      <c r="N542" s="17" t="e">
        <f>+VLOOKUP(M542,[1]Datos!$F:$G,2,FALSE)</f>
        <v>#N/A</v>
      </c>
      <c r="O542" s="18">
        <f>IFERROR(IF(A542="SI",VLOOKUP(R542,[1]Datos!$J$1:$K$50,2,FALSE)*C542,VLOOKUP(R542,[1]Datos!$P$1:$T$50,2,FALSE)*C542),0)</f>
        <v>0</v>
      </c>
      <c r="P542" s="30"/>
      <c r="Q542" s="17" t="e">
        <f>+VLOOKUP(P542,[1]Datos!$F:$G,2,FALSE)</f>
        <v>#N/A</v>
      </c>
      <c r="S542" s="11">
        <f t="shared" si="8"/>
        <v>0</v>
      </c>
      <c r="T542" s="11" t="e">
        <f>+VLOOKUP(M542,[1]Datos!$F:$H,3,FALSE)</f>
        <v>#N/A</v>
      </c>
      <c r="U542" s="11">
        <v>0</v>
      </c>
      <c r="V542" s="19"/>
    </row>
    <row r="543" spans="1:22">
      <c r="A543" s="11" t="s">
        <v>25</v>
      </c>
      <c r="D543" s="11" t="s">
        <v>27</v>
      </c>
      <c r="E543" s="30" t="s">
        <v>73</v>
      </c>
      <c r="F543" s="30" t="s">
        <v>73</v>
      </c>
      <c r="H543" s="14"/>
      <c r="I543" s="14"/>
      <c r="J543" s="15" t="e">
        <f>+VLOOKUP(K543,[1]Datos!$A:$C,3,FALSE)</f>
        <v>#N/A</v>
      </c>
      <c r="L543" s="15" t="e">
        <f>+VLOOKUP(K543,[1]Datos!$A:$C,2,FALSE)</f>
        <v>#N/A</v>
      </c>
      <c r="N543" s="17" t="e">
        <f>+VLOOKUP(M543,[1]Datos!$F:$G,2,FALSE)</f>
        <v>#N/A</v>
      </c>
      <c r="O543" s="18">
        <f>IFERROR(IF(A543="SI",VLOOKUP(R543,[1]Datos!$J$1:$K$50,2,FALSE)*C543,VLOOKUP(R543,[1]Datos!$P$1:$T$50,2,FALSE)*C543),0)</f>
        <v>0</v>
      </c>
      <c r="P543" s="30"/>
      <c r="Q543" s="17" t="e">
        <f>+VLOOKUP(P543,[1]Datos!$F:$G,2,FALSE)</f>
        <v>#N/A</v>
      </c>
      <c r="S543" s="11">
        <f t="shared" si="8"/>
        <v>0</v>
      </c>
      <c r="T543" s="11" t="e">
        <f>+VLOOKUP(M543,[1]Datos!$F:$H,3,FALSE)</f>
        <v>#N/A</v>
      </c>
      <c r="U543" s="11">
        <v>0</v>
      </c>
      <c r="V543" s="19"/>
    </row>
    <row r="544" spans="1:22">
      <c r="A544" s="11" t="s">
        <v>25</v>
      </c>
      <c r="D544" s="11" t="s">
        <v>27</v>
      </c>
      <c r="E544" s="30" t="s">
        <v>73</v>
      </c>
      <c r="F544" s="30" t="s">
        <v>73</v>
      </c>
      <c r="H544" s="14"/>
      <c r="I544" s="14"/>
      <c r="J544" s="15" t="e">
        <f>+VLOOKUP(K544,[1]Datos!$A:$C,3,FALSE)</f>
        <v>#N/A</v>
      </c>
      <c r="L544" s="15" t="e">
        <f>+VLOOKUP(K544,[1]Datos!$A:$C,2,FALSE)</f>
        <v>#N/A</v>
      </c>
      <c r="N544" s="17" t="e">
        <f>+VLOOKUP(M544,[1]Datos!$F:$G,2,FALSE)</f>
        <v>#N/A</v>
      </c>
      <c r="O544" s="18">
        <f>IFERROR(IF(A544="SI",VLOOKUP(R544,[1]Datos!$J$1:$K$50,2,FALSE)*C544,VLOOKUP(R544,[1]Datos!$P$1:$T$50,2,FALSE)*C544),0)</f>
        <v>0</v>
      </c>
      <c r="P544" s="30"/>
      <c r="Q544" s="17" t="e">
        <f>+VLOOKUP(P544,[1]Datos!$F:$G,2,FALSE)</f>
        <v>#N/A</v>
      </c>
      <c r="S544" s="11">
        <f t="shared" si="8"/>
        <v>0</v>
      </c>
      <c r="T544" s="11" t="e">
        <f>+VLOOKUP(M544,[1]Datos!$F:$H,3,FALSE)</f>
        <v>#N/A</v>
      </c>
      <c r="U544" s="11">
        <v>0</v>
      </c>
      <c r="V544" s="19"/>
    </row>
    <row r="545" spans="1:22">
      <c r="A545" s="11" t="s">
        <v>25</v>
      </c>
      <c r="D545" s="11" t="s">
        <v>27</v>
      </c>
      <c r="E545" s="30" t="s">
        <v>73</v>
      </c>
      <c r="F545" s="30" t="s">
        <v>73</v>
      </c>
      <c r="H545" s="14"/>
      <c r="I545" s="14"/>
      <c r="J545" s="15" t="e">
        <f>+VLOOKUP(K545,[1]Datos!$A:$C,3,FALSE)</f>
        <v>#N/A</v>
      </c>
      <c r="L545" s="15" t="e">
        <f>+VLOOKUP(K545,[1]Datos!$A:$C,2,FALSE)</f>
        <v>#N/A</v>
      </c>
      <c r="N545" s="17" t="e">
        <f>+VLOOKUP(M545,[1]Datos!$F:$G,2,FALSE)</f>
        <v>#N/A</v>
      </c>
      <c r="O545" s="18">
        <f>IFERROR(IF(A545="SI",VLOOKUP(R545,[1]Datos!$J$1:$K$50,2,FALSE)*C545,VLOOKUP(R545,[1]Datos!$P$1:$T$50,2,FALSE)*C545),0)</f>
        <v>0</v>
      </c>
      <c r="P545" s="30"/>
      <c r="Q545" s="17" t="e">
        <f>+VLOOKUP(P545,[1]Datos!$F:$G,2,FALSE)</f>
        <v>#N/A</v>
      </c>
      <c r="S545" s="11">
        <f t="shared" si="8"/>
        <v>0</v>
      </c>
      <c r="T545" s="11" t="e">
        <f>+VLOOKUP(M545,[1]Datos!$F:$H,3,FALSE)</f>
        <v>#N/A</v>
      </c>
      <c r="U545" s="11">
        <v>0</v>
      </c>
      <c r="V545" s="19"/>
    </row>
    <row r="546" spans="1:22">
      <c r="A546" s="11" t="s">
        <v>25</v>
      </c>
      <c r="D546" s="11" t="s">
        <v>27</v>
      </c>
      <c r="E546" s="30" t="s">
        <v>73</v>
      </c>
      <c r="F546" s="30" t="s">
        <v>73</v>
      </c>
      <c r="H546" s="14"/>
      <c r="I546" s="14"/>
      <c r="J546" s="15" t="e">
        <f>+VLOOKUP(K546,[1]Datos!$A:$C,3,FALSE)</f>
        <v>#N/A</v>
      </c>
      <c r="L546" s="15" t="e">
        <f>+VLOOKUP(K546,[1]Datos!$A:$C,2,FALSE)</f>
        <v>#N/A</v>
      </c>
      <c r="N546" s="17" t="e">
        <f>+VLOOKUP(M546,[1]Datos!$F:$G,2,FALSE)</f>
        <v>#N/A</v>
      </c>
      <c r="O546" s="18">
        <f>IFERROR(IF(A546="SI",VLOOKUP(R546,[1]Datos!$J$1:$K$50,2,FALSE)*C546,VLOOKUP(R546,[1]Datos!$P$1:$T$50,2,FALSE)*C546),0)</f>
        <v>0</v>
      </c>
      <c r="P546" s="30"/>
      <c r="Q546" s="17" t="e">
        <f>+VLOOKUP(P546,[1]Datos!$F:$G,2,FALSE)</f>
        <v>#N/A</v>
      </c>
      <c r="S546" s="11">
        <f t="shared" si="8"/>
        <v>0</v>
      </c>
      <c r="T546" s="11" t="e">
        <f>+VLOOKUP(M546,[1]Datos!$F:$H,3,FALSE)</f>
        <v>#N/A</v>
      </c>
      <c r="U546" s="11">
        <v>0</v>
      </c>
      <c r="V546" s="19"/>
    </row>
    <row r="547" spans="1:22">
      <c r="A547" s="11" t="s">
        <v>25</v>
      </c>
      <c r="D547" s="11" t="s">
        <v>27</v>
      </c>
      <c r="E547" s="30" t="s">
        <v>73</v>
      </c>
      <c r="F547" s="30" t="s">
        <v>73</v>
      </c>
      <c r="H547" s="14"/>
      <c r="I547" s="14"/>
      <c r="J547" s="15" t="e">
        <f>+VLOOKUP(K547,[1]Datos!$A:$C,3,FALSE)</f>
        <v>#N/A</v>
      </c>
      <c r="L547" s="15" t="e">
        <f>+VLOOKUP(K547,[1]Datos!$A:$C,2,FALSE)</f>
        <v>#N/A</v>
      </c>
      <c r="N547" s="17" t="e">
        <f>+VLOOKUP(M547,[1]Datos!$F:$G,2,FALSE)</f>
        <v>#N/A</v>
      </c>
      <c r="O547" s="18">
        <f>IFERROR(IF(A547="SI",VLOOKUP(R547,[1]Datos!$J$1:$K$50,2,FALSE)*C547,VLOOKUP(R547,[1]Datos!$P$1:$T$50,2,FALSE)*C547),0)</f>
        <v>0</v>
      </c>
      <c r="P547" s="30"/>
      <c r="Q547" s="17" t="e">
        <f>+VLOOKUP(P547,[1]Datos!$F:$G,2,FALSE)</f>
        <v>#N/A</v>
      </c>
      <c r="S547" s="11">
        <f t="shared" si="8"/>
        <v>0</v>
      </c>
      <c r="T547" s="11" t="e">
        <f>+VLOOKUP(M547,[1]Datos!$F:$H,3,FALSE)</f>
        <v>#N/A</v>
      </c>
      <c r="U547" s="11">
        <v>0</v>
      </c>
      <c r="V547" s="19"/>
    </row>
    <row r="548" spans="1:22">
      <c r="A548" s="11" t="s">
        <v>25</v>
      </c>
      <c r="D548" s="11" t="s">
        <v>27</v>
      </c>
      <c r="E548" s="30" t="s">
        <v>73</v>
      </c>
      <c r="F548" s="30" t="s">
        <v>73</v>
      </c>
      <c r="H548" s="14"/>
      <c r="I548" s="14"/>
      <c r="J548" s="15" t="e">
        <f>+VLOOKUP(K548,[1]Datos!$A:$C,3,FALSE)</f>
        <v>#N/A</v>
      </c>
      <c r="L548" s="15" t="e">
        <f>+VLOOKUP(K548,[1]Datos!$A:$C,2,FALSE)</f>
        <v>#N/A</v>
      </c>
      <c r="N548" s="17" t="e">
        <f>+VLOOKUP(M548,[1]Datos!$F:$G,2,FALSE)</f>
        <v>#N/A</v>
      </c>
      <c r="O548" s="18">
        <f>IFERROR(IF(A548="SI",VLOOKUP(R548,[1]Datos!$J$1:$K$50,2,FALSE)*C548,VLOOKUP(R548,[1]Datos!$P$1:$T$50,2,FALSE)*C548),0)</f>
        <v>0</v>
      </c>
      <c r="P548" s="30"/>
      <c r="Q548" s="17" t="e">
        <f>+VLOOKUP(P548,[1]Datos!$F:$G,2,FALSE)</f>
        <v>#N/A</v>
      </c>
      <c r="S548" s="11">
        <f t="shared" si="8"/>
        <v>0</v>
      </c>
      <c r="T548" s="11" t="e">
        <f>+VLOOKUP(M548,[1]Datos!$F:$H,3,FALSE)</f>
        <v>#N/A</v>
      </c>
      <c r="U548" s="11">
        <v>0</v>
      </c>
      <c r="V548" s="19"/>
    </row>
    <row r="549" spans="1:22">
      <c r="A549" s="11" t="s">
        <v>25</v>
      </c>
      <c r="D549" s="11" t="s">
        <v>27</v>
      </c>
      <c r="E549" s="30" t="s">
        <v>73</v>
      </c>
      <c r="F549" s="30" t="s">
        <v>73</v>
      </c>
      <c r="H549" s="14"/>
      <c r="I549" s="14"/>
      <c r="J549" s="15" t="e">
        <f>+VLOOKUP(K549,[1]Datos!$A:$C,3,FALSE)</f>
        <v>#N/A</v>
      </c>
      <c r="L549" s="15" t="e">
        <f>+VLOOKUP(K549,[1]Datos!$A:$C,2,FALSE)</f>
        <v>#N/A</v>
      </c>
      <c r="N549" s="17" t="e">
        <f>+VLOOKUP(M549,[1]Datos!$F:$G,2,FALSE)</f>
        <v>#N/A</v>
      </c>
      <c r="O549" s="18">
        <f>IFERROR(IF(A549="SI",VLOOKUP(R549,[1]Datos!$J$1:$K$50,2,FALSE)*C549,VLOOKUP(R549,[1]Datos!$P$1:$T$50,2,FALSE)*C549),0)</f>
        <v>0</v>
      </c>
      <c r="P549" s="30"/>
      <c r="Q549" s="17" t="e">
        <f>+VLOOKUP(P549,[1]Datos!$F:$G,2,FALSE)</f>
        <v>#N/A</v>
      </c>
      <c r="S549" s="11">
        <f t="shared" si="8"/>
        <v>0</v>
      </c>
      <c r="T549" s="11" t="e">
        <f>+VLOOKUP(M549,[1]Datos!$F:$H,3,FALSE)</f>
        <v>#N/A</v>
      </c>
      <c r="U549" s="11">
        <v>0</v>
      </c>
      <c r="V549" s="19"/>
    </row>
    <row r="550" spans="1:22">
      <c r="A550" s="11" t="s">
        <v>25</v>
      </c>
      <c r="D550" s="11" t="s">
        <v>27</v>
      </c>
      <c r="E550" s="30" t="s">
        <v>73</v>
      </c>
      <c r="F550" s="30" t="s">
        <v>73</v>
      </c>
      <c r="H550" s="14"/>
      <c r="I550" s="14"/>
      <c r="J550" s="15" t="e">
        <f>+VLOOKUP(K550,[1]Datos!$A:$C,3,FALSE)</f>
        <v>#N/A</v>
      </c>
      <c r="L550" s="15" t="e">
        <f>+VLOOKUP(K550,[1]Datos!$A:$C,2,FALSE)</f>
        <v>#N/A</v>
      </c>
      <c r="N550" s="17" t="e">
        <f>+VLOOKUP(M550,[1]Datos!$F:$G,2,FALSE)</f>
        <v>#N/A</v>
      </c>
      <c r="O550" s="18">
        <f>IFERROR(IF(A550="SI",VLOOKUP(R550,[1]Datos!$J$1:$K$50,2,FALSE)*C550,VLOOKUP(R550,[1]Datos!$P$1:$T$50,2,FALSE)*C550),0)</f>
        <v>0</v>
      </c>
      <c r="P550" s="30"/>
      <c r="Q550" s="17" t="e">
        <f>+VLOOKUP(P550,[1]Datos!$F:$G,2,FALSE)</f>
        <v>#N/A</v>
      </c>
      <c r="S550" s="11">
        <f t="shared" si="8"/>
        <v>0</v>
      </c>
      <c r="T550" s="11" t="e">
        <f>+VLOOKUP(M550,[1]Datos!$F:$H,3,FALSE)</f>
        <v>#N/A</v>
      </c>
      <c r="U550" s="11">
        <v>0</v>
      </c>
      <c r="V550" s="19"/>
    </row>
    <row r="551" spans="1:22">
      <c r="A551" s="11" t="s">
        <v>25</v>
      </c>
      <c r="D551" s="11" t="s">
        <v>27</v>
      </c>
      <c r="E551" s="30" t="s">
        <v>73</v>
      </c>
      <c r="F551" s="30" t="s">
        <v>73</v>
      </c>
      <c r="H551" s="14"/>
      <c r="I551" s="14"/>
      <c r="J551" s="15" t="e">
        <f>+VLOOKUP(K551,[1]Datos!$A:$C,3,FALSE)</f>
        <v>#N/A</v>
      </c>
      <c r="L551" s="15" t="e">
        <f>+VLOOKUP(K551,[1]Datos!$A:$C,2,FALSE)</f>
        <v>#N/A</v>
      </c>
      <c r="N551" s="17" t="e">
        <f>+VLOOKUP(M551,[1]Datos!$F:$G,2,FALSE)</f>
        <v>#N/A</v>
      </c>
      <c r="O551" s="18">
        <f>IFERROR(IF(A551="SI",VLOOKUP(R551,[1]Datos!$J$1:$K$50,2,FALSE)*C551,VLOOKUP(R551,[1]Datos!$P$1:$T$50,2,FALSE)*C551),0)</f>
        <v>0</v>
      </c>
      <c r="P551" s="30"/>
      <c r="Q551" s="17" t="e">
        <f>+VLOOKUP(P551,[1]Datos!$F:$G,2,FALSE)</f>
        <v>#N/A</v>
      </c>
      <c r="S551" s="11">
        <f t="shared" si="8"/>
        <v>0</v>
      </c>
      <c r="T551" s="11" t="e">
        <f>+VLOOKUP(M551,[1]Datos!$F:$H,3,FALSE)</f>
        <v>#N/A</v>
      </c>
      <c r="U551" s="11">
        <v>0</v>
      </c>
      <c r="V551" s="19"/>
    </row>
    <row r="552" spans="1:22">
      <c r="A552" s="11" t="s">
        <v>25</v>
      </c>
      <c r="D552" s="11" t="s">
        <v>27</v>
      </c>
      <c r="E552" s="30" t="s">
        <v>73</v>
      </c>
      <c r="F552" s="30" t="s">
        <v>73</v>
      </c>
      <c r="H552" s="14"/>
      <c r="I552" s="14"/>
      <c r="J552" s="15" t="e">
        <f>+VLOOKUP(K552,[1]Datos!$A:$C,3,FALSE)</f>
        <v>#N/A</v>
      </c>
      <c r="L552" s="15" t="e">
        <f>+VLOOKUP(K552,[1]Datos!$A:$C,2,FALSE)</f>
        <v>#N/A</v>
      </c>
      <c r="N552" s="17" t="e">
        <f>+VLOOKUP(M552,[1]Datos!$F:$G,2,FALSE)</f>
        <v>#N/A</v>
      </c>
      <c r="O552" s="18">
        <f>IFERROR(IF(A552="SI",VLOOKUP(R552,[1]Datos!$J$1:$K$50,2,FALSE)*C552,VLOOKUP(R552,[1]Datos!$P$1:$T$50,2,FALSE)*C552),0)</f>
        <v>0</v>
      </c>
      <c r="P552" s="30"/>
      <c r="Q552" s="17" t="e">
        <f>+VLOOKUP(P552,[1]Datos!$F:$G,2,FALSE)</f>
        <v>#N/A</v>
      </c>
      <c r="S552" s="11">
        <f t="shared" si="8"/>
        <v>0</v>
      </c>
      <c r="T552" s="11" t="e">
        <f>+VLOOKUP(M552,[1]Datos!$F:$H,3,FALSE)</f>
        <v>#N/A</v>
      </c>
      <c r="U552" s="11">
        <v>0</v>
      </c>
      <c r="V552" s="19"/>
    </row>
    <row r="553" spans="1:22">
      <c r="A553" s="11" t="s">
        <v>25</v>
      </c>
      <c r="D553" s="11" t="s">
        <v>27</v>
      </c>
      <c r="E553" s="30" t="s">
        <v>73</v>
      </c>
      <c r="F553" s="30" t="s">
        <v>73</v>
      </c>
      <c r="H553" s="14"/>
      <c r="I553" s="14"/>
      <c r="J553" s="15" t="e">
        <f>+VLOOKUP(K553,[1]Datos!$A:$C,3,FALSE)</f>
        <v>#N/A</v>
      </c>
      <c r="L553" s="15" t="e">
        <f>+VLOOKUP(K553,[1]Datos!$A:$C,2,FALSE)</f>
        <v>#N/A</v>
      </c>
      <c r="N553" s="17" t="e">
        <f>+VLOOKUP(M553,[1]Datos!$F:$G,2,FALSE)</f>
        <v>#N/A</v>
      </c>
      <c r="O553" s="18">
        <f>IFERROR(IF(A553="SI",VLOOKUP(R553,[1]Datos!$J$1:$K$50,2,FALSE)*C553,VLOOKUP(R553,[1]Datos!$P$1:$T$50,2,FALSE)*C553),0)</f>
        <v>0</v>
      </c>
      <c r="P553" s="30"/>
      <c r="Q553" s="17" t="e">
        <f>+VLOOKUP(P553,[1]Datos!$F:$G,2,FALSE)</f>
        <v>#N/A</v>
      </c>
      <c r="S553" s="11">
        <f t="shared" si="8"/>
        <v>0</v>
      </c>
      <c r="T553" s="11" t="e">
        <f>+VLOOKUP(M553,[1]Datos!$F:$H,3,FALSE)</f>
        <v>#N/A</v>
      </c>
      <c r="U553" s="11">
        <v>0</v>
      </c>
      <c r="V553" s="19"/>
    </row>
    <row r="554" spans="1:22">
      <c r="A554" s="11" t="s">
        <v>25</v>
      </c>
      <c r="D554" s="11" t="s">
        <v>27</v>
      </c>
      <c r="E554" s="30" t="s">
        <v>73</v>
      </c>
      <c r="F554" s="30" t="s">
        <v>73</v>
      </c>
      <c r="H554" s="14"/>
      <c r="I554" s="14"/>
      <c r="J554" s="15" t="e">
        <f>+VLOOKUP(K554,[1]Datos!$A:$C,3,FALSE)</f>
        <v>#N/A</v>
      </c>
      <c r="L554" s="15" t="e">
        <f>+VLOOKUP(K554,[1]Datos!$A:$C,2,FALSE)</f>
        <v>#N/A</v>
      </c>
      <c r="N554" s="17" t="e">
        <f>+VLOOKUP(M554,[1]Datos!$F:$G,2,FALSE)</f>
        <v>#N/A</v>
      </c>
      <c r="O554" s="18">
        <f>IFERROR(IF(A554="SI",VLOOKUP(R554,[1]Datos!$J$1:$K$50,2,FALSE)*C554,VLOOKUP(R554,[1]Datos!$P$1:$T$50,2,FALSE)*C554),0)</f>
        <v>0</v>
      </c>
      <c r="P554" s="30"/>
      <c r="Q554" s="17" t="e">
        <f>+VLOOKUP(P554,[1]Datos!$F:$G,2,FALSE)</f>
        <v>#N/A</v>
      </c>
      <c r="S554" s="11">
        <f t="shared" si="8"/>
        <v>0</v>
      </c>
      <c r="T554" s="11" t="e">
        <f>+VLOOKUP(M554,[1]Datos!$F:$H,3,FALSE)</f>
        <v>#N/A</v>
      </c>
      <c r="U554" s="11">
        <v>0</v>
      </c>
      <c r="V554" s="19"/>
    </row>
    <row r="555" spans="1:22">
      <c r="A555" s="11" t="s">
        <v>25</v>
      </c>
      <c r="D555" s="11" t="s">
        <v>27</v>
      </c>
      <c r="E555" s="30" t="s">
        <v>73</v>
      </c>
      <c r="F555" s="30" t="s">
        <v>73</v>
      </c>
      <c r="H555" s="14"/>
      <c r="I555" s="14"/>
      <c r="J555" s="15" t="e">
        <f>+VLOOKUP(K555,[1]Datos!$A:$C,3,FALSE)</f>
        <v>#N/A</v>
      </c>
      <c r="L555" s="15" t="e">
        <f>+VLOOKUP(K555,[1]Datos!$A:$C,2,FALSE)</f>
        <v>#N/A</v>
      </c>
      <c r="N555" s="17" t="e">
        <f>+VLOOKUP(M555,[1]Datos!$F:$G,2,FALSE)</f>
        <v>#N/A</v>
      </c>
      <c r="O555" s="18">
        <f>IFERROR(IF(A555="SI",VLOOKUP(R555,[1]Datos!$J$1:$K$50,2,FALSE)*C555,VLOOKUP(R555,[1]Datos!$P$1:$T$50,2,FALSE)*C555),0)</f>
        <v>0</v>
      </c>
      <c r="P555" s="30"/>
      <c r="Q555" s="17" t="e">
        <f>+VLOOKUP(P555,[1]Datos!$F:$G,2,FALSE)</f>
        <v>#N/A</v>
      </c>
      <c r="S555" s="11">
        <f t="shared" si="8"/>
        <v>0</v>
      </c>
      <c r="T555" s="11" t="e">
        <f>+VLOOKUP(M555,[1]Datos!$F:$H,3,FALSE)</f>
        <v>#N/A</v>
      </c>
      <c r="U555" s="11">
        <v>0</v>
      </c>
      <c r="V555" s="19"/>
    </row>
    <row r="556" spans="1:22">
      <c r="A556" s="11" t="s">
        <v>25</v>
      </c>
      <c r="D556" s="11" t="s">
        <v>27</v>
      </c>
      <c r="E556" s="30" t="s">
        <v>73</v>
      </c>
      <c r="F556" s="30" t="s">
        <v>73</v>
      </c>
      <c r="H556" s="14"/>
      <c r="I556" s="14"/>
      <c r="J556" s="15" t="e">
        <f>+VLOOKUP(K556,[1]Datos!$A:$C,3,FALSE)</f>
        <v>#N/A</v>
      </c>
      <c r="L556" s="15" t="e">
        <f>+VLOOKUP(K556,[1]Datos!$A:$C,2,FALSE)</f>
        <v>#N/A</v>
      </c>
      <c r="N556" s="17" t="e">
        <f>+VLOOKUP(M556,[1]Datos!$F:$G,2,FALSE)</f>
        <v>#N/A</v>
      </c>
      <c r="O556" s="18">
        <f>IFERROR(IF(A556="SI",VLOOKUP(R556,[1]Datos!$J$1:$K$50,2,FALSE)*C556,VLOOKUP(R556,[1]Datos!$P$1:$T$50,2,FALSE)*C556),0)</f>
        <v>0</v>
      </c>
      <c r="P556" s="30"/>
      <c r="Q556" s="17" t="e">
        <f>+VLOOKUP(P556,[1]Datos!$F:$G,2,FALSE)</f>
        <v>#N/A</v>
      </c>
      <c r="S556" s="11">
        <f t="shared" si="8"/>
        <v>0</v>
      </c>
      <c r="T556" s="11" t="e">
        <f>+VLOOKUP(M556,[1]Datos!$F:$H,3,FALSE)</f>
        <v>#N/A</v>
      </c>
      <c r="U556" s="11">
        <v>0</v>
      </c>
      <c r="V556" s="19"/>
    </row>
    <row r="557" spans="1:22">
      <c r="A557" s="11" t="s">
        <v>25</v>
      </c>
      <c r="D557" s="11" t="s">
        <v>27</v>
      </c>
      <c r="E557" s="30" t="s">
        <v>73</v>
      </c>
      <c r="F557" s="30" t="s">
        <v>73</v>
      </c>
      <c r="H557" s="14"/>
      <c r="I557" s="14"/>
      <c r="J557" s="15" t="e">
        <f>+VLOOKUP(K557,[1]Datos!$A:$C,3,FALSE)</f>
        <v>#N/A</v>
      </c>
      <c r="L557" s="15" t="e">
        <f>+VLOOKUP(K557,[1]Datos!$A:$C,2,FALSE)</f>
        <v>#N/A</v>
      </c>
      <c r="N557" s="17" t="e">
        <f>+VLOOKUP(M557,[1]Datos!$F:$G,2,FALSE)</f>
        <v>#N/A</v>
      </c>
      <c r="O557" s="18">
        <f>IFERROR(IF(A557="SI",VLOOKUP(R557,[1]Datos!$J$1:$K$50,2,FALSE)*C557,VLOOKUP(R557,[1]Datos!$P$1:$T$50,2,FALSE)*C557),0)</f>
        <v>0</v>
      </c>
      <c r="P557" s="30"/>
      <c r="Q557" s="17" t="e">
        <f>+VLOOKUP(P557,[1]Datos!$F:$G,2,FALSE)</f>
        <v>#N/A</v>
      </c>
      <c r="S557" s="11">
        <f t="shared" si="8"/>
        <v>0</v>
      </c>
      <c r="T557" s="11" t="e">
        <f>+VLOOKUP(M557,[1]Datos!$F:$H,3,FALSE)</f>
        <v>#N/A</v>
      </c>
      <c r="U557" s="11">
        <v>0</v>
      </c>
      <c r="V557" s="19"/>
    </row>
    <row r="558" spans="1:22">
      <c r="A558" s="11" t="s">
        <v>25</v>
      </c>
      <c r="D558" s="11" t="s">
        <v>27</v>
      </c>
      <c r="E558" s="30" t="s">
        <v>73</v>
      </c>
      <c r="F558" s="30" t="s">
        <v>73</v>
      </c>
      <c r="H558" s="14"/>
      <c r="I558" s="14"/>
      <c r="J558" s="15" t="e">
        <f>+VLOOKUP(K558,[1]Datos!$A:$C,3,FALSE)</f>
        <v>#N/A</v>
      </c>
      <c r="L558" s="15" t="e">
        <f>+VLOOKUP(K558,[1]Datos!$A:$C,2,FALSE)</f>
        <v>#N/A</v>
      </c>
      <c r="N558" s="17" t="e">
        <f>+VLOOKUP(M558,[1]Datos!$F:$G,2,FALSE)</f>
        <v>#N/A</v>
      </c>
      <c r="O558" s="18">
        <f>IFERROR(IF(A558="SI",VLOOKUP(R558,[1]Datos!$J$1:$K$50,2,FALSE)*C558,VLOOKUP(R558,[1]Datos!$P$1:$T$50,2,FALSE)*C558),0)</f>
        <v>0</v>
      </c>
      <c r="P558" s="30"/>
      <c r="Q558" s="17" t="e">
        <f>+VLOOKUP(P558,[1]Datos!$F:$G,2,FALSE)</f>
        <v>#N/A</v>
      </c>
      <c r="S558" s="11">
        <f t="shared" si="8"/>
        <v>0</v>
      </c>
      <c r="T558" s="11" t="e">
        <f>+VLOOKUP(M558,[1]Datos!$F:$H,3,FALSE)</f>
        <v>#N/A</v>
      </c>
      <c r="U558" s="11">
        <v>0</v>
      </c>
      <c r="V558" s="19"/>
    </row>
    <row r="559" spans="1:22">
      <c r="A559" s="11" t="s">
        <v>25</v>
      </c>
      <c r="D559" s="11" t="s">
        <v>27</v>
      </c>
      <c r="E559" s="30" t="s">
        <v>73</v>
      </c>
      <c r="F559" s="30" t="s">
        <v>73</v>
      </c>
      <c r="H559" s="14"/>
      <c r="I559" s="14"/>
      <c r="J559" s="15" t="e">
        <f>+VLOOKUP(K559,[1]Datos!$A:$C,3,FALSE)</f>
        <v>#N/A</v>
      </c>
      <c r="L559" s="15" t="e">
        <f>+VLOOKUP(K559,[1]Datos!$A:$C,2,FALSE)</f>
        <v>#N/A</v>
      </c>
      <c r="N559" s="17" t="e">
        <f>+VLOOKUP(M559,[1]Datos!$F:$G,2,FALSE)</f>
        <v>#N/A</v>
      </c>
      <c r="O559" s="18">
        <f>IFERROR(IF(A559="SI",VLOOKUP(R559,[1]Datos!$J$1:$K$50,2,FALSE)*C559,VLOOKUP(R559,[1]Datos!$P$1:$T$50,2,FALSE)*C559),0)</f>
        <v>0</v>
      </c>
      <c r="P559" s="30"/>
      <c r="Q559" s="17" t="e">
        <f>+VLOOKUP(P559,[1]Datos!$F:$G,2,FALSE)</f>
        <v>#N/A</v>
      </c>
      <c r="S559" s="11">
        <f t="shared" si="8"/>
        <v>0</v>
      </c>
      <c r="T559" s="11" t="e">
        <f>+VLOOKUP(M559,[1]Datos!$F:$H,3,FALSE)</f>
        <v>#N/A</v>
      </c>
      <c r="U559" s="11">
        <v>0</v>
      </c>
      <c r="V559" s="19"/>
    </row>
    <row r="560" spans="1:22">
      <c r="A560" s="11" t="s">
        <v>25</v>
      </c>
      <c r="D560" s="11" t="s">
        <v>27</v>
      </c>
      <c r="E560" s="30" t="s">
        <v>73</v>
      </c>
      <c r="F560" s="30" t="s">
        <v>73</v>
      </c>
      <c r="H560" s="14"/>
      <c r="I560" s="14"/>
      <c r="J560" s="15" t="e">
        <f>+VLOOKUP(K560,[1]Datos!$A:$C,3,FALSE)</f>
        <v>#N/A</v>
      </c>
      <c r="L560" s="15" t="e">
        <f>+VLOOKUP(K560,[1]Datos!$A:$C,2,FALSE)</f>
        <v>#N/A</v>
      </c>
      <c r="N560" s="17" t="e">
        <f>+VLOOKUP(M560,[1]Datos!$F:$G,2,FALSE)</f>
        <v>#N/A</v>
      </c>
      <c r="O560" s="18">
        <f>IFERROR(IF(A560="SI",VLOOKUP(R560,[1]Datos!$J$1:$K$50,2,FALSE)*C560,VLOOKUP(R560,[1]Datos!$P$1:$T$50,2,FALSE)*C560),0)</f>
        <v>0</v>
      </c>
      <c r="P560" s="30"/>
      <c r="Q560" s="17" t="e">
        <f>+VLOOKUP(P560,[1]Datos!$F:$G,2,FALSE)</f>
        <v>#N/A</v>
      </c>
      <c r="S560" s="11">
        <f t="shared" si="8"/>
        <v>0</v>
      </c>
      <c r="T560" s="11" t="e">
        <f>+VLOOKUP(M560,[1]Datos!$F:$H,3,FALSE)</f>
        <v>#N/A</v>
      </c>
      <c r="U560" s="11">
        <v>0</v>
      </c>
      <c r="V560" s="19"/>
    </row>
    <row r="561" spans="1:22">
      <c r="A561" s="11" t="s">
        <v>25</v>
      </c>
      <c r="D561" s="11" t="s">
        <v>27</v>
      </c>
      <c r="E561" s="30" t="s">
        <v>73</v>
      </c>
      <c r="F561" s="30" t="s">
        <v>73</v>
      </c>
      <c r="H561" s="14"/>
      <c r="I561" s="14"/>
      <c r="J561" s="15" t="e">
        <f>+VLOOKUP(K561,[1]Datos!$A:$C,3,FALSE)</f>
        <v>#N/A</v>
      </c>
      <c r="L561" s="15" t="e">
        <f>+VLOOKUP(K561,[1]Datos!$A:$C,2,FALSE)</f>
        <v>#N/A</v>
      </c>
      <c r="N561" s="17" t="e">
        <f>+VLOOKUP(M561,[1]Datos!$F:$G,2,FALSE)</f>
        <v>#N/A</v>
      </c>
      <c r="O561" s="18">
        <f>IFERROR(IF(A561="SI",VLOOKUP(R561,[1]Datos!$J$1:$K$50,2,FALSE)*C561,VLOOKUP(R561,[1]Datos!$P$1:$T$50,2,FALSE)*C561),0)</f>
        <v>0</v>
      </c>
      <c r="P561" s="30"/>
      <c r="Q561" s="17" t="e">
        <f>+VLOOKUP(P561,[1]Datos!$F:$G,2,FALSE)</f>
        <v>#N/A</v>
      </c>
      <c r="S561" s="11">
        <f t="shared" si="8"/>
        <v>0</v>
      </c>
      <c r="T561" s="11" t="e">
        <f>+VLOOKUP(M561,[1]Datos!$F:$H,3,FALSE)</f>
        <v>#N/A</v>
      </c>
      <c r="U561" s="11">
        <v>0</v>
      </c>
      <c r="V561" s="19"/>
    </row>
    <row r="562" spans="1:22">
      <c r="A562" s="11" t="s">
        <v>25</v>
      </c>
      <c r="D562" s="11" t="s">
        <v>27</v>
      </c>
      <c r="E562" s="30" t="s">
        <v>73</v>
      </c>
      <c r="F562" s="30" t="s">
        <v>73</v>
      </c>
      <c r="H562" s="14"/>
      <c r="I562" s="14"/>
      <c r="J562" s="15" t="e">
        <f>+VLOOKUP(K562,[1]Datos!$A:$C,3,FALSE)</f>
        <v>#N/A</v>
      </c>
      <c r="L562" s="15" t="e">
        <f>+VLOOKUP(K562,[1]Datos!$A:$C,2,FALSE)</f>
        <v>#N/A</v>
      </c>
      <c r="N562" s="17" t="e">
        <f>+VLOOKUP(M562,[1]Datos!$F:$G,2,FALSE)</f>
        <v>#N/A</v>
      </c>
      <c r="O562" s="18">
        <f>IFERROR(IF(A562="SI",VLOOKUP(R562,[1]Datos!$J$1:$K$50,2,FALSE)*C562,VLOOKUP(R562,[1]Datos!$P$1:$T$50,2,FALSE)*C562),0)</f>
        <v>0</v>
      </c>
      <c r="P562" s="30"/>
      <c r="Q562" s="17" t="e">
        <f>+VLOOKUP(P562,[1]Datos!$F:$G,2,FALSE)</f>
        <v>#N/A</v>
      </c>
      <c r="S562" s="11">
        <f t="shared" si="8"/>
        <v>0</v>
      </c>
      <c r="T562" s="11" t="e">
        <f>+VLOOKUP(M562,[1]Datos!$F:$H,3,FALSE)</f>
        <v>#N/A</v>
      </c>
      <c r="U562" s="11">
        <v>0</v>
      </c>
      <c r="V562" s="19"/>
    </row>
    <row r="563" spans="1:22">
      <c r="A563" s="11" t="s">
        <v>25</v>
      </c>
      <c r="D563" s="11" t="s">
        <v>27</v>
      </c>
      <c r="E563" s="30" t="s">
        <v>73</v>
      </c>
      <c r="F563" s="30" t="s">
        <v>73</v>
      </c>
      <c r="H563" s="14"/>
      <c r="I563" s="14"/>
      <c r="J563" s="15" t="e">
        <f>+VLOOKUP(K563,[1]Datos!$A:$C,3,FALSE)</f>
        <v>#N/A</v>
      </c>
      <c r="L563" s="15" t="e">
        <f>+VLOOKUP(K563,[1]Datos!$A:$C,2,FALSE)</f>
        <v>#N/A</v>
      </c>
      <c r="N563" s="17" t="e">
        <f>+VLOOKUP(M563,[1]Datos!$F:$G,2,FALSE)</f>
        <v>#N/A</v>
      </c>
      <c r="O563" s="18">
        <f>IFERROR(IF(A563="SI",VLOOKUP(R563,[1]Datos!$J$1:$K$50,2,FALSE)*C563,VLOOKUP(R563,[1]Datos!$P$1:$T$50,2,FALSE)*C563),0)</f>
        <v>0</v>
      </c>
      <c r="P563" s="30"/>
      <c r="Q563" s="17" t="e">
        <f>+VLOOKUP(P563,[1]Datos!$F:$G,2,FALSE)</f>
        <v>#N/A</v>
      </c>
      <c r="S563" s="11">
        <f t="shared" si="8"/>
        <v>0</v>
      </c>
      <c r="T563" s="11" t="e">
        <f>+VLOOKUP(M563,[1]Datos!$F:$H,3,FALSE)</f>
        <v>#N/A</v>
      </c>
      <c r="U563" s="11">
        <v>0</v>
      </c>
      <c r="V563" s="19"/>
    </row>
    <row r="564" spans="1:22">
      <c r="A564" s="11" t="s">
        <v>25</v>
      </c>
      <c r="D564" s="11" t="s">
        <v>27</v>
      </c>
      <c r="E564" s="30" t="s">
        <v>73</v>
      </c>
      <c r="F564" s="30" t="s">
        <v>73</v>
      </c>
      <c r="H564" s="14"/>
      <c r="I564" s="14"/>
      <c r="J564" s="15" t="e">
        <f>+VLOOKUP(K564,[1]Datos!$A:$C,3,FALSE)</f>
        <v>#N/A</v>
      </c>
      <c r="L564" s="15" t="e">
        <f>+VLOOKUP(K564,[1]Datos!$A:$C,2,FALSE)</f>
        <v>#N/A</v>
      </c>
      <c r="N564" s="17" t="e">
        <f>+VLOOKUP(M564,[1]Datos!$F:$G,2,FALSE)</f>
        <v>#N/A</v>
      </c>
      <c r="O564" s="18">
        <f>IFERROR(IF(A564="SI",VLOOKUP(R564,[1]Datos!$J$1:$K$50,2,FALSE)*C564,VLOOKUP(R564,[1]Datos!$P$1:$T$50,2,FALSE)*C564),0)</f>
        <v>0</v>
      </c>
      <c r="P564" s="30"/>
      <c r="Q564" s="17" t="e">
        <f>+VLOOKUP(P564,[1]Datos!$F:$G,2,FALSE)</f>
        <v>#N/A</v>
      </c>
      <c r="S564" s="11">
        <f t="shared" si="8"/>
        <v>0</v>
      </c>
      <c r="T564" s="11" t="e">
        <f>+VLOOKUP(M564,[1]Datos!$F:$H,3,FALSE)</f>
        <v>#N/A</v>
      </c>
      <c r="U564" s="11">
        <v>0</v>
      </c>
      <c r="V564" s="19"/>
    </row>
    <row r="565" spans="1:22">
      <c r="A565" s="11" t="s">
        <v>25</v>
      </c>
      <c r="D565" s="11" t="s">
        <v>27</v>
      </c>
      <c r="E565" s="30" t="s">
        <v>73</v>
      </c>
      <c r="F565" s="30" t="s">
        <v>73</v>
      </c>
      <c r="H565" s="14"/>
      <c r="I565" s="14"/>
      <c r="J565" s="15" t="e">
        <f>+VLOOKUP(K565,[1]Datos!$A:$C,3,FALSE)</f>
        <v>#N/A</v>
      </c>
      <c r="L565" s="15" t="e">
        <f>+VLOOKUP(K565,[1]Datos!$A:$C,2,FALSE)</f>
        <v>#N/A</v>
      </c>
      <c r="N565" s="17" t="e">
        <f>+VLOOKUP(M565,[1]Datos!$F:$G,2,FALSE)</f>
        <v>#N/A</v>
      </c>
      <c r="O565" s="18">
        <f>IFERROR(IF(A565="SI",VLOOKUP(R565,[1]Datos!$J$1:$K$50,2,FALSE)*C565,VLOOKUP(R565,[1]Datos!$P$1:$T$50,2,FALSE)*C565),0)</f>
        <v>0</v>
      </c>
      <c r="P565" s="30"/>
      <c r="Q565" s="17" t="e">
        <f>+VLOOKUP(P565,[1]Datos!$F:$G,2,FALSE)</f>
        <v>#N/A</v>
      </c>
      <c r="S565" s="11">
        <f t="shared" si="8"/>
        <v>0</v>
      </c>
      <c r="T565" s="11" t="e">
        <f>+VLOOKUP(M565,[1]Datos!$F:$H,3,FALSE)</f>
        <v>#N/A</v>
      </c>
      <c r="U565" s="11">
        <v>0</v>
      </c>
      <c r="V565" s="19"/>
    </row>
    <row r="566" spans="1:22">
      <c r="A566" s="11" t="s">
        <v>25</v>
      </c>
      <c r="D566" s="11" t="s">
        <v>27</v>
      </c>
      <c r="E566" s="30" t="s">
        <v>73</v>
      </c>
      <c r="F566" s="30" t="s">
        <v>73</v>
      </c>
      <c r="H566" s="14"/>
      <c r="I566" s="14"/>
      <c r="J566" s="15" t="e">
        <f>+VLOOKUP(K566,[1]Datos!$A:$C,3,FALSE)</f>
        <v>#N/A</v>
      </c>
      <c r="L566" s="15" t="e">
        <f>+VLOOKUP(K566,[1]Datos!$A:$C,2,FALSE)</f>
        <v>#N/A</v>
      </c>
      <c r="N566" s="17" t="e">
        <f>+VLOOKUP(M566,[1]Datos!$F:$G,2,FALSE)</f>
        <v>#N/A</v>
      </c>
      <c r="O566" s="18">
        <f>IFERROR(IF(A566="SI",VLOOKUP(R566,[1]Datos!$J$1:$K$50,2,FALSE)*C566,VLOOKUP(R566,[1]Datos!$P$1:$T$50,2,FALSE)*C566),0)</f>
        <v>0</v>
      </c>
      <c r="P566" s="30"/>
      <c r="Q566" s="17" t="e">
        <f>+VLOOKUP(P566,[1]Datos!$F:$G,2,FALSE)</f>
        <v>#N/A</v>
      </c>
      <c r="S566" s="11">
        <f t="shared" si="8"/>
        <v>0</v>
      </c>
      <c r="T566" s="11" t="e">
        <f>+VLOOKUP(M566,[1]Datos!$F:$H,3,FALSE)</f>
        <v>#N/A</v>
      </c>
      <c r="U566" s="11">
        <v>0</v>
      </c>
      <c r="V566" s="19"/>
    </row>
    <row r="567" spans="1:22">
      <c r="A567" s="11" t="s">
        <v>25</v>
      </c>
      <c r="D567" s="11" t="s">
        <v>27</v>
      </c>
      <c r="E567" s="30" t="s">
        <v>73</v>
      </c>
      <c r="F567" s="30" t="s">
        <v>73</v>
      </c>
      <c r="H567" s="14"/>
      <c r="I567" s="14"/>
      <c r="J567" s="15" t="e">
        <f>+VLOOKUP(K567,[1]Datos!$A:$C,3,FALSE)</f>
        <v>#N/A</v>
      </c>
      <c r="L567" s="15" t="e">
        <f>+VLOOKUP(K567,[1]Datos!$A:$C,2,FALSE)</f>
        <v>#N/A</v>
      </c>
      <c r="N567" s="17" t="e">
        <f>+VLOOKUP(M567,[1]Datos!$F:$G,2,FALSE)</f>
        <v>#N/A</v>
      </c>
      <c r="O567" s="18">
        <f>IFERROR(IF(A567="SI",VLOOKUP(R567,[1]Datos!$J$1:$K$50,2,FALSE)*C567,VLOOKUP(R567,[1]Datos!$P$1:$T$50,2,FALSE)*C567),0)</f>
        <v>0</v>
      </c>
      <c r="P567" s="30"/>
      <c r="Q567" s="17" t="e">
        <f>+VLOOKUP(P567,[1]Datos!$F:$G,2,FALSE)</f>
        <v>#N/A</v>
      </c>
      <c r="S567" s="11">
        <f t="shared" si="8"/>
        <v>0</v>
      </c>
      <c r="T567" s="11" t="e">
        <f>+VLOOKUP(M567,[1]Datos!$F:$H,3,FALSE)</f>
        <v>#N/A</v>
      </c>
      <c r="U567" s="11">
        <v>0</v>
      </c>
      <c r="V567" s="19"/>
    </row>
    <row r="568" spans="1:22">
      <c r="A568" s="11" t="s">
        <v>25</v>
      </c>
      <c r="D568" s="11" t="s">
        <v>27</v>
      </c>
      <c r="E568" s="30" t="s">
        <v>73</v>
      </c>
      <c r="F568" s="30" t="s">
        <v>73</v>
      </c>
      <c r="H568" s="14"/>
      <c r="I568" s="14"/>
      <c r="J568" s="15" t="e">
        <f>+VLOOKUP(K568,[1]Datos!$A:$C,3,FALSE)</f>
        <v>#N/A</v>
      </c>
      <c r="L568" s="15" t="e">
        <f>+VLOOKUP(K568,[1]Datos!$A:$C,2,FALSE)</f>
        <v>#N/A</v>
      </c>
      <c r="N568" s="17" t="e">
        <f>+VLOOKUP(M568,[1]Datos!$F:$G,2,FALSE)</f>
        <v>#N/A</v>
      </c>
      <c r="O568" s="18">
        <f>IFERROR(IF(A568="SI",VLOOKUP(R568,[1]Datos!$J$1:$K$50,2,FALSE)*C568,VLOOKUP(R568,[1]Datos!$P$1:$T$50,2,FALSE)*C568),0)</f>
        <v>0</v>
      </c>
      <c r="P568" s="30"/>
      <c r="Q568" s="17" t="e">
        <f>+VLOOKUP(P568,[1]Datos!$F:$G,2,FALSE)</f>
        <v>#N/A</v>
      </c>
      <c r="S568" s="11">
        <f t="shared" si="8"/>
        <v>0</v>
      </c>
      <c r="T568" s="11" t="e">
        <f>+VLOOKUP(M568,[1]Datos!$F:$H,3,FALSE)</f>
        <v>#N/A</v>
      </c>
      <c r="U568" s="11">
        <v>0</v>
      </c>
      <c r="V568" s="19"/>
    </row>
    <row r="569" spans="1:22">
      <c r="A569" s="11" t="s">
        <v>25</v>
      </c>
      <c r="D569" s="11" t="s">
        <v>27</v>
      </c>
      <c r="E569" s="30" t="s">
        <v>73</v>
      </c>
      <c r="F569" s="30" t="s">
        <v>73</v>
      </c>
      <c r="H569" s="14"/>
      <c r="I569" s="14"/>
      <c r="J569" s="15" t="e">
        <f>+VLOOKUP(K569,[1]Datos!$A:$C,3,FALSE)</f>
        <v>#N/A</v>
      </c>
      <c r="L569" s="15" t="e">
        <f>+VLOOKUP(K569,[1]Datos!$A:$C,2,FALSE)</f>
        <v>#N/A</v>
      </c>
      <c r="N569" s="17" t="e">
        <f>+VLOOKUP(M569,[1]Datos!$F:$G,2,FALSE)</f>
        <v>#N/A</v>
      </c>
      <c r="O569" s="18">
        <f>IFERROR(IF(A569="SI",VLOOKUP(R569,[1]Datos!$J$1:$K$50,2,FALSE)*C569,VLOOKUP(R569,[1]Datos!$P$1:$T$50,2,FALSE)*C569),0)</f>
        <v>0</v>
      </c>
      <c r="P569" s="30"/>
      <c r="Q569" s="17" t="e">
        <f>+VLOOKUP(P569,[1]Datos!$F:$G,2,FALSE)</f>
        <v>#N/A</v>
      </c>
      <c r="S569" s="11">
        <f t="shared" si="8"/>
        <v>0</v>
      </c>
      <c r="T569" s="11" t="e">
        <f>+VLOOKUP(M569,[1]Datos!$F:$H,3,FALSE)</f>
        <v>#N/A</v>
      </c>
      <c r="U569" s="11">
        <v>0</v>
      </c>
      <c r="V569" s="19"/>
    </row>
    <row r="570" spans="1:22">
      <c r="A570" s="11" t="s">
        <v>25</v>
      </c>
      <c r="D570" s="11" t="s">
        <v>27</v>
      </c>
      <c r="E570" s="30" t="s">
        <v>73</v>
      </c>
      <c r="F570" s="30" t="s">
        <v>73</v>
      </c>
      <c r="H570" s="14"/>
      <c r="I570" s="14"/>
      <c r="J570" s="15" t="e">
        <f>+VLOOKUP(K570,[1]Datos!$A:$C,3,FALSE)</f>
        <v>#N/A</v>
      </c>
      <c r="L570" s="15" t="e">
        <f>+VLOOKUP(K570,[1]Datos!$A:$C,2,FALSE)</f>
        <v>#N/A</v>
      </c>
      <c r="N570" s="17" t="e">
        <f>+VLOOKUP(M570,[1]Datos!$F:$G,2,FALSE)</f>
        <v>#N/A</v>
      </c>
      <c r="O570" s="18">
        <f>IFERROR(IF(A570="SI",VLOOKUP(R570,[1]Datos!$J$1:$K$50,2,FALSE)*C570,VLOOKUP(R570,[1]Datos!$P$1:$T$50,2,FALSE)*C570),0)</f>
        <v>0</v>
      </c>
      <c r="P570" s="30"/>
      <c r="Q570" s="17" t="e">
        <f>+VLOOKUP(P570,[1]Datos!$F:$G,2,FALSE)</f>
        <v>#N/A</v>
      </c>
      <c r="S570" s="11">
        <f t="shared" si="8"/>
        <v>0</v>
      </c>
      <c r="T570" s="11" t="e">
        <f>+VLOOKUP(M570,[1]Datos!$F:$H,3,FALSE)</f>
        <v>#N/A</v>
      </c>
      <c r="U570" s="11">
        <v>0</v>
      </c>
      <c r="V570" s="19"/>
    </row>
    <row r="571" spans="1:22">
      <c r="A571" s="11" t="s">
        <v>25</v>
      </c>
      <c r="D571" s="11" t="s">
        <v>27</v>
      </c>
      <c r="E571" s="30" t="s">
        <v>73</v>
      </c>
      <c r="F571" s="30" t="s">
        <v>73</v>
      </c>
      <c r="H571" s="14"/>
      <c r="I571" s="14"/>
      <c r="J571" s="15" t="e">
        <f>+VLOOKUP(K571,[1]Datos!$A:$C,3,FALSE)</f>
        <v>#N/A</v>
      </c>
      <c r="L571" s="15" t="e">
        <f>+VLOOKUP(K571,[1]Datos!$A:$C,2,FALSE)</f>
        <v>#N/A</v>
      </c>
      <c r="N571" s="17" t="e">
        <f>+VLOOKUP(M571,[1]Datos!$F:$G,2,FALSE)</f>
        <v>#N/A</v>
      </c>
      <c r="O571" s="18">
        <f>IFERROR(IF(A571="SI",VLOOKUP(R571,[1]Datos!$J$1:$K$50,2,FALSE)*C571,VLOOKUP(R571,[1]Datos!$P$1:$T$50,2,FALSE)*C571),0)</f>
        <v>0</v>
      </c>
      <c r="P571" s="30"/>
      <c r="Q571" s="17" t="e">
        <f>+VLOOKUP(P571,[1]Datos!$F:$G,2,FALSE)</f>
        <v>#N/A</v>
      </c>
      <c r="S571" s="11">
        <f t="shared" si="8"/>
        <v>0</v>
      </c>
      <c r="T571" s="11" t="e">
        <f>+VLOOKUP(M571,[1]Datos!$F:$H,3,FALSE)</f>
        <v>#N/A</v>
      </c>
      <c r="U571" s="11">
        <v>0</v>
      </c>
      <c r="V571" s="19"/>
    </row>
    <row r="572" spans="1:22">
      <c r="A572" s="11" t="s">
        <v>25</v>
      </c>
      <c r="D572" s="11" t="s">
        <v>27</v>
      </c>
      <c r="E572" s="30" t="s">
        <v>73</v>
      </c>
      <c r="F572" s="30" t="s">
        <v>73</v>
      </c>
      <c r="H572" s="14"/>
      <c r="I572" s="14"/>
      <c r="J572" s="15" t="e">
        <f>+VLOOKUP(K572,[1]Datos!$A:$C,3,FALSE)</f>
        <v>#N/A</v>
      </c>
      <c r="L572" s="15" t="e">
        <f>+VLOOKUP(K572,[1]Datos!$A:$C,2,FALSE)</f>
        <v>#N/A</v>
      </c>
      <c r="N572" s="17" t="e">
        <f>+VLOOKUP(M572,[1]Datos!$F:$G,2,FALSE)</f>
        <v>#N/A</v>
      </c>
      <c r="O572" s="18">
        <f>IFERROR(IF(A572="SI",VLOOKUP(R572,[1]Datos!$J$1:$K$50,2,FALSE)*C572,VLOOKUP(R572,[1]Datos!$P$1:$T$50,2,FALSE)*C572),0)</f>
        <v>0</v>
      </c>
      <c r="P572" s="30"/>
      <c r="Q572" s="17" t="e">
        <f>+VLOOKUP(P572,[1]Datos!$F:$G,2,FALSE)</f>
        <v>#N/A</v>
      </c>
      <c r="S572" s="11">
        <f t="shared" si="8"/>
        <v>0</v>
      </c>
      <c r="T572" s="11" t="e">
        <f>+VLOOKUP(M572,[1]Datos!$F:$H,3,FALSE)</f>
        <v>#N/A</v>
      </c>
      <c r="U572" s="11">
        <v>0</v>
      </c>
      <c r="V572" s="19"/>
    </row>
    <row r="573" spans="1:22">
      <c r="A573" s="11" t="s">
        <v>25</v>
      </c>
      <c r="D573" s="11" t="s">
        <v>27</v>
      </c>
      <c r="E573" s="30" t="s">
        <v>73</v>
      </c>
      <c r="F573" s="30" t="s">
        <v>73</v>
      </c>
      <c r="H573" s="14"/>
      <c r="I573" s="14"/>
      <c r="J573" s="15" t="e">
        <f>+VLOOKUP(K573,[1]Datos!$A:$C,3,FALSE)</f>
        <v>#N/A</v>
      </c>
      <c r="L573" s="15" t="e">
        <f>+VLOOKUP(K573,[1]Datos!$A:$C,2,FALSE)</f>
        <v>#N/A</v>
      </c>
      <c r="N573" s="17" t="e">
        <f>+VLOOKUP(M573,[1]Datos!$F:$G,2,FALSE)</f>
        <v>#N/A</v>
      </c>
      <c r="O573" s="18">
        <f>IFERROR(IF(A573="SI",VLOOKUP(R573,[1]Datos!$J$1:$K$50,2,FALSE)*C573,VLOOKUP(R573,[1]Datos!$P$1:$T$50,2,FALSE)*C573),0)</f>
        <v>0</v>
      </c>
      <c r="P573" s="30"/>
      <c r="Q573" s="17" t="e">
        <f>+VLOOKUP(P573,[1]Datos!$F:$G,2,FALSE)</f>
        <v>#N/A</v>
      </c>
      <c r="S573" s="11">
        <f t="shared" si="8"/>
        <v>0</v>
      </c>
      <c r="T573" s="11" t="e">
        <f>+VLOOKUP(M573,[1]Datos!$F:$H,3,FALSE)</f>
        <v>#N/A</v>
      </c>
      <c r="U573" s="11">
        <v>0</v>
      </c>
      <c r="V573" s="19"/>
    </row>
    <row r="574" spans="1:22">
      <c r="A574" s="11" t="s">
        <v>25</v>
      </c>
      <c r="D574" s="11" t="s">
        <v>27</v>
      </c>
      <c r="E574" s="30" t="s">
        <v>73</v>
      </c>
      <c r="F574" s="30" t="s">
        <v>73</v>
      </c>
      <c r="H574" s="14"/>
      <c r="I574" s="14"/>
      <c r="J574" s="15" t="e">
        <f>+VLOOKUP(K574,[1]Datos!$A:$C,3,FALSE)</f>
        <v>#N/A</v>
      </c>
      <c r="L574" s="15" t="e">
        <f>+VLOOKUP(K574,[1]Datos!$A:$C,2,FALSE)</f>
        <v>#N/A</v>
      </c>
      <c r="N574" s="17" t="e">
        <f>+VLOOKUP(M574,[1]Datos!$F:$G,2,FALSE)</f>
        <v>#N/A</v>
      </c>
      <c r="O574" s="18">
        <f>IFERROR(IF(A574="SI",VLOOKUP(R574,[1]Datos!$J$1:$K$50,2,FALSE)*C574,VLOOKUP(R574,[1]Datos!$P$1:$T$50,2,FALSE)*C574),0)</f>
        <v>0</v>
      </c>
      <c r="P574" s="30"/>
      <c r="Q574" s="17" t="e">
        <f>+VLOOKUP(P574,[1]Datos!$F:$G,2,FALSE)</f>
        <v>#N/A</v>
      </c>
      <c r="S574" s="11">
        <f t="shared" si="8"/>
        <v>0</v>
      </c>
      <c r="T574" s="11" t="e">
        <f>+VLOOKUP(M574,[1]Datos!$F:$H,3,FALSE)</f>
        <v>#N/A</v>
      </c>
      <c r="U574" s="11">
        <v>0</v>
      </c>
      <c r="V574" s="19"/>
    </row>
    <row r="575" spans="1:22">
      <c r="A575" s="11" t="s">
        <v>25</v>
      </c>
      <c r="D575" s="11" t="s">
        <v>27</v>
      </c>
      <c r="E575" s="30" t="s">
        <v>73</v>
      </c>
      <c r="F575" s="30" t="s">
        <v>73</v>
      </c>
      <c r="H575" s="14"/>
      <c r="I575" s="14"/>
      <c r="J575" s="15" t="e">
        <f>+VLOOKUP(K575,[1]Datos!$A:$C,3,FALSE)</f>
        <v>#N/A</v>
      </c>
      <c r="L575" s="15" t="e">
        <f>+VLOOKUP(K575,[1]Datos!$A:$C,2,FALSE)</f>
        <v>#N/A</v>
      </c>
      <c r="N575" s="17" t="e">
        <f>+VLOOKUP(M575,[1]Datos!$F:$G,2,FALSE)</f>
        <v>#N/A</v>
      </c>
      <c r="O575" s="18">
        <f>IFERROR(IF(A575="SI",VLOOKUP(R575,[1]Datos!$J$1:$K$50,2,FALSE)*C575,VLOOKUP(R575,[1]Datos!$P$1:$T$50,2,FALSE)*C575),0)</f>
        <v>0</v>
      </c>
      <c r="P575" s="30"/>
      <c r="Q575" s="17" t="e">
        <f>+VLOOKUP(P575,[1]Datos!$F:$G,2,FALSE)</f>
        <v>#N/A</v>
      </c>
      <c r="S575" s="11">
        <f t="shared" si="8"/>
        <v>0</v>
      </c>
      <c r="T575" s="11" t="e">
        <f>+VLOOKUP(M575,[1]Datos!$F:$H,3,FALSE)</f>
        <v>#N/A</v>
      </c>
      <c r="U575" s="11">
        <v>0</v>
      </c>
      <c r="V575" s="19"/>
    </row>
    <row r="576" spans="1:22">
      <c r="A576" s="11" t="s">
        <v>25</v>
      </c>
      <c r="D576" s="11" t="s">
        <v>27</v>
      </c>
      <c r="E576" s="30" t="s">
        <v>73</v>
      </c>
      <c r="F576" s="30" t="s">
        <v>73</v>
      </c>
      <c r="H576" s="14"/>
      <c r="I576" s="14"/>
      <c r="J576" s="15" t="e">
        <f>+VLOOKUP(K576,[1]Datos!$A:$C,3,FALSE)</f>
        <v>#N/A</v>
      </c>
      <c r="L576" s="15" t="e">
        <f>+VLOOKUP(K576,[1]Datos!$A:$C,2,FALSE)</f>
        <v>#N/A</v>
      </c>
      <c r="N576" s="17" t="e">
        <f>+VLOOKUP(M576,[1]Datos!$F:$G,2,FALSE)</f>
        <v>#N/A</v>
      </c>
      <c r="O576" s="18">
        <f>IFERROR(IF(A576="SI",VLOOKUP(R576,[1]Datos!$J$1:$K$50,2,FALSE)*C576,VLOOKUP(R576,[1]Datos!$P$1:$T$50,2,FALSE)*C576),0)</f>
        <v>0</v>
      </c>
      <c r="P576" s="30"/>
      <c r="Q576" s="17" t="e">
        <f>+VLOOKUP(P576,[1]Datos!$F:$G,2,FALSE)</f>
        <v>#N/A</v>
      </c>
      <c r="S576" s="11">
        <f t="shared" si="8"/>
        <v>0</v>
      </c>
      <c r="T576" s="11" t="e">
        <f>+VLOOKUP(M576,[1]Datos!$F:$H,3,FALSE)</f>
        <v>#N/A</v>
      </c>
      <c r="U576" s="11">
        <v>0</v>
      </c>
      <c r="V576" s="19"/>
    </row>
    <row r="577" spans="1:22">
      <c r="A577" s="11" t="s">
        <v>25</v>
      </c>
      <c r="D577" s="11" t="s">
        <v>27</v>
      </c>
      <c r="E577" s="30" t="s">
        <v>73</v>
      </c>
      <c r="F577" s="30" t="s">
        <v>73</v>
      </c>
      <c r="H577" s="14"/>
      <c r="I577" s="14"/>
      <c r="J577" s="15" t="e">
        <f>+VLOOKUP(K577,[1]Datos!$A:$C,3,FALSE)</f>
        <v>#N/A</v>
      </c>
      <c r="L577" s="15" t="e">
        <f>+VLOOKUP(K577,[1]Datos!$A:$C,2,FALSE)</f>
        <v>#N/A</v>
      </c>
      <c r="N577" s="17" t="e">
        <f>+VLOOKUP(M577,[1]Datos!$F:$G,2,FALSE)</f>
        <v>#N/A</v>
      </c>
      <c r="O577" s="18">
        <f>IFERROR(IF(A577="SI",VLOOKUP(R577,[1]Datos!$J$1:$K$50,2,FALSE)*C577,VLOOKUP(R577,[1]Datos!$P$1:$T$50,2,FALSE)*C577),0)</f>
        <v>0</v>
      </c>
      <c r="P577" s="30"/>
      <c r="Q577" s="17" t="e">
        <f>+VLOOKUP(P577,[1]Datos!$F:$G,2,FALSE)</f>
        <v>#N/A</v>
      </c>
      <c r="S577" s="11">
        <f t="shared" si="8"/>
        <v>0</v>
      </c>
      <c r="T577" s="11" t="e">
        <f>+VLOOKUP(M577,[1]Datos!$F:$H,3,FALSE)</f>
        <v>#N/A</v>
      </c>
      <c r="U577" s="11">
        <v>0</v>
      </c>
      <c r="V577" s="19"/>
    </row>
    <row r="578" spans="1:22">
      <c r="A578" s="11" t="s">
        <v>25</v>
      </c>
      <c r="D578" s="11" t="s">
        <v>27</v>
      </c>
      <c r="E578" s="30" t="s">
        <v>73</v>
      </c>
      <c r="F578" s="30" t="s">
        <v>73</v>
      </c>
      <c r="H578" s="14"/>
      <c r="I578" s="14"/>
      <c r="J578" s="15" t="e">
        <f>+VLOOKUP(K578,[1]Datos!$A:$C,3,FALSE)</f>
        <v>#N/A</v>
      </c>
      <c r="L578" s="15" t="e">
        <f>+VLOOKUP(K578,[1]Datos!$A:$C,2,FALSE)</f>
        <v>#N/A</v>
      </c>
      <c r="N578" s="17" t="e">
        <f>+VLOOKUP(M578,[1]Datos!$F:$G,2,FALSE)</f>
        <v>#N/A</v>
      </c>
      <c r="O578" s="18">
        <f>IFERROR(IF(A578="SI",VLOOKUP(R578,[1]Datos!$J$1:$K$50,2,FALSE)*C578,VLOOKUP(R578,[1]Datos!$P$1:$T$50,2,FALSE)*C578),0)</f>
        <v>0</v>
      </c>
      <c r="P578" s="30"/>
      <c r="Q578" s="17" t="e">
        <f>+VLOOKUP(P578,[1]Datos!$F:$G,2,FALSE)</f>
        <v>#N/A</v>
      </c>
      <c r="S578" s="11">
        <f t="shared" si="8"/>
        <v>0</v>
      </c>
      <c r="T578" s="11" t="e">
        <f>+VLOOKUP(M578,[1]Datos!$F:$H,3,FALSE)</f>
        <v>#N/A</v>
      </c>
      <c r="U578" s="11">
        <v>0</v>
      </c>
      <c r="V578" s="19"/>
    </row>
    <row r="579" spans="1:22">
      <c r="A579" s="11" t="s">
        <v>25</v>
      </c>
      <c r="D579" s="11" t="s">
        <v>27</v>
      </c>
      <c r="E579" s="30" t="s">
        <v>73</v>
      </c>
      <c r="F579" s="30" t="s">
        <v>73</v>
      </c>
      <c r="H579" s="14"/>
      <c r="I579" s="14"/>
      <c r="J579" s="15" t="e">
        <f>+VLOOKUP(K579,[1]Datos!$A:$C,3,FALSE)</f>
        <v>#N/A</v>
      </c>
      <c r="L579" s="15" t="e">
        <f>+VLOOKUP(K579,[1]Datos!$A:$C,2,FALSE)</f>
        <v>#N/A</v>
      </c>
      <c r="N579" s="17" t="e">
        <f>+VLOOKUP(M579,[1]Datos!$F:$G,2,FALSE)</f>
        <v>#N/A</v>
      </c>
      <c r="O579" s="18">
        <f>IFERROR(IF(A579="SI",VLOOKUP(R579,[1]Datos!$J$1:$K$50,2,FALSE)*C579,VLOOKUP(R579,[1]Datos!$P$1:$T$50,2,FALSE)*C579),0)</f>
        <v>0</v>
      </c>
      <c r="P579" s="30"/>
      <c r="Q579" s="17" t="e">
        <f>+VLOOKUP(P579,[1]Datos!$F:$G,2,FALSE)</f>
        <v>#N/A</v>
      </c>
      <c r="S579" s="11">
        <f t="shared" si="8"/>
        <v>0</v>
      </c>
      <c r="T579" s="11" t="e">
        <f>+VLOOKUP(M579,[1]Datos!$F:$H,3,FALSE)</f>
        <v>#N/A</v>
      </c>
      <c r="U579" s="11">
        <v>0</v>
      </c>
      <c r="V579" s="19"/>
    </row>
    <row r="580" spans="1:22">
      <c r="A580" s="11" t="s">
        <v>25</v>
      </c>
      <c r="D580" s="11" t="s">
        <v>27</v>
      </c>
      <c r="E580" s="30" t="s">
        <v>73</v>
      </c>
      <c r="F580" s="30" t="s">
        <v>73</v>
      </c>
      <c r="H580" s="14"/>
      <c r="I580" s="14"/>
      <c r="J580" s="15" t="e">
        <f>+VLOOKUP(K580,[1]Datos!$A:$C,3,FALSE)</f>
        <v>#N/A</v>
      </c>
      <c r="L580" s="15" t="e">
        <f>+VLOOKUP(K580,[1]Datos!$A:$C,2,FALSE)</f>
        <v>#N/A</v>
      </c>
      <c r="N580" s="17" t="e">
        <f>+VLOOKUP(M580,[1]Datos!$F:$G,2,FALSE)</f>
        <v>#N/A</v>
      </c>
      <c r="O580" s="18">
        <f>IFERROR(IF(A580="SI",VLOOKUP(R580,[1]Datos!$J$1:$K$50,2,FALSE)*C580,VLOOKUP(R580,[1]Datos!$P$1:$T$50,2,FALSE)*C580),0)</f>
        <v>0</v>
      </c>
      <c r="P580" s="30"/>
      <c r="Q580" s="17" t="e">
        <f>+VLOOKUP(P580,[1]Datos!$F:$G,2,FALSE)</f>
        <v>#N/A</v>
      </c>
      <c r="S580" s="11">
        <f t="shared" si="8"/>
        <v>0</v>
      </c>
      <c r="T580" s="11" t="e">
        <f>+VLOOKUP(M580,[1]Datos!$F:$H,3,FALSE)</f>
        <v>#N/A</v>
      </c>
      <c r="U580" s="11">
        <v>0</v>
      </c>
      <c r="V580" s="19"/>
    </row>
    <row r="581" spans="1:22">
      <c r="A581" s="11" t="s">
        <v>25</v>
      </c>
      <c r="D581" s="11" t="s">
        <v>27</v>
      </c>
      <c r="E581" s="30" t="s">
        <v>73</v>
      </c>
      <c r="F581" s="30" t="s">
        <v>73</v>
      </c>
      <c r="H581" s="14"/>
      <c r="I581" s="14"/>
      <c r="J581" s="15" t="e">
        <f>+VLOOKUP(K581,[1]Datos!$A:$C,3,FALSE)</f>
        <v>#N/A</v>
      </c>
      <c r="L581" s="15" t="e">
        <f>+VLOOKUP(K581,[1]Datos!$A:$C,2,FALSE)</f>
        <v>#N/A</v>
      </c>
      <c r="N581" s="17" t="e">
        <f>+VLOOKUP(M581,[1]Datos!$F:$G,2,FALSE)</f>
        <v>#N/A</v>
      </c>
      <c r="O581" s="18">
        <f>IFERROR(IF(A581="SI",VLOOKUP(R581,[1]Datos!$J$1:$K$50,2,FALSE)*C581,VLOOKUP(R581,[1]Datos!$P$1:$T$50,2,FALSE)*C581),0)</f>
        <v>0</v>
      </c>
      <c r="P581" s="30"/>
      <c r="Q581" s="17" t="e">
        <f>+VLOOKUP(P581,[1]Datos!$F:$G,2,FALSE)</f>
        <v>#N/A</v>
      </c>
      <c r="S581" s="11">
        <f t="shared" si="8"/>
        <v>0</v>
      </c>
      <c r="T581" s="11" t="e">
        <f>+VLOOKUP(M581,[1]Datos!$F:$H,3,FALSE)</f>
        <v>#N/A</v>
      </c>
      <c r="U581" s="11">
        <v>0</v>
      </c>
      <c r="V581" s="19"/>
    </row>
    <row r="582" spans="1:22">
      <c r="A582" s="11" t="s">
        <v>25</v>
      </c>
      <c r="D582" s="11" t="s">
        <v>27</v>
      </c>
      <c r="E582" s="30" t="s">
        <v>73</v>
      </c>
      <c r="F582" s="30" t="s">
        <v>73</v>
      </c>
      <c r="H582" s="14"/>
      <c r="I582" s="14"/>
      <c r="J582" s="15" t="e">
        <f>+VLOOKUP(K582,[1]Datos!$A:$C,3,FALSE)</f>
        <v>#N/A</v>
      </c>
      <c r="L582" s="15" t="e">
        <f>+VLOOKUP(K582,[1]Datos!$A:$C,2,FALSE)</f>
        <v>#N/A</v>
      </c>
      <c r="N582" s="17" t="e">
        <f>+VLOOKUP(M582,[1]Datos!$F:$G,2,FALSE)</f>
        <v>#N/A</v>
      </c>
      <c r="O582" s="18">
        <f>IFERROR(IF(A582="SI",VLOOKUP(R582,[1]Datos!$J$1:$K$50,2,FALSE)*C582,VLOOKUP(R582,[1]Datos!$P$1:$T$50,2,FALSE)*C582),0)</f>
        <v>0</v>
      </c>
      <c r="P582" s="30"/>
      <c r="Q582" s="17" t="e">
        <f>+VLOOKUP(P582,[1]Datos!$F:$G,2,FALSE)</f>
        <v>#N/A</v>
      </c>
      <c r="S582" s="11">
        <f t="shared" si="8"/>
        <v>0</v>
      </c>
      <c r="T582" s="11" t="e">
        <f>+VLOOKUP(M582,[1]Datos!$F:$H,3,FALSE)</f>
        <v>#N/A</v>
      </c>
      <c r="U582" s="11">
        <v>0</v>
      </c>
      <c r="V582" s="19"/>
    </row>
    <row r="583" spans="1:22">
      <c r="A583" s="11" t="s">
        <v>25</v>
      </c>
      <c r="D583" s="11" t="s">
        <v>27</v>
      </c>
      <c r="E583" s="30" t="s">
        <v>73</v>
      </c>
      <c r="F583" s="30" t="s">
        <v>73</v>
      </c>
      <c r="H583" s="14"/>
      <c r="I583" s="14"/>
      <c r="J583" s="15" t="e">
        <f>+VLOOKUP(K583,[1]Datos!$A:$C,3,FALSE)</f>
        <v>#N/A</v>
      </c>
      <c r="L583" s="15" t="e">
        <f>+VLOOKUP(K583,[1]Datos!$A:$C,2,FALSE)</f>
        <v>#N/A</v>
      </c>
      <c r="N583" s="17" t="e">
        <f>+VLOOKUP(M583,[1]Datos!$F:$G,2,FALSE)</f>
        <v>#N/A</v>
      </c>
      <c r="O583" s="18">
        <f>IFERROR(IF(A583="SI",VLOOKUP(R583,[1]Datos!$J$1:$K$50,2,FALSE)*C583,VLOOKUP(R583,[1]Datos!$P$1:$T$50,2,FALSE)*C583),0)</f>
        <v>0</v>
      </c>
      <c r="P583" s="30"/>
      <c r="Q583" s="17" t="e">
        <f>+VLOOKUP(P583,[1]Datos!$F:$G,2,FALSE)</f>
        <v>#N/A</v>
      </c>
      <c r="S583" s="11">
        <f t="shared" si="8"/>
        <v>0</v>
      </c>
      <c r="T583" s="11" t="e">
        <f>+VLOOKUP(M583,[1]Datos!$F:$H,3,FALSE)</f>
        <v>#N/A</v>
      </c>
      <c r="U583" s="11">
        <v>0</v>
      </c>
      <c r="V583" s="19"/>
    </row>
    <row r="584" spans="1:22">
      <c r="A584" s="11" t="s">
        <v>25</v>
      </c>
      <c r="D584" s="11" t="s">
        <v>27</v>
      </c>
      <c r="E584" s="30" t="s">
        <v>73</v>
      </c>
      <c r="F584" s="30" t="s">
        <v>73</v>
      </c>
      <c r="H584" s="14"/>
      <c r="I584" s="14"/>
      <c r="J584" s="15" t="e">
        <f>+VLOOKUP(K584,[1]Datos!$A:$C,3,FALSE)</f>
        <v>#N/A</v>
      </c>
      <c r="L584" s="15" t="e">
        <f>+VLOOKUP(K584,[1]Datos!$A:$C,2,FALSE)</f>
        <v>#N/A</v>
      </c>
      <c r="N584" s="17" t="e">
        <f>+VLOOKUP(M584,[1]Datos!$F:$G,2,FALSE)</f>
        <v>#N/A</v>
      </c>
      <c r="O584" s="18">
        <f>IFERROR(IF(A584="SI",VLOOKUP(R584,[1]Datos!$J$1:$K$50,2,FALSE)*C584,VLOOKUP(R584,[1]Datos!$P$1:$T$50,2,FALSE)*C584),0)</f>
        <v>0</v>
      </c>
      <c r="P584" s="30"/>
      <c r="Q584" s="17" t="e">
        <f>+VLOOKUP(P584,[1]Datos!$F:$G,2,FALSE)</f>
        <v>#N/A</v>
      </c>
      <c r="S584" s="11">
        <f t="shared" ref="S584:S647" si="9">+COUNTIFS($G$2:$G$607,G584)</f>
        <v>0</v>
      </c>
      <c r="T584" s="11" t="e">
        <f>+VLOOKUP(M584,[1]Datos!$F:$H,3,FALSE)</f>
        <v>#N/A</v>
      </c>
      <c r="U584" s="11">
        <v>0</v>
      </c>
      <c r="V584" s="19"/>
    </row>
    <row r="585" spans="1:22">
      <c r="A585" s="11" t="s">
        <v>25</v>
      </c>
      <c r="D585" s="11" t="s">
        <v>27</v>
      </c>
      <c r="E585" s="30" t="s">
        <v>73</v>
      </c>
      <c r="F585" s="30" t="s">
        <v>73</v>
      </c>
      <c r="H585" s="14"/>
      <c r="I585" s="14"/>
      <c r="J585" s="15" t="e">
        <f>+VLOOKUP(K585,[1]Datos!$A:$C,3,FALSE)</f>
        <v>#N/A</v>
      </c>
      <c r="L585" s="15" t="e">
        <f>+VLOOKUP(K585,[1]Datos!$A:$C,2,FALSE)</f>
        <v>#N/A</v>
      </c>
      <c r="N585" s="17" t="e">
        <f>+VLOOKUP(M585,[1]Datos!$F:$G,2,FALSE)</f>
        <v>#N/A</v>
      </c>
      <c r="O585" s="18">
        <f>IFERROR(IF(A585="SI",VLOOKUP(R585,[1]Datos!$J$1:$K$50,2,FALSE)*C585,VLOOKUP(R585,[1]Datos!$P$1:$T$50,2,FALSE)*C585),0)</f>
        <v>0</v>
      </c>
      <c r="P585" s="30"/>
      <c r="Q585" s="17" t="e">
        <f>+VLOOKUP(P585,[1]Datos!$F:$G,2,FALSE)</f>
        <v>#N/A</v>
      </c>
      <c r="S585" s="11">
        <f t="shared" si="9"/>
        <v>0</v>
      </c>
      <c r="T585" s="11" t="e">
        <f>+VLOOKUP(M585,[1]Datos!$F:$H,3,FALSE)</f>
        <v>#N/A</v>
      </c>
      <c r="U585" s="11">
        <v>0</v>
      </c>
      <c r="V585" s="19"/>
    </row>
    <row r="586" spans="1:22">
      <c r="A586" s="11" t="s">
        <v>25</v>
      </c>
      <c r="D586" s="11" t="s">
        <v>27</v>
      </c>
      <c r="E586" s="30" t="s">
        <v>73</v>
      </c>
      <c r="F586" s="30" t="s">
        <v>73</v>
      </c>
      <c r="H586" s="14"/>
      <c r="I586" s="14"/>
      <c r="J586" s="15" t="e">
        <f>+VLOOKUP(K586,[1]Datos!$A:$C,3,FALSE)</f>
        <v>#N/A</v>
      </c>
      <c r="L586" s="15" t="e">
        <f>+VLOOKUP(K586,[1]Datos!$A:$C,2,FALSE)</f>
        <v>#N/A</v>
      </c>
      <c r="N586" s="17" t="e">
        <f>+VLOOKUP(M586,[1]Datos!$F:$G,2,FALSE)</f>
        <v>#N/A</v>
      </c>
      <c r="O586" s="18">
        <f>IFERROR(IF(A586="SI",VLOOKUP(R586,[1]Datos!$J$1:$K$50,2,FALSE)*C586,VLOOKUP(R586,[1]Datos!$P$1:$T$50,2,FALSE)*C586),0)</f>
        <v>0</v>
      </c>
      <c r="P586" s="30"/>
      <c r="Q586" s="17" t="e">
        <f>+VLOOKUP(P586,[1]Datos!$F:$G,2,FALSE)</f>
        <v>#N/A</v>
      </c>
      <c r="S586" s="11">
        <f t="shared" si="9"/>
        <v>0</v>
      </c>
      <c r="T586" s="11" t="e">
        <f>+VLOOKUP(M586,[1]Datos!$F:$H,3,FALSE)</f>
        <v>#N/A</v>
      </c>
      <c r="U586" s="11">
        <v>0</v>
      </c>
      <c r="V586" s="19"/>
    </row>
    <row r="587" spans="1:22">
      <c r="A587" s="11" t="s">
        <v>25</v>
      </c>
      <c r="D587" s="11" t="s">
        <v>27</v>
      </c>
      <c r="E587" s="30" t="s">
        <v>73</v>
      </c>
      <c r="F587" s="30" t="s">
        <v>73</v>
      </c>
      <c r="H587" s="14"/>
      <c r="I587" s="14"/>
      <c r="J587" s="15" t="e">
        <f>+VLOOKUP(K587,[1]Datos!$A:$C,3,FALSE)</f>
        <v>#N/A</v>
      </c>
      <c r="L587" s="15" t="e">
        <f>+VLOOKUP(K587,[1]Datos!$A:$C,2,FALSE)</f>
        <v>#N/A</v>
      </c>
      <c r="N587" s="17" t="e">
        <f>+VLOOKUP(M587,[1]Datos!$F:$G,2,FALSE)</f>
        <v>#N/A</v>
      </c>
      <c r="O587" s="18">
        <f>IFERROR(IF(A587="SI",VLOOKUP(R587,[1]Datos!$J$1:$K$50,2,FALSE)*C587,VLOOKUP(R587,[1]Datos!$P$1:$T$50,2,FALSE)*C587),0)</f>
        <v>0</v>
      </c>
      <c r="P587" s="30"/>
      <c r="Q587" s="17" t="e">
        <f>+VLOOKUP(P587,[1]Datos!$F:$G,2,FALSE)</f>
        <v>#N/A</v>
      </c>
      <c r="S587" s="11">
        <f t="shared" si="9"/>
        <v>0</v>
      </c>
      <c r="T587" s="11" t="e">
        <f>+VLOOKUP(M587,[1]Datos!$F:$H,3,FALSE)</f>
        <v>#N/A</v>
      </c>
      <c r="U587" s="11">
        <v>0</v>
      </c>
      <c r="V587" s="19"/>
    </row>
    <row r="588" spans="1:22">
      <c r="A588" s="11" t="s">
        <v>25</v>
      </c>
      <c r="D588" s="11" t="s">
        <v>27</v>
      </c>
      <c r="E588" s="30" t="s">
        <v>73</v>
      </c>
      <c r="F588" s="30" t="s">
        <v>73</v>
      </c>
      <c r="H588" s="14"/>
      <c r="I588" s="14"/>
      <c r="J588" s="15" t="e">
        <f>+VLOOKUP(K588,[1]Datos!$A:$C,3,FALSE)</f>
        <v>#N/A</v>
      </c>
      <c r="L588" s="15" t="e">
        <f>+VLOOKUP(K588,[1]Datos!$A:$C,2,FALSE)</f>
        <v>#N/A</v>
      </c>
      <c r="N588" s="17" t="e">
        <f>+VLOOKUP(M588,[1]Datos!$F:$G,2,FALSE)</f>
        <v>#N/A</v>
      </c>
      <c r="O588" s="18">
        <f>IFERROR(IF(A588="SI",VLOOKUP(R588,[1]Datos!$J$1:$K$50,2,FALSE)*C588,VLOOKUP(R588,[1]Datos!$P$1:$T$50,2,FALSE)*C588),0)</f>
        <v>0</v>
      </c>
      <c r="P588" s="30"/>
      <c r="Q588" s="17" t="e">
        <f>+VLOOKUP(P588,[1]Datos!$F:$G,2,FALSE)</f>
        <v>#N/A</v>
      </c>
      <c r="S588" s="11">
        <f t="shared" si="9"/>
        <v>0</v>
      </c>
      <c r="T588" s="11" t="e">
        <f>+VLOOKUP(M588,[1]Datos!$F:$H,3,FALSE)</f>
        <v>#N/A</v>
      </c>
      <c r="U588" s="11">
        <v>0</v>
      </c>
      <c r="V588" s="19"/>
    </row>
    <row r="589" spans="1:22">
      <c r="A589" s="11" t="s">
        <v>25</v>
      </c>
      <c r="D589" s="11" t="s">
        <v>27</v>
      </c>
      <c r="E589" s="30" t="s">
        <v>73</v>
      </c>
      <c r="F589" s="30" t="s">
        <v>73</v>
      </c>
      <c r="H589" s="14"/>
      <c r="I589" s="14"/>
      <c r="J589" s="15" t="e">
        <f>+VLOOKUP(K589,[1]Datos!$A:$C,3,FALSE)</f>
        <v>#N/A</v>
      </c>
      <c r="L589" s="15" t="e">
        <f>+VLOOKUP(K589,[1]Datos!$A:$C,2,FALSE)</f>
        <v>#N/A</v>
      </c>
      <c r="N589" s="17" t="e">
        <f>+VLOOKUP(M589,[1]Datos!$F:$G,2,FALSE)</f>
        <v>#N/A</v>
      </c>
      <c r="O589" s="18">
        <f>IFERROR(IF(A589="SI",VLOOKUP(R589,[1]Datos!$J$1:$K$50,2,FALSE)*C589,VLOOKUP(R589,[1]Datos!$P$1:$T$50,2,FALSE)*C589),0)</f>
        <v>0</v>
      </c>
      <c r="P589" s="30"/>
      <c r="Q589" s="17" t="e">
        <f>+VLOOKUP(P589,[1]Datos!$F:$G,2,FALSE)</f>
        <v>#N/A</v>
      </c>
      <c r="S589" s="11">
        <f t="shared" si="9"/>
        <v>0</v>
      </c>
      <c r="T589" s="11" t="e">
        <f>+VLOOKUP(M589,[1]Datos!$F:$H,3,FALSE)</f>
        <v>#N/A</v>
      </c>
      <c r="U589" s="11">
        <v>0</v>
      </c>
      <c r="V589" s="19"/>
    </row>
    <row r="590" spans="1:22">
      <c r="A590" s="11" t="s">
        <v>25</v>
      </c>
      <c r="D590" s="11" t="s">
        <v>27</v>
      </c>
      <c r="E590" s="30" t="s">
        <v>73</v>
      </c>
      <c r="F590" s="30" t="s">
        <v>73</v>
      </c>
      <c r="H590" s="14"/>
      <c r="I590" s="14"/>
      <c r="J590" s="15" t="e">
        <f>+VLOOKUP(K590,[1]Datos!$A:$C,3,FALSE)</f>
        <v>#N/A</v>
      </c>
      <c r="L590" s="15" t="e">
        <f>+VLOOKUP(K590,[1]Datos!$A:$C,2,FALSE)</f>
        <v>#N/A</v>
      </c>
      <c r="N590" s="17" t="e">
        <f>+VLOOKUP(M590,[1]Datos!$F:$G,2,FALSE)</f>
        <v>#N/A</v>
      </c>
      <c r="O590" s="18">
        <f>IFERROR(IF(A590="SI",VLOOKUP(R590,[1]Datos!$J$1:$K$50,2,FALSE)*C590,VLOOKUP(R590,[1]Datos!$P$1:$T$50,2,FALSE)*C590),0)</f>
        <v>0</v>
      </c>
      <c r="P590" s="30"/>
      <c r="Q590" s="17" t="e">
        <f>+VLOOKUP(P590,[1]Datos!$F:$G,2,FALSE)</f>
        <v>#N/A</v>
      </c>
      <c r="S590" s="11">
        <f t="shared" si="9"/>
        <v>0</v>
      </c>
      <c r="T590" s="11" t="e">
        <f>+VLOOKUP(M590,[1]Datos!$F:$H,3,FALSE)</f>
        <v>#N/A</v>
      </c>
      <c r="U590" s="11">
        <v>0</v>
      </c>
      <c r="V590" s="19"/>
    </row>
    <row r="591" spans="1:22">
      <c r="A591" s="11" t="s">
        <v>25</v>
      </c>
      <c r="D591" s="11" t="s">
        <v>27</v>
      </c>
      <c r="E591" s="30" t="s">
        <v>73</v>
      </c>
      <c r="F591" s="30" t="s">
        <v>73</v>
      </c>
      <c r="H591" s="14"/>
      <c r="I591" s="14"/>
      <c r="J591" s="15" t="e">
        <f>+VLOOKUP(K591,[1]Datos!$A:$C,3,FALSE)</f>
        <v>#N/A</v>
      </c>
      <c r="L591" s="15" t="e">
        <f>+VLOOKUP(K591,[1]Datos!$A:$C,2,FALSE)</f>
        <v>#N/A</v>
      </c>
      <c r="N591" s="17" t="e">
        <f>+VLOOKUP(M591,[1]Datos!$F:$G,2,FALSE)</f>
        <v>#N/A</v>
      </c>
      <c r="O591" s="18">
        <f>IFERROR(IF(A591="SI",VLOOKUP(R591,[1]Datos!$J$1:$K$50,2,FALSE)*C591,VLOOKUP(R591,[1]Datos!$P$1:$T$50,2,FALSE)*C591),0)</f>
        <v>0</v>
      </c>
      <c r="P591" s="30"/>
      <c r="Q591" s="17" t="e">
        <f>+VLOOKUP(P591,[1]Datos!$F:$G,2,FALSE)</f>
        <v>#N/A</v>
      </c>
      <c r="S591" s="11">
        <f t="shared" si="9"/>
        <v>0</v>
      </c>
      <c r="T591" s="11" t="e">
        <f>+VLOOKUP(M591,[1]Datos!$F:$H,3,FALSE)</f>
        <v>#N/A</v>
      </c>
      <c r="U591" s="11">
        <v>0</v>
      </c>
      <c r="V591" s="19"/>
    </row>
    <row r="592" spans="1:22">
      <c r="A592" s="11" t="s">
        <v>25</v>
      </c>
      <c r="D592" s="11" t="s">
        <v>27</v>
      </c>
      <c r="E592" s="30" t="s">
        <v>73</v>
      </c>
      <c r="F592" s="30" t="s">
        <v>73</v>
      </c>
      <c r="H592" s="14"/>
      <c r="I592" s="14"/>
      <c r="J592" s="15" t="e">
        <f>+VLOOKUP(K592,[1]Datos!$A:$C,3,FALSE)</f>
        <v>#N/A</v>
      </c>
      <c r="L592" s="15" t="e">
        <f>+VLOOKUP(K592,[1]Datos!$A:$C,2,FALSE)</f>
        <v>#N/A</v>
      </c>
      <c r="N592" s="17" t="e">
        <f>+VLOOKUP(M592,[1]Datos!$F:$G,2,FALSE)</f>
        <v>#N/A</v>
      </c>
      <c r="O592" s="18">
        <f>IFERROR(IF(A592="SI",VLOOKUP(R592,[1]Datos!$J$1:$K$50,2,FALSE)*C592,VLOOKUP(R592,[1]Datos!$P$1:$T$50,2,FALSE)*C592),0)</f>
        <v>0</v>
      </c>
      <c r="P592" s="30"/>
      <c r="Q592" s="17" t="e">
        <f>+VLOOKUP(P592,[1]Datos!$F:$G,2,FALSE)</f>
        <v>#N/A</v>
      </c>
      <c r="S592" s="11">
        <f t="shared" si="9"/>
        <v>0</v>
      </c>
      <c r="T592" s="11" t="e">
        <f>+VLOOKUP(M592,[1]Datos!$F:$H,3,FALSE)</f>
        <v>#N/A</v>
      </c>
      <c r="U592" s="11">
        <v>0</v>
      </c>
      <c r="V592" s="19"/>
    </row>
    <row r="593" spans="1:22">
      <c r="A593" s="11" t="s">
        <v>25</v>
      </c>
      <c r="D593" s="11" t="s">
        <v>27</v>
      </c>
      <c r="E593" s="30" t="s">
        <v>73</v>
      </c>
      <c r="F593" s="30" t="s">
        <v>73</v>
      </c>
      <c r="H593" s="14"/>
      <c r="I593" s="14"/>
      <c r="J593" s="15" t="e">
        <f>+VLOOKUP(K593,[1]Datos!$A:$C,3,FALSE)</f>
        <v>#N/A</v>
      </c>
      <c r="L593" s="15" t="e">
        <f>+VLOOKUP(K593,[1]Datos!$A:$C,2,FALSE)</f>
        <v>#N/A</v>
      </c>
      <c r="N593" s="17" t="e">
        <f>+VLOOKUP(M593,[1]Datos!$F:$G,2,FALSE)</f>
        <v>#N/A</v>
      </c>
      <c r="O593" s="18">
        <f>IFERROR(IF(A593="SI",VLOOKUP(R593,[1]Datos!$J$1:$K$50,2,FALSE)*C593,VLOOKUP(R593,[1]Datos!$P$1:$T$50,2,FALSE)*C593),0)</f>
        <v>0</v>
      </c>
      <c r="P593" s="30"/>
      <c r="Q593" s="17" t="e">
        <f>+VLOOKUP(P593,[1]Datos!$F:$G,2,FALSE)</f>
        <v>#N/A</v>
      </c>
      <c r="S593" s="11">
        <f t="shared" si="9"/>
        <v>0</v>
      </c>
      <c r="T593" s="11" t="e">
        <f>+VLOOKUP(M593,[1]Datos!$F:$H,3,FALSE)</f>
        <v>#N/A</v>
      </c>
      <c r="U593" s="11">
        <v>0</v>
      </c>
      <c r="V593" s="19"/>
    </row>
    <row r="594" spans="1:22">
      <c r="A594" s="11" t="s">
        <v>25</v>
      </c>
      <c r="D594" s="11" t="s">
        <v>27</v>
      </c>
      <c r="E594" s="30" t="s">
        <v>73</v>
      </c>
      <c r="F594" s="30" t="s">
        <v>73</v>
      </c>
      <c r="H594" s="14"/>
      <c r="I594" s="14"/>
      <c r="J594" s="15" t="e">
        <f>+VLOOKUP(K594,[1]Datos!$A:$C,3,FALSE)</f>
        <v>#N/A</v>
      </c>
      <c r="L594" s="15" t="e">
        <f>+VLOOKUP(K594,[1]Datos!$A:$C,2,FALSE)</f>
        <v>#N/A</v>
      </c>
      <c r="N594" s="17" t="e">
        <f>+VLOOKUP(M594,[1]Datos!$F:$G,2,FALSE)</f>
        <v>#N/A</v>
      </c>
      <c r="O594" s="18">
        <f>IFERROR(IF(A594="SI",VLOOKUP(R594,[1]Datos!$J$1:$K$50,2,FALSE)*C594,VLOOKUP(R594,[1]Datos!$P$1:$T$50,2,FALSE)*C594),0)</f>
        <v>0</v>
      </c>
      <c r="P594" s="30"/>
      <c r="Q594" s="17" t="e">
        <f>+VLOOKUP(P594,[1]Datos!$F:$G,2,FALSE)</f>
        <v>#N/A</v>
      </c>
      <c r="S594" s="11">
        <f t="shared" si="9"/>
        <v>0</v>
      </c>
      <c r="T594" s="11" t="e">
        <f>+VLOOKUP(M594,[1]Datos!$F:$H,3,FALSE)</f>
        <v>#N/A</v>
      </c>
      <c r="U594" s="11">
        <v>0</v>
      </c>
      <c r="V594" s="19"/>
    </row>
    <row r="595" spans="1:22">
      <c r="A595" s="11" t="s">
        <v>25</v>
      </c>
      <c r="D595" s="11" t="s">
        <v>27</v>
      </c>
      <c r="E595" s="30" t="s">
        <v>73</v>
      </c>
      <c r="F595" s="30" t="s">
        <v>73</v>
      </c>
      <c r="H595" s="14"/>
      <c r="I595" s="14"/>
      <c r="J595" s="15" t="e">
        <f>+VLOOKUP(K595,[1]Datos!$A:$C,3,FALSE)</f>
        <v>#N/A</v>
      </c>
      <c r="L595" s="15" t="e">
        <f>+VLOOKUP(K595,[1]Datos!$A:$C,2,FALSE)</f>
        <v>#N/A</v>
      </c>
      <c r="N595" s="17" t="e">
        <f>+VLOOKUP(M595,[1]Datos!$F:$G,2,FALSE)</f>
        <v>#N/A</v>
      </c>
      <c r="O595" s="18">
        <f>IFERROR(IF(A595="SI",VLOOKUP(R595,[1]Datos!$J$1:$K$50,2,FALSE)*C595,VLOOKUP(R595,[1]Datos!$P$1:$T$50,2,FALSE)*C595),0)</f>
        <v>0</v>
      </c>
      <c r="P595" s="30"/>
      <c r="Q595" s="17" t="e">
        <f>+VLOOKUP(P595,[1]Datos!$F:$G,2,FALSE)</f>
        <v>#N/A</v>
      </c>
      <c r="S595" s="11">
        <f t="shared" si="9"/>
        <v>0</v>
      </c>
      <c r="T595" s="11" t="e">
        <f>+VLOOKUP(M595,[1]Datos!$F:$H,3,FALSE)</f>
        <v>#N/A</v>
      </c>
      <c r="U595" s="11">
        <v>0</v>
      </c>
      <c r="V595" s="19"/>
    </row>
    <row r="596" spans="1:22">
      <c r="A596" s="11" t="s">
        <v>25</v>
      </c>
      <c r="D596" s="11" t="s">
        <v>27</v>
      </c>
      <c r="E596" s="30" t="s">
        <v>73</v>
      </c>
      <c r="F596" s="30" t="s">
        <v>73</v>
      </c>
      <c r="H596" s="14"/>
      <c r="I596" s="14"/>
      <c r="J596" s="15" t="e">
        <f>+VLOOKUP(K596,[1]Datos!$A:$C,3,FALSE)</f>
        <v>#N/A</v>
      </c>
      <c r="L596" s="15" t="e">
        <f>+VLOOKUP(K596,[1]Datos!$A:$C,2,FALSE)</f>
        <v>#N/A</v>
      </c>
      <c r="N596" s="17" t="e">
        <f>+VLOOKUP(M596,[1]Datos!$F:$G,2,FALSE)</f>
        <v>#N/A</v>
      </c>
      <c r="O596" s="18">
        <f>IFERROR(IF(A596="SI",VLOOKUP(R596,[1]Datos!$J$1:$K$50,2,FALSE)*C596,VLOOKUP(R596,[1]Datos!$P$1:$T$50,2,FALSE)*C596),0)</f>
        <v>0</v>
      </c>
      <c r="P596" s="30"/>
      <c r="Q596" s="17" t="e">
        <f>+VLOOKUP(P596,[1]Datos!$F:$G,2,FALSE)</f>
        <v>#N/A</v>
      </c>
      <c r="S596" s="11">
        <f t="shared" si="9"/>
        <v>0</v>
      </c>
      <c r="T596" s="11" t="e">
        <f>+VLOOKUP(M596,[1]Datos!$F:$H,3,FALSE)</f>
        <v>#N/A</v>
      </c>
      <c r="U596" s="11">
        <v>0</v>
      </c>
      <c r="V596" s="19"/>
    </row>
    <row r="597" spans="1:22">
      <c r="A597" s="11" t="s">
        <v>25</v>
      </c>
      <c r="D597" s="11" t="s">
        <v>27</v>
      </c>
      <c r="E597" s="30" t="s">
        <v>73</v>
      </c>
      <c r="F597" s="30" t="s">
        <v>73</v>
      </c>
      <c r="H597" s="14"/>
      <c r="I597" s="14"/>
      <c r="J597" s="15" t="e">
        <f>+VLOOKUP(K597,[1]Datos!$A:$C,3,FALSE)</f>
        <v>#N/A</v>
      </c>
      <c r="L597" s="15" t="e">
        <f>+VLOOKUP(K597,[1]Datos!$A:$C,2,FALSE)</f>
        <v>#N/A</v>
      </c>
      <c r="N597" s="17" t="e">
        <f>+VLOOKUP(M597,[1]Datos!$F:$G,2,FALSE)</f>
        <v>#N/A</v>
      </c>
      <c r="O597" s="18">
        <f>IFERROR(IF(A597="SI",VLOOKUP(R597,[1]Datos!$J$1:$K$50,2,FALSE)*C597,VLOOKUP(R597,[1]Datos!$P$1:$T$50,2,FALSE)*C597),0)</f>
        <v>0</v>
      </c>
      <c r="P597" s="30"/>
      <c r="Q597" s="17" t="e">
        <f>+VLOOKUP(P597,[1]Datos!$F:$G,2,FALSE)</f>
        <v>#N/A</v>
      </c>
      <c r="S597" s="11">
        <f t="shared" si="9"/>
        <v>0</v>
      </c>
      <c r="T597" s="11" t="e">
        <f>+VLOOKUP(M597,[1]Datos!$F:$H,3,FALSE)</f>
        <v>#N/A</v>
      </c>
      <c r="U597" s="11">
        <v>0</v>
      </c>
      <c r="V597" s="19"/>
    </row>
    <row r="598" spans="1:22">
      <c r="A598" s="11" t="s">
        <v>25</v>
      </c>
      <c r="D598" s="11" t="s">
        <v>27</v>
      </c>
      <c r="E598" s="30" t="s">
        <v>73</v>
      </c>
      <c r="F598" s="30" t="s">
        <v>73</v>
      </c>
      <c r="H598" s="14"/>
      <c r="I598" s="14"/>
      <c r="J598" s="15" t="e">
        <f>+VLOOKUP(K598,[1]Datos!$A:$C,3,FALSE)</f>
        <v>#N/A</v>
      </c>
      <c r="L598" s="15" t="e">
        <f>+VLOOKUP(K598,[1]Datos!$A:$C,2,FALSE)</f>
        <v>#N/A</v>
      </c>
      <c r="N598" s="17" t="e">
        <f>+VLOOKUP(M598,[1]Datos!$F:$G,2,FALSE)</f>
        <v>#N/A</v>
      </c>
      <c r="O598" s="18">
        <f>IFERROR(IF(A598="SI",VLOOKUP(R598,[1]Datos!$J$1:$K$50,2,FALSE)*C598,VLOOKUP(R598,[1]Datos!$P$1:$T$50,2,FALSE)*C598),0)</f>
        <v>0</v>
      </c>
      <c r="P598" s="30"/>
      <c r="Q598" s="17" t="e">
        <f>+VLOOKUP(P598,[1]Datos!$F:$G,2,FALSE)</f>
        <v>#N/A</v>
      </c>
      <c r="S598" s="11">
        <f t="shared" si="9"/>
        <v>0</v>
      </c>
      <c r="T598" s="11" t="e">
        <f>+VLOOKUP(M598,[1]Datos!$F:$H,3,FALSE)</f>
        <v>#N/A</v>
      </c>
      <c r="U598" s="11">
        <v>0</v>
      </c>
      <c r="V598" s="19"/>
    </row>
    <row r="599" spans="1:22">
      <c r="A599" s="11" t="s">
        <v>25</v>
      </c>
      <c r="D599" s="11" t="s">
        <v>27</v>
      </c>
      <c r="E599" s="30" t="s">
        <v>73</v>
      </c>
      <c r="F599" s="30" t="s">
        <v>73</v>
      </c>
      <c r="H599" s="14"/>
      <c r="I599" s="14"/>
      <c r="J599" s="15" t="e">
        <f>+VLOOKUP(K599,[1]Datos!$A:$C,3,FALSE)</f>
        <v>#N/A</v>
      </c>
      <c r="L599" s="15" t="e">
        <f>+VLOOKUP(K599,[1]Datos!$A:$C,2,FALSE)</f>
        <v>#N/A</v>
      </c>
      <c r="N599" s="17" t="e">
        <f>+VLOOKUP(M599,[1]Datos!$F:$G,2,FALSE)</f>
        <v>#N/A</v>
      </c>
      <c r="O599" s="18">
        <f>IFERROR(IF(A599="SI",VLOOKUP(R599,[1]Datos!$J$1:$K$50,2,FALSE)*C599,VLOOKUP(R599,[1]Datos!$P$1:$T$50,2,FALSE)*C599),0)</f>
        <v>0</v>
      </c>
      <c r="P599" s="30"/>
      <c r="Q599" s="17" t="e">
        <f>+VLOOKUP(P599,[1]Datos!$F:$G,2,FALSE)</f>
        <v>#N/A</v>
      </c>
      <c r="S599" s="11">
        <f t="shared" si="9"/>
        <v>0</v>
      </c>
      <c r="T599" s="11" t="e">
        <f>+VLOOKUP(M599,[1]Datos!$F:$H,3,FALSE)</f>
        <v>#N/A</v>
      </c>
      <c r="U599" s="11">
        <v>0</v>
      </c>
      <c r="V599" s="19"/>
    </row>
    <row r="600" spans="1:22">
      <c r="A600" s="11" t="s">
        <v>25</v>
      </c>
      <c r="D600" s="11" t="s">
        <v>27</v>
      </c>
      <c r="E600" s="30" t="s">
        <v>73</v>
      </c>
      <c r="F600" s="30" t="s">
        <v>73</v>
      </c>
      <c r="H600" s="14"/>
      <c r="I600" s="14"/>
      <c r="J600" s="15" t="e">
        <f>+VLOOKUP(K600,[1]Datos!$A:$C,3,FALSE)</f>
        <v>#N/A</v>
      </c>
      <c r="L600" s="15" t="e">
        <f>+VLOOKUP(K600,[1]Datos!$A:$C,2,FALSE)</f>
        <v>#N/A</v>
      </c>
      <c r="N600" s="17" t="e">
        <f>+VLOOKUP(M600,[1]Datos!$F:$G,2,FALSE)</f>
        <v>#N/A</v>
      </c>
      <c r="O600" s="18">
        <f>IFERROR(IF(A600="SI",VLOOKUP(R600,[1]Datos!$J$1:$K$50,2,FALSE)*C600,VLOOKUP(R600,[1]Datos!$P$1:$T$50,2,FALSE)*C600),0)</f>
        <v>0</v>
      </c>
      <c r="P600" s="30"/>
      <c r="Q600" s="17" t="e">
        <f>+VLOOKUP(P600,[1]Datos!$F:$G,2,FALSE)</f>
        <v>#N/A</v>
      </c>
      <c r="S600" s="11">
        <f t="shared" si="9"/>
        <v>0</v>
      </c>
      <c r="T600" s="11" t="e">
        <f>+VLOOKUP(M600,[1]Datos!$F:$H,3,FALSE)</f>
        <v>#N/A</v>
      </c>
      <c r="U600" s="11">
        <v>0</v>
      </c>
      <c r="V600" s="19"/>
    </row>
    <row r="601" spans="1:22">
      <c r="A601" s="11" t="s">
        <v>25</v>
      </c>
      <c r="D601" s="11" t="s">
        <v>27</v>
      </c>
      <c r="E601" s="30" t="s">
        <v>73</v>
      </c>
      <c r="F601" s="30" t="s">
        <v>73</v>
      </c>
      <c r="H601" s="14"/>
      <c r="I601" s="14"/>
      <c r="J601" s="15" t="e">
        <f>+VLOOKUP(K601,[1]Datos!$A:$C,3,FALSE)</f>
        <v>#N/A</v>
      </c>
      <c r="L601" s="15" t="e">
        <f>+VLOOKUP(K601,[1]Datos!$A:$C,2,FALSE)</f>
        <v>#N/A</v>
      </c>
      <c r="N601" s="17" t="e">
        <f>+VLOOKUP(M601,[1]Datos!$F:$G,2,FALSE)</f>
        <v>#N/A</v>
      </c>
      <c r="O601" s="18">
        <f>IFERROR(IF(A601="SI",VLOOKUP(R601,[1]Datos!$J$1:$K$50,2,FALSE)*C601,VLOOKUP(R601,[1]Datos!$P$1:$T$50,2,FALSE)*C601),0)</f>
        <v>0</v>
      </c>
      <c r="P601" s="30"/>
      <c r="Q601" s="17" t="e">
        <f>+VLOOKUP(P601,[1]Datos!$F:$G,2,FALSE)</f>
        <v>#N/A</v>
      </c>
      <c r="S601" s="11">
        <f t="shared" si="9"/>
        <v>0</v>
      </c>
      <c r="T601" s="11" t="e">
        <f>+VLOOKUP(M601,[1]Datos!$F:$H,3,FALSE)</f>
        <v>#N/A</v>
      </c>
      <c r="U601" s="11">
        <v>0</v>
      </c>
      <c r="V601" s="19"/>
    </row>
    <row r="602" spans="1:22">
      <c r="A602" s="11" t="s">
        <v>25</v>
      </c>
      <c r="D602" s="11" t="s">
        <v>27</v>
      </c>
      <c r="E602" s="30" t="s">
        <v>73</v>
      </c>
      <c r="F602" s="30" t="s">
        <v>73</v>
      </c>
      <c r="H602" s="14"/>
      <c r="I602" s="14"/>
      <c r="J602" s="15" t="e">
        <f>+VLOOKUP(K602,[1]Datos!$A:$C,3,FALSE)</f>
        <v>#N/A</v>
      </c>
      <c r="L602" s="15" t="e">
        <f>+VLOOKUP(K602,[1]Datos!$A:$C,2,FALSE)</f>
        <v>#N/A</v>
      </c>
      <c r="N602" s="17" t="e">
        <f>+VLOOKUP(M602,[1]Datos!$F:$G,2,FALSE)</f>
        <v>#N/A</v>
      </c>
      <c r="O602" s="18">
        <f>IFERROR(IF(A602="SI",VLOOKUP(R602,[1]Datos!$J$1:$K$50,2,FALSE)*C602,VLOOKUP(R602,[1]Datos!$P$1:$T$50,2,FALSE)*C602),0)</f>
        <v>0</v>
      </c>
      <c r="P602" s="30"/>
      <c r="Q602" s="17" t="e">
        <f>+VLOOKUP(P602,[1]Datos!$F:$G,2,FALSE)</f>
        <v>#N/A</v>
      </c>
      <c r="S602" s="11">
        <f t="shared" si="9"/>
        <v>0</v>
      </c>
      <c r="T602" s="11" t="e">
        <f>+VLOOKUP(M602,[1]Datos!$F:$H,3,FALSE)</f>
        <v>#N/A</v>
      </c>
      <c r="U602" s="11">
        <v>0</v>
      </c>
      <c r="V602" s="19"/>
    </row>
    <row r="603" spans="1:22">
      <c r="A603" s="11" t="s">
        <v>25</v>
      </c>
      <c r="D603" s="11" t="s">
        <v>27</v>
      </c>
      <c r="E603" s="30" t="s">
        <v>73</v>
      </c>
      <c r="F603" s="30" t="s">
        <v>73</v>
      </c>
      <c r="H603" s="14"/>
      <c r="I603" s="14"/>
      <c r="J603" s="15" t="e">
        <f>+VLOOKUP(K603,[1]Datos!$A:$C,3,FALSE)</f>
        <v>#N/A</v>
      </c>
      <c r="L603" s="15" t="e">
        <f>+VLOOKUP(K603,[1]Datos!$A:$C,2,FALSE)</f>
        <v>#N/A</v>
      </c>
      <c r="N603" s="17" t="e">
        <f>+VLOOKUP(M603,[1]Datos!$F:$G,2,FALSE)</f>
        <v>#N/A</v>
      </c>
      <c r="O603" s="18">
        <f>IFERROR(IF(A603="SI",VLOOKUP(R603,[1]Datos!$J$1:$K$50,2,FALSE)*C603,VLOOKUP(R603,[1]Datos!$P$1:$T$50,2,FALSE)*C603),0)</f>
        <v>0</v>
      </c>
      <c r="P603" s="30"/>
      <c r="Q603" s="17" t="e">
        <f>+VLOOKUP(P603,[1]Datos!$F:$G,2,FALSE)</f>
        <v>#N/A</v>
      </c>
      <c r="S603" s="11">
        <f t="shared" si="9"/>
        <v>0</v>
      </c>
      <c r="T603" s="11" t="e">
        <f>+VLOOKUP(M603,[1]Datos!$F:$H,3,FALSE)</f>
        <v>#N/A</v>
      </c>
      <c r="U603" s="11">
        <v>0</v>
      </c>
      <c r="V603" s="19"/>
    </row>
    <row r="604" spans="1:22">
      <c r="A604" s="11" t="s">
        <v>25</v>
      </c>
      <c r="D604" s="11" t="s">
        <v>27</v>
      </c>
      <c r="E604" s="30" t="s">
        <v>73</v>
      </c>
      <c r="F604" s="30" t="s">
        <v>73</v>
      </c>
      <c r="H604" s="14"/>
      <c r="I604" s="14"/>
      <c r="J604" s="15" t="e">
        <f>+VLOOKUP(K604,[1]Datos!$A:$C,3,FALSE)</f>
        <v>#N/A</v>
      </c>
      <c r="L604" s="15" t="e">
        <f>+VLOOKUP(K604,[1]Datos!$A:$C,2,FALSE)</f>
        <v>#N/A</v>
      </c>
      <c r="N604" s="17" t="e">
        <f>+VLOOKUP(M604,[1]Datos!$F:$G,2,FALSE)</f>
        <v>#N/A</v>
      </c>
      <c r="O604" s="18">
        <f>IFERROR(IF(A604="SI",VLOOKUP(R604,[1]Datos!$J$1:$K$50,2,FALSE)*C604,VLOOKUP(R604,[1]Datos!$P$1:$T$50,2,FALSE)*C604),0)</f>
        <v>0</v>
      </c>
      <c r="P604" s="30"/>
      <c r="Q604" s="17" t="e">
        <f>+VLOOKUP(P604,[1]Datos!$F:$G,2,FALSE)</f>
        <v>#N/A</v>
      </c>
      <c r="S604" s="11">
        <f t="shared" si="9"/>
        <v>0</v>
      </c>
      <c r="T604" s="11" t="e">
        <f>+VLOOKUP(M604,[1]Datos!$F:$H,3,FALSE)</f>
        <v>#N/A</v>
      </c>
      <c r="U604" s="11">
        <v>0</v>
      </c>
      <c r="V604" s="19"/>
    </row>
    <row r="605" spans="1:22">
      <c r="A605" s="11" t="s">
        <v>25</v>
      </c>
      <c r="D605" s="11" t="s">
        <v>27</v>
      </c>
      <c r="E605" s="30" t="s">
        <v>73</v>
      </c>
      <c r="F605" s="30" t="s">
        <v>73</v>
      </c>
      <c r="H605" s="14"/>
      <c r="I605" s="14"/>
      <c r="J605" s="15" t="e">
        <f>+VLOOKUP(K605,[1]Datos!$A:$C,3,FALSE)</f>
        <v>#N/A</v>
      </c>
      <c r="L605" s="15" t="e">
        <f>+VLOOKUP(K605,[1]Datos!$A:$C,2,FALSE)</f>
        <v>#N/A</v>
      </c>
      <c r="N605" s="17" t="e">
        <f>+VLOOKUP(M605,[1]Datos!$F:$G,2,FALSE)</f>
        <v>#N/A</v>
      </c>
      <c r="O605" s="18">
        <f>IFERROR(IF(A605="SI",VLOOKUP(R605,[1]Datos!$J$1:$K$50,2,FALSE)*C605,VLOOKUP(R605,[1]Datos!$P$1:$T$50,2,FALSE)*C605),0)</f>
        <v>0</v>
      </c>
      <c r="P605" s="30"/>
      <c r="Q605" s="17" t="e">
        <f>+VLOOKUP(P605,[1]Datos!$F:$G,2,FALSE)</f>
        <v>#N/A</v>
      </c>
      <c r="S605" s="11">
        <f t="shared" si="9"/>
        <v>0</v>
      </c>
      <c r="T605" s="11" t="e">
        <f>+VLOOKUP(M605,[1]Datos!$F:$H,3,FALSE)</f>
        <v>#N/A</v>
      </c>
      <c r="U605" s="11">
        <v>0</v>
      </c>
      <c r="V605" s="19"/>
    </row>
    <row r="606" spans="1:22">
      <c r="A606" s="11" t="s">
        <v>25</v>
      </c>
      <c r="D606" s="11" t="s">
        <v>27</v>
      </c>
      <c r="E606" s="30" t="s">
        <v>73</v>
      </c>
      <c r="F606" s="30" t="s">
        <v>73</v>
      </c>
      <c r="H606" s="14"/>
      <c r="I606" s="14"/>
      <c r="J606" s="15" t="e">
        <f>+VLOOKUP(K606,[1]Datos!$A:$C,3,FALSE)</f>
        <v>#N/A</v>
      </c>
      <c r="L606" s="15" t="e">
        <f>+VLOOKUP(K606,[1]Datos!$A:$C,2,FALSE)</f>
        <v>#N/A</v>
      </c>
      <c r="N606" s="17" t="e">
        <f>+VLOOKUP(M606,[1]Datos!$F:$G,2,FALSE)</f>
        <v>#N/A</v>
      </c>
      <c r="O606" s="18">
        <f>IFERROR(IF(A606="SI",VLOOKUP(R606,[1]Datos!$J$1:$K$50,2,FALSE)*C606,VLOOKUP(R606,[1]Datos!$P$1:$T$50,2,FALSE)*C606),0)</f>
        <v>0</v>
      </c>
      <c r="P606" s="30"/>
      <c r="Q606" s="17" t="e">
        <f>+VLOOKUP(P606,[1]Datos!$F:$G,2,FALSE)</f>
        <v>#N/A</v>
      </c>
      <c r="S606" s="11">
        <f t="shared" si="9"/>
        <v>0</v>
      </c>
      <c r="T606" s="11" t="e">
        <f>+VLOOKUP(M606,[1]Datos!$F:$H,3,FALSE)</f>
        <v>#N/A</v>
      </c>
      <c r="U606" s="11">
        <v>0</v>
      </c>
      <c r="V606" s="19"/>
    </row>
    <row r="607" spans="1:22">
      <c r="A607" s="11" t="s">
        <v>25</v>
      </c>
      <c r="D607" s="11" t="s">
        <v>27</v>
      </c>
      <c r="E607" s="30" t="s">
        <v>73</v>
      </c>
      <c r="F607" s="30" t="s">
        <v>73</v>
      </c>
      <c r="H607" s="14"/>
      <c r="I607" s="14"/>
      <c r="J607" s="15" t="e">
        <f>+VLOOKUP(K607,[1]Datos!$A:$C,3,FALSE)</f>
        <v>#N/A</v>
      </c>
      <c r="L607" s="15" t="e">
        <f>+VLOOKUP(K607,[1]Datos!$A:$C,2,FALSE)</f>
        <v>#N/A</v>
      </c>
      <c r="N607" s="17" t="e">
        <f>+VLOOKUP(M607,[1]Datos!$F:$G,2,FALSE)</f>
        <v>#N/A</v>
      </c>
      <c r="O607" s="18">
        <f>IFERROR(IF(A607="SI",VLOOKUP(R607,[1]Datos!$J$1:$K$50,2,FALSE)*C607,VLOOKUP(R607,[1]Datos!$P$1:$T$50,2,FALSE)*C607),0)</f>
        <v>0</v>
      </c>
      <c r="P607" s="30"/>
      <c r="Q607" s="17" t="e">
        <f>+VLOOKUP(P607,[1]Datos!$F:$G,2,FALSE)</f>
        <v>#N/A</v>
      </c>
      <c r="S607" s="11">
        <f t="shared" si="9"/>
        <v>0</v>
      </c>
      <c r="T607" s="11" t="e">
        <f>+VLOOKUP(M607,[1]Datos!$F:$H,3,FALSE)</f>
        <v>#N/A</v>
      </c>
      <c r="U607" s="11">
        <v>0</v>
      </c>
      <c r="V607" s="19"/>
    </row>
    <row r="608" spans="1:22">
      <c r="A608" s="11" t="s">
        <v>25</v>
      </c>
      <c r="D608" s="11" t="s">
        <v>27</v>
      </c>
      <c r="E608" s="30" t="s">
        <v>73</v>
      </c>
      <c r="F608" s="30" t="s">
        <v>73</v>
      </c>
      <c r="H608" s="14"/>
      <c r="I608" s="14"/>
      <c r="J608" s="15" t="e">
        <f>+VLOOKUP(K608,[1]Datos!$A:$C,3,FALSE)</f>
        <v>#N/A</v>
      </c>
      <c r="L608" s="15" t="e">
        <f>+VLOOKUP(K608,[1]Datos!$A:$C,2,FALSE)</f>
        <v>#N/A</v>
      </c>
      <c r="N608" s="17" t="e">
        <f>+VLOOKUP(M608,[1]Datos!$F:$G,2,FALSE)</f>
        <v>#N/A</v>
      </c>
      <c r="O608" s="18">
        <f>IFERROR(IF(A608="SI",VLOOKUP(R608,[1]Datos!$J$1:$K$50,2,FALSE)*C608,VLOOKUP(R608,[1]Datos!$P$1:$T$50,2,FALSE)*C608),0)</f>
        <v>0</v>
      </c>
      <c r="P608" s="30"/>
      <c r="Q608" s="17" t="e">
        <f>+VLOOKUP(P608,[1]Datos!$F:$G,2,FALSE)</f>
        <v>#N/A</v>
      </c>
      <c r="S608" s="11">
        <f t="shared" si="9"/>
        <v>0</v>
      </c>
      <c r="T608" s="11" t="e">
        <f>+VLOOKUP(M608,[1]Datos!$F:$H,3,FALSE)</f>
        <v>#N/A</v>
      </c>
      <c r="U608" s="11">
        <v>0</v>
      </c>
      <c r="V608" s="19"/>
    </row>
    <row r="609" spans="1:22">
      <c r="A609" s="11" t="s">
        <v>25</v>
      </c>
      <c r="D609" s="11" t="s">
        <v>27</v>
      </c>
      <c r="E609" s="30" t="s">
        <v>73</v>
      </c>
      <c r="F609" s="30" t="s">
        <v>73</v>
      </c>
      <c r="H609" s="14"/>
      <c r="I609" s="14"/>
      <c r="J609" s="15" t="e">
        <f>+VLOOKUP(K609,[1]Datos!$A:$C,3,FALSE)</f>
        <v>#N/A</v>
      </c>
      <c r="L609" s="15" t="e">
        <f>+VLOOKUP(K609,[1]Datos!$A:$C,2,FALSE)</f>
        <v>#N/A</v>
      </c>
      <c r="N609" s="17" t="e">
        <f>+VLOOKUP(M609,[1]Datos!$F:$G,2,FALSE)</f>
        <v>#N/A</v>
      </c>
      <c r="O609" s="18">
        <f>IFERROR(IF(A609="SI",VLOOKUP(R609,[1]Datos!$J$1:$K$50,2,FALSE)*C609,VLOOKUP(R609,[1]Datos!$P$1:$T$50,2,FALSE)*C609),0)</f>
        <v>0</v>
      </c>
      <c r="P609" s="30"/>
      <c r="Q609" s="17" t="e">
        <f>+VLOOKUP(P609,[1]Datos!$F:$G,2,FALSE)</f>
        <v>#N/A</v>
      </c>
      <c r="S609" s="11">
        <f t="shared" si="9"/>
        <v>0</v>
      </c>
      <c r="T609" s="11" t="e">
        <f>+VLOOKUP(M609,[1]Datos!$F:$H,3,FALSE)</f>
        <v>#N/A</v>
      </c>
      <c r="U609" s="11">
        <v>0</v>
      </c>
      <c r="V609" s="19"/>
    </row>
    <row r="610" spans="1:22">
      <c r="A610" s="11" t="s">
        <v>25</v>
      </c>
      <c r="D610" s="11" t="s">
        <v>27</v>
      </c>
      <c r="E610" s="30" t="s">
        <v>73</v>
      </c>
      <c r="F610" s="30" t="s">
        <v>73</v>
      </c>
      <c r="H610" s="14"/>
      <c r="I610" s="14"/>
      <c r="J610" s="15" t="e">
        <f>+VLOOKUP(K610,[1]Datos!$A:$C,3,FALSE)</f>
        <v>#N/A</v>
      </c>
      <c r="L610" s="15" t="e">
        <f>+VLOOKUP(K610,[1]Datos!$A:$C,2,FALSE)</f>
        <v>#N/A</v>
      </c>
      <c r="N610" s="17" t="e">
        <f>+VLOOKUP(M610,[1]Datos!$F:$G,2,FALSE)</f>
        <v>#N/A</v>
      </c>
      <c r="O610" s="18">
        <f>IFERROR(IF(A610="SI",VLOOKUP(R610,[1]Datos!$J$1:$K$50,2,FALSE)*C610,VLOOKUP(R610,[1]Datos!$P$1:$T$50,2,FALSE)*C610),0)</f>
        <v>0</v>
      </c>
      <c r="P610" s="30"/>
      <c r="Q610" s="17" t="e">
        <f>+VLOOKUP(P610,[1]Datos!$F:$G,2,FALSE)</f>
        <v>#N/A</v>
      </c>
      <c r="S610" s="11">
        <f t="shared" si="9"/>
        <v>0</v>
      </c>
      <c r="T610" s="11" t="e">
        <f>+VLOOKUP(M610,[1]Datos!$F:$H,3,FALSE)</f>
        <v>#N/A</v>
      </c>
      <c r="U610" s="11">
        <v>0</v>
      </c>
      <c r="V610" s="19"/>
    </row>
    <row r="611" spans="1:22">
      <c r="A611" s="11" t="s">
        <v>25</v>
      </c>
      <c r="D611" s="11" t="s">
        <v>27</v>
      </c>
      <c r="E611" s="30" t="s">
        <v>73</v>
      </c>
      <c r="F611" s="30" t="s">
        <v>73</v>
      </c>
      <c r="H611" s="14"/>
      <c r="I611" s="14"/>
      <c r="J611" s="15" t="e">
        <f>+VLOOKUP(K611,[1]Datos!$A:$C,3,FALSE)</f>
        <v>#N/A</v>
      </c>
      <c r="L611" s="15" t="e">
        <f>+VLOOKUP(K611,[1]Datos!$A:$C,2,FALSE)</f>
        <v>#N/A</v>
      </c>
      <c r="N611" s="17" t="e">
        <f>+VLOOKUP(M611,[1]Datos!$F:$G,2,FALSE)</f>
        <v>#N/A</v>
      </c>
      <c r="O611" s="18">
        <f>IFERROR(IF(A611="SI",VLOOKUP(R611,[1]Datos!$J$1:$K$50,2,FALSE)*C611,VLOOKUP(R611,[1]Datos!$P$1:$T$50,2,FALSE)*C611),0)</f>
        <v>0</v>
      </c>
      <c r="P611" s="30"/>
      <c r="Q611" s="17" t="e">
        <f>+VLOOKUP(P611,[1]Datos!$F:$G,2,FALSE)</f>
        <v>#N/A</v>
      </c>
      <c r="S611" s="11">
        <f t="shared" si="9"/>
        <v>0</v>
      </c>
      <c r="T611" s="11" t="e">
        <f>+VLOOKUP(M611,[1]Datos!$F:$H,3,FALSE)</f>
        <v>#N/A</v>
      </c>
      <c r="U611" s="11">
        <v>0</v>
      </c>
      <c r="V611" s="19"/>
    </row>
    <row r="612" spans="1:22">
      <c r="A612" s="11" t="s">
        <v>25</v>
      </c>
      <c r="D612" s="11" t="s">
        <v>27</v>
      </c>
      <c r="E612" s="30" t="s">
        <v>73</v>
      </c>
      <c r="F612" s="30" t="s">
        <v>73</v>
      </c>
      <c r="H612" s="14"/>
      <c r="I612" s="14"/>
      <c r="J612" s="15" t="e">
        <f>+VLOOKUP(K612,[1]Datos!$A:$C,3,FALSE)</f>
        <v>#N/A</v>
      </c>
      <c r="L612" s="15" t="e">
        <f>+VLOOKUP(K612,[1]Datos!$A:$C,2,FALSE)</f>
        <v>#N/A</v>
      </c>
      <c r="N612" s="17" t="e">
        <f>+VLOOKUP(M612,[1]Datos!$F:$G,2,FALSE)</f>
        <v>#N/A</v>
      </c>
      <c r="O612" s="18">
        <f>IFERROR(IF(A612="SI",VLOOKUP(R612,[1]Datos!$J$1:$K$50,2,FALSE)*C612,VLOOKUP(R612,[1]Datos!$P$1:$T$50,2,FALSE)*C612),0)</f>
        <v>0</v>
      </c>
      <c r="P612" s="30"/>
      <c r="Q612" s="17" t="e">
        <f>+VLOOKUP(P612,[1]Datos!$F:$G,2,FALSE)</f>
        <v>#N/A</v>
      </c>
      <c r="S612" s="11">
        <f t="shared" si="9"/>
        <v>0</v>
      </c>
      <c r="T612" s="11" t="e">
        <f>+VLOOKUP(M612,[1]Datos!$F:$H,3,FALSE)</f>
        <v>#N/A</v>
      </c>
      <c r="U612" s="11">
        <v>0</v>
      </c>
      <c r="V612" s="19"/>
    </row>
    <row r="613" spans="1:22">
      <c r="A613" s="11" t="s">
        <v>25</v>
      </c>
      <c r="D613" s="11" t="s">
        <v>27</v>
      </c>
      <c r="E613" s="30" t="s">
        <v>73</v>
      </c>
      <c r="F613" s="30" t="s">
        <v>73</v>
      </c>
      <c r="H613" s="14"/>
      <c r="I613" s="14"/>
      <c r="J613" s="15" t="e">
        <f>+VLOOKUP(K613,[1]Datos!$A:$C,3,FALSE)</f>
        <v>#N/A</v>
      </c>
      <c r="L613" s="15" t="e">
        <f>+VLOOKUP(K613,[1]Datos!$A:$C,2,FALSE)</f>
        <v>#N/A</v>
      </c>
      <c r="N613" s="17" t="e">
        <f>+VLOOKUP(M613,[1]Datos!$F:$G,2,FALSE)</f>
        <v>#N/A</v>
      </c>
      <c r="O613" s="18">
        <f>IFERROR(IF(A613="SI",VLOOKUP(R613,[1]Datos!$J$1:$K$50,2,FALSE)*C613,VLOOKUP(R613,[1]Datos!$P$1:$T$50,2,FALSE)*C613),0)</f>
        <v>0</v>
      </c>
      <c r="P613" s="30"/>
      <c r="Q613" s="17" t="e">
        <f>+VLOOKUP(P613,[1]Datos!$F:$G,2,FALSE)</f>
        <v>#N/A</v>
      </c>
      <c r="S613" s="11">
        <f t="shared" si="9"/>
        <v>0</v>
      </c>
      <c r="T613" s="11" t="e">
        <f>+VLOOKUP(M613,[1]Datos!$F:$H,3,FALSE)</f>
        <v>#N/A</v>
      </c>
      <c r="U613" s="11">
        <v>0</v>
      </c>
      <c r="V613" s="19"/>
    </row>
    <row r="614" spans="1:22">
      <c r="A614" s="11" t="s">
        <v>25</v>
      </c>
      <c r="D614" s="11" t="s">
        <v>27</v>
      </c>
      <c r="E614" s="30" t="s">
        <v>73</v>
      </c>
      <c r="F614" s="30" t="s">
        <v>73</v>
      </c>
      <c r="H614" s="14"/>
      <c r="I614" s="14"/>
      <c r="J614" s="15" t="e">
        <f>+VLOOKUP(K614,[1]Datos!$A:$C,3,FALSE)</f>
        <v>#N/A</v>
      </c>
      <c r="L614" s="15" t="e">
        <f>+VLOOKUP(K614,[1]Datos!$A:$C,2,FALSE)</f>
        <v>#N/A</v>
      </c>
      <c r="N614" s="17" t="e">
        <f>+VLOOKUP(M614,[1]Datos!$F:$G,2,FALSE)</f>
        <v>#N/A</v>
      </c>
      <c r="O614" s="18">
        <f>IFERROR(IF(A614="SI",VLOOKUP(R614,[1]Datos!$J$1:$K$50,2,FALSE)*C614,VLOOKUP(R614,[1]Datos!$P$1:$T$50,2,FALSE)*C614),0)</f>
        <v>0</v>
      </c>
      <c r="P614" s="30"/>
      <c r="Q614" s="17" t="e">
        <f>+VLOOKUP(P614,[1]Datos!$F:$G,2,FALSE)</f>
        <v>#N/A</v>
      </c>
      <c r="S614" s="11">
        <f t="shared" si="9"/>
        <v>0</v>
      </c>
      <c r="T614" s="11" t="e">
        <f>+VLOOKUP(M614,[1]Datos!$F:$H,3,FALSE)</f>
        <v>#N/A</v>
      </c>
      <c r="U614" s="11">
        <v>0</v>
      </c>
      <c r="V614" s="19"/>
    </row>
    <row r="615" spans="1:22">
      <c r="A615" s="11" t="s">
        <v>25</v>
      </c>
      <c r="D615" s="11" t="s">
        <v>27</v>
      </c>
      <c r="E615" s="30" t="s">
        <v>73</v>
      </c>
      <c r="F615" s="30" t="s">
        <v>73</v>
      </c>
      <c r="H615" s="14"/>
      <c r="I615" s="14"/>
      <c r="J615" s="15" t="e">
        <f>+VLOOKUP(K615,[1]Datos!$A:$C,3,FALSE)</f>
        <v>#N/A</v>
      </c>
      <c r="L615" s="15" t="e">
        <f>+VLOOKUP(K615,[1]Datos!$A:$C,2,FALSE)</f>
        <v>#N/A</v>
      </c>
      <c r="N615" s="17" t="e">
        <f>+VLOOKUP(M615,[1]Datos!$F:$G,2,FALSE)</f>
        <v>#N/A</v>
      </c>
      <c r="O615" s="18">
        <f>IFERROR(IF(A615="SI",VLOOKUP(R615,[1]Datos!$J$1:$K$50,2,FALSE)*C615,VLOOKUP(R615,[1]Datos!$P$1:$T$50,2,FALSE)*C615),0)</f>
        <v>0</v>
      </c>
      <c r="P615" s="30"/>
      <c r="Q615" s="17" t="e">
        <f>+VLOOKUP(P615,[1]Datos!$F:$G,2,FALSE)</f>
        <v>#N/A</v>
      </c>
      <c r="S615" s="11">
        <f t="shared" si="9"/>
        <v>0</v>
      </c>
      <c r="T615" s="11" t="e">
        <f>+VLOOKUP(M615,[1]Datos!$F:$H,3,FALSE)</f>
        <v>#N/A</v>
      </c>
      <c r="U615" s="11">
        <v>0</v>
      </c>
      <c r="V615" s="19"/>
    </row>
    <row r="616" spans="1:22">
      <c r="A616" s="11" t="s">
        <v>25</v>
      </c>
      <c r="D616" s="11" t="s">
        <v>27</v>
      </c>
      <c r="E616" s="30" t="s">
        <v>73</v>
      </c>
      <c r="F616" s="30" t="s">
        <v>73</v>
      </c>
      <c r="H616" s="14"/>
      <c r="I616" s="14"/>
      <c r="J616" s="15" t="e">
        <f>+VLOOKUP(K616,[1]Datos!$A:$C,3,FALSE)</f>
        <v>#N/A</v>
      </c>
      <c r="L616" s="15" t="e">
        <f>+VLOOKUP(K616,[1]Datos!$A:$C,2,FALSE)</f>
        <v>#N/A</v>
      </c>
      <c r="N616" s="17" t="e">
        <f>+VLOOKUP(M616,[1]Datos!$F:$G,2,FALSE)</f>
        <v>#N/A</v>
      </c>
      <c r="O616" s="18">
        <f>IFERROR(IF(A616="SI",VLOOKUP(R616,[1]Datos!$J$1:$K$50,2,FALSE)*C616,VLOOKUP(R616,[1]Datos!$P$1:$T$50,2,FALSE)*C616),0)</f>
        <v>0</v>
      </c>
      <c r="P616" s="30"/>
      <c r="Q616" s="17" t="e">
        <f>+VLOOKUP(P616,[1]Datos!$F:$G,2,FALSE)</f>
        <v>#N/A</v>
      </c>
      <c r="S616" s="11">
        <f t="shared" si="9"/>
        <v>0</v>
      </c>
      <c r="T616" s="11" t="e">
        <f>+VLOOKUP(M616,[1]Datos!$F:$H,3,FALSE)</f>
        <v>#N/A</v>
      </c>
      <c r="U616" s="11">
        <v>0</v>
      </c>
      <c r="V616" s="19"/>
    </row>
    <row r="617" spans="1:22">
      <c r="A617" s="11" t="s">
        <v>25</v>
      </c>
      <c r="D617" s="11" t="s">
        <v>27</v>
      </c>
      <c r="E617" s="30" t="s">
        <v>73</v>
      </c>
      <c r="F617" s="30" t="s">
        <v>73</v>
      </c>
      <c r="H617" s="14"/>
      <c r="I617" s="14"/>
      <c r="J617" s="15" t="e">
        <f>+VLOOKUP(K617,[1]Datos!$A:$C,3,FALSE)</f>
        <v>#N/A</v>
      </c>
      <c r="L617" s="15" t="e">
        <f>+VLOOKUP(K617,[1]Datos!$A:$C,2,FALSE)</f>
        <v>#N/A</v>
      </c>
      <c r="N617" s="17" t="e">
        <f>+VLOOKUP(M617,[1]Datos!$F:$G,2,FALSE)</f>
        <v>#N/A</v>
      </c>
      <c r="O617" s="18">
        <f>IFERROR(IF(A617="SI",VLOOKUP(R617,[1]Datos!$J$1:$K$50,2,FALSE)*C617,VLOOKUP(R617,[1]Datos!$P$1:$T$50,2,FALSE)*C617),0)</f>
        <v>0</v>
      </c>
      <c r="P617" s="30"/>
      <c r="Q617" s="17" t="e">
        <f>+VLOOKUP(P617,[1]Datos!$F:$G,2,FALSE)</f>
        <v>#N/A</v>
      </c>
      <c r="S617" s="11">
        <f t="shared" si="9"/>
        <v>0</v>
      </c>
      <c r="T617" s="11" t="e">
        <f>+VLOOKUP(M617,[1]Datos!$F:$H,3,FALSE)</f>
        <v>#N/A</v>
      </c>
      <c r="U617" s="11">
        <v>0</v>
      </c>
      <c r="V617" s="19"/>
    </row>
    <row r="618" spans="1:22">
      <c r="A618" s="11" t="s">
        <v>25</v>
      </c>
      <c r="D618" s="11" t="s">
        <v>27</v>
      </c>
      <c r="E618" s="30" t="s">
        <v>73</v>
      </c>
      <c r="F618" s="30" t="s">
        <v>73</v>
      </c>
      <c r="H618" s="14"/>
      <c r="I618" s="14"/>
      <c r="J618" s="15" t="e">
        <f>+VLOOKUP(K618,[1]Datos!$A:$C,3,FALSE)</f>
        <v>#N/A</v>
      </c>
      <c r="L618" s="15" t="e">
        <f>+VLOOKUP(K618,[1]Datos!$A:$C,2,FALSE)</f>
        <v>#N/A</v>
      </c>
      <c r="N618" s="17" t="e">
        <f>+VLOOKUP(M618,[1]Datos!$F:$G,2,FALSE)</f>
        <v>#N/A</v>
      </c>
      <c r="O618" s="18">
        <f>IFERROR(IF(A618="SI",VLOOKUP(R618,[1]Datos!$J$1:$K$50,2,FALSE)*C618,VLOOKUP(R618,[1]Datos!$P$1:$T$50,2,FALSE)*C618),0)</f>
        <v>0</v>
      </c>
      <c r="P618" s="30"/>
      <c r="Q618" s="17" t="e">
        <f>+VLOOKUP(P618,[1]Datos!$F:$G,2,FALSE)</f>
        <v>#N/A</v>
      </c>
      <c r="S618" s="11">
        <f t="shared" si="9"/>
        <v>0</v>
      </c>
      <c r="T618" s="11" t="e">
        <f>+VLOOKUP(M618,[1]Datos!$F:$H,3,FALSE)</f>
        <v>#N/A</v>
      </c>
      <c r="U618" s="11">
        <v>0</v>
      </c>
      <c r="V618" s="19"/>
    </row>
    <row r="619" spans="1:22">
      <c r="A619" s="11" t="s">
        <v>25</v>
      </c>
      <c r="D619" s="11" t="s">
        <v>27</v>
      </c>
      <c r="E619" s="30" t="s">
        <v>73</v>
      </c>
      <c r="F619" s="30" t="s">
        <v>73</v>
      </c>
      <c r="H619" s="14"/>
      <c r="I619" s="14"/>
      <c r="J619" s="15" t="e">
        <f>+VLOOKUP(K619,[1]Datos!$A:$C,3,FALSE)</f>
        <v>#N/A</v>
      </c>
      <c r="L619" s="15" t="e">
        <f>+VLOOKUP(K619,[1]Datos!$A:$C,2,FALSE)</f>
        <v>#N/A</v>
      </c>
      <c r="N619" s="17" t="e">
        <f>+VLOOKUP(M619,[1]Datos!$F:$G,2,FALSE)</f>
        <v>#N/A</v>
      </c>
      <c r="O619" s="18">
        <f>IFERROR(IF(A619="SI",VLOOKUP(R619,[1]Datos!$J$1:$K$50,2,FALSE)*C619,VLOOKUP(R619,[1]Datos!$P$1:$T$50,2,FALSE)*C619),0)</f>
        <v>0</v>
      </c>
      <c r="P619" s="30"/>
      <c r="Q619" s="17" t="e">
        <f>+VLOOKUP(P619,[1]Datos!$F:$G,2,FALSE)</f>
        <v>#N/A</v>
      </c>
      <c r="S619" s="11">
        <f t="shared" si="9"/>
        <v>0</v>
      </c>
      <c r="T619" s="11" t="e">
        <f>+VLOOKUP(M619,[1]Datos!$F:$H,3,FALSE)</f>
        <v>#N/A</v>
      </c>
      <c r="U619" s="11">
        <v>0</v>
      </c>
      <c r="V619" s="19"/>
    </row>
    <row r="620" spans="1:22">
      <c r="A620" s="11" t="s">
        <v>25</v>
      </c>
      <c r="D620" s="11" t="s">
        <v>27</v>
      </c>
      <c r="E620" s="30" t="s">
        <v>73</v>
      </c>
      <c r="F620" s="30" t="s">
        <v>73</v>
      </c>
      <c r="H620" s="14"/>
      <c r="I620" s="14"/>
      <c r="J620" s="15" t="e">
        <f>+VLOOKUP(K620,[1]Datos!$A:$C,3,FALSE)</f>
        <v>#N/A</v>
      </c>
      <c r="L620" s="15" t="e">
        <f>+VLOOKUP(K620,[1]Datos!$A:$C,2,FALSE)</f>
        <v>#N/A</v>
      </c>
      <c r="N620" s="17" t="e">
        <f>+VLOOKUP(M620,[1]Datos!$F:$G,2,FALSE)</f>
        <v>#N/A</v>
      </c>
      <c r="O620" s="18">
        <f>IFERROR(IF(A620="SI",VLOOKUP(R620,[1]Datos!$J$1:$K$50,2,FALSE)*C620,VLOOKUP(R620,[1]Datos!$P$1:$T$50,2,FALSE)*C620),0)</f>
        <v>0</v>
      </c>
      <c r="P620" s="30"/>
      <c r="Q620" s="17" t="e">
        <f>+VLOOKUP(P620,[1]Datos!$F:$G,2,FALSE)</f>
        <v>#N/A</v>
      </c>
      <c r="S620" s="11">
        <f t="shared" si="9"/>
        <v>0</v>
      </c>
      <c r="T620" s="11" t="e">
        <f>+VLOOKUP(M620,[1]Datos!$F:$H,3,FALSE)</f>
        <v>#N/A</v>
      </c>
      <c r="U620" s="11">
        <v>0</v>
      </c>
      <c r="V620" s="19"/>
    </row>
    <row r="621" spans="1:22">
      <c r="A621" s="11" t="s">
        <v>25</v>
      </c>
      <c r="D621" s="11" t="s">
        <v>27</v>
      </c>
      <c r="E621" s="30" t="s">
        <v>73</v>
      </c>
      <c r="F621" s="30" t="s">
        <v>73</v>
      </c>
      <c r="H621" s="14"/>
      <c r="I621" s="14"/>
      <c r="J621" s="15" t="e">
        <f>+VLOOKUP(K621,[1]Datos!$A:$C,3,FALSE)</f>
        <v>#N/A</v>
      </c>
      <c r="L621" s="15" t="e">
        <f>+VLOOKUP(K621,[1]Datos!$A:$C,2,FALSE)</f>
        <v>#N/A</v>
      </c>
      <c r="N621" s="17" t="e">
        <f>+VLOOKUP(M621,[1]Datos!$F:$G,2,FALSE)</f>
        <v>#N/A</v>
      </c>
      <c r="O621" s="18">
        <f>IFERROR(IF(A621="SI",VLOOKUP(R621,[1]Datos!$J$1:$K$50,2,FALSE)*C621,VLOOKUP(R621,[1]Datos!$P$1:$T$50,2,FALSE)*C621),0)</f>
        <v>0</v>
      </c>
      <c r="P621" s="30"/>
      <c r="Q621" s="17" t="e">
        <f>+VLOOKUP(P621,[1]Datos!$F:$G,2,FALSE)</f>
        <v>#N/A</v>
      </c>
      <c r="S621" s="11">
        <f t="shared" si="9"/>
        <v>0</v>
      </c>
      <c r="T621" s="11" t="e">
        <f>+VLOOKUP(M621,[1]Datos!$F:$H,3,FALSE)</f>
        <v>#N/A</v>
      </c>
      <c r="U621" s="11">
        <v>0</v>
      </c>
      <c r="V621" s="19"/>
    </row>
    <row r="622" spans="1:22">
      <c r="A622" s="11" t="s">
        <v>25</v>
      </c>
      <c r="D622" s="11" t="s">
        <v>27</v>
      </c>
      <c r="E622" s="30" t="s">
        <v>73</v>
      </c>
      <c r="F622" s="30" t="s">
        <v>73</v>
      </c>
      <c r="H622" s="14"/>
      <c r="I622" s="14"/>
      <c r="J622" s="15" t="e">
        <f>+VLOOKUP(K622,[1]Datos!$A:$C,3,FALSE)</f>
        <v>#N/A</v>
      </c>
      <c r="L622" s="15" t="e">
        <f>+VLOOKUP(K622,[1]Datos!$A:$C,2,FALSE)</f>
        <v>#N/A</v>
      </c>
      <c r="N622" s="17" t="e">
        <f>+VLOOKUP(M622,[1]Datos!$F:$G,2,FALSE)</f>
        <v>#N/A</v>
      </c>
      <c r="O622" s="18">
        <f>IFERROR(IF(A622="SI",VLOOKUP(R622,[1]Datos!$J$1:$K$50,2,FALSE)*C622,VLOOKUP(R622,[1]Datos!$P$1:$T$50,2,FALSE)*C622),0)</f>
        <v>0</v>
      </c>
      <c r="P622" s="30"/>
      <c r="Q622" s="17" t="e">
        <f>+VLOOKUP(P622,[1]Datos!$F:$G,2,FALSE)</f>
        <v>#N/A</v>
      </c>
      <c r="S622" s="11">
        <f t="shared" si="9"/>
        <v>0</v>
      </c>
      <c r="T622" s="11" t="e">
        <f>+VLOOKUP(M622,[1]Datos!$F:$H,3,FALSE)</f>
        <v>#N/A</v>
      </c>
      <c r="U622" s="11">
        <v>0</v>
      </c>
      <c r="V622" s="19"/>
    </row>
    <row r="623" spans="1:22">
      <c r="A623" s="11" t="s">
        <v>25</v>
      </c>
      <c r="D623" s="11" t="s">
        <v>27</v>
      </c>
      <c r="E623" s="30" t="s">
        <v>73</v>
      </c>
      <c r="F623" s="30" t="s">
        <v>73</v>
      </c>
      <c r="H623" s="14"/>
      <c r="I623" s="14"/>
      <c r="J623" s="15" t="e">
        <f>+VLOOKUP(K623,[1]Datos!$A:$C,3,FALSE)</f>
        <v>#N/A</v>
      </c>
      <c r="L623" s="15" t="e">
        <f>+VLOOKUP(K623,[1]Datos!$A:$C,2,FALSE)</f>
        <v>#N/A</v>
      </c>
      <c r="N623" s="17" t="e">
        <f>+VLOOKUP(M623,[1]Datos!$F:$G,2,FALSE)</f>
        <v>#N/A</v>
      </c>
      <c r="O623" s="18">
        <f>IFERROR(IF(A623="SI",VLOOKUP(R623,[1]Datos!$J$1:$K$50,2,FALSE)*C623,VLOOKUP(R623,[1]Datos!$P$1:$T$50,2,FALSE)*C623),0)</f>
        <v>0</v>
      </c>
      <c r="P623" s="30"/>
      <c r="Q623" s="17" t="e">
        <f>+VLOOKUP(P623,[1]Datos!$F:$G,2,FALSE)</f>
        <v>#N/A</v>
      </c>
      <c r="S623" s="11">
        <f t="shared" si="9"/>
        <v>0</v>
      </c>
      <c r="T623" s="11" t="e">
        <f>+VLOOKUP(M623,[1]Datos!$F:$H,3,FALSE)</f>
        <v>#N/A</v>
      </c>
      <c r="U623" s="11">
        <v>0</v>
      </c>
      <c r="V623" s="19"/>
    </row>
    <row r="624" spans="1:22">
      <c r="A624" s="11" t="s">
        <v>25</v>
      </c>
      <c r="D624" s="11" t="s">
        <v>27</v>
      </c>
      <c r="E624" s="30" t="s">
        <v>73</v>
      </c>
      <c r="F624" s="30" t="s">
        <v>73</v>
      </c>
      <c r="H624" s="14"/>
      <c r="I624" s="14"/>
      <c r="J624" s="15" t="e">
        <f>+VLOOKUP(K624,[1]Datos!$A:$C,3,FALSE)</f>
        <v>#N/A</v>
      </c>
      <c r="L624" s="15" t="e">
        <f>+VLOOKUP(K624,[1]Datos!$A:$C,2,FALSE)</f>
        <v>#N/A</v>
      </c>
      <c r="N624" s="17" t="e">
        <f>+VLOOKUP(M624,[1]Datos!$F:$G,2,FALSE)</f>
        <v>#N/A</v>
      </c>
      <c r="O624" s="18">
        <f>IFERROR(IF(A624="SI",VLOOKUP(R624,[1]Datos!$J$1:$K$50,2,FALSE)*C624,VLOOKUP(R624,[1]Datos!$P$1:$T$50,2,FALSE)*C624),0)</f>
        <v>0</v>
      </c>
      <c r="P624" s="30"/>
      <c r="Q624" s="17" t="e">
        <f>+VLOOKUP(P624,[1]Datos!$F:$G,2,FALSE)</f>
        <v>#N/A</v>
      </c>
      <c r="S624" s="11">
        <f t="shared" si="9"/>
        <v>0</v>
      </c>
      <c r="T624" s="11" t="e">
        <f>+VLOOKUP(M624,[1]Datos!$F:$H,3,FALSE)</f>
        <v>#N/A</v>
      </c>
      <c r="U624" s="11">
        <v>0</v>
      </c>
      <c r="V624" s="19"/>
    </row>
    <row r="625" spans="1:22">
      <c r="A625" s="11" t="s">
        <v>25</v>
      </c>
      <c r="D625" s="11" t="s">
        <v>27</v>
      </c>
      <c r="E625" s="30" t="s">
        <v>73</v>
      </c>
      <c r="F625" s="30" t="s">
        <v>73</v>
      </c>
      <c r="H625" s="14"/>
      <c r="I625" s="14"/>
      <c r="J625" s="15" t="e">
        <f>+VLOOKUP(K625,[1]Datos!$A:$C,3,FALSE)</f>
        <v>#N/A</v>
      </c>
      <c r="L625" s="15" t="e">
        <f>+VLOOKUP(K625,[1]Datos!$A:$C,2,FALSE)</f>
        <v>#N/A</v>
      </c>
      <c r="N625" s="17" t="e">
        <f>+VLOOKUP(M625,[1]Datos!$F:$G,2,FALSE)</f>
        <v>#N/A</v>
      </c>
      <c r="O625" s="18">
        <f>IFERROR(IF(A625="SI",VLOOKUP(R625,[1]Datos!$J$1:$K$50,2,FALSE)*C625,VLOOKUP(R625,[1]Datos!$P$1:$T$50,2,FALSE)*C625),0)</f>
        <v>0</v>
      </c>
      <c r="P625" s="30"/>
      <c r="Q625" s="17" t="e">
        <f>+VLOOKUP(P625,[1]Datos!$F:$G,2,FALSE)</f>
        <v>#N/A</v>
      </c>
      <c r="S625" s="11">
        <f t="shared" si="9"/>
        <v>0</v>
      </c>
      <c r="T625" s="11" t="e">
        <f>+VLOOKUP(M625,[1]Datos!$F:$H,3,FALSE)</f>
        <v>#N/A</v>
      </c>
      <c r="U625" s="11">
        <v>0</v>
      </c>
      <c r="V625" s="19"/>
    </row>
    <row r="626" spans="1:22">
      <c r="A626" s="11" t="s">
        <v>25</v>
      </c>
      <c r="D626" s="11" t="s">
        <v>27</v>
      </c>
      <c r="E626" s="30" t="s">
        <v>73</v>
      </c>
      <c r="F626" s="30" t="s">
        <v>73</v>
      </c>
      <c r="H626" s="14"/>
      <c r="I626" s="14"/>
      <c r="J626" s="15" t="e">
        <f>+VLOOKUP(K626,[1]Datos!$A:$C,3,FALSE)</f>
        <v>#N/A</v>
      </c>
      <c r="L626" s="15" t="e">
        <f>+VLOOKUP(K626,[1]Datos!$A:$C,2,FALSE)</f>
        <v>#N/A</v>
      </c>
      <c r="N626" s="17" t="e">
        <f>+VLOOKUP(M626,[1]Datos!$F:$G,2,FALSE)</f>
        <v>#N/A</v>
      </c>
      <c r="O626" s="18">
        <f>IFERROR(IF(A626="SI",VLOOKUP(R626,[1]Datos!$J$1:$K$50,2,FALSE)*C626,VLOOKUP(R626,[1]Datos!$P$1:$T$50,2,FALSE)*C626),0)</f>
        <v>0</v>
      </c>
      <c r="P626" s="30"/>
      <c r="Q626" s="17" t="e">
        <f>+VLOOKUP(P626,[1]Datos!$F:$G,2,FALSE)</f>
        <v>#N/A</v>
      </c>
      <c r="S626" s="11">
        <f t="shared" si="9"/>
        <v>0</v>
      </c>
      <c r="T626" s="11" t="e">
        <f>+VLOOKUP(M626,[1]Datos!$F:$H,3,FALSE)</f>
        <v>#N/A</v>
      </c>
      <c r="U626" s="11">
        <v>0</v>
      </c>
      <c r="V626" s="19"/>
    </row>
    <row r="627" spans="1:22">
      <c r="A627" s="11" t="s">
        <v>25</v>
      </c>
      <c r="D627" s="11" t="s">
        <v>27</v>
      </c>
      <c r="E627" s="30" t="s">
        <v>73</v>
      </c>
      <c r="F627" s="30" t="s">
        <v>73</v>
      </c>
      <c r="H627" s="14"/>
      <c r="I627" s="14"/>
      <c r="J627" s="15" t="e">
        <f>+VLOOKUP(K627,[1]Datos!$A:$C,3,FALSE)</f>
        <v>#N/A</v>
      </c>
      <c r="L627" s="15" t="e">
        <f>+VLOOKUP(K627,[1]Datos!$A:$C,2,FALSE)</f>
        <v>#N/A</v>
      </c>
      <c r="N627" s="17" t="e">
        <f>+VLOOKUP(M627,[1]Datos!$F:$G,2,FALSE)</f>
        <v>#N/A</v>
      </c>
      <c r="O627" s="18">
        <f>IFERROR(IF(A627="SI",VLOOKUP(R627,[1]Datos!$J$1:$K$50,2,FALSE)*C627,VLOOKUP(R627,[1]Datos!$P$1:$T$50,2,FALSE)*C627),0)</f>
        <v>0</v>
      </c>
      <c r="P627" s="30"/>
      <c r="Q627" s="17" t="e">
        <f>+VLOOKUP(P627,[1]Datos!$F:$G,2,FALSE)</f>
        <v>#N/A</v>
      </c>
      <c r="S627" s="11">
        <f t="shared" si="9"/>
        <v>0</v>
      </c>
      <c r="T627" s="11" t="e">
        <f>+VLOOKUP(M627,[1]Datos!$F:$H,3,FALSE)</f>
        <v>#N/A</v>
      </c>
      <c r="U627" s="11">
        <v>0</v>
      </c>
      <c r="V627" s="19"/>
    </row>
    <row r="628" spans="1:22">
      <c r="A628" s="11" t="s">
        <v>25</v>
      </c>
      <c r="D628" s="11" t="s">
        <v>27</v>
      </c>
      <c r="E628" s="30" t="s">
        <v>73</v>
      </c>
      <c r="F628" s="30" t="s">
        <v>73</v>
      </c>
      <c r="H628" s="14"/>
      <c r="I628" s="14"/>
      <c r="J628" s="15" t="e">
        <f>+VLOOKUP(K628,[1]Datos!$A:$C,3,FALSE)</f>
        <v>#N/A</v>
      </c>
      <c r="L628" s="15" t="e">
        <f>+VLOOKUP(K628,[1]Datos!$A:$C,2,FALSE)</f>
        <v>#N/A</v>
      </c>
      <c r="N628" s="17" t="e">
        <f>+VLOOKUP(M628,[1]Datos!$F:$G,2,FALSE)</f>
        <v>#N/A</v>
      </c>
      <c r="O628" s="18">
        <f>IFERROR(IF(A628="SI",VLOOKUP(R628,[1]Datos!$J$1:$K$50,2,FALSE)*C628,VLOOKUP(R628,[1]Datos!$P$1:$T$50,2,FALSE)*C628),0)</f>
        <v>0</v>
      </c>
      <c r="P628" s="30"/>
      <c r="Q628" s="17" t="e">
        <f>+VLOOKUP(P628,[1]Datos!$F:$G,2,FALSE)</f>
        <v>#N/A</v>
      </c>
      <c r="S628" s="11">
        <f t="shared" si="9"/>
        <v>0</v>
      </c>
      <c r="T628" s="11" t="e">
        <f>+VLOOKUP(M628,[1]Datos!$F:$H,3,FALSE)</f>
        <v>#N/A</v>
      </c>
      <c r="U628" s="11">
        <v>0</v>
      </c>
      <c r="V628" s="19"/>
    </row>
    <row r="629" spans="1:22">
      <c r="A629" s="11" t="s">
        <v>25</v>
      </c>
      <c r="D629" s="11" t="s">
        <v>27</v>
      </c>
      <c r="E629" s="30" t="s">
        <v>73</v>
      </c>
      <c r="F629" s="30" t="s">
        <v>73</v>
      </c>
      <c r="H629" s="14"/>
      <c r="I629" s="14"/>
      <c r="J629" s="15" t="e">
        <f>+VLOOKUP(K629,[1]Datos!$A:$C,3,FALSE)</f>
        <v>#N/A</v>
      </c>
      <c r="L629" s="15" t="e">
        <f>+VLOOKUP(K629,[1]Datos!$A:$C,2,FALSE)</f>
        <v>#N/A</v>
      </c>
      <c r="N629" s="17" t="e">
        <f>+VLOOKUP(M629,[1]Datos!$F:$G,2,FALSE)</f>
        <v>#N/A</v>
      </c>
      <c r="O629" s="18">
        <f>IFERROR(IF(A629="SI",VLOOKUP(R629,[1]Datos!$J$1:$K$50,2,FALSE)*C629,VLOOKUP(R629,[1]Datos!$P$1:$T$50,2,FALSE)*C629),0)</f>
        <v>0</v>
      </c>
      <c r="P629" s="30"/>
      <c r="Q629" s="17" t="e">
        <f>+VLOOKUP(P629,[1]Datos!$F:$G,2,FALSE)</f>
        <v>#N/A</v>
      </c>
      <c r="S629" s="11">
        <f t="shared" si="9"/>
        <v>0</v>
      </c>
      <c r="T629" s="11" t="e">
        <f>+VLOOKUP(M629,[1]Datos!$F:$H,3,FALSE)</f>
        <v>#N/A</v>
      </c>
      <c r="U629" s="11">
        <v>0</v>
      </c>
      <c r="V629" s="19"/>
    </row>
    <row r="630" spans="1:22">
      <c r="A630" s="11" t="s">
        <v>25</v>
      </c>
      <c r="D630" s="11" t="s">
        <v>27</v>
      </c>
      <c r="E630" s="30" t="s">
        <v>73</v>
      </c>
      <c r="F630" s="30" t="s">
        <v>73</v>
      </c>
      <c r="H630" s="14"/>
      <c r="I630" s="14"/>
      <c r="J630" s="15" t="e">
        <f>+VLOOKUP(K630,[1]Datos!$A:$C,3,FALSE)</f>
        <v>#N/A</v>
      </c>
      <c r="L630" s="15" t="e">
        <f>+VLOOKUP(K630,[1]Datos!$A:$C,2,FALSE)</f>
        <v>#N/A</v>
      </c>
      <c r="N630" s="17" t="e">
        <f>+VLOOKUP(M630,[1]Datos!$F:$G,2,FALSE)</f>
        <v>#N/A</v>
      </c>
      <c r="O630" s="18">
        <f>IFERROR(IF(A630="SI",VLOOKUP(R630,[1]Datos!$J$1:$K$50,2,FALSE)*C630,VLOOKUP(R630,[1]Datos!$P$1:$T$50,2,FALSE)*C630),0)</f>
        <v>0</v>
      </c>
      <c r="P630" s="30"/>
      <c r="Q630" s="17" t="e">
        <f>+VLOOKUP(P630,[1]Datos!$F:$G,2,FALSE)</f>
        <v>#N/A</v>
      </c>
      <c r="S630" s="11">
        <f t="shared" si="9"/>
        <v>0</v>
      </c>
      <c r="T630" s="11" t="e">
        <f>+VLOOKUP(M630,[1]Datos!$F:$H,3,FALSE)</f>
        <v>#N/A</v>
      </c>
      <c r="U630" s="11">
        <v>0</v>
      </c>
      <c r="V630" s="19"/>
    </row>
    <row r="631" spans="1:22">
      <c r="A631" s="11" t="s">
        <v>25</v>
      </c>
      <c r="D631" s="11" t="s">
        <v>27</v>
      </c>
      <c r="E631" s="30" t="s">
        <v>73</v>
      </c>
      <c r="F631" s="30" t="s">
        <v>73</v>
      </c>
      <c r="H631" s="14"/>
      <c r="I631" s="14"/>
      <c r="J631" s="15" t="e">
        <f>+VLOOKUP(K631,[1]Datos!$A:$C,3,FALSE)</f>
        <v>#N/A</v>
      </c>
      <c r="L631" s="15" t="e">
        <f>+VLOOKUP(K631,[1]Datos!$A:$C,2,FALSE)</f>
        <v>#N/A</v>
      </c>
      <c r="N631" s="17" t="e">
        <f>+VLOOKUP(M631,[1]Datos!$F:$G,2,FALSE)</f>
        <v>#N/A</v>
      </c>
      <c r="O631" s="18">
        <f>IFERROR(IF(A631="SI",VLOOKUP(R631,[1]Datos!$J$1:$K$50,2,FALSE)*C631,VLOOKUP(R631,[1]Datos!$P$1:$T$50,2,FALSE)*C631),0)</f>
        <v>0</v>
      </c>
      <c r="P631" s="30"/>
      <c r="Q631" s="17" t="e">
        <f>+VLOOKUP(P631,[1]Datos!$F:$G,2,FALSE)</f>
        <v>#N/A</v>
      </c>
      <c r="S631" s="11">
        <f t="shared" si="9"/>
        <v>0</v>
      </c>
      <c r="T631" s="11" t="e">
        <f>+VLOOKUP(M631,[1]Datos!$F:$H,3,FALSE)</f>
        <v>#N/A</v>
      </c>
      <c r="U631" s="11">
        <v>0</v>
      </c>
      <c r="V631" s="19"/>
    </row>
    <row r="632" spans="1:22">
      <c r="A632" s="11" t="s">
        <v>25</v>
      </c>
      <c r="D632" s="11" t="s">
        <v>27</v>
      </c>
      <c r="E632" s="30" t="s">
        <v>73</v>
      </c>
      <c r="F632" s="30" t="s">
        <v>73</v>
      </c>
      <c r="H632" s="14"/>
      <c r="I632" s="14"/>
      <c r="J632" s="15" t="e">
        <f>+VLOOKUP(K632,[1]Datos!$A:$C,3,FALSE)</f>
        <v>#N/A</v>
      </c>
      <c r="L632" s="15" t="e">
        <f>+VLOOKUP(K632,[1]Datos!$A:$C,2,FALSE)</f>
        <v>#N/A</v>
      </c>
      <c r="N632" s="17" t="e">
        <f>+VLOOKUP(M632,[1]Datos!$F:$G,2,FALSE)</f>
        <v>#N/A</v>
      </c>
      <c r="O632" s="18">
        <f>IFERROR(IF(A632="SI",VLOOKUP(R632,[1]Datos!$J$1:$K$50,2,FALSE)*C632,VLOOKUP(R632,[1]Datos!$P$1:$T$50,2,FALSE)*C632),0)</f>
        <v>0</v>
      </c>
      <c r="P632" s="30"/>
      <c r="Q632" s="17" t="e">
        <f>+VLOOKUP(P632,[1]Datos!$F:$G,2,FALSE)</f>
        <v>#N/A</v>
      </c>
      <c r="S632" s="11">
        <f t="shared" si="9"/>
        <v>0</v>
      </c>
      <c r="T632" s="11" t="e">
        <f>+VLOOKUP(M632,[1]Datos!$F:$H,3,FALSE)</f>
        <v>#N/A</v>
      </c>
      <c r="U632" s="11">
        <v>0</v>
      </c>
      <c r="V632" s="19"/>
    </row>
    <row r="633" spans="1:22">
      <c r="A633" s="11" t="s">
        <v>25</v>
      </c>
      <c r="D633" s="11" t="s">
        <v>27</v>
      </c>
      <c r="E633" s="30" t="s">
        <v>73</v>
      </c>
      <c r="F633" s="30" t="s">
        <v>73</v>
      </c>
      <c r="H633" s="14"/>
      <c r="I633" s="14"/>
      <c r="J633" s="15" t="e">
        <f>+VLOOKUP(K633,[1]Datos!$A:$C,3,FALSE)</f>
        <v>#N/A</v>
      </c>
      <c r="L633" s="15" t="e">
        <f>+VLOOKUP(K633,[1]Datos!$A:$C,2,FALSE)</f>
        <v>#N/A</v>
      </c>
      <c r="N633" s="17" t="e">
        <f>+VLOOKUP(M633,[1]Datos!$F:$G,2,FALSE)</f>
        <v>#N/A</v>
      </c>
      <c r="O633" s="18">
        <f>IFERROR(IF(A633="SI",VLOOKUP(R633,[1]Datos!$J$1:$K$50,2,FALSE)*C633,VLOOKUP(R633,[1]Datos!$P$1:$T$50,2,FALSE)*C633),0)</f>
        <v>0</v>
      </c>
      <c r="P633" s="30"/>
      <c r="Q633" s="17" t="e">
        <f>+VLOOKUP(P633,[1]Datos!$F:$G,2,FALSE)</f>
        <v>#N/A</v>
      </c>
      <c r="S633" s="11">
        <f t="shared" si="9"/>
        <v>0</v>
      </c>
      <c r="T633" s="11" t="e">
        <f>+VLOOKUP(M633,[1]Datos!$F:$H,3,FALSE)</f>
        <v>#N/A</v>
      </c>
      <c r="U633" s="11">
        <v>0</v>
      </c>
      <c r="V633" s="19"/>
    </row>
    <row r="634" spans="1:22">
      <c r="A634" s="11" t="s">
        <v>25</v>
      </c>
      <c r="D634" s="11" t="s">
        <v>27</v>
      </c>
      <c r="E634" s="30" t="s">
        <v>73</v>
      </c>
      <c r="F634" s="30" t="s">
        <v>73</v>
      </c>
      <c r="H634" s="14"/>
      <c r="I634" s="14"/>
      <c r="J634" s="15" t="e">
        <f>+VLOOKUP(K634,[1]Datos!$A:$C,3,FALSE)</f>
        <v>#N/A</v>
      </c>
      <c r="L634" s="15" t="e">
        <f>+VLOOKUP(K634,[1]Datos!$A:$C,2,FALSE)</f>
        <v>#N/A</v>
      </c>
      <c r="N634" s="17" t="e">
        <f>+VLOOKUP(M634,[1]Datos!$F:$G,2,FALSE)</f>
        <v>#N/A</v>
      </c>
      <c r="O634" s="18">
        <f>IFERROR(IF(A634="SI",VLOOKUP(R634,[1]Datos!$J$1:$K$50,2,FALSE)*C634,VLOOKUP(R634,[1]Datos!$P$1:$T$50,2,FALSE)*C634),0)</f>
        <v>0</v>
      </c>
      <c r="P634" s="30"/>
      <c r="Q634" s="17" t="e">
        <f>+VLOOKUP(P634,[1]Datos!$F:$G,2,FALSE)</f>
        <v>#N/A</v>
      </c>
      <c r="R634" s="11" t="s">
        <v>30</v>
      </c>
      <c r="S634" s="11">
        <f t="shared" si="9"/>
        <v>0</v>
      </c>
      <c r="T634" s="11" t="e">
        <f>+VLOOKUP(M634,[1]Datos!$F:$H,3,FALSE)</f>
        <v>#N/A</v>
      </c>
      <c r="U634" s="11">
        <v>0</v>
      </c>
      <c r="V634" s="19"/>
    </row>
    <row r="635" spans="1:22">
      <c r="A635" s="11" t="s">
        <v>25</v>
      </c>
      <c r="D635" s="11" t="s">
        <v>27</v>
      </c>
      <c r="E635" s="30" t="s">
        <v>73</v>
      </c>
      <c r="F635" s="30" t="s">
        <v>73</v>
      </c>
      <c r="H635" s="14"/>
      <c r="I635" s="14"/>
      <c r="J635" s="15" t="e">
        <f>+VLOOKUP(K635,[1]Datos!$A:$C,3,FALSE)</f>
        <v>#N/A</v>
      </c>
      <c r="L635" s="15" t="e">
        <f>+VLOOKUP(K635,[1]Datos!$A:$C,2,FALSE)</f>
        <v>#N/A</v>
      </c>
      <c r="N635" s="17" t="e">
        <f>+VLOOKUP(M635,[1]Datos!$F:$G,2,FALSE)</f>
        <v>#N/A</v>
      </c>
      <c r="O635" s="18">
        <f>IFERROR(IF(A635="SI",VLOOKUP(R635,[1]Datos!$J$1:$K$50,2,FALSE)*C635,VLOOKUP(R635,[1]Datos!$P$1:$T$50,2,FALSE)*C635),0)</f>
        <v>0</v>
      </c>
      <c r="P635" s="30"/>
      <c r="Q635" s="17" t="e">
        <f>+VLOOKUP(P635,[1]Datos!$F:$G,2,FALSE)</f>
        <v>#N/A</v>
      </c>
      <c r="S635" s="11">
        <f t="shared" si="9"/>
        <v>0</v>
      </c>
      <c r="T635" s="11" t="e">
        <f>+VLOOKUP(M635,[1]Datos!$F:$H,3,FALSE)</f>
        <v>#N/A</v>
      </c>
      <c r="U635" s="11">
        <v>0</v>
      </c>
      <c r="V635" s="19"/>
    </row>
    <row r="636" spans="1:22">
      <c r="A636" s="11" t="s">
        <v>25</v>
      </c>
      <c r="D636" s="11" t="s">
        <v>27</v>
      </c>
      <c r="E636" s="30" t="s">
        <v>73</v>
      </c>
      <c r="F636" s="30" t="s">
        <v>73</v>
      </c>
      <c r="H636" s="14"/>
      <c r="I636" s="14"/>
      <c r="J636" s="15" t="e">
        <f>+VLOOKUP(K636,[1]Datos!$A:$C,3,FALSE)</f>
        <v>#N/A</v>
      </c>
      <c r="L636" s="15" t="e">
        <f>+VLOOKUP(K636,[1]Datos!$A:$C,2,FALSE)</f>
        <v>#N/A</v>
      </c>
      <c r="N636" s="17" t="e">
        <f>+VLOOKUP(M636,[1]Datos!$F:$G,2,FALSE)</f>
        <v>#N/A</v>
      </c>
      <c r="O636" s="18">
        <f>IFERROR(IF(A636="SI",VLOOKUP(R636,[1]Datos!$J$1:$K$50,2,FALSE)*C636,VLOOKUP(R636,[1]Datos!$P$1:$T$50,2,FALSE)*C636),0)</f>
        <v>0</v>
      </c>
      <c r="P636" s="30"/>
      <c r="Q636" s="17" t="e">
        <f>+VLOOKUP(P636,[1]Datos!$F:$G,2,FALSE)</f>
        <v>#N/A</v>
      </c>
      <c r="S636" s="11">
        <f t="shared" si="9"/>
        <v>0</v>
      </c>
      <c r="T636" s="11" t="e">
        <f>+VLOOKUP(M636,[1]Datos!$F:$H,3,FALSE)</f>
        <v>#N/A</v>
      </c>
      <c r="U636" s="11">
        <v>0</v>
      </c>
      <c r="V636" s="19"/>
    </row>
    <row r="637" spans="1:22">
      <c r="A637" s="11" t="s">
        <v>25</v>
      </c>
      <c r="D637" s="11" t="s">
        <v>27</v>
      </c>
      <c r="E637" s="30" t="s">
        <v>73</v>
      </c>
      <c r="F637" s="30" t="s">
        <v>73</v>
      </c>
      <c r="H637" s="14"/>
      <c r="I637" s="14"/>
      <c r="J637" s="15" t="e">
        <f>+VLOOKUP(K637,[1]Datos!$A:$C,3,FALSE)</f>
        <v>#N/A</v>
      </c>
      <c r="L637" s="15" t="e">
        <f>+VLOOKUP(K637,[1]Datos!$A:$C,2,FALSE)</f>
        <v>#N/A</v>
      </c>
      <c r="N637" s="17" t="e">
        <f>+VLOOKUP(M637,[1]Datos!$F:$G,2,FALSE)</f>
        <v>#N/A</v>
      </c>
      <c r="O637" s="18">
        <f>IFERROR(IF(A637="SI",VLOOKUP(R637,[1]Datos!$J$1:$K$50,2,FALSE)*C637,VLOOKUP(R637,[1]Datos!$P$1:$T$50,2,FALSE)*C637),0)</f>
        <v>0</v>
      </c>
      <c r="P637" s="30"/>
      <c r="Q637" s="17" t="e">
        <f>+VLOOKUP(P637,[1]Datos!$F:$G,2,FALSE)</f>
        <v>#N/A</v>
      </c>
      <c r="S637" s="11">
        <f t="shared" si="9"/>
        <v>0</v>
      </c>
      <c r="T637" s="11" t="e">
        <f>+VLOOKUP(M637,[1]Datos!$F:$H,3,FALSE)</f>
        <v>#N/A</v>
      </c>
      <c r="U637" s="11">
        <v>0</v>
      </c>
      <c r="V637" s="19"/>
    </row>
    <row r="638" spans="1:22">
      <c r="A638" s="11" t="s">
        <v>25</v>
      </c>
      <c r="D638" s="11" t="s">
        <v>27</v>
      </c>
      <c r="E638" s="30" t="s">
        <v>73</v>
      </c>
      <c r="F638" s="30" t="s">
        <v>73</v>
      </c>
      <c r="H638" s="14"/>
      <c r="I638" s="14"/>
      <c r="J638" s="15" t="e">
        <f>+VLOOKUP(K638,[1]Datos!$A:$C,3,FALSE)</f>
        <v>#N/A</v>
      </c>
      <c r="L638" s="15" t="e">
        <f>+VLOOKUP(K638,[1]Datos!$A:$C,2,FALSE)</f>
        <v>#N/A</v>
      </c>
      <c r="N638" s="17" t="e">
        <f>+VLOOKUP(M638,[1]Datos!$F:$G,2,FALSE)</f>
        <v>#N/A</v>
      </c>
      <c r="O638" s="18">
        <f>IFERROR(IF(A638="SI",VLOOKUP(R638,[1]Datos!$J$1:$K$50,2,FALSE)*C638,VLOOKUP(R638,[1]Datos!$P$1:$T$50,2,FALSE)*C638),0)</f>
        <v>0</v>
      </c>
      <c r="P638" s="30"/>
      <c r="Q638" s="17" t="e">
        <f>+VLOOKUP(P638,[1]Datos!$F:$G,2,FALSE)</f>
        <v>#N/A</v>
      </c>
      <c r="S638" s="11">
        <f t="shared" si="9"/>
        <v>0</v>
      </c>
      <c r="T638" s="11" t="e">
        <f>+VLOOKUP(M638,[1]Datos!$F:$H,3,FALSE)</f>
        <v>#N/A</v>
      </c>
      <c r="U638" s="11">
        <v>0</v>
      </c>
      <c r="V638" s="19"/>
    </row>
    <row r="639" spans="1:22">
      <c r="A639" s="11" t="s">
        <v>25</v>
      </c>
      <c r="D639" s="11" t="s">
        <v>27</v>
      </c>
      <c r="E639" s="30" t="s">
        <v>73</v>
      </c>
      <c r="F639" s="30" t="s">
        <v>73</v>
      </c>
      <c r="H639" s="14"/>
      <c r="I639" s="14"/>
      <c r="J639" s="15" t="e">
        <f>+VLOOKUP(K639,[1]Datos!$A:$C,3,FALSE)</f>
        <v>#N/A</v>
      </c>
      <c r="L639" s="15" t="e">
        <f>+VLOOKUP(K639,[1]Datos!$A:$C,2,FALSE)</f>
        <v>#N/A</v>
      </c>
      <c r="N639" s="17" t="e">
        <f>+VLOOKUP(M639,[1]Datos!$F:$G,2,FALSE)</f>
        <v>#N/A</v>
      </c>
      <c r="O639" s="18">
        <f>IFERROR(IF(A639="SI",VLOOKUP(R639,[1]Datos!$J$1:$K$50,2,FALSE)*C639,VLOOKUP(R639,[1]Datos!$P$1:$T$50,2,FALSE)*C639),0)</f>
        <v>0</v>
      </c>
      <c r="P639" s="30"/>
      <c r="Q639" s="17" t="e">
        <f>+VLOOKUP(P639,[1]Datos!$F:$G,2,FALSE)</f>
        <v>#N/A</v>
      </c>
      <c r="S639" s="11">
        <f t="shared" si="9"/>
        <v>0</v>
      </c>
      <c r="T639" s="11" t="e">
        <f>+VLOOKUP(M639,[1]Datos!$F:$H,3,FALSE)</f>
        <v>#N/A</v>
      </c>
      <c r="U639" s="11">
        <v>0</v>
      </c>
      <c r="V639" s="19"/>
    </row>
    <row r="640" spans="1:22">
      <c r="A640" s="11" t="s">
        <v>25</v>
      </c>
      <c r="D640" s="11" t="s">
        <v>27</v>
      </c>
      <c r="E640" s="30" t="s">
        <v>73</v>
      </c>
      <c r="F640" s="30" t="s">
        <v>73</v>
      </c>
      <c r="H640" s="14"/>
      <c r="I640" s="14"/>
      <c r="J640" s="15" t="e">
        <f>+VLOOKUP(K640,[1]Datos!$A:$C,3,FALSE)</f>
        <v>#N/A</v>
      </c>
      <c r="L640" s="15" t="e">
        <f>+VLOOKUP(K640,[1]Datos!$A:$C,2,FALSE)</f>
        <v>#N/A</v>
      </c>
      <c r="N640" s="17" t="e">
        <f>+VLOOKUP(M640,[1]Datos!$F:$G,2,FALSE)</f>
        <v>#N/A</v>
      </c>
      <c r="O640" s="18">
        <f>IFERROR(IF(A640="SI",VLOOKUP(R640,[1]Datos!$J$1:$K$50,2,FALSE)*C640,VLOOKUP(R640,[1]Datos!$P$1:$T$50,2,FALSE)*C640),0)</f>
        <v>0</v>
      </c>
      <c r="P640" s="30"/>
      <c r="Q640" s="17" t="e">
        <f>+VLOOKUP(P640,[1]Datos!$F:$G,2,FALSE)</f>
        <v>#N/A</v>
      </c>
      <c r="S640" s="11">
        <f t="shared" si="9"/>
        <v>0</v>
      </c>
      <c r="T640" s="11" t="e">
        <f>+VLOOKUP(M640,[1]Datos!$F:$H,3,FALSE)</f>
        <v>#N/A</v>
      </c>
      <c r="U640" s="11">
        <v>0</v>
      </c>
      <c r="V640" s="19"/>
    </row>
    <row r="641" spans="1:22">
      <c r="A641" s="11" t="s">
        <v>25</v>
      </c>
      <c r="D641" s="11" t="s">
        <v>27</v>
      </c>
      <c r="E641" s="30" t="s">
        <v>73</v>
      </c>
      <c r="F641" s="30" t="s">
        <v>73</v>
      </c>
      <c r="H641" s="14"/>
      <c r="I641" s="14"/>
      <c r="J641" s="15" t="e">
        <f>+VLOOKUP(K641,[1]Datos!$A:$C,3,FALSE)</f>
        <v>#N/A</v>
      </c>
      <c r="L641" s="15" t="e">
        <f>+VLOOKUP(K641,[1]Datos!$A:$C,2,FALSE)</f>
        <v>#N/A</v>
      </c>
      <c r="N641" s="17" t="e">
        <f>+VLOOKUP(M641,[1]Datos!$F:$G,2,FALSE)</f>
        <v>#N/A</v>
      </c>
      <c r="O641" s="18">
        <f>IFERROR(IF(A641="SI",VLOOKUP(R641,[1]Datos!$J$1:$K$50,2,FALSE)*C641,VLOOKUP(R641,[1]Datos!$P$1:$T$50,2,FALSE)*C641),0)</f>
        <v>0</v>
      </c>
      <c r="P641" s="30"/>
      <c r="Q641" s="17" t="e">
        <f>+VLOOKUP(P641,[1]Datos!$F:$G,2,FALSE)</f>
        <v>#N/A</v>
      </c>
      <c r="S641" s="11">
        <f t="shared" si="9"/>
        <v>0</v>
      </c>
      <c r="T641" s="11" t="e">
        <f>+VLOOKUP(M641,[1]Datos!$F:$H,3,FALSE)</f>
        <v>#N/A</v>
      </c>
      <c r="U641" s="11">
        <v>0</v>
      </c>
      <c r="V641" s="19"/>
    </row>
    <row r="642" spans="1:22">
      <c r="A642" s="11" t="s">
        <v>25</v>
      </c>
      <c r="D642" s="11" t="s">
        <v>27</v>
      </c>
      <c r="E642" s="30" t="s">
        <v>73</v>
      </c>
      <c r="F642" s="30" t="s">
        <v>73</v>
      </c>
      <c r="H642" s="14"/>
      <c r="I642" s="14"/>
      <c r="J642" s="15" t="e">
        <f>+VLOOKUP(K642,[1]Datos!$A:$C,3,FALSE)</f>
        <v>#N/A</v>
      </c>
      <c r="L642" s="15" t="e">
        <f>+VLOOKUP(K642,[1]Datos!$A:$C,2,FALSE)</f>
        <v>#N/A</v>
      </c>
      <c r="N642" s="17" t="e">
        <f>+VLOOKUP(M642,[1]Datos!$F:$G,2,FALSE)</f>
        <v>#N/A</v>
      </c>
      <c r="O642" s="18">
        <f>IFERROR(IF(A642="SI",VLOOKUP(R642,[1]Datos!$J$1:$K$50,2,FALSE)*C642,VLOOKUP(R642,[1]Datos!$P$1:$T$50,2,FALSE)*C642),0)</f>
        <v>0</v>
      </c>
      <c r="P642" s="30"/>
      <c r="Q642" s="17" t="e">
        <f>+VLOOKUP(P642,[1]Datos!$F:$G,2,FALSE)</f>
        <v>#N/A</v>
      </c>
      <c r="S642" s="11">
        <f t="shared" si="9"/>
        <v>0</v>
      </c>
      <c r="T642" s="11" t="e">
        <f>+VLOOKUP(M642,[1]Datos!$F:$H,3,FALSE)</f>
        <v>#N/A</v>
      </c>
      <c r="U642" s="11">
        <v>0</v>
      </c>
      <c r="V642" s="19"/>
    </row>
    <row r="643" spans="1:22">
      <c r="A643" s="11" t="s">
        <v>25</v>
      </c>
      <c r="D643" s="11" t="s">
        <v>27</v>
      </c>
      <c r="E643" s="30" t="s">
        <v>73</v>
      </c>
      <c r="F643" s="30" t="s">
        <v>73</v>
      </c>
      <c r="H643" s="14"/>
      <c r="I643" s="14"/>
      <c r="J643" s="15" t="e">
        <f>+VLOOKUP(K643,[1]Datos!$A:$C,3,FALSE)</f>
        <v>#N/A</v>
      </c>
      <c r="L643" s="15" t="e">
        <f>+VLOOKUP(K643,[1]Datos!$A:$C,2,FALSE)</f>
        <v>#N/A</v>
      </c>
      <c r="N643" s="17" t="e">
        <f>+VLOOKUP(M643,[1]Datos!$F:$G,2,FALSE)</f>
        <v>#N/A</v>
      </c>
      <c r="O643" s="18">
        <f>IFERROR(IF(A643="SI",VLOOKUP(R643,[1]Datos!$J$1:$K$50,2,FALSE)*C643,VLOOKUP(R643,[1]Datos!$P$1:$T$50,2,FALSE)*C643),0)</f>
        <v>0</v>
      </c>
      <c r="P643" s="30"/>
      <c r="Q643" s="17" t="e">
        <f>+VLOOKUP(P643,[1]Datos!$F:$G,2,FALSE)</f>
        <v>#N/A</v>
      </c>
      <c r="S643" s="11">
        <f t="shared" si="9"/>
        <v>0</v>
      </c>
      <c r="T643" s="11" t="e">
        <f>+VLOOKUP(M643,[1]Datos!$F:$H,3,FALSE)</f>
        <v>#N/A</v>
      </c>
      <c r="U643" s="11">
        <v>0</v>
      </c>
      <c r="V643" s="19"/>
    </row>
    <row r="644" spans="1:22">
      <c r="A644" s="11" t="s">
        <v>25</v>
      </c>
      <c r="D644" s="11" t="s">
        <v>27</v>
      </c>
      <c r="E644" s="30" t="s">
        <v>73</v>
      </c>
      <c r="F644" s="30" t="s">
        <v>73</v>
      </c>
      <c r="H644" s="14"/>
      <c r="I644" s="14"/>
      <c r="J644" s="15" t="e">
        <f>+VLOOKUP(K644,[1]Datos!$A:$C,3,FALSE)</f>
        <v>#N/A</v>
      </c>
      <c r="L644" s="15" t="e">
        <f>+VLOOKUP(K644,[1]Datos!$A:$C,2,FALSE)</f>
        <v>#N/A</v>
      </c>
      <c r="N644" s="17" t="e">
        <f>+VLOOKUP(M644,[1]Datos!$F:$G,2,FALSE)</f>
        <v>#N/A</v>
      </c>
      <c r="O644" s="18">
        <f>IFERROR(IF(A644="SI",VLOOKUP(R644,[1]Datos!$J$1:$K$50,2,FALSE)*C644,VLOOKUP(R644,[1]Datos!$P$1:$T$50,2,FALSE)*C644),0)</f>
        <v>0</v>
      </c>
      <c r="P644" s="30"/>
      <c r="Q644" s="17" t="e">
        <f>+VLOOKUP(P644,[1]Datos!$F:$G,2,FALSE)</f>
        <v>#N/A</v>
      </c>
      <c r="S644" s="11">
        <f t="shared" si="9"/>
        <v>0</v>
      </c>
      <c r="T644" s="11" t="e">
        <f>+VLOOKUP(M644,[1]Datos!$F:$H,3,FALSE)</f>
        <v>#N/A</v>
      </c>
      <c r="U644" s="11">
        <v>0</v>
      </c>
      <c r="V644" s="19"/>
    </row>
    <row r="645" spans="1:22">
      <c r="A645" s="11" t="s">
        <v>25</v>
      </c>
      <c r="D645" s="11" t="s">
        <v>27</v>
      </c>
      <c r="E645" s="30" t="s">
        <v>73</v>
      </c>
      <c r="F645" s="30" t="s">
        <v>73</v>
      </c>
      <c r="H645" s="14"/>
      <c r="I645" s="14"/>
      <c r="J645" s="15" t="e">
        <f>+VLOOKUP(K645,[1]Datos!$A:$C,3,FALSE)</f>
        <v>#N/A</v>
      </c>
      <c r="L645" s="15" t="e">
        <f>+VLOOKUP(K645,[1]Datos!$A:$C,2,FALSE)</f>
        <v>#N/A</v>
      </c>
      <c r="N645" s="17" t="e">
        <f>+VLOOKUP(M645,[1]Datos!$F:$G,2,FALSE)</f>
        <v>#N/A</v>
      </c>
      <c r="O645" s="18">
        <f>IFERROR(IF(A645="SI",VLOOKUP(R645,[1]Datos!$J$1:$K$50,2,FALSE)*C645,VLOOKUP(R645,[1]Datos!$P$1:$T$50,2,FALSE)*C645),0)</f>
        <v>0</v>
      </c>
      <c r="P645" s="30"/>
      <c r="Q645" s="17" t="e">
        <f>+VLOOKUP(P645,[1]Datos!$F:$G,2,FALSE)</f>
        <v>#N/A</v>
      </c>
      <c r="S645" s="11">
        <f t="shared" si="9"/>
        <v>0</v>
      </c>
      <c r="T645" s="11" t="e">
        <f>+VLOOKUP(M645,[1]Datos!$F:$H,3,FALSE)</f>
        <v>#N/A</v>
      </c>
      <c r="U645" s="11">
        <v>0</v>
      </c>
      <c r="V645" s="19"/>
    </row>
    <row r="646" spans="1:22">
      <c r="A646" s="11" t="s">
        <v>25</v>
      </c>
      <c r="D646" s="11" t="s">
        <v>27</v>
      </c>
      <c r="E646" s="30" t="s">
        <v>73</v>
      </c>
      <c r="F646" s="30" t="s">
        <v>73</v>
      </c>
      <c r="H646" s="14"/>
      <c r="I646" s="14"/>
      <c r="J646" s="15" t="e">
        <f>+VLOOKUP(K646,[1]Datos!$A:$C,3,FALSE)</f>
        <v>#N/A</v>
      </c>
      <c r="L646" s="15" t="e">
        <f>+VLOOKUP(K646,[1]Datos!$A:$C,2,FALSE)</f>
        <v>#N/A</v>
      </c>
      <c r="N646" s="17" t="e">
        <f>+VLOOKUP(M646,[1]Datos!$F:$G,2,FALSE)</f>
        <v>#N/A</v>
      </c>
      <c r="O646" s="18">
        <f>IFERROR(IF(A646="SI",VLOOKUP(R646,[1]Datos!$J$1:$K$50,2,FALSE)*C646,VLOOKUP(R646,[1]Datos!$P$1:$T$50,2,FALSE)*C646),0)</f>
        <v>0</v>
      </c>
      <c r="P646" s="30"/>
      <c r="Q646" s="17" t="e">
        <f>+VLOOKUP(P646,[1]Datos!$F:$G,2,FALSE)</f>
        <v>#N/A</v>
      </c>
      <c r="S646" s="11">
        <f t="shared" si="9"/>
        <v>0</v>
      </c>
      <c r="T646" s="11" t="e">
        <f>+VLOOKUP(M646,[1]Datos!$F:$H,3,FALSE)</f>
        <v>#N/A</v>
      </c>
      <c r="U646" s="11">
        <v>0</v>
      </c>
      <c r="V646" s="19"/>
    </row>
    <row r="647" spans="1:22">
      <c r="A647" s="11" t="s">
        <v>25</v>
      </c>
      <c r="D647" s="11" t="s">
        <v>27</v>
      </c>
      <c r="E647" s="30" t="s">
        <v>73</v>
      </c>
      <c r="F647" s="30" t="s">
        <v>73</v>
      </c>
      <c r="H647" s="14"/>
      <c r="I647" s="14"/>
      <c r="J647" s="15" t="e">
        <f>+VLOOKUP(K647,[1]Datos!$A:$C,3,FALSE)</f>
        <v>#N/A</v>
      </c>
      <c r="L647" s="15" t="e">
        <f>+VLOOKUP(K647,[1]Datos!$A:$C,2,FALSE)</f>
        <v>#N/A</v>
      </c>
      <c r="N647" s="17" t="e">
        <f>+VLOOKUP(M647,[1]Datos!$F:$G,2,FALSE)</f>
        <v>#N/A</v>
      </c>
      <c r="O647" s="18">
        <f>IFERROR(IF(A647="SI",VLOOKUP(R647,[1]Datos!$J$1:$K$50,2,FALSE)*C647,VLOOKUP(R647,[1]Datos!$P$1:$T$50,2,FALSE)*C647),0)</f>
        <v>0</v>
      </c>
      <c r="P647" s="30"/>
      <c r="Q647" s="17" t="e">
        <f>+VLOOKUP(P647,[1]Datos!$F:$G,2,FALSE)</f>
        <v>#N/A</v>
      </c>
      <c r="S647" s="11">
        <f t="shared" si="9"/>
        <v>0</v>
      </c>
      <c r="T647" s="11" t="e">
        <f>+VLOOKUP(M647,[1]Datos!$F:$H,3,FALSE)</f>
        <v>#N/A</v>
      </c>
      <c r="U647" s="11">
        <v>0</v>
      </c>
      <c r="V647" s="19"/>
    </row>
    <row r="648" spans="1:22">
      <c r="A648" s="11" t="s">
        <v>25</v>
      </c>
      <c r="D648" s="11" t="s">
        <v>27</v>
      </c>
      <c r="E648" s="30" t="s">
        <v>73</v>
      </c>
      <c r="F648" s="30" t="s">
        <v>73</v>
      </c>
      <c r="H648" s="14"/>
      <c r="I648" s="14"/>
      <c r="J648" s="15" t="e">
        <f>+VLOOKUP(K648,[1]Datos!$A:$C,3,FALSE)</f>
        <v>#N/A</v>
      </c>
      <c r="L648" s="15" t="e">
        <f>+VLOOKUP(K648,[1]Datos!$A:$C,2,FALSE)</f>
        <v>#N/A</v>
      </c>
      <c r="N648" s="17" t="e">
        <f>+VLOOKUP(M648,[1]Datos!$F:$G,2,FALSE)</f>
        <v>#N/A</v>
      </c>
      <c r="O648" s="18">
        <f>IFERROR(IF(A648="SI",VLOOKUP(R648,[1]Datos!$J$1:$K$50,2,FALSE)*C648,VLOOKUP(R648,[1]Datos!$P$1:$T$50,2,FALSE)*C648),0)</f>
        <v>0</v>
      </c>
      <c r="P648" s="30"/>
      <c r="Q648" s="17" t="e">
        <f>+VLOOKUP(P648,[1]Datos!$F:$G,2,FALSE)</f>
        <v>#N/A</v>
      </c>
      <c r="S648" s="11">
        <f t="shared" ref="S648:S662" si="10">+COUNTIFS($G$2:$G$607,G648)</f>
        <v>0</v>
      </c>
      <c r="T648" s="11" t="e">
        <f>+VLOOKUP(M648,[1]Datos!$F:$H,3,FALSE)</f>
        <v>#N/A</v>
      </c>
      <c r="U648" s="11">
        <v>0</v>
      </c>
      <c r="V648" s="19"/>
    </row>
    <row r="649" spans="1:22">
      <c r="A649" s="11" t="s">
        <v>25</v>
      </c>
      <c r="D649" s="11" t="s">
        <v>27</v>
      </c>
      <c r="E649" s="30" t="s">
        <v>73</v>
      </c>
      <c r="F649" s="30" t="s">
        <v>73</v>
      </c>
      <c r="H649" s="14"/>
      <c r="I649" s="14"/>
      <c r="J649" s="15" t="e">
        <f>+VLOOKUP(K649,[1]Datos!$A:$C,3,FALSE)</f>
        <v>#N/A</v>
      </c>
      <c r="L649" s="15" t="e">
        <f>+VLOOKUP(K649,[1]Datos!$A:$C,2,FALSE)</f>
        <v>#N/A</v>
      </c>
      <c r="N649" s="17" t="e">
        <f>+VLOOKUP(M649,[1]Datos!$F:$G,2,FALSE)</f>
        <v>#N/A</v>
      </c>
      <c r="O649" s="18">
        <f>IFERROR(IF(A649="SI",VLOOKUP(R649,[1]Datos!$J$1:$K$50,2,FALSE)*C649,VLOOKUP(R649,[1]Datos!$P$1:$T$50,2,FALSE)*C649),0)</f>
        <v>0</v>
      </c>
      <c r="P649" s="30"/>
      <c r="Q649" s="17" t="e">
        <f>+VLOOKUP(P649,[1]Datos!$F:$G,2,FALSE)</f>
        <v>#N/A</v>
      </c>
      <c r="S649" s="11">
        <f t="shared" si="10"/>
        <v>0</v>
      </c>
      <c r="T649" s="11" t="e">
        <f>+VLOOKUP(M649,[1]Datos!$F:$H,3,FALSE)</f>
        <v>#N/A</v>
      </c>
      <c r="U649" s="11">
        <v>0</v>
      </c>
      <c r="V649" s="19"/>
    </row>
    <row r="650" spans="1:22">
      <c r="A650" s="11" t="s">
        <v>25</v>
      </c>
      <c r="D650" s="11" t="s">
        <v>27</v>
      </c>
      <c r="E650" s="30" t="s">
        <v>73</v>
      </c>
      <c r="F650" s="30" t="s">
        <v>73</v>
      </c>
      <c r="H650" s="14"/>
      <c r="I650" s="14"/>
      <c r="J650" s="15" t="e">
        <f>+VLOOKUP(K650,[1]Datos!$A:$C,3,FALSE)</f>
        <v>#N/A</v>
      </c>
      <c r="L650" s="15" t="e">
        <f>+VLOOKUP(K650,[1]Datos!$A:$C,2,FALSE)</f>
        <v>#N/A</v>
      </c>
      <c r="N650" s="17" t="e">
        <f>+VLOOKUP(M650,[1]Datos!$F:$G,2,FALSE)</f>
        <v>#N/A</v>
      </c>
      <c r="O650" s="18">
        <f>IFERROR(IF(A650="SI",VLOOKUP(R650,[1]Datos!$J$1:$K$50,2,FALSE)*C650,VLOOKUP(R650,[1]Datos!$P$1:$T$50,2,FALSE)*C650),0)</f>
        <v>0</v>
      </c>
      <c r="P650" s="30"/>
      <c r="Q650" s="17" t="e">
        <f>+VLOOKUP(P650,[1]Datos!$F:$G,2,FALSE)</f>
        <v>#N/A</v>
      </c>
      <c r="S650" s="11">
        <f t="shared" si="10"/>
        <v>0</v>
      </c>
      <c r="T650" s="11" t="e">
        <f>+VLOOKUP(M650,[1]Datos!$F:$H,3,FALSE)</f>
        <v>#N/A</v>
      </c>
      <c r="U650" s="11">
        <v>0</v>
      </c>
      <c r="V650" s="19"/>
    </row>
    <row r="651" spans="1:22">
      <c r="A651" s="11" t="s">
        <v>25</v>
      </c>
      <c r="D651" s="11" t="s">
        <v>27</v>
      </c>
      <c r="E651" s="30" t="s">
        <v>73</v>
      </c>
      <c r="F651" s="30" t="s">
        <v>73</v>
      </c>
      <c r="H651" s="14"/>
      <c r="I651" s="14"/>
      <c r="J651" s="15" t="e">
        <f>+VLOOKUP(K651,[1]Datos!$A:$C,3,FALSE)</f>
        <v>#N/A</v>
      </c>
      <c r="L651" s="15" t="e">
        <f>+VLOOKUP(K651,[1]Datos!$A:$C,2,FALSE)</f>
        <v>#N/A</v>
      </c>
      <c r="N651" s="17" t="e">
        <f>+VLOOKUP(M651,[1]Datos!$F:$G,2,FALSE)</f>
        <v>#N/A</v>
      </c>
      <c r="O651" s="18">
        <f>IFERROR(IF(A651="SI",VLOOKUP(R651,[1]Datos!$J$1:$K$50,2,FALSE)*C651,VLOOKUP(R651,[1]Datos!$P$1:$T$50,2,FALSE)*C651),0)</f>
        <v>0</v>
      </c>
      <c r="P651" s="30"/>
      <c r="Q651" s="17" t="e">
        <f>+VLOOKUP(P651,[1]Datos!$F:$G,2,FALSE)</f>
        <v>#N/A</v>
      </c>
      <c r="S651" s="11">
        <f t="shared" si="10"/>
        <v>0</v>
      </c>
      <c r="T651" s="11" t="e">
        <f>+VLOOKUP(M651,[1]Datos!$F:$H,3,FALSE)</f>
        <v>#N/A</v>
      </c>
      <c r="U651" s="11">
        <v>0</v>
      </c>
      <c r="V651" s="19"/>
    </row>
    <row r="652" spans="1:22">
      <c r="A652" s="11" t="s">
        <v>25</v>
      </c>
      <c r="D652" s="11" t="s">
        <v>27</v>
      </c>
      <c r="E652" s="30" t="s">
        <v>73</v>
      </c>
      <c r="F652" s="30" t="s">
        <v>73</v>
      </c>
      <c r="H652" s="14"/>
      <c r="I652" s="14"/>
      <c r="J652" s="15" t="e">
        <f>+VLOOKUP(K652,[1]Datos!$A:$C,3,FALSE)</f>
        <v>#N/A</v>
      </c>
      <c r="L652" s="15" t="e">
        <f>+VLOOKUP(K652,[1]Datos!$A:$C,2,FALSE)</f>
        <v>#N/A</v>
      </c>
      <c r="N652" s="17" t="e">
        <f>+VLOOKUP(M652,[1]Datos!$F:$G,2,FALSE)</f>
        <v>#N/A</v>
      </c>
      <c r="O652" s="18">
        <f>IFERROR(IF(A652="SI",VLOOKUP(R652,[1]Datos!$J$1:$K$50,2,FALSE)*C652,VLOOKUP(R652,[1]Datos!$P$1:$T$50,2,FALSE)*C652),0)</f>
        <v>0</v>
      </c>
      <c r="P652" s="30"/>
      <c r="Q652" s="17" t="e">
        <f>+VLOOKUP(P652,[1]Datos!$F:$G,2,FALSE)</f>
        <v>#N/A</v>
      </c>
      <c r="S652" s="11">
        <f t="shared" si="10"/>
        <v>0</v>
      </c>
      <c r="T652" s="11" t="e">
        <f>+VLOOKUP(M652,[1]Datos!$F:$H,3,FALSE)</f>
        <v>#N/A</v>
      </c>
      <c r="U652" s="11">
        <v>0</v>
      </c>
      <c r="V652" s="19"/>
    </row>
    <row r="653" spans="1:22">
      <c r="A653" s="11" t="s">
        <v>25</v>
      </c>
      <c r="D653" s="11" t="s">
        <v>27</v>
      </c>
      <c r="E653" s="30" t="s">
        <v>73</v>
      </c>
      <c r="F653" s="30" t="s">
        <v>73</v>
      </c>
      <c r="H653" s="14"/>
      <c r="I653" s="14"/>
      <c r="J653" s="15" t="e">
        <f>+VLOOKUP(K653,[1]Datos!$A:$C,3,FALSE)</f>
        <v>#N/A</v>
      </c>
      <c r="L653" s="15" t="e">
        <f>+VLOOKUP(K653,[1]Datos!$A:$C,2,FALSE)</f>
        <v>#N/A</v>
      </c>
      <c r="N653" s="17" t="e">
        <f>+VLOOKUP(M653,[1]Datos!$F:$G,2,FALSE)</f>
        <v>#N/A</v>
      </c>
      <c r="O653" s="18">
        <f>IFERROR(IF(A653="SI",VLOOKUP(R653,[1]Datos!$J$1:$K$50,2,FALSE)*C653,VLOOKUP(R653,[1]Datos!$P$1:$T$50,2,FALSE)*C653),0)</f>
        <v>0</v>
      </c>
      <c r="P653" s="30"/>
      <c r="Q653" s="17" t="e">
        <f>+VLOOKUP(P653,[1]Datos!$F:$G,2,FALSE)</f>
        <v>#N/A</v>
      </c>
      <c r="S653" s="11">
        <f t="shared" si="10"/>
        <v>0</v>
      </c>
      <c r="T653" s="11" t="e">
        <f>+VLOOKUP(M653,[1]Datos!$F:$H,3,FALSE)</f>
        <v>#N/A</v>
      </c>
      <c r="U653" s="11">
        <v>0</v>
      </c>
      <c r="V653" s="19"/>
    </row>
    <row r="654" spans="1:22">
      <c r="A654" s="11" t="s">
        <v>25</v>
      </c>
      <c r="D654" s="11" t="s">
        <v>27</v>
      </c>
      <c r="E654" s="30" t="s">
        <v>73</v>
      </c>
      <c r="F654" s="30" t="s">
        <v>73</v>
      </c>
      <c r="H654" s="14"/>
      <c r="I654" s="14"/>
      <c r="J654" s="15" t="e">
        <f>+VLOOKUP(K654,[1]Datos!$A:$C,3,FALSE)</f>
        <v>#N/A</v>
      </c>
      <c r="L654" s="15" t="e">
        <f>+VLOOKUP(K654,[1]Datos!$A:$C,2,FALSE)</f>
        <v>#N/A</v>
      </c>
      <c r="N654" s="17" t="e">
        <f>+VLOOKUP(M654,[1]Datos!$F:$G,2,FALSE)</f>
        <v>#N/A</v>
      </c>
      <c r="O654" s="18">
        <f>IFERROR(IF(A654="SI",VLOOKUP(R654,[1]Datos!$J$1:$K$50,2,FALSE)*C654,VLOOKUP(R654,[1]Datos!$P$1:$T$50,2,FALSE)*C654),0)</f>
        <v>0</v>
      </c>
      <c r="P654" s="30"/>
      <c r="Q654" s="17" t="e">
        <f>+VLOOKUP(P654,[1]Datos!$F:$G,2,FALSE)</f>
        <v>#N/A</v>
      </c>
      <c r="S654" s="11">
        <f t="shared" si="10"/>
        <v>0</v>
      </c>
      <c r="T654" s="11" t="e">
        <f>+VLOOKUP(M654,[1]Datos!$F:$H,3,FALSE)</f>
        <v>#N/A</v>
      </c>
      <c r="U654" s="11">
        <v>0</v>
      </c>
      <c r="V654" s="19"/>
    </row>
    <row r="655" spans="1:22">
      <c r="A655" s="11" t="s">
        <v>25</v>
      </c>
      <c r="D655" s="11" t="s">
        <v>27</v>
      </c>
      <c r="E655" s="30" t="s">
        <v>73</v>
      </c>
      <c r="F655" s="30" t="s">
        <v>73</v>
      </c>
      <c r="H655" s="14"/>
      <c r="I655" s="14"/>
      <c r="J655" s="15" t="e">
        <f>+VLOOKUP(K655,[1]Datos!$A:$C,3,FALSE)</f>
        <v>#N/A</v>
      </c>
      <c r="L655" s="15" t="e">
        <f>+VLOOKUP(K655,[1]Datos!$A:$C,2,FALSE)</f>
        <v>#N/A</v>
      </c>
      <c r="N655" s="17" t="e">
        <f>+VLOOKUP(M655,[1]Datos!$F:$G,2,FALSE)</f>
        <v>#N/A</v>
      </c>
      <c r="O655" s="18">
        <f>IFERROR(IF(A655="SI",VLOOKUP(R655,[1]Datos!$J$1:$K$50,2,FALSE)*C655,VLOOKUP(R655,[1]Datos!$P$1:$T$50,2,FALSE)*C655),0)</f>
        <v>0</v>
      </c>
      <c r="P655" s="30"/>
      <c r="Q655" s="17" t="e">
        <f>+VLOOKUP(P655,[1]Datos!$F:$G,2,FALSE)</f>
        <v>#N/A</v>
      </c>
      <c r="S655" s="11">
        <f t="shared" si="10"/>
        <v>0</v>
      </c>
      <c r="T655" s="11" t="e">
        <f>+VLOOKUP(M655,[1]Datos!$F:$H,3,FALSE)</f>
        <v>#N/A</v>
      </c>
      <c r="U655" s="11">
        <v>0</v>
      </c>
      <c r="V655" s="19"/>
    </row>
    <row r="656" spans="1:22">
      <c r="A656" s="11" t="s">
        <v>25</v>
      </c>
      <c r="D656" s="11" t="s">
        <v>27</v>
      </c>
      <c r="E656" s="30" t="s">
        <v>73</v>
      </c>
      <c r="F656" s="30" t="s">
        <v>73</v>
      </c>
      <c r="H656" s="14"/>
      <c r="I656" s="14"/>
      <c r="J656" s="15" t="e">
        <f>+VLOOKUP(K656,[1]Datos!$A:$C,3,FALSE)</f>
        <v>#N/A</v>
      </c>
      <c r="L656" s="15" t="e">
        <f>+VLOOKUP(K656,[1]Datos!$A:$C,2,FALSE)</f>
        <v>#N/A</v>
      </c>
      <c r="N656" s="17" t="e">
        <f>+VLOOKUP(M656,[1]Datos!$F:$G,2,FALSE)</f>
        <v>#N/A</v>
      </c>
      <c r="O656" s="18">
        <f>IFERROR(IF(A656="SI",VLOOKUP(R656,[1]Datos!$J$1:$K$50,2,FALSE)*C656,VLOOKUP(R656,[1]Datos!$P$1:$T$50,2,FALSE)*C656),0)</f>
        <v>0</v>
      </c>
      <c r="P656" s="30"/>
      <c r="Q656" s="17" t="e">
        <f>+VLOOKUP(P656,[1]Datos!$F:$G,2,FALSE)</f>
        <v>#N/A</v>
      </c>
      <c r="S656" s="11">
        <f t="shared" si="10"/>
        <v>0</v>
      </c>
      <c r="T656" s="11" t="e">
        <f>+VLOOKUP(M656,[1]Datos!$F:$H,3,FALSE)</f>
        <v>#N/A</v>
      </c>
      <c r="U656" s="11">
        <v>0</v>
      </c>
      <c r="V656" s="19"/>
    </row>
    <row r="657" spans="1:22">
      <c r="A657" s="11" t="s">
        <v>25</v>
      </c>
      <c r="D657" s="11" t="s">
        <v>27</v>
      </c>
      <c r="E657" s="30" t="s">
        <v>73</v>
      </c>
      <c r="F657" s="30" t="s">
        <v>73</v>
      </c>
      <c r="H657" s="14"/>
      <c r="I657" s="14"/>
      <c r="J657" s="15" t="e">
        <f>+VLOOKUP(K657,[1]Datos!$A:$C,3,FALSE)</f>
        <v>#N/A</v>
      </c>
      <c r="L657" s="15" t="e">
        <f>+VLOOKUP(K657,[1]Datos!$A:$C,2,FALSE)</f>
        <v>#N/A</v>
      </c>
      <c r="N657" s="17" t="e">
        <f>+VLOOKUP(M657,[1]Datos!$F:$G,2,FALSE)</f>
        <v>#N/A</v>
      </c>
      <c r="O657" s="18">
        <f>IFERROR(IF(A657="SI",VLOOKUP(R657,[1]Datos!$J$1:$K$50,2,FALSE)*C657,VLOOKUP(R657,[1]Datos!$P$1:$T$50,2,FALSE)*C657),0)</f>
        <v>0</v>
      </c>
      <c r="P657" s="30"/>
      <c r="Q657" s="17" t="e">
        <f>+VLOOKUP(P657,[1]Datos!$F:$G,2,FALSE)</f>
        <v>#N/A</v>
      </c>
      <c r="S657" s="11">
        <f t="shared" si="10"/>
        <v>0</v>
      </c>
      <c r="T657" s="11" t="e">
        <f>+VLOOKUP(M657,[1]Datos!$F:$H,3,FALSE)</f>
        <v>#N/A</v>
      </c>
      <c r="U657" s="11">
        <v>0</v>
      </c>
      <c r="V657" s="19"/>
    </row>
    <row r="658" spans="1:22">
      <c r="A658" s="11" t="s">
        <v>25</v>
      </c>
      <c r="D658" s="11" t="s">
        <v>27</v>
      </c>
      <c r="E658" s="30" t="s">
        <v>73</v>
      </c>
      <c r="F658" s="30" t="s">
        <v>73</v>
      </c>
      <c r="H658" s="14"/>
      <c r="I658" s="14"/>
      <c r="J658" s="15" t="e">
        <f>+VLOOKUP(K658,[1]Datos!$A:$C,3,FALSE)</f>
        <v>#N/A</v>
      </c>
      <c r="L658" s="15" t="e">
        <f>+VLOOKUP(K658,[1]Datos!$A:$C,2,FALSE)</f>
        <v>#N/A</v>
      </c>
      <c r="N658" s="17" t="e">
        <f>+VLOOKUP(M658,[1]Datos!$F:$G,2,FALSE)</f>
        <v>#N/A</v>
      </c>
      <c r="O658" s="18">
        <f>IFERROR(IF(A658="SI",VLOOKUP(R658,[1]Datos!$J$1:$K$50,2,FALSE)*C658,VLOOKUP(R658,[1]Datos!$P$1:$T$50,2,FALSE)*C658),0)</f>
        <v>0</v>
      </c>
      <c r="P658" s="30"/>
      <c r="Q658" s="17" t="e">
        <f>+VLOOKUP(P658,[1]Datos!$F:$G,2,FALSE)</f>
        <v>#N/A</v>
      </c>
      <c r="S658" s="11">
        <f t="shared" si="10"/>
        <v>0</v>
      </c>
      <c r="T658" s="11" t="e">
        <f>+VLOOKUP(M658,[1]Datos!$F:$H,3,FALSE)</f>
        <v>#N/A</v>
      </c>
      <c r="U658" s="11">
        <v>0</v>
      </c>
      <c r="V658" s="19"/>
    </row>
    <row r="659" spans="1:22">
      <c r="A659" s="11" t="s">
        <v>25</v>
      </c>
      <c r="D659" s="11" t="s">
        <v>27</v>
      </c>
      <c r="E659" s="30" t="s">
        <v>73</v>
      </c>
      <c r="F659" s="30" t="s">
        <v>73</v>
      </c>
      <c r="H659" s="14"/>
      <c r="I659" s="14"/>
      <c r="J659" s="15" t="e">
        <f>+VLOOKUP(K659,[1]Datos!$A:$C,3,FALSE)</f>
        <v>#N/A</v>
      </c>
      <c r="L659" s="15" t="e">
        <f>+VLOOKUP(K659,[1]Datos!$A:$C,2,FALSE)</f>
        <v>#N/A</v>
      </c>
      <c r="N659" s="17" t="e">
        <f>+VLOOKUP(M659,[1]Datos!$F:$G,2,FALSE)</f>
        <v>#N/A</v>
      </c>
      <c r="O659" s="18">
        <f>IFERROR(IF(A659="SI",VLOOKUP(R659,[1]Datos!$J$1:$K$50,2,FALSE)*C659,VLOOKUP(R659,[1]Datos!$P$1:$T$50,2,FALSE)*C659),0)</f>
        <v>0</v>
      </c>
      <c r="P659" s="30"/>
      <c r="Q659" s="17" t="e">
        <f>+VLOOKUP(P659,[1]Datos!$F:$G,2,FALSE)</f>
        <v>#N/A</v>
      </c>
      <c r="S659" s="11">
        <f t="shared" si="10"/>
        <v>0</v>
      </c>
      <c r="T659" s="11" t="e">
        <f>+VLOOKUP(M659,[1]Datos!$F:$H,3,FALSE)</f>
        <v>#N/A</v>
      </c>
      <c r="U659" s="11">
        <v>0</v>
      </c>
      <c r="V659" s="19"/>
    </row>
    <row r="660" spans="1:22">
      <c r="A660" s="11" t="s">
        <v>25</v>
      </c>
      <c r="D660" s="11" t="s">
        <v>27</v>
      </c>
      <c r="E660" s="30" t="s">
        <v>73</v>
      </c>
      <c r="F660" s="30" t="s">
        <v>73</v>
      </c>
      <c r="H660" s="14"/>
      <c r="I660" s="14"/>
      <c r="J660" s="15" t="e">
        <f>+VLOOKUP(K660,[1]Datos!$A:$C,3,FALSE)</f>
        <v>#N/A</v>
      </c>
      <c r="L660" s="15" t="e">
        <f>+VLOOKUP(K660,[1]Datos!$A:$C,2,FALSE)</f>
        <v>#N/A</v>
      </c>
      <c r="N660" s="17" t="e">
        <f>+VLOOKUP(M660,[1]Datos!$F:$G,2,FALSE)</f>
        <v>#N/A</v>
      </c>
      <c r="O660" s="18">
        <f>IFERROR(IF(A660="SI",VLOOKUP(R660,[1]Datos!$J$1:$K$50,2,FALSE)*C660,VLOOKUP(R660,[1]Datos!$P$1:$T$50,2,FALSE)*C660),0)</f>
        <v>0</v>
      </c>
      <c r="P660" s="30"/>
      <c r="Q660" s="17" t="e">
        <f>+VLOOKUP(P660,[1]Datos!$F:$G,2,FALSE)</f>
        <v>#N/A</v>
      </c>
      <c r="S660" s="11">
        <f t="shared" si="10"/>
        <v>0</v>
      </c>
      <c r="T660" s="11" t="e">
        <f>+VLOOKUP(M660,[1]Datos!$F:$H,3,FALSE)</f>
        <v>#N/A</v>
      </c>
      <c r="U660" s="11">
        <v>0</v>
      </c>
      <c r="V660" s="19"/>
    </row>
    <row r="661" spans="1:22">
      <c r="A661" s="11" t="s">
        <v>25</v>
      </c>
      <c r="D661" s="11" t="s">
        <v>27</v>
      </c>
      <c r="E661" s="30" t="s">
        <v>73</v>
      </c>
      <c r="F661" s="30" t="s">
        <v>73</v>
      </c>
      <c r="H661" s="14"/>
      <c r="I661" s="14"/>
      <c r="J661" s="15" t="e">
        <f>+VLOOKUP(K661,[1]Datos!$A:$C,3,FALSE)</f>
        <v>#N/A</v>
      </c>
      <c r="L661" s="15" t="e">
        <f>+VLOOKUP(K661,[1]Datos!$A:$C,2,FALSE)</f>
        <v>#N/A</v>
      </c>
      <c r="N661" s="17" t="e">
        <f>+VLOOKUP(M661,[1]Datos!$F:$G,2,FALSE)</f>
        <v>#N/A</v>
      </c>
      <c r="O661" s="18">
        <f>IFERROR(IF(A661="SI",VLOOKUP(R661,[1]Datos!$J$1:$K$50,2,FALSE)*C661,VLOOKUP(R661,[1]Datos!$P$1:$T$50,2,FALSE)*C661),0)</f>
        <v>0</v>
      </c>
      <c r="P661" s="30"/>
      <c r="Q661" s="17" t="e">
        <f>+VLOOKUP(P661,[1]Datos!$F:$G,2,FALSE)</f>
        <v>#N/A</v>
      </c>
      <c r="S661" s="11">
        <f t="shared" si="10"/>
        <v>0</v>
      </c>
      <c r="T661" s="11" t="e">
        <f>+VLOOKUP(M661,[1]Datos!$F:$H,3,FALSE)</f>
        <v>#N/A</v>
      </c>
      <c r="U661" s="11">
        <v>0</v>
      </c>
      <c r="V661" s="19"/>
    </row>
    <row r="662" spans="1:22">
      <c r="A662" s="11" t="s">
        <v>25</v>
      </c>
      <c r="D662" s="11" t="s">
        <v>27</v>
      </c>
      <c r="E662" s="30" t="s">
        <v>73</v>
      </c>
      <c r="F662" s="30" t="s">
        <v>73</v>
      </c>
      <c r="H662" s="14"/>
      <c r="I662" s="14"/>
      <c r="J662" s="15" t="e">
        <f>+VLOOKUP(K662,[1]Datos!$A:$C,3,FALSE)</f>
        <v>#N/A</v>
      </c>
      <c r="L662" s="15" t="e">
        <f>+VLOOKUP(K662,[1]Datos!$A:$C,2,FALSE)</f>
        <v>#N/A</v>
      </c>
      <c r="N662" s="17" t="e">
        <f>+VLOOKUP(M662,[1]Datos!$F:$G,2,FALSE)</f>
        <v>#N/A</v>
      </c>
      <c r="O662" s="18">
        <f>IFERROR(IF(A662="SI",VLOOKUP(R662,[1]Datos!$J$1:$K$50,2,FALSE)*C662,VLOOKUP(R662,[1]Datos!$P$1:$T$50,2,FALSE)*C662),0)</f>
        <v>0</v>
      </c>
      <c r="P662" s="30"/>
      <c r="Q662" s="17" t="e">
        <f>+VLOOKUP(P662,[1]Datos!$F:$G,2,FALSE)</f>
        <v>#N/A</v>
      </c>
      <c r="S662" s="11">
        <f t="shared" si="10"/>
        <v>0</v>
      </c>
      <c r="T662" s="11" t="e">
        <f>+VLOOKUP(M662,[1]Datos!$F:$H,3,FALSE)</f>
        <v>#N/A</v>
      </c>
      <c r="U662" s="11">
        <v>0</v>
      </c>
      <c r="V662" s="19"/>
    </row>
    <row r="663" spans="1:22">
      <c r="E663" s="12"/>
      <c r="F663" s="12"/>
      <c r="G663" s="12"/>
    </row>
  </sheetData>
  <autoFilter ref="A1:Z662" xr:uid="{1B0F42AC-1952-4BBC-A604-8267D8CE7F23}">
    <filterColumn colId="7">
      <filters blank="1">
        <dateGroupItem year="2026" month="9" day="16" dateTimeGrouping="day"/>
        <dateGroupItem year="2026" month="9" day="17" dateTimeGrouping="day"/>
      </filters>
    </filterColumn>
  </autoFilter>
  <conditionalFormatting sqref="B1">
    <cfRule type="iconSet" priority="79">
      <iconSet iconSet="3Symbols2" showValue="0">
        <cfvo type="percent" val="0"/>
        <cfvo type="num" val="0.999"/>
        <cfvo type="num" val="1"/>
      </iconSet>
    </cfRule>
  </conditionalFormatting>
  <conditionalFormatting sqref="C1 R1:V1 A1">
    <cfRule type="iconSet" priority="84">
      <iconSet iconSet="3Symbols2" showValue="0">
        <cfvo type="percent" val="0"/>
        <cfvo type="num" val="0.999"/>
        <cfvo type="num" val="1"/>
      </iconSet>
    </cfRule>
  </conditionalFormatting>
  <conditionalFormatting sqref="P115">
    <cfRule type="duplicateValues" dxfId="102" priority="3"/>
    <cfRule type="duplicateValues" dxfId="101" priority="4"/>
    <cfRule type="duplicateValues" dxfId="100" priority="5"/>
    <cfRule type="duplicateValues" dxfId="103" priority="6"/>
    <cfRule type="duplicateValues" dxfId="99" priority="7"/>
    <cfRule type="duplicateValues" dxfId="98" priority="8"/>
  </conditionalFormatting>
  <conditionalFormatting sqref="P150">
    <cfRule type="duplicateValues" dxfId="96" priority="1"/>
    <cfRule type="duplicateValues" dxfId="97" priority="2"/>
  </conditionalFormatting>
  <conditionalFormatting sqref="S2:S664">
    <cfRule type="colorScale" priority="73">
      <colorScale>
        <cfvo type="num" val="1"/>
        <cfvo type="num" val="2"/>
        <color rgb="FFFCFCFF"/>
        <color rgb="FFF8696B"/>
      </colorScale>
    </cfRule>
  </conditionalFormatting>
  <conditionalFormatting sqref="S610">
    <cfRule type="colorScale" priority="10">
      <colorScale>
        <cfvo type="num" val="1"/>
        <cfvo type="num" val="2"/>
        <color rgb="FFFCFCFF"/>
        <color rgb="FFF8696B"/>
      </colorScale>
    </cfRule>
  </conditionalFormatting>
  <conditionalFormatting sqref="S614">
    <cfRule type="colorScale" priority="12">
      <colorScale>
        <cfvo type="num" val="1"/>
        <cfvo type="num" val="2"/>
        <color rgb="FFFCFCFF"/>
        <color rgb="FFF8696B"/>
      </colorScale>
    </cfRule>
  </conditionalFormatting>
  <conditionalFormatting sqref="S615">
    <cfRule type="colorScale" priority="13">
      <colorScale>
        <cfvo type="num" val="1"/>
        <cfvo type="num" val="2"/>
        <color rgb="FFFCFCFF"/>
        <color rgb="FFF8696B"/>
      </colorScale>
    </cfRule>
  </conditionalFormatting>
  <conditionalFormatting sqref="S616">
    <cfRule type="colorScale" priority="11">
      <colorScale>
        <cfvo type="num" val="1"/>
        <cfvo type="num" val="2"/>
        <color rgb="FFFCFCFF"/>
        <color rgb="FFF8696B"/>
      </colorScale>
    </cfRule>
  </conditionalFormatting>
  <conditionalFormatting sqref="S624">
    <cfRule type="colorScale" priority="32">
      <colorScale>
        <cfvo type="num" val="1"/>
        <cfvo type="num" val="2"/>
        <color rgb="FFFCFCFF"/>
        <color rgb="FFF8696B"/>
      </colorScale>
    </cfRule>
  </conditionalFormatting>
  <conditionalFormatting sqref="S625">
    <cfRule type="colorScale" priority="29">
      <colorScale>
        <cfvo type="num" val="1"/>
        <cfvo type="num" val="2"/>
        <color rgb="FFFCFCFF"/>
        <color rgb="FFF8696B"/>
      </colorScale>
    </cfRule>
  </conditionalFormatting>
  <conditionalFormatting sqref="S626:S628">
    <cfRule type="colorScale" priority="30">
      <colorScale>
        <cfvo type="num" val="1"/>
        <cfvo type="num" val="2"/>
        <color rgb="FFFCFCFF"/>
        <color rgb="FFF8696B"/>
      </colorScale>
    </cfRule>
  </conditionalFormatting>
  <conditionalFormatting sqref="S627:S628">
    <cfRule type="colorScale" priority="23">
      <colorScale>
        <cfvo type="num" val="1"/>
        <cfvo type="num" val="2"/>
        <color rgb="FFFCFCFF"/>
        <color rgb="FFF8696B"/>
      </colorScale>
    </cfRule>
  </conditionalFormatting>
  <conditionalFormatting sqref="S629">
    <cfRule type="colorScale" priority="26">
      <colorScale>
        <cfvo type="num" val="1"/>
        <cfvo type="num" val="2"/>
        <color rgb="FFFCFCFF"/>
        <color rgb="FFF8696B"/>
      </colorScale>
    </cfRule>
  </conditionalFormatting>
  <conditionalFormatting sqref="S630:S632">
    <cfRule type="colorScale" priority="28">
      <colorScale>
        <cfvo type="num" val="1"/>
        <cfvo type="num" val="2"/>
        <color rgb="FFFCFCFF"/>
        <color rgb="FFF8696B"/>
      </colorScale>
    </cfRule>
  </conditionalFormatting>
  <conditionalFormatting sqref="S632">
    <cfRule type="colorScale" priority="14">
      <colorScale>
        <cfvo type="num" val="1"/>
        <cfvo type="num" val="2"/>
        <color rgb="FFFCFCFF"/>
        <color rgb="FFF8696B"/>
      </colorScale>
    </cfRule>
  </conditionalFormatting>
  <conditionalFormatting sqref="S633">
    <cfRule type="colorScale" priority="20">
      <colorScale>
        <cfvo type="num" val="1"/>
        <cfvo type="num" val="2"/>
        <color rgb="FFFCFCFF"/>
        <color rgb="FFF8696B"/>
      </colorScale>
    </cfRule>
  </conditionalFormatting>
  <conditionalFormatting sqref="S634">
    <cfRule type="colorScale" priority="21">
      <colorScale>
        <cfvo type="num" val="1"/>
        <cfvo type="num" val="2"/>
        <color rgb="FFFCFCFF"/>
        <color rgb="FFF8696B"/>
      </colorScale>
    </cfRule>
  </conditionalFormatting>
  <conditionalFormatting sqref="S635">
    <cfRule type="colorScale" priority="18">
      <colorScale>
        <cfvo type="num" val="1"/>
        <cfvo type="num" val="2"/>
        <color rgb="FFFCFCFF"/>
        <color rgb="FFF8696B"/>
      </colorScale>
    </cfRule>
  </conditionalFormatting>
  <conditionalFormatting sqref="S636:S640">
    <cfRule type="colorScale" priority="17">
      <colorScale>
        <cfvo type="num" val="1"/>
        <cfvo type="num" val="2"/>
        <color rgb="FFFCFCFF"/>
        <color rgb="FFF8696B"/>
      </colorScale>
    </cfRule>
  </conditionalFormatting>
  <conditionalFormatting sqref="S641">
    <cfRule type="colorScale" priority="15">
      <colorScale>
        <cfvo type="num" val="1"/>
        <cfvo type="num" val="2"/>
        <color rgb="FFFCFCFF"/>
        <color rgb="FFF8696B"/>
      </colorScale>
    </cfRule>
  </conditionalFormatting>
  <conditionalFormatting sqref="S642">
    <cfRule type="colorScale" priority="24">
      <colorScale>
        <cfvo type="num" val="1"/>
        <cfvo type="num" val="2"/>
        <color rgb="FFFCFCFF"/>
        <color rgb="FFF8696B"/>
      </colorScale>
    </cfRule>
  </conditionalFormatting>
  <conditionalFormatting sqref="S643">
    <cfRule type="colorScale" priority="31">
      <colorScale>
        <cfvo type="num" val="1"/>
        <cfvo type="num" val="2"/>
        <color rgb="FFFCFCFF"/>
        <color rgb="FFF8696B"/>
      </colorScale>
    </cfRule>
  </conditionalFormatting>
  <conditionalFormatting sqref="S653">
    <cfRule type="colorScale" priority="38">
      <colorScale>
        <cfvo type="num" val="1"/>
        <cfvo type="num" val="2"/>
        <color rgb="FFFCFCFF"/>
        <color rgb="FFF8696B"/>
      </colorScale>
    </cfRule>
  </conditionalFormatting>
  <conditionalFormatting sqref="S654:S655">
    <cfRule type="colorScale" priority="36">
      <colorScale>
        <cfvo type="num" val="1"/>
        <cfvo type="num" val="2"/>
        <color rgb="FFFCFCFF"/>
        <color rgb="FFF8696B"/>
      </colorScale>
    </cfRule>
  </conditionalFormatting>
  <conditionalFormatting sqref="S656">
    <cfRule type="colorScale" priority="45">
      <colorScale>
        <cfvo type="num" val="1"/>
        <cfvo type="num" val="2"/>
        <color rgb="FFFCFCFF"/>
        <color rgb="FFF8696B"/>
      </colorScale>
    </cfRule>
  </conditionalFormatting>
  <conditionalFormatting sqref="S658">
    <cfRule type="colorScale" priority="42">
      <colorScale>
        <cfvo type="num" val="1"/>
        <cfvo type="num" val="2"/>
        <color rgb="FFFCFCFF"/>
        <color rgb="FFF8696B"/>
      </colorScale>
    </cfRule>
  </conditionalFormatting>
  <conditionalFormatting sqref="S663">
    <cfRule type="colorScale" priority="41">
      <colorScale>
        <cfvo type="num" val="1"/>
        <cfvo type="num" val="2"/>
        <color rgb="FFFCFCFF"/>
        <color rgb="FFF8696B"/>
      </colorScale>
    </cfRule>
  </conditionalFormatting>
  <conditionalFormatting sqref="S667 S664">
    <cfRule type="colorScale" priority="55">
      <colorScale>
        <cfvo type="num" val="1"/>
        <cfvo type="num" val="2"/>
        <color rgb="FFFCFCFF"/>
        <color rgb="FFF8696B"/>
      </colorScale>
    </cfRule>
  </conditionalFormatting>
  <conditionalFormatting sqref="S667:S1048576">
    <cfRule type="colorScale" priority="9">
      <colorScale>
        <cfvo type="num" val="1"/>
        <cfvo type="num" val="2"/>
        <color rgb="FFFCFCFF"/>
        <color rgb="FFF8696B"/>
      </colorScale>
    </cfRule>
  </conditionalFormatting>
  <conditionalFormatting sqref="S668">
    <cfRule type="colorScale" priority="52">
      <colorScale>
        <cfvo type="num" val="1"/>
        <cfvo type="num" val="2"/>
        <color rgb="FFFCFCFF"/>
        <color rgb="FFF8696B"/>
      </colorScale>
    </cfRule>
  </conditionalFormatting>
  <conditionalFormatting sqref="S669">
    <cfRule type="colorScale" priority="50">
      <colorScale>
        <cfvo type="num" val="1"/>
        <cfvo type="num" val="2"/>
        <color rgb="FFFCFCFF"/>
        <color rgb="FFF8696B"/>
      </colorScale>
    </cfRule>
  </conditionalFormatting>
  <conditionalFormatting sqref="S670">
    <cfRule type="colorScale" priority="56">
      <colorScale>
        <cfvo type="num" val="1"/>
        <cfvo type="num" val="2"/>
        <color rgb="FFFCFCFF"/>
        <color rgb="FFF8696B"/>
      </colorScale>
    </cfRule>
  </conditionalFormatting>
  <conditionalFormatting sqref="S671">
    <cfRule type="colorScale" priority="48">
      <colorScale>
        <cfvo type="num" val="1"/>
        <cfvo type="num" val="2"/>
        <color rgb="FFFCFCFF"/>
        <color rgb="FFF8696B"/>
      </colorScale>
    </cfRule>
  </conditionalFormatting>
  <conditionalFormatting sqref="S674">
    <cfRule type="colorScale" priority="57">
      <colorScale>
        <cfvo type="num" val="1"/>
        <cfvo type="num" val="2"/>
        <color rgb="FFFCFCFF"/>
        <color rgb="FFF8696B"/>
      </colorScale>
    </cfRule>
  </conditionalFormatting>
  <conditionalFormatting sqref="S675">
    <cfRule type="colorScale" priority="58">
      <colorScale>
        <cfvo type="num" val="1"/>
        <cfvo type="num" val="2"/>
        <color rgb="FFFCFCFF"/>
        <color rgb="FFF8696B"/>
      </colorScale>
    </cfRule>
  </conditionalFormatting>
  <conditionalFormatting sqref="S677">
    <cfRule type="colorScale" priority="60">
      <colorScale>
        <cfvo type="num" val="1"/>
        <cfvo type="num" val="2"/>
        <color rgb="FFFCFCFF"/>
        <color rgb="FFF8696B"/>
      </colorScale>
    </cfRule>
  </conditionalFormatting>
  <conditionalFormatting sqref="S678:S679">
    <cfRule type="colorScale" priority="61">
      <colorScale>
        <cfvo type="num" val="1"/>
        <cfvo type="num" val="2"/>
        <color rgb="FFFCFCFF"/>
        <color rgb="FFF8696B"/>
      </colorScale>
    </cfRule>
  </conditionalFormatting>
  <conditionalFormatting sqref="S680">
    <cfRule type="colorScale" priority="68">
      <colorScale>
        <cfvo type="num" val="1"/>
        <cfvo type="num" val="2"/>
        <color rgb="FFFCFCFF"/>
        <color rgb="FFF8696B"/>
      </colorScale>
    </cfRule>
  </conditionalFormatting>
  <conditionalFormatting sqref="S681">
    <cfRule type="colorScale" priority="67">
      <colorScale>
        <cfvo type="num" val="1"/>
        <cfvo type="num" val="2"/>
        <color rgb="FFFCFCFF"/>
        <color rgb="FFF8696B"/>
      </colorScale>
    </cfRule>
  </conditionalFormatting>
  <conditionalFormatting sqref="S682">
    <cfRule type="colorScale" priority="63">
      <colorScale>
        <cfvo type="num" val="1"/>
        <cfvo type="num" val="2"/>
        <color rgb="FFFCFCFF"/>
        <color rgb="FFF8696B"/>
      </colorScale>
    </cfRule>
  </conditionalFormatting>
  <conditionalFormatting sqref="S683">
    <cfRule type="colorScale" priority="64">
      <colorScale>
        <cfvo type="num" val="1"/>
        <cfvo type="num" val="2"/>
        <color rgb="FFFCFCFF"/>
        <color rgb="FFF8696B"/>
      </colorScale>
    </cfRule>
  </conditionalFormatting>
  <conditionalFormatting sqref="S684">
    <cfRule type="colorScale" priority="70">
      <colorScale>
        <cfvo type="num" val="1"/>
        <cfvo type="num" val="2"/>
        <color rgb="FFFCFCFF"/>
        <color rgb="FFF8696B"/>
      </colorScale>
    </cfRule>
  </conditionalFormatting>
  <conditionalFormatting sqref="S688">
    <cfRule type="colorScale" priority="72">
      <colorScale>
        <cfvo type="num" val="1"/>
        <cfvo type="num" val="2"/>
        <color rgb="FFFCFCFF"/>
        <color rgb="FFF8696B"/>
      </colorScale>
    </cfRule>
  </conditionalFormatting>
  <conditionalFormatting sqref="S690">
    <cfRule type="colorScale" priority="71">
      <colorScale>
        <cfvo type="num" val="1"/>
        <cfvo type="num" val="2"/>
        <color rgb="FFFCFCFF"/>
        <color rgb="FFF8696B"/>
      </colorScale>
    </cfRule>
  </conditionalFormatting>
  <conditionalFormatting sqref="S694">
    <cfRule type="colorScale" priority="77">
      <colorScale>
        <cfvo type="num" val="1"/>
        <cfvo type="num" val="2"/>
        <color rgb="FFFCFCFF"/>
        <color rgb="FFF8696B"/>
      </colorScale>
    </cfRule>
  </conditionalFormatting>
  <conditionalFormatting sqref="S695">
    <cfRule type="colorScale" priority="75">
      <colorScale>
        <cfvo type="num" val="1"/>
        <cfvo type="num" val="2"/>
        <color rgb="FFFCFCFF"/>
        <color rgb="FFF8696B"/>
      </colorScale>
    </cfRule>
  </conditionalFormatting>
  <conditionalFormatting sqref="S696">
    <cfRule type="colorScale" priority="76">
      <colorScale>
        <cfvo type="num" val="1"/>
        <cfvo type="num" val="2"/>
        <color rgb="FFFCFCFF"/>
        <color rgb="FFF8696B"/>
      </colorScale>
    </cfRule>
  </conditionalFormatting>
  <conditionalFormatting sqref="S697">
    <cfRule type="colorScale" priority="74">
      <colorScale>
        <cfvo type="num" val="1"/>
        <cfvo type="num" val="2"/>
        <color rgb="FFFCFCFF"/>
        <color rgb="FFF8696B"/>
      </colorScale>
    </cfRule>
  </conditionalFormatting>
  <conditionalFormatting sqref="S704">
    <cfRule type="colorScale" priority="78">
      <colorScale>
        <cfvo type="num" val="1"/>
        <cfvo type="num" val="2"/>
        <color rgb="FFFCFCFF"/>
        <color rgb="FFF8696B"/>
      </colorScale>
    </cfRule>
  </conditionalFormatting>
  <conditionalFormatting sqref="U133">
    <cfRule type="iconSet" priority="69">
      <iconSet iconSet="3Symbols2">
        <cfvo type="percent" val="0"/>
        <cfvo type="num" val="1"/>
        <cfvo type="num" val="2"/>
      </iconSet>
    </cfRule>
  </conditionalFormatting>
  <conditionalFormatting sqref="U609">
    <cfRule type="iconSet" priority="34">
      <iconSet iconSet="3Symbols2">
        <cfvo type="percent" val="0"/>
        <cfvo type="num" val="1"/>
        <cfvo type="num" val="2"/>
      </iconSet>
    </cfRule>
    <cfRule type="iconSet" priority="35">
      <iconSet iconSet="3Symbols2">
        <cfvo type="percent" val="0"/>
        <cfvo type="num" val="1"/>
        <cfvo type="num" val="2"/>
      </iconSet>
    </cfRule>
  </conditionalFormatting>
  <conditionalFormatting sqref="U624">
    <cfRule type="iconSet" priority="33">
      <iconSet iconSet="3Symbols2">
        <cfvo type="percent" val="0"/>
        <cfvo type="num" val="1"/>
        <cfvo type="num" val="2"/>
      </iconSet>
    </cfRule>
  </conditionalFormatting>
  <conditionalFormatting sqref="U631">
    <cfRule type="iconSet" priority="27">
      <iconSet iconSet="3Symbols2">
        <cfvo type="percent" val="0"/>
        <cfvo type="num" val="1"/>
        <cfvo type="num" val="2"/>
      </iconSet>
    </cfRule>
  </conditionalFormatting>
  <conditionalFormatting sqref="U634">
    <cfRule type="iconSet" priority="22">
      <iconSet iconSet="3Symbols2">
        <cfvo type="percent" val="0"/>
        <cfvo type="num" val="1"/>
        <cfvo type="num" val="2"/>
      </iconSet>
    </cfRule>
  </conditionalFormatting>
  <conditionalFormatting sqref="U635">
    <cfRule type="iconSet" priority="19">
      <iconSet iconSet="3Symbols2">
        <cfvo type="percent" val="0"/>
        <cfvo type="num" val="1"/>
        <cfvo type="num" val="2"/>
      </iconSet>
    </cfRule>
  </conditionalFormatting>
  <conditionalFormatting sqref="U637:U639">
    <cfRule type="iconSet" priority="16">
      <iconSet iconSet="3Symbols2">
        <cfvo type="percent" val="0"/>
        <cfvo type="num" val="1"/>
        <cfvo type="num" val="2"/>
      </iconSet>
    </cfRule>
  </conditionalFormatting>
  <conditionalFormatting sqref="U642">
    <cfRule type="iconSet" priority="25">
      <iconSet iconSet="3Symbols2">
        <cfvo type="percent" val="0"/>
        <cfvo type="num" val="1"/>
        <cfvo type="num" val="2"/>
      </iconSet>
    </cfRule>
  </conditionalFormatting>
  <conditionalFormatting sqref="U653">
    <cfRule type="iconSet" priority="39">
      <iconSet iconSet="3Symbols2">
        <cfvo type="percent" val="0"/>
        <cfvo type="num" val="1"/>
        <cfvo type="num" val="2"/>
      </iconSet>
    </cfRule>
    <cfRule type="iconSet" priority="40">
      <iconSet iconSet="3Symbols2">
        <cfvo type="percent" val="0"/>
        <cfvo type="num" val="1"/>
        <cfvo type="num" val="2"/>
      </iconSet>
    </cfRule>
  </conditionalFormatting>
  <conditionalFormatting sqref="U654:U655">
    <cfRule type="iconSet" priority="37">
      <iconSet iconSet="3Symbols2">
        <cfvo type="percent" val="0"/>
        <cfvo type="num" val="1"/>
        <cfvo type="num" val="2"/>
      </iconSet>
    </cfRule>
  </conditionalFormatting>
  <conditionalFormatting sqref="U656">
    <cfRule type="iconSet" priority="46">
      <iconSet iconSet="3Symbols2">
        <cfvo type="percent" val="0"/>
        <cfvo type="num" val="1"/>
        <cfvo type="num" val="2"/>
      </iconSet>
    </cfRule>
    <cfRule type="iconSet" priority="47">
      <iconSet iconSet="3Symbols2">
        <cfvo type="percent" val="0"/>
        <cfvo type="num" val="1"/>
        <cfvo type="num" val="2"/>
      </iconSet>
    </cfRule>
  </conditionalFormatting>
  <conditionalFormatting sqref="U657 U611:U613 U615 U661 U626 U640 U632 U617:U619 U643:U652 U134:U608">
    <cfRule type="iconSet" priority="81">
      <iconSet iconSet="3Symbols2">
        <cfvo type="percent" val="0"/>
        <cfvo type="num" val="1"/>
        <cfvo type="num" val="2"/>
      </iconSet>
    </cfRule>
  </conditionalFormatting>
  <conditionalFormatting sqref="U658">
    <cfRule type="iconSet" priority="43">
      <iconSet iconSet="3Symbols2">
        <cfvo type="percent" val="0"/>
        <cfvo type="num" val="1"/>
        <cfvo type="num" val="2"/>
      </iconSet>
    </cfRule>
    <cfRule type="iconSet" priority="44">
      <iconSet iconSet="3Symbols2">
        <cfvo type="percent" val="0"/>
        <cfvo type="num" val="1"/>
        <cfvo type="num" val="2"/>
      </iconSet>
    </cfRule>
  </conditionalFormatting>
  <conditionalFormatting sqref="U663">
    <cfRule type="iconSet" priority="82">
      <iconSet iconSet="3Symbols2">
        <cfvo type="percent" val="0"/>
        <cfvo type="num" val="1"/>
        <cfvo type="num" val="2"/>
      </iconSet>
    </cfRule>
    <cfRule type="iconSet" priority="83">
      <iconSet iconSet="3Symbols2">
        <cfvo type="percent" val="0"/>
        <cfvo type="num" val="1"/>
        <cfvo type="num" val="2"/>
      </iconSet>
    </cfRule>
  </conditionalFormatting>
  <conditionalFormatting sqref="U667:U1048576 U2:U664">
    <cfRule type="iconSet" priority="80">
      <iconSet iconSet="3Symbols2">
        <cfvo type="percent" val="0"/>
        <cfvo type="num" val="1"/>
        <cfvo type="num" val="2"/>
      </iconSet>
    </cfRule>
  </conditionalFormatting>
  <conditionalFormatting sqref="U668">
    <cfRule type="iconSet" priority="53">
      <iconSet iconSet="3Symbols2">
        <cfvo type="percent" val="0"/>
        <cfvo type="num" val="1"/>
        <cfvo type="num" val="2"/>
      </iconSet>
    </cfRule>
    <cfRule type="iconSet" priority="54">
      <iconSet iconSet="3Symbols2">
        <cfvo type="percent" val="0"/>
        <cfvo type="num" val="1"/>
        <cfvo type="num" val="2"/>
      </iconSet>
    </cfRule>
  </conditionalFormatting>
  <conditionalFormatting sqref="U669">
    <cfRule type="iconSet" priority="51">
      <iconSet iconSet="3Symbols2">
        <cfvo type="percent" val="0"/>
        <cfvo type="num" val="1"/>
        <cfvo type="num" val="2"/>
      </iconSet>
    </cfRule>
  </conditionalFormatting>
  <conditionalFormatting sqref="U671">
    <cfRule type="iconSet" priority="49">
      <iconSet iconSet="3Symbols2">
        <cfvo type="percent" val="0"/>
        <cfvo type="num" val="1"/>
        <cfvo type="num" val="2"/>
      </iconSet>
    </cfRule>
  </conditionalFormatting>
  <conditionalFormatting sqref="U675">
    <cfRule type="iconSet" priority="59">
      <iconSet iconSet="3Symbols2">
        <cfvo type="percent" val="0"/>
        <cfvo type="num" val="1"/>
        <cfvo type="num" val="2"/>
      </iconSet>
    </cfRule>
  </conditionalFormatting>
  <conditionalFormatting sqref="U678:U679">
    <cfRule type="iconSet" priority="62">
      <iconSet iconSet="3Symbols2">
        <cfvo type="percent" val="0"/>
        <cfvo type="num" val="1"/>
        <cfvo type="num" val="2"/>
      </iconSet>
    </cfRule>
  </conditionalFormatting>
  <conditionalFormatting sqref="U681">
    <cfRule type="iconSet" priority="66">
      <iconSet iconSet="3Symbols2">
        <cfvo type="percent" val="0"/>
        <cfvo type="num" val="1"/>
        <cfvo type="num" val="2"/>
      </iconSet>
    </cfRule>
  </conditionalFormatting>
  <conditionalFormatting sqref="U683">
    <cfRule type="iconSet" priority="65">
      <iconSet iconSet="3Symbols2">
        <cfvo type="percent" val="0"/>
        <cfvo type="num" val="1"/>
        <cfvo type="num" val="2"/>
      </iconSet>
    </cfRule>
  </conditionalFormatting>
  <dataValidations count="4">
    <dataValidation type="date" allowBlank="1" showInputMessage="1" showErrorMessage="1" sqref="I2:I15 H1:H15 H27:I57 H158:H179 H243:H1048576 I243:I265 H97:I124 I230:I233 I235:I241 I267:I271 H192:H241 I192:I228 H77:I94 H95:H96 I158:I176" xr:uid="{A913C3BE-0E17-4B80-ABCB-F6F761F0FD34}">
      <formula1>46023</formula1>
      <formula2>46387</formula2>
    </dataValidation>
    <dataValidation type="whole" allowBlank="1" showInputMessage="1" showErrorMessage="1" sqref="C2:C47 C54:C55 C60:C662" xr:uid="{70904FD7-E86B-48F4-824F-1230B12DB532}">
      <formula1>1</formula1>
      <formula2>4</formula2>
    </dataValidation>
    <dataValidation type="date" allowBlank="1" showInputMessage="1" showErrorMessage="1" sqref="I272:I1048576" xr:uid="{80BD0C97-D1EE-490E-AF2F-BB281CFBE255}">
      <formula1>45658</formula1>
      <formula2>46022</formula2>
    </dataValidation>
    <dataValidation type="whole" allowBlank="1" showInputMessage="1" showErrorMessage="1" sqref="G761:G1048576 G759 G755 G664 F1 G748 G743 G739:G740 G737 G734 G730 G726:G727 G722 G714:G715 G711:G712 G708:G709 G705:G706 G702:G703 G692:G693 G682 G684:G690 G672:G680 G670 G667" xr:uid="{A7D1AD58-7725-4EC7-9306-121FA40F7A06}">
      <formula1>10</formula1>
      <formula2>10000</formula2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BE15-9AE6-4DE2-934D-47D574510322}">
  <dimension ref="A1:X2697"/>
  <sheetViews>
    <sheetView tabSelected="1" workbookViewId="0">
      <selection activeCell="F1573" sqref="F1573"/>
    </sheetView>
  </sheetViews>
  <sheetFormatPr baseColWidth="10" defaultColWidth="11.453125" defaultRowHeight="14.5"/>
  <cols>
    <col min="7" max="7" width="41.54296875" customWidth="1"/>
    <col min="10" max="10" width="32.453125" bestFit="1" customWidth="1"/>
    <col min="16" max="16" width="33.7265625" bestFit="1" customWidth="1"/>
  </cols>
  <sheetData>
    <row r="1" spans="1:24" ht="29">
      <c r="A1" s="70" t="s">
        <v>243</v>
      </c>
      <c r="B1" s="70" t="s">
        <v>244</v>
      </c>
      <c r="C1" s="70" t="s">
        <v>245</v>
      </c>
      <c r="F1" s="71" t="s">
        <v>246</v>
      </c>
      <c r="G1" s="71" t="s">
        <v>247</v>
      </c>
      <c r="H1" s="71" t="s">
        <v>246</v>
      </c>
      <c r="I1" s="72" t="s">
        <v>248</v>
      </c>
      <c r="J1" s="73" t="s">
        <v>17</v>
      </c>
      <c r="K1" s="73" t="s">
        <v>249</v>
      </c>
      <c r="L1" s="73" t="s">
        <v>250</v>
      </c>
      <c r="M1" s="73" t="s">
        <v>251</v>
      </c>
      <c r="N1" s="73" t="s">
        <v>252</v>
      </c>
      <c r="O1" s="72" t="s">
        <v>253</v>
      </c>
      <c r="P1" s="73" t="s">
        <v>17</v>
      </c>
      <c r="Q1" s="73" t="s">
        <v>249</v>
      </c>
      <c r="R1" s="73" t="s">
        <v>250</v>
      </c>
      <c r="S1" s="73" t="s">
        <v>251</v>
      </c>
      <c r="T1" s="73" t="s">
        <v>252</v>
      </c>
      <c r="V1" s="73" t="s">
        <v>254</v>
      </c>
      <c r="X1" s="73" t="s">
        <v>248</v>
      </c>
    </row>
    <row r="2" spans="1:24" ht="15.5">
      <c r="A2" s="74">
        <v>14</v>
      </c>
      <c r="B2" s="75" t="s">
        <v>255</v>
      </c>
      <c r="C2" s="75" t="s">
        <v>256</v>
      </c>
      <c r="F2" s="76">
        <v>311961</v>
      </c>
      <c r="G2" s="77" t="s">
        <v>257</v>
      </c>
      <c r="H2" s="78">
        <v>0</v>
      </c>
      <c r="J2" t="s">
        <v>30</v>
      </c>
      <c r="K2" s="32">
        <v>816</v>
      </c>
      <c r="L2" s="32">
        <f>+K2*2</f>
        <v>1632</v>
      </c>
      <c r="M2" s="32">
        <f>+K2*3</f>
        <v>2448</v>
      </c>
      <c r="N2" s="32">
        <f>+K2*4</f>
        <v>3264</v>
      </c>
      <c r="P2" t="s">
        <v>30</v>
      </c>
      <c r="Q2" s="32">
        <v>888</v>
      </c>
      <c r="R2" s="32">
        <f>+Q2*2</f>
        <v>1776</v>
      </c>
      <c r="S2" s="32">
        <f>+Q2*3</f>
        <v>2664</v>
      </c>
      <c r="T2" s="32">
        <f>+Q2*4</f>
        <v>3552</v>
      </c>
      <c r="V2" t="s">
        <v>33</v>
      </c>
      <c r="X2" t="s">
        <v>25</v>
      </c>
    </row>
    <row r="3" spans="1:24" ht="15.5">
      <c r="A3" s="74">
        <v>53</v>
      </c>
      <c r="B3" s="75" t="s">
        <v>258</v>
      </c>
      <c r="C3" s="75" t="s">
        <v>256</v>
      </c>
      <c r="F3" s="76">
        <v>305051</v>
      </c>
      <c r="G3" s="77" t="s">
        <v>259</v>
      </c>
      <c r="H3" s="78">
        <v>0</v>
      </c>
      <c r="J3" t="s">
        <v>260</v>
      </c>
      <c r="K3" s="32">
        <v>2472</v>
      </c>
      <c r="L3" s="32">
        <f t="shared" ref="L3:L20" si="0">+K3*2</f>
        <v>4944</v>
      </c>
      <c r="M3" s="32">
        <f t="shared" ref="M3:M20" si="1">+K3*3</f>
        <v>7416</v>
      </c>
      <c r="N3" s="32">
        <f t="shared" ref="N3:N20" si="2">+K3*4</f>
        <v>9888</v>
      </c>
      <c r="P3" t="s">
        <v>260</v>
      </c>
      <c r="Q3" s="32">
        <v>2067</v>
      </c>
      <c r="R3" s="32">
        <f t="shared" ref="R3:R20" si="3">+Q3*2</f>
        <v>4134</v>
      </c>
      <c r="S3" s="32">
        <f t="shared" ref="S3:S20" si="4">+Q3*3</f>
        <v>6201</v>
      </c>
      <c r="T3" s="32">
        <f t="shared" ref="T3:T20" si="5">+Q3*4</f>
        <v>8268</v>
      </c>
      <c r="V3" t="s">
        <v>26</v>
      </c>
      <c r="X3" t="s">
        <v>111</v>
      </c>
    </row>
    <row r="4" spans="1:24" ht="15.5">
      <c r="A4" s="74">
        <v>54</v>
      </c>
      <c r="B4" s="75" t="s">
        <v>261</v>
      </c>
      <c r="C4" s="75" t="s">
        <v>256</v>
      </c>
      <c r="F4" s="76">
        <v>308201</v>
      </c>
      <c r="G4" s="77" t="s">
        <v>262</v>
      </c>
      <c r="H4" s="78">
        <v>0</v>
      </c>
      <c r="J4" t="s">
        <v>36</v>
      </c>
      <c r="K4" s="32">
        <v>1428</v>
      </c>
      <c r="L4" s="32">
        <f t="shared" si="0"/>
        <v>2856</v>
      </c>
      <c r="M4" s="32">
        <f t="shared" si="1"/>
        <v>4284</v>
      </c>
      <c r="N4" s="32">
        <f t="shared" si="2"/>
        <v>5712</v>
      </c>
      <c r="P4" t="s">
        <v>36</v>
      </c>
      <c r="Q4" s="32">
        <v>1548</v>
      </c>
      <c r="R4" s="32">
        <f t="shared" si="3"/>
        <v>3096</v>
      </c>
      <c r="S4" s="32">
        <f t="shared" si="4"/>
        <v>4644</v>
      </c>
      <c r="T4" s="32">
        <f t="shared" si="5"/>
        <v>6192</v>
      </c>
    </row>
    <row r="5" spans="1:24" ht="15.5">
      <c r="A5" s="74">
        <v>58</v>
      </c>
      <c r="B5" s="75" t="s">
        <v>263</v>
      </c>
      <c r="C5" s="75" t="s">
        <v>256</v>
      </c>
      <c r="F5" s="76">
        <v>311188</v>
      </c>
      <c r="G5" s="77" t="s">
        <v>264</v>
      </c>
      <c r="H5" s="78">
        <v>0</v>
      </c>
      <c r="J5" t="s">
        <v>213</v>
      </c>
      <c r="K5" s="32">
        <v>1908</v>
      </c>
      <c r="L5" s="32">
        <f t="shared" si="0"/>
        <v>3816</v>
      </c>
      <c r="M5" s="32">
        <f t="shared" si="1"/>
        <v>5724</v>
      </c>
      <c r="N5" s="32">
        <f t="shared" si="2"/>
        <v>7632</v>
      </c>
      <c r="P5" t="s">
        <v>213</v>
      </c>
      <c r="Q5" s="32">
        <v>2676</v>
      </c>
      <c r="R5" s="32">
        <f t="shared" si="3"/>
        <v>5352</v>
      </c>
      <c r="S5" s="32">
        <f t="shared" si="4"/>
        <v>8028</v>
      </c>
      <c r="T5" s="32">
        <f t="shared" si="5"/>
        <v>10704</v>
      </c>
    </row>
    <row r="6" spans="1:24" ht="15.5">
      <c r="A6" s="74">
        <v>71</v>
      </c>
      <c r="B6" s="75" t="s">
        <v>265</v>
      </c>
      <c r="C6" s="75" t="s">
        <v>256</v>
      </c>
      <c r="F6" s="76">
        <v>311460</v>
      </c>
      <c r="G6" s="77" t="s">
        <v>266</v>
      </c>
      <c r="H6" s="78">
        <v>0</v>
      </c>
      <c r="J6" t="s">
        <v>121</v>
      </c>
      <c r="K6" s="32">
        <v>1704</v>
      </c>
      <c r="L6" s="32">
        <f t="shared" si="0"/>
        <v>3408</v>
      </c>
      <c r="M6" s="32">
        <f t="shared" si="1"/>
        <v>5112</v>
      </c>
      <c r="N6" s="32">
        <f t="shared" si="2"/>
        <v>6816</v>
      </c>
      <c r="P6" t="s">
        <v>121</v>
      </c>
      <c r="Q6" s="32">
        <v>1848</v>
      </c>
      <c r="R6" s="32">
        <f t="shared" si="3"/>
        <v>3696</v>
      </c>
      <c r="S6" s="32">
        <f t="shared" si="4"/>
        <v>5544</v>
      </c>
      <c r="T6" s="32">
        <f t="shared" si="5"/>
        <v>7392</v>
      </c>
    </row>
    <row r="7" spans="1:24" ht="15.5">
      <c r="A7" s="74">
        <v>90</v>
      </c>
      <c r="B7" s="75" t="s">
        <v>267</v>
      </c>
      <c r="C7" s="75" t="s">
        <v>268</v>
      </c>
      <c r="F7" s="76">
        <v>306579</v>
      </c>
      <c r="G7" s="77" t="s">
        <v>269</v>
      </c>
      <c r="H7" s="78">
        <v>0</v>
      </c>
      <c r="J7" t="s">
        <v>242</v>
      </c>
      <c r="K7" s="32">
        <v>1332</v>
      </c>
      <c r="L7" s="32">
        <f t="shared" si="0"/>
        <v>2664</v>
      </c>
      <c r="M7" s="32">
        <f t="shared" si="1"/>
        <v>3996</v>
      </c>
      <c r="N7" s="32">
        <f t="shared" si="2"/>
        <v>5328</v>
      </c>
      <c r="P7" t="s">
        <v>242</v>
      </c>
      <c r="Q7" s="32">
        <v>1440</v>
      </c>
      <c r="R7" s="32">
        <f t="shared" si="3"/>
        <v>2880</v>
      </c>
      <c r="S7" s="32">
        <f t="shared" si="4"/>
        <v>4320</v>
      </c>
      <c r="T7" s="32">
        <f t="shared" si="5"/>
        <v>5760</v>
      </c>
    </row>
    <row r="8" spans="1:24" ht="15.5">
      <c r="A8" s="74">
        <v>92</v>
      </c>
      <c r="B8" s="75" t="s">
        <v>270</v>
      </c>
      <c r="C8" s="75" t="s">
        <v>256</v>
      </c>
      <c r="F8" s="76">
        <v>312284</v>
      </c>
      <c r="G8" s="77" t="s">
        <v>271</v>
      </c>
      <c r="H8" s="78">
        <v>0</v>
      </c>
      <c r="J8" t="s">
        <v>67</v>
      </c>
      <c r="K8" s="32">
        <v>1008</v>
      </c>
      <c r="L8" s="32">
        <f t="shared" si="0"/>
        <v>2016</v>
      </c>
      <c r="M8" s="32">
        <f t="shared" si="1"/>
        <v>3024</v>
      </c>
      <c r="N8" s="32">
        <f t="shared" si="2"/>
        <v>4032</v>
      </c>
      <c r="P8" t="s">
        <v>67</v>
      </c>
      <c r="Q8" s="32">
        <v>1092</v>
      </c>
      <c r="R8" s="32">
        <f t="shared" si="3"/>
        <v>2184</v>
      </c>
      <c r="S8" s="32">
        <f t="shared" si="4"/>
        <v>3276</v>
      </c>
      <c r="T8" s="32">
        <f t="shared" si="5"/>
        <v>4368</v>
      </c>
    </row>
    <row r="9" spans="1:24" ht="15.5">
      <c r="A9" s="74">
        <v>224</v>
      </c>
      <c r="B9" s="75" t="s">
        <v>272</v>
      </c>
      <c r="C9" s="75" t="s">
        <v>256</v>
      </c>
      <c r="F9" s="76">
        <v>311234</v>
      </c>
      <c r="G9" s="77" t="s">
        <v>273</v>
      </c>
      <c r="H9" s="78">
        <v>0</v>
      </c>
      <c r="J9" t="s">
        <v>138</v>
      </c>
      <c r="K9" s="32">
        <v>2052</v>
      </c>
      <c r="L9" s="32">
        <f t="shared" si="0"/>
        <v>4104</v>
      </c>
      <c r="M9" s="32">
        <f t="shared" si="1"/>
        <v>6156</v>
      </c>
      <c r="N9" s="32">
        <f t="shared" si="2"/>
        <v>8208</v>
      </c>
      <c r="P9" t="s">
        <v>138</v>
      </c>
      <c r="Q9" s="32">
        <v>1417</v>
      </c>
      <c r="R9" s="32">
        <f t="shared" si="3"/>
        <v>2834</v>
      </c>
      <c r="S9" s="32">
        <f t="shared" si="4"/>
        <v>4251</v>
      </c>
      <c r="T9" s="32">
        <f t="shared" si="5"/>
        <v>5668</v>
      </c>
    </row>
    <row r="10" spans="1:24" ht="15.5">
      <c r="A10" s="74">
        <v>226</v>
      </c>
      <c r="B10" s="75" t="s">
        <v>274</v>
      </c>
      <c r="C10" s="75" t="s">
        <v>256</v>
      </c>
      <c r="F10" s="76">
        <v>308361</v>
      </c>
      <c r="G10" s="77" t="s">
        <v>275</v>
      </c>
      <c r="H10" s="78">
        <v>0</v>
      </c>
      <c r="J10" s="79" t="s">
        <v>97</v>
      </c>
      <c r="K10" s="32">
        <v>1092</v>
      </c>
      <c r="L10" s="32">
        <f t="shared" si="0"/>
        <v>2184</v>
      </c>
      <c r="M10" s="32">
        <f t="shared" si="1"/>
        <v>3276</v>
      </c>
      <c r="N10" s="32">
        <f t="shared" si="2"/>
        <v>4368</v>
      </c>
      <c r="P10" s="79" t="s">
        <v>97</v>
      </c>
      <c r="Q10" s="32">
        <v>1200</v>
      </c>
      <c r="R10" s="32">
        <f>+Q10*2</f>
        <v>2400</v>
      </c>
      <c r="S10" s="32">
        <f>+Q10*3</f>
        <v>3600</v>
      </c>
      <c r="T10" s="32">
        <f>+Q10*4</f>
        <v>4800</v>
      </c>
    </row>
    <row r="11" spans="1:24" ht="15.5">
      <c r="A11" s="74">
        <v>231</v>
      </c>
      <c r="B11" s="75" t="s">
        <v>276</v>
      </c>
      <c r="C11" s="75" t="s">
        <v>256</v>
      </c>
      <c r="F11" s="76">
        <v>309678</v>
      </c>
      <c r="G11" s="77" t="s">
        <v>277</v>
      </c>
      <c r="H11" s="78">
        <v>0</v>
      </c>
      <c r="J11" t="s">
        <v>278</v>
      </c>
      <c r="K11" s="32">
        <v>1308</v>
      </c>
      <c r="L11" s="32">
        <f t="shared" si="0"/>
        <v>2616</v>
      </c>
      <c r="M11" s="32">
        <f t="shared" si="1"/>
        <v>3924</v>
      </c>
      <c r="N11" s="32">
        <f t="shared" si="2"/>
        <v>5232</v>
      </c>
      <c r="P11" t="s">
        <v>278</v>
      </c>
      <c r="Q11" s="32">
        <v>1416</v>
      </c>
      <c r="R11" s="32">
        <f t="shared" si="3"/>
        <v>2832</v>
      </c>
      <c r="S11" s="32">
        <f t="shared" si="4"/>
        <v>4248</v>
      </c>
      <c r="T11" s="32">
        <f t="shared" si="5"/>
        <v>5664</v>
      </c>
    </row>
    <row r="12" spans="1:24" ht="15.5">
      <c r="A12" s="74">
        <v>278</v>
      </c>
      <c r="B12" s="75" t="s">
        <v>279</v>
      </c>
      <c r="C12" s="75" t="s">
        <v>256</v>
      </c>
      <c r="F12" s="76">
        <v>311232</v>
      </c>
      <c r="G12" s="77" t="s">
        <v>280</v>
      </c>
      <c r="H12" s="78">
        <v>0</v>
      </c>
      <c r="J12" t="s">
        <v>55</v>
      </c>
      <c r="K12" s="32">
        <v>2004</v>
      </c>
      <c r="L12" s="32">
        <f t="shared" si="0"/>
        <v>4008</v>
      </c>
      <c r="M12" s="32">
        <f t="shared" si="1"/>
        <v>6012</v>
      </c>
      <c r="N12" s="32">
        <f t="shared" si="2"/>
        <v>8016</v>
      </c>
      <c r="P12" t="s">
        <v>55</v>
      </c>
      <c r="Q12" s="32">
        <v>2172</v>
      </c>
      <c r="R12" s="32">
        <f t="shared" si="3"/>
        <v>4344</v>
      </c>
      <c r="S12" s="32">
        <f t="shared" si="4"/>
        <v>6516</v>
      </c>
      <c r="T12" s="32">
        <f t="shared" si="5"/>
        <v>8688</v>
      </c>
    </row>
    <row r="13" spans="1:24" ht="15.5">
      <c r="A13" s="74">
        <v>294</v>
      </c>
      <c r="B13" s="75" t="s">
        <v>281</v>
      </c>
      <c r="C13" s="75" t="s">
        <v>256</v>
      </c>
      <c r="F13" s="76">
        <v>312015</v>
      </c>
      <c r="G13" s="77" t="s">
        <v>282</v>
      </c>
      <c r="H13" s="78">
        <v>0</v>
      </c>
      <c r="J13" t="s">
        <v>240</v>
      </c>
      <c r="K13" s="32">
        <v>2460</v>
      </c>
      <c r="L13" s="32">
        <f t="shared" si="0"/>
        <v>4920</v>
      </c>
      <c r="M13" s="32">
        <f t="shared" si="1"/>
        <v>7380</v>
      </c>
      <c r="N13" s="32">
        <f t="shared" si="2"/>
        <v>9840</v>
      </c>
      <c r="P13" t="s">
        <v>240</v>
      </c>
      <c r="Q13" s="32">
        <v>1937</v>
      </c>
      <c r="R13" s="32">
        <f t="shared" si="3"/>
        <v>3874</v>
      </c>
      <c r="S13" s="32">
        <f t="shared" si="4"/>
        <v>5811</v>
      </c>
      <c r="T13" s="32">
        <f t="shared" si="5"/>
        <v>7748</v>
      </c>
    </row>
    <row r="14" spans="1:24" ht="15.5">
      <c r="A14" s="74">
        <v>306</v>
      </c>
      <c r="B14" s="75" t="s">
        <v>283</v>
      </c>
      <c r="C14" s="75" t="s">
        <v>256</v>
      </c>
      <c r="F14" s="76">
        <v>311704</v>
      </c>
      <c r="G14" s="77" t="s">
        <v>284</v>
      </c>
      <c r="H14" s="78">
        <v>0</v>
      </c>
      <c r="J14" t="s">
        <v>41</v>
      </c>
      <c r="K14" s="32">
        <v>1368</v>
      </c>
      <c r="L14" s="32">
        <f t="shared" si="0"/>
        <v>2736</v>
      </c>
      <c r="M14" s="32">
        <f t="shared" si="1"/>
        <v>4104</v>
      </c>
      <c r="N14" s="32">
        <f t="shared" si="2"/>
        <v>5472</v>
      </c>
      <c r="P14" t="s">
        <v>41</v>
      </c>
      <c r="Q14" s="32">
        <v>1488</v>
      </c>
      <c r="R14" s="32">
        <f t="shared" si="3"/>
        <v>2976</v>
      </c>
      <c r="S14" s="32">
        <f t="shared" si="4"/>
        <v>4464</v>
      </c>
      <c r="T14" s="32">
        <f t="shared" si="5"/>
        <v>5952</v>
      </c>
    </row>
    <row r="15" spans="1:24" ht="15.5">
      <c r="A15" s="74">
        <v>338</v>
      </c>
      <c r="B15" s="75" t="s">
        <v>285</v>
      </c>
      <c r="C15" s="75" t="s">
        <v>256</v>
      </c>
      <c r="F15" s="76">
        <v>311894</v>
      </c>
      <c r="G15" s="77" t="s">
        <v>286</v>
      </c>
      <c r="H15" s="78">
        <v>0</v>
      </c>
      <c r="J15" t="s">
        <v>60</v>
      </c>
      <c r="K15" s="32">
        <v>2736</v>
      </c>
      <c r="L15" s="32">
        <f t="shared" si="0"/>
        <v>5472</v>
      </c>
      <c r="M15" s="32">
        <f t="shared" si="1"/>
        <v>8208</v>
      </c>
      <c r="N15" s="32">
        <f t="shared" si="2"/>
        <v>10944</v>
      </c>
      <c r="P15" t="s">
        <v>60</v>
      </c>
      <c r="Q15" s="32">
        <v>2964</v>
      </c>
      <c r="R15" s="32">
        <f t="shared" si="3"/>
        <v>5928</v>
      </c>
      <c r="S15" s="32">
        <f t="shared" si="4"/>
        <v>8892</v>
      </c>
      <c r="T15" s="32">
        <f t="shared" si="5"/>
        <v>11856</v>
      </c>
    </row>
    <row r="16" spans="1:24" ht="15.5">
      <c r="A16" s="80">
        <v>1000</v>
      </c>
      <c r="B16" s="75" t="s">
        <v>287</v>
      </c>
      <c r="C16" s="75" t="s">
        <v>256</v>
      </c>
      <c r="F16" s="76">
        <v>308901</v>
      </c>
      <c r="G16" s="77" t="s">
        <v>288</v>
      </c>
      <c r="H16" s="78">
        <v>0</v>
      </c>
      <c r="J16" t="s">
        <v>219</v>
      </c>
      <c r="K16" s="32">
        <v>4104</v>
      </c>
      <c r="L16" s="32">
        <f t="shared" si="0"/>
        <v>8208</v>
      </c>
      <c r="M16" s="32">
        <f t="shared" si="1"/>
        <v>12312</v>
      </c>
      <c r="N16" s="32">
        <f t="shared" si="2"/>
        <v>16416</v>
      </c>
      <c r="P16" t="s">
        <v>219</v>
      </c>
      <c r="Q16" s="32">
        <v>4452</v>
      </c>
      <c r="R16" s="32">
        <f t="shared" si="3"/>
        <v>8904</v>
      </c>
      <c r="S16" s="32">
        <f t="shared" si="4"/>
        <v>13356</v>
      </c>
      <c r="T16" s="32">
        <f t="shared" si="5"/>
        <v>17808</v>
      </c>
    </row>
    <row r="17" spans="1:20" ht="15.5">
      <c r="A17" s="74">
        <v>1</v>
      </c>
      <c r="B17" s="75" t="s">
        <v>289</v>
      </c>
      <c r="C17" s="75" t="s">
        <v>290</v>
      </c>
      <c r="F17" s="76">
        <v>310382</v>
      </c>
      <c r="G17" s="77" t="s">
        <v>291</v>
      </c>
      <c r="H17" s="78">
        <v>0</v>
      </c>
      <c r="J17" t="s">
        <v>62</v>
      </c>
      <c r="K17" s="32">
        <v>5460</v>
      </c>
      <c r="L17" s="32">
        <f t="shared" si="0"/>
        <v>10920</v>
      </c>
      <c r="M17" s="32">
        <f t="shared" si="1"/>
        <v>16380</v>
      </c>
      <c r="N17" s="32">
        <f t="shared" si="2"/>
        <v>21840</v>
      </c>
      <c r="P17" t="s">
        <v>62</v>
      </c>
      <c r="Q17" s="32">
        <v>5916</v>
      </c>
      <c r="R17" s="32">
        <f t="shared" si="3"/>
        <v>11832</v>
      </c>
      <c r="S17" s="32">
        <f t="shared" si="4"/>
        <v>17748</v>
      </c>
      <c r="T17" s="32">
        <f t="shared" si="5"/>
        <v>23664</v>
      </c>
    </row>
    <row r="18" spans="1:20" ht="15.5">
      <c r="A18" s="74">
        <v>2</v>
      </c>
      <c r="B18" s="75" t="s">
        <v>292</v>
      </c>
      <c r="C18" s="75" t="s">
        <v>290</v>
      </c>
      <c r="F18" s="76">
        <v>312069</v>
      </c>
      <c r="G18" s="77" t="s">
        <v>293</v>
      </c>
      <c r="H18" s="78">
        <v>0</v>
      </c>
      <c r="J18" t="s">
        <v>205</v>
      </c>
      <c r="K18" s="32">
        <v>6828</v>
      </c>
      <c r="L18" s="32">
        <f t="shared" si="0"/>
        <v>13656</v>
      </c>
      <c r="M18" s="32">
        <f t="shared" si="1"/>
        <v>20484</v>
      </c>
      <c r="N18" s="32">
        <f t="shared" si="2"/>
        <v>27312</v>
      </c>
      <c r="P18" t="s">
        <v>205</v>
      </c>
      <c r="Q18" s="32">
        <v>7392</v>
      </c>
      <c r="R18" s="32">
        <f t="shared" si="3"/>
        <v>14784</v>
      </c>
      <c r="S18" s="32">
        <f t="shared" si="4"/>
        <v>22176</v>
      </c>
      <c r="T18" s="32">
        <f t="shared" si="5"/>
        <v>29568</v>
      </c>
    </row>
    <row r="19" spans="1:20" ht="15.5">
      <c r="A19" s="74">
        <v>12</v>
      </c>
      <c r="B19" s="75" t="s">
        <v>294</v>
      </c>
      <c r="C19" s="75" t="s">
        <v>268</v>
      </c>
      <c r="F19" s="76">
        <v>311060</v>
      </c>
      <c r="G19" s="77" t="s">
        <v>295</v>
      </c>
      <c r="H19" s="78">
        <v>0</v>
      </c>
      <c r="J19" t="s">
        <v>296</v>
      </c>
      <c r="K19" s="32">
        <v>8196</v>
      </c>
      <c r="L19" s="32">
        <f t="shared" si="0"/>
        <v>16392</v>
      </c>
      <c r="M19" s="32">
        <f t="shared" si="1"/>
        <v>24588</v>
      </c>
      <c r="N19" s="32">
        <f t="shared" si="2"/>
        <v>32784</v>
      </c>
      <c r="P19" t="s">
        <v>296</v>
      </c>
      <c r="Q19" s="32">
        <v>1500</v>
      </c>
      <c r="R19" s="32">
        <f t="shared" si="3"/>
        <v>3000</v>
      </c>
      <c r="S19" s="32">
        <f t="shared" si="4"/>
        <v>4500</v>
      </c>
      <c r="T19" s="32">
        <f t="shared" si="5"/>
        <v>6000</v>
      </c>
    </row>
    <row r="20" spans="1:20" ht="15.5">
      <c r="A20" s="74">
        <v>13</v>
      </c>
      <c r="B20" s="75" t="s">
        <v>297</v>
      </c>
      <c r="C20" s="75" t="s">
        <v>290</v>
      </c>
      <c r="F20" s="76">
        <v>310710</v>
      </c>
      <c r="G20" s="77" t="s">
        <v>298</v>
      </c>
      <c r="H20" s="78">
        <v>0</v>
      </c>
      <c r="J20" t="s">
        <v>114</v>
      </c>
      <c r="K20" s="32">
        <v>1380</v>
      </c>
      <c r="L20" s="32">
        <f t="shared" si="0"/>
        <v>2760</v>
      </c>
      <c r="M20" s="32">
        <f t="shared" si="1"/>
        <v>4140</v>
      </c>
      <c r="N20" s="32">
        <f t="shared" si="2"/>
        <v>5520</v>
      </c>
      <c r="P20" t="s">
        <v>114</v>
      </c>
      <c r="Q20" s="32">
        <v>1428</v>
      </c>
      <c r="R20" s="32">
        <f t="shared" si="3"/>
        <v>2856</v>
      </c>
      <c r="S20" s="32">
        <f t="shared" si="4"/>
        <v>4284</v>
      </c>
      <c r="T20" s="32">
        <f t="shared" si="5"/>
        <v>5712</v>
      </c>
    </row>
    <row r="21" spans="1:20" ht="15.5">
      <c r="A21" s="74">
        <v>19</v>
      </c>
      <c r="B21" s="75" t="s">
        <v>299</v>
      </c>
      <c r="C21" s="75" t="s">
        <v>290</v>
      </c>
      <c r="F21" s="76">
        <v>312045</v>
      </c>
      <c r="G21" s="77" t="s">
        <v>300</v>
      </c>
      <c r="H21" s="78">
        <v>0</v>
      </c>
      <c r="J21" t="s">
        <v>301</v>
      </c>
      <c r="K21" t="s">
        <v>302</v>
      </c>
    </row>
    <row r="22" spans="1:20" ht="15.5">
      <c r="A22" s="74">
        <v>37</v>
      </c>
      <c r="B22" s="75" t="s">
        <v>303</v>
      </c>
      <c r="C22" s="75" t="s">
        <v>290</v>
      </c>
      <c r="F22" s="76">
        <v>309496</v>
      </c>
      <c r="G22" s="77" t="s">
        <v>304</v>
      </c>
      <c r="H22" s="78">
        <v>0</v>
      </c>
    </row>
    <row r="23" spans="1:20" ht="15.5">
      <c r="A23" s="74">
        <v>61</v>
      </c>
      <c r="B23" s="75" t="s">
        <v>305</v>
      </c>
      <c r="C23" s="75" t="s">
        <v>290</v>
      </c>
      <c r="F23" s="76">
        <v>310331</v>
      </c>
      <c r="G23" s="77" t="s">
        <v>306</v>
      </c>
      <c r="H23" s="78">
        <v>0</v>
      </c>
    </row>
    <row r="24" spans="1:20" ht="15.5">
      <c r="A24" s="74">
        <v>81</v>
      </c>
      <c r="B24" s="75" t="s">
        <v>307</v>
      </c>
      <c r="C24" s="75" t="s">
        <v>290</v>
      </c>
      <c r="F24" s="76">
        <v>305796</v>
      </c>
      <c r="G24" s="77" t="s">
        <v>308</v>
      </c>
      <c r="H24" s="78">
        <v>0</v>
      </c>
    </row>
    <row r="25" spans="1:20" ht="15.5">
      <c r="A25" s="74">
        <v>83</v>
      </c>
      <c r="B25" s="75" t="s">
        <v>309</v>
      </c>
      <c r="C25" s="75" t="s">
        <v>290</v>
      </c>
      <c r="F25" s="76">
        <v>308464</v>
      </c>
      <c r="G25" s="77" t="s">
        <v>310</v>
      </c>
      <c r="H25" s="78">
        <v>0</v>
      </c>
    </row>
    <row r="26" spans="1:20" ht="15.5">
      <c r="A26" s="74">
        <v>87</v>
      </c>
      <c r="B26" s="75" t="s">
        <v>311</v>
      </c>
      <c r="C26" s="75" t="s">
        <v>290</v>
      </c>
      <c r="F26" s="76">
        <v>312053</v>
      </c>
      <c r="G26" s="77" t="s">
        <v>312</v>
      </c>
      <c r="H26" s="78">
        <v>0</v>
      </c>
    </row>
    <row r="27" spans="1:20" ht="15.5">
      <c r="A27" s="74">
        <v>98</v>
      </c>
      <c r="B27" s="75" t="s">
        <v>313</v>
      </c>
      <c r="C27" s="75" t="s">
        <v>290</v>
      </c>
      <c r="F27" s="76">
        <v>311964</v>
      </c>
      <c r="G27" s="77" t="s">
        <v>314</v>
      </c>
      <c r="H27" s="78">
        <v>0</v>
      </c>
    </row>
    <row r="28" spans="1:20" ht="15.5">
      <c r="A28" s="74">
        <v>103</v>
      </c>
      <c r="B28" s="75" t="s">
        <v>315</v>
      </c>
      <c r="C28" s="75" t="s">
        <v>290</v>
      </c>
      <c r="F28" s="76">
        <v>309795</v>
      </c>
      <c r="G28" s="77" t="s">
        <v>316</v>
      </c>
      <c r="H28" s="78">
        <v>0</v>
      </c>
    </row>
    <row r="29" spans="1:20" ht="15.5">
      <c r="A29" s="74">
        <v>113</v>
      </c>
      <c r="B29" s="75" t="s">
        <v>317</v>
      </c>
      <c r="C29" s="75" t="s">
        <v>290</v>
      </c>
      <c r="F29" s="76">
        <v>310823</v>
      </c>
      <c r="G29" s="77" t="s">
        <v>318</v>
      </c>
      <c r="H29" s="78">
        <v>0</v>
      </c>
    </row>
    <row r="30" spans="1:20" ht="15.5">
      <c r="A30" s="74">
        <v>166</v>
      </c>
      <c r="B30" s="75" t="s">
        <v>319</v>
      </c>
      <c r="C30" s="75" t="s">
        <v>290</v>
      </c>
      <c r="F30" s="76">
        <v>308490</v>
      </c>
      <c r="G30" s="77" t="s">
        <v>320</v>
      </c>
      <c r="H30" s="78">
        <v>0</v>
      </c>
    </row>
    <row r="31" spans="1:20" ht="15.5">
      <c r="A31" s="74">
        <v>296</v>
      </c>
      <c r="B31" s="75" t="s">
        <v>321</v>
      </c>
      <c r="C31" s="75" t="s">
        <v>290</v>
      </c>
      <c r="F31" s="76">
        <v>311459</v>
      </c>
      <c r="G31" s="77" t="s">
        <v>322</v>
      </c>
      <c r="H31" s="78">
        <v>0</v>
      </c>
    </row>
    <row r="32" spans="1:20" ht="15.5">
      <c r="A32" s="74">
        <v>302</v>
      </c>
      <c r="B32" s="75" t="s">
        <v>323</v>
      </c>
      <c r="C32" s="75" t="s">
        <v>290</v>
      </c>
      <c r="F32" s="76">
        <v>303585</v>
      </c>
      <c r="G32" s="77" t="s">
        <v>324</v>
      </c>
      <c r="H32" s="78">
        <v>0</v>
      </c>
    </row>
    <row r="33" spans="1:8" ht="15.5">
      <c r="A33" s="74">
        <v>21</v>
      </c>
      <c r="B33" s="75" t="s">
        <v>325</v>
      </c>
      <c r="C33" s="75" t="s">
        <v>326</v>
      </c>
      <c r="F33" s="76">
        <v>311963</v>
      </c>
      <c r="G33" s="77" t="s">
        <v>327</v>
      </c>
      <c r="H33" s="78">
        <v>0</v>
      </c>
    </row>
    <row r="34" spans="1:8" ht="15.5">
      <c r="A34" s="74">
        <v>24</v>
      </c>
      <c r="B34" s="75" t="s">
        <v>328</v>
      </c>
      <c r="C34" s="75" t="s">
        <v>326</v>
      </c>
      <c r="F34" s="76">
        <v>308771</v>
      </c>
      <c r="G34" s="77" t="s">
        <v>329</v>
      </c>
      <c r="H34" s="78">
        <v>0</v>
      </c>
    </row>
    <row r="35" spans="1:8" ht="15.5">
      <c r="A35" s="74">
        <v>30</v>
      </c>
      <c r="B35" s="75" t="s">
        <v>330</v>
      </c>
      <c r="C35" s="75" t="s">
        <v>256</v>
      </c>
      <c r="F35" s="76">
        <v>305555</v>
      </c>
      <c r="G35" s="77" t="s">
        <v>331</v>
      </c>
      <c r="H35" s="78">
        <v>0</v>
      </c>
    </row>
    <row r="36" spans="1:8" ht="15.5">
      <c r="A36" s="74">
        <v>34</v>
      </c>
      <c r="B36" s="75" t="s">
        <v>332</v>
      </c>
      <c r="C36" s="75" t="s">
        <v>326</v>
      </c>
      <c r="F36" s="76">
        <v>311152</v>
      </c>
      <c r="G36" s="77" t="s">
        <v>333</v>
      </c>
      <c r="H36" s="78">
        <v>0</v>
      </c>
    </row>
    <row r="37" spans="1:8" ht="15.5">
      <c r="A37" s="74">
        <v>72</v>
      </c>
      <c r="B37" s="75" t="s">
        <v>334</v>
      </c>
      <c r="C37" s="75" t="s">
        <v>326</v>
      </c>
      <c r="F37" s="76">
        <v>310704</v>
      </c>
      <c r="G37" s="77" t="s">
        <v>335</v>
      </c>
      <c r="H37" s="78">
        <v>0</v>
      </c>
    </row>
    <row r="38" spans="1:8" ht="15.5">
      <c r="A38" s="74">
        <v>73</v>
      </c>
      <c r="B38" s="75" t="s">
        <v>336</v>
      </c>
      <c r="C38" s="75" t="s">
        <v>326</v>
      </c>
      <c r="F38" s="76">
        <v>308210</v>
      </c>
      <c r="G38" s="77" t="s">
        <v>337</v>
      </c>
      <c r="H38" s="78">
        <v>0</v>
      </c>
    </row>
    <row r="39" spans="1:8" ht="15.5">
      <c r="A39" s="74">
        <v>160</v>
      </c>
      <c r="B39" s="75" t="s">
        <v>338</v>
      </c>
      <c r="C39" s="75" t="s">
        <v>326</v>
      </c>
      <c r="F39" s="76">
        <v>311359</v>
      </c>
      <c r="G39" s="77" t="s">
        <v>339</v>
      </c>
      <c r="H39" s="78">
        <v>0</v>
      </c>
    </row>
    <row r="40" spans="1:8" ht="15.5">
      <c r="A40" s="74">
        <v>171</v>
      </c>
      <c r="B40" s="75" t="s">
        <v>340</v>
      </c>
      <c r="C40" s="75" t="s">
        <v>326</v>
      </c>
      <c r="F40" s="76">
        <v>311663</v>
      </c>
      <c r="G40" s="77" t="s">
        <v>341</v>
      </c>
      <c r="H40" s="78">
        <v>0</v>
      </c>
    </row>
    <row r="41" spans="1:8" ht="15.5">
      <c r="A41" s="74">
        <v>172</v>
      </c>
      <c r="B41" s="75" t="s">
        <v>342</v>
      </c>
      <c r="C41" s="75" t="s">
        <v>326</v>
      </c>
      <c r="F41" s="76">
        <v>308012</v>
      </c>
      <c r="G41" s="77" t="s">
        <v>343</v>
      </c>
      <c r="H41" s="78">
        <v>0</v>
      </c>
    </row>
    <row r="42" spans="1:8" ht="15.5">
      <c r="A42" s="74">
        <v>191</v>
      </c>
      <c r="B42" s="75" t="s">
        <v>344</v>
      </c>
      <c r="C42" s="75" t="s">
        <v>326</v>
      </c>
      <c r="F42" s="76">
        <v>309785</v>
      </c>
      <c r="G42" s="77" t="s">
        <v>345</v>
      </c>
      <c r="H42" s="78">
        <v>0</v>
      </c>
    </row>
    <row r="43" spans="1:8" ht="15.5">
      <c r="A43" s="74">
        <v>212</v>
      </c>
      <c r="B43" s="75" t="s">
        <v>346</v>
      </c>
      <c r="C43" s="75" t="s">
        <v>326</v>
      </c>
      <c r="F43" s="76">
        <v>312160</v>
      </c>
      <c r="G43" s="77" t="s">
        <v>347</v>
      </c>
      <c r="H43" s="78">
        <v>0</v>
      </c>
    </row>
    <row r="44" spans="1:8" ht="15.5">
      <c r="A44" s="74">
        <v>216</v>
      </c>
      <c r="B44" s="75" t="s">
        <v>348</v>
      </c>
      <c r="C44" s="75" t="s">
        <v>326</v>
      </c>
      <c r="F44" s="76">
        <v>300878</v>
      </c>
      <c r="G44" s="77" t="s">
        <v>349</v>
      </c>
      <c r="H44" s="78">
        <v>0</v>
      </c>
    </row>
    <row r="45" spans="1:8" ht="15.5">
      <c r="A45" s="74">
        <v>217</v>
      </c>
      <c r="B45" s="75" t="s">
        <v>350</v>
      </c>
      <c r="C45" s="75" t="s">
        <v>326</v>
      </c>
      <c r="F45" s="76">
        <v>311750</v>
      </c>
      <c r="G45" s="77" t="s">
        <v>351</v>
      </c>
      <c r="H45" s="78">
        <v>0</v>
      </c>
    </row>
    <row r="46" spans="1:8" ht="15.5">
      <c r="A46" s="74">
        <v>253</v>
      </c>
      <c r="B46" s="75" t="s">
        <v>352</v>
      </c>
      <c r="C46" s="75" t="s">
        <v>326</v>
      </c>
      <c r="F46" s="76">
        <v>311195</v>
      </c>
      <c r="G46" s="77" t="s">
        <v>353</v>
      </c>
      <c r="H46" s="78">
        <v>0</v>
      </c>
    </row>
    <row r="47" spans="1:8" ht="15.5">
      <c r="A47" s="74">
        <v>292</v>
      </c>
      <c r="B47" s="75" t="s">
        <v>354</v>
      </c>
      <c r="C47" s="75" t="s">
        <v>326</v>
      </c>
      <c r="F47" s="76">
        <v>311073</v>
      </c>
      <c r="G47" s="77" t="s">
        <v>355</v>
      </c>
      <c r="H47" s="78">
        <v>0</v>
      </c>
    </row>
    <row r="48" spans="1:8" ht="15.5">
      <c r="A48" s="74">
        <v>22</v>
      </c>
      <c r="B48" s="75" t="s">
        <v>356</v>
      </c>
      <c r="C48" s="75" t="s">
        <v>357</v>
      </c>
      <c r="F48" s="76">
        <v>310790</v>
      </c>
      <c r="G48" s="77" t="s">
        <v>358</v>
      </c>
      <c r="H48" s="78">
        <v>0</v>
      </c>
    </row>
    <row r="49" spans="1:8" ht="15.5">
      <c r="A49" s="74">
        <v>38</v>
      </c>
      <c r="B49" s="75" t="s">
        <v>359</v>
      </c>
      <c r="C49" s="75" t="s">
        <v>357</v>
      </c>
      <c r="F49" s="76">
        <v>311465</v>
      </c>
      <c r="G49" s="77" t="s">
        <v>360</v>
      </c>
      <c r="H49" s="78">
        <v>0</v>
      </c>
    </row>
    <row r="50" spans="1:8" ht="15.5">
      <c r="A50" s="74">
        <v>80</v>
      </c>
      <c r="B50" s="75" t="s">
        <v>361</v>
      </c>
      <c r="C50" s="75" t="s">
        <v>357</v>
      </c>
      <c r="F50" s="76">
        <v>311530</v>
      </c>
      <c r="G50" s="77" t="s">
        <v>362</v>
      </c>
      <c r="H50" s="78">
        <v>0</v>
      </c>
    </row>
    <row r="51" spans="1:8" ht="15.5">
      <c r="A51" s="74">
        <v>146</v>
      </c>
      <c r="B51" s="75" t="s">
        <v>363</v>
      </c>
      <c r="C51" s="75" t="s">
        <v>357</v>
      </c>
      <c r="F51" s="76">
        <v>309602</v>
      </c>
      <c r="G51" s="77" t="s">
        <v>364</v>
      </c>
      <c r="H51" s="78">
        <v>0</v>
      </c>
    </row>
    <row r="52" spans="1:8" ht="15.5">
      <c r="A52" s="74">
        <v>162</v>
      </c>
      <c r="B52" s="75" t="s">
        <v>365</v>
      </c>
      <c r="C52" s="75" t="s">
        <v>357</v>
      </c>
      <c r="F52" s="76">
        <v>309544</v>
      </c>
      <c r="G52" s="77" t="s">
        <v>366</v>
      </c>
      <c r="H52" s="78">
        <v>0</v>
      </c>
    </row>
    <row r="53" spans="1:8" ht="15.5">
      <c r="A53" s="74">
        <v>163</v>
      </c>
      <c r="B53" s="75" t="s">
        <v>367</v>
      </c>
      <c r="C53" s="75" t="s">
        <v>357</v>
      </c>
      <c r="F53" s="76">
        <v>311294</v>
      </c>
      <c r="G53" s="77" t="s">
        <v>368</v>
      </c>
      <c r="H53" s="78">
        <v>0</v>
      </c>
    </row>
    <row r="54" spans="1:8" ht="15.5">
      <c r="A54" s="74">
        <v>188</v>
      </c>
      <c r="B54" s="75" t="s">
        <v>369</v>
      </c>
      <c r="C54" s="75" t="s">
        <v>357</v>
      </c>
      <c r="F54" s="76">
        <v>311539</v>
      </c>
      <c r="G54" s="77" t="s">
        <v>370</v>
      </c>
      <c r="H54" s="78">
        <v>0</v>
      </c>
    </row>
    <row r="55" spans="1:8" ht="15.5">
      <c r="A55" s="74">
        <v>194</v>
      </c>
      <c r="B55" s="75" t="s">
        <v>371</v>
      </c>
      <c r="C55" s="75" t="s">
        <v>357</v>
      </c>
      <c r="F55" s="76">
        <v>310910</v>
      </c>
      <c r="G55" s="77" t="s">
        <v>372</v>
      </c>
      <c r="H55" s="78">
        <v>0</v>
      </c>
    </row>
    <row r="56" spans="1:8" ht="15.5">
      <c r="A56" s="74">
        <v>195</v>
      </c>
      <c r="B56" s="75" t="s">
        <v>373</v>
      </c>
      <c r="C56" s="75" t="s">
        <v>357</v>
      </c>
      <c r="F56" s="76">
        <v>311706</v>
      </c>
      <c r="G56" s="77" t="s">
        <v>374</v>
      </c>
      <c r="H56" s="78">
        <v>0</v>
      </c>
    </row>
    <row r="57" spans="1:8" ht="15.5">
      <c r="A57" s="74">
        <v>203</v>
      </c>
      <c r="B57" s="75" t="s">
        <v>375</v>
      </c>
      <c r="C57" s="75" t="s">
        <v>357</v>
      </c>
      <c r="F57" s="76">
        <v>310787</v>
      </c>
      <c r="G57" s="77" t="s">
        <v>376</v>
      </c>
      <c r="H57" s="78">
        <v>0</v>
      </c>
    </row>
    <row r="58" spans="1:8" ht="15.5">
      <c r="A58" s="74">
        <v>205</v>
      </c>
      <c r="B58" s="75" t="s">
        <v>377</v>
      </c>
      <c r="C58" s="75" t="s">
        <v>357</v>
      </c>
      <c r="F58" s="76">
        <v>311347</v>
      </c>
      <c r="G58" s="77" t="s">
        <v>378</v>
      </c>
      <c r="H58" s="78">
        <v>0</v>
      </c>
    </row>
    <row r="59" spans="1:8" ht="15.5">
      <c r="A59" s="74">
        <v>215</v>
      </c>
      <c r="B59" s="75" t="s">
        <v>379</v>
      </c>
      <c r="C59" s="75" t="s">
        <v>357</v>
      </c>
      <c r="F59" s="76">
        <v>311236</v>
      </c>
      <c r="G59" s="77" t="s">
        <v>380</v>
      </c>
      <c r="H59" s="78">
        <v>0</v>
      </c>
    </row>
    <row r="60" spans="1:8" ht="15.5">
      <c r="A60" s="74">
        <v>240</v>
      </c>
      <c r="B60" s="75" t="s">
        <v>381</v>
      </c>
      <c r="C60" s="75" t="s">
        <v>357</v>
      </c>
      <c r="F60" s="76">
        <v>304279</v>
      </c>
      <c r="G60" s="77" t="s">
        <v>382</v>
      </c>
      <c r="H60" s="78">
        <v>0</v>
      </c>
    </row>
    <row r="61" spans="1:8" ht="15.5">
      <c r="A61" s="74">
        <v>334</v>
      </c>
      <c r="B61" s="75" t="s">
        <v>383</v>
      </c>
      <c r="C61" s="75" t="s">
        <v>357</v>
      </c>
      <c r="F61" s="76">
        <v>306643</v>
      </c>
      <c r="G61" s="77" t="s">
        <v>384</v>
      </c>
      <c r="H61" s="78">
        <v>0</v>
      </c>
    </row>
    <row r="62" spans="1:8" ht="15.5">
      <c r="A62" s="74">
        <v>28</v>
      </c>
      <c r="B62" s="75" t="s">
        <v>385</v>
      </c>
      <c r="C62" s="75" t="s">
        <v>386</v>
      </c>
      <c r="F62" s="76">
        <v>304620</v>
      </c>
      <c r="G62" s="77" t="s">
        <v>387</v>
      </c>
      <c r="H62" s="78">
        <v>0</v>
      </c>
    </row>
    <row r="63" spans="1:8" ht="15.5">
      <c r="A63" s="74">
        <v>29</v>
      </c>
      <c r="B63" s="75" t="s">
        <v>388</v>
      </c>
      <c r="C63" s="75" t="s">
        <v>386</v>
      </c>
      <c r="F63" s="76">
        <v>305520</v>
      </c>
      <c r="G63" s="77" t="s">
        <v>389</v>
      </c>
      <c r="H63" s="78">
        <v>0</v>
      </c>
    </row>
    <row r="64" spans="1:8" ht="15.5">
      <c r="A64" s="74">
        <v>33</v>
      </c>
      <c r="B64" s="75" t="s">
        <v>390</v>
      </c>
      <c r="C64" s="75" t="s">
        <v>386</v>
      </c>
      <c r="F64" s="76">
        <v>311196</v>
      </c>
      <c r="G64" s="77" t="s">
        <v>391</v>
      </c>
      <c r="H64" s="78">
        <v>0</v>
      </c>
    </row>
    <row r="65" spans="1:8" ht="15.5">
      <c r="A65" s="74">
        <v>55</v>
      </c>
      <c r="B65" s="75" t="s">
        <v>392</v>
      </c>
      <c r="C65" s="75" t="s">
        <v>386</v>
      </c>
      <c r="F65" s="76">
        <v>311898</v>
      </c>
      <c r="G65" s="77" t="s">
        <v>393</v>
      </c>
      <c r="H65" s="78">
        <v>0</v>
      </c>
    </row>
    <row r="66" spans="1:8" ht="15.5">
      <c r="A66" s="74">
        <v>56</v>
      </c>
      <c r="B66" s="75" t="s">
        <v>394</v>
      </c>
      <c r="C66" s="75" t="s">
        <v>386</v>
      </c>
      <c r="F66" s="76">
        <v>308978</v>
      </c>
      <c r="G66" s="77" t="s">
        <v>395</v>
      </c>
      <c r="H66" s="78">
        <v>0</v>
      </c>
    </row>
    <row r="67" spans="1:8" ht="15.5">
      <c r="A67" s="74">
        <v>65</v>
      </c>
      <c r="B67" s="75" t="s">
        <v>396</v>
      </c>
      <c r="C67" s="75" t="s">
        <v>386</v>
      </c>
      <c r="F67" s="76">
        <v>312283</v>
      </c>
      <c r="G67" s="77" t="s">
        <v>397</v>
      </c>
      <c r="H67" s="78">
        <v>0</v>
      </c>
    </row>
    <row r="68" spans="1:8" ht="15.5">
      <c r="A68" s="74">
        <v>126</v>
      </c>
      <c r="B68" s="75" t="s">
        <v>398</v>
      </c>
      <c r="C68" s="75" t="s">
        <v>386</v>
      </c>
      <c r="F68" s="76">
        <v>311190</v>
      </c>
      <c r="G68" s="77" t="s">
        <v>399</v>
      </c>
      <c r="H68" s="78">
        <v>0</v>
      </c>
    </row>
    <row r="69" spans="1:8" ht="15.5">
      <c r="A69" s="74">
        <v>127</v>
      </c>
      <c r="B69" s="75" t="s">
        <v>400</v>
      </c>
      <c r="C69" s="75" t="s">
        <v>386</v>
      </c>
      <c r="F69" s="76">
        <v>303093</v>
      </c>
      <c r="G69" s="77" t="s">
        <v>401</v>
      </c>
      <c r="H69" s="78">
        <v>0</v>
      </c>
    </row>
    <row r="70" spans="1:8" ht="15.5">
      <c r="A70" s="74">
        <v>135</v>
      </c>
      <c r="B70" s="75" t="s">
        <v>402</v>
      </c>
      <c r="C70" s="75" t="s">
        <v>386</v>
      </c>
      <c r="F70" s="76">
        <v>308911</v>
      </c>
      <c r="G70" s="77" t="s">
        <v>403</v>
      </c>
      <c r="H70" s="78">
        <v>0</v>
      </c>
    </row>
    <row r="71" spans="1:8" ht="15.5">
      <c r="A71" s="74">
        <v>150</v>
      </c>
      <c r="B71" s="75" t="s">
        <v>404</v>
      </c>
      <c r="C71" s="75" t="s">
        <v>386</v>
      </c>
      <c r="F71" s="76">
        <v>308493</v>
      </c>
      <c r="G71" s="77" t="s">
        <v>405</v>
      </c>
      <c r="H71" s="78">
        <v>0</v>
      </c>
    </row>
    <row r="72" spans="1:8" ht="15.5">
      <c r="A72" s="74">
        <v>155</v>
      </c>
      <c r="B72" s="75" t="s">
        <v>406</v>
      </c>
      <c r="C72" s="75" t="s">
        <v>386</v>
      </c>
      <c r="F72" s="76">
        <v>307846</v>
      </c>
      <c r="G72" s="77" t="s">
        <v>407</v>
      </c>
      <c r="H72" s="78">
        <v>0</v>
      </c>
    </row>
    <row r="73" spans="1:8" ht="15.5">
      <c r="A73" s="74">
        <v>157</v>
      </c>
      <c r="B73" s="75" t="s">
        <v>408</v>
      </c>
      <c r="C73" s="75" t="s">
        <v>386</v>
      </c>
      <c r="F73" s="76">
        <v>311838</v>
      </c>
      <c r="G73" s="77" t="s">
        <v>409</v>
      </c>
      <c r="H73" s="78">
        <v>0</v>
      </c>
    </row>
    <row r="74" spans="1:8" ht="15.5">
      <c r="A74" s="74">
        <v>202</v>
      </c>
      <c r="B74" s="75" t="s">
        <v>410</v>
      </c>
      <c r="C74" s="75" t="s">
        <v>386</v>
      </c>
      <c r="F74" s="76">
        <v>307962</v>
      </c>
      <c r="G74" s="77" t="s">
        <v>411</v>
      </c>
      <c r="H74" s="78">
        <v>0</v>
      </c>
    </row>
    <row r="75" spans="1:8" ht="15.5">
      <c r="A75" s="74">
        <v>209</v>
      </c>
      <c r="B75" s="75" t="s">
        <v>412</v>
      </c>
      <c r="C75" s="75" t="s">
        <v>386</v>
      </c>
      <c r="F75" s="76">
        <v>309398</v>
      </c>
      <c r="G75" s="77" t="s">
        <v>413</v>
      </c>
      <c r="H75" s="78">
        <v>0</v>
      </c>
    </row>
    <row r="76" spans="1:8" ht="15.5">
      <c r="A76" s="74">
        <v>243</v>
      </c>
      <c r="B76" s="75" t="s">
        <v>414</v>
      </c>
      <c r="C76" s="75" t="s">
        <v>386</v>
      </c>
      <c r="F76" s="76">
        <v>311776</v>
      </c>
      <c r="G76" s="77" t="s">
        <v>415</v>
      </c>
      <c r="H76" s="78">
        <v>0</v>
      </c>
    </row>
    <row r="77" spans="1:8" ht="15.5">
      <c r="A77" s="74">
        <v>246</v>
      </c>
      <c r="B77" s="75" t="s">
        <v>416</v>
      </c>
      <c r="C77" s="75" t="s">
        <v>386</v>
      </c>
      <c r="F77" s="76">
        <v>307891</v>
      </c>
      <c r="G77" s="77" t="s">
        <v>417</v>
      </c>
      <c r="H77" s="78">
        <v>0</v>
      </c>
    </row>
    <row r="78" spans="1:8" ht="15.5">
      <c r="A78" s="74">
        <v>339</v>
      </c>
      <c r="B78" s="75" t="s">
        <v>418</v>
      </c>
      <c r="C78" s="75" t="s">
        <v>386</v>
      </c>
      <c r="F78" s="76">
        <v>310071</v>
      </c>
      <c r="G78" s="77" t="s">
        <v>419</v>
      </c>
      <c r="H78" s="78">
        <v>0</v>
      </c>
    </row>
    <row r="79" spans="1:8" ht="15.5">
      <c r="A79" s="74">
        <v>41</v>
      </c>
      <c r="B79" s="75" t="s">
        <v>420</v>
      </c>
      <c r="C79" s="75" t="s">
        <v>421</v>
      </c>
      <c r="F79" s="76">
        <v>311632</v>
      </c>
      <c r="G79" s="77" t="s">
        <v>422</v>
      </c>
      <c r="H79" s="78">
        <v>0</v>
      </c>
    </row>
    <row r="80" spans="1:8" ht="15.5">
      <c r="A80" s="74">
        <v>42</v>
      </c>
      <c r="B80" s="75" t="s">
        <v>423</v>
      </c>
      <c r="C80" s="75" t="s">
        <v>421</v>
      </c>
      <c r="F80" s="76">
        <v>310214</v>
      </c>
      <c r="G80" s="77" t="s">
        <v>424</v>
      </c>
      <c r="H80" s="78">
        <v>0</v>
      </c>
    </row>
    <row r="81" spans="1:8" ht="15.5">
      <c r="A81" s="74">
        <v>77</v>
      </c>
      <c r="B81" s="75" t="s">
        <v>425</v>
      </c>
      <c r="C81" s="75" t="s">
        <v>421</v>
      </c>
      <c r="F81" s="76">
        <v>311588</v>
      </c>
      <c r="G81" s="77" t="s">
        <v>426</v>
      </c>
      <c r="H81" s="78">
        <v>0</v>
      </c>
    </row>
    <row r="82" spans="1:8" ht="15.5">
      <c r="A82" s="74">
        <v>122</v>
      </c>
      <c r="B82" s="75" t="s">
        <v>427</v>
      </c>
      <c r="C82" s="75" t="s">
        <v>421</v>
      </c>
      <c r="F82" s="76">
        <v>309732</v>
      </c>
      <c r="G82" s="77" t="s">
        <v>428</v>
      </c>
      <c r="H82" s="78">
        <v>0</v>
      </c>
    </row>
    <row r="83" spans="1:8" ht="15.5">
      <c r="A83" s="74">
        <v>128</v>
      </c>
      <c r="B83" s="75" t="s">
        <v>429</v>
      </c>
      <c r="C83" s="75" t="s">
        <v>421</v>
      </c>
      <c r="F83" s="76">
        <v>311906</v>
      </c>
      <c r="G83" s="77" t="s">
        <v>430</v>
      </c>
      <c r="H83" s="78">
        <v>0</v>
      </c>
    </row>
    <row r="84" spans="1:8" ht="15.5">
      <c r="A84" s="74">
        <v>132</v>
      </c>
      <c r="B84" s="75" t="s">
        <v>431</v>
      </c>
      <c r="C84" s="75" t="s">
        <v>421</v>
      </c>
      <c r="F84" s="76">
        <v>316191</v>
      </c>
      <c r="G84" s="77" t="s">
        <v>432</v>
      </c>
      <c r="H84" s="78">
        <v>0</v>
      </c>
    </row>
    <row r="85" spans="1:8" ht="15.5">
      <c r="A85" s="74">
        <v>134</v>
      </c>
      <c r="B85" s="75" t="s">
        <v>433</v>
      </c>
      <c r="C85" s="75" t="s">
        <v>290</v>
      </c>
      <c r="F85" s="76">
        <v>314769</v>
      </c>
      <c r="G85" s="77" t="s">
        <v>434</v>
      </c>
      <c r="H85" s="78">
        <v>0</v>
      </c>
    </row>
    <row r="86" spans="1:8" ht="15.5">
      <c r="A86" s="74">
        <v>144</v>
      </c>
      <c r="B86" s="75" t="s">
        <v>435</v>
      </c>
      <c r="C86" s="75" t="s">
        <v>421</v>
      </c>
      <c r="F86" s="76">
        <v>314692</v>
      </c>
      <c r="G86" s="77" t="s">
        <v>436</v>
      </c>
      <c r="H86" s="78">
        <v>0</v>
      </c>
    </row>
    <row r="87" spans="1:8" ht="15.5">
      <c r="A87" s="74">
        <v>148</v>
      </c>
      <c r="B87" s="75" t="s">
        <v>437</v>
      </c>
      <c r="C87" s="75" t="s">
        <v>290</v>
      </c>
      <c r="F87" s="76">
        <v>313537</v>
      </c>
      <c r="G87" s="77" t="s">
        <v>438</v>
      </c>
      <c r="H87" s="78">
        <v>0</v>
      </c>
    </row>
    <row r="88" spans="1:8" ht="15.5">
      <c r="A88" s="74">
        <v>156</v>
      </c>
      <c r="B88" s="75" t="s">
        <v>439</v>
      </c>
      <c r="C88" s="75" t="s">
        <v>421</v>
      </c>
      <c r="F88" s="76">
        <v>314163</v>
      </c>
      <c r="G88" s="77" t="s">
        <v>440</v>
      </c>
      <c r="H88" s="78">
        <v>0</v>
      </c>
    </row>
    <row r="89" spans="1:8" ht="15.5">
      <c r="A89" s="74">
        <v>159</v>
      </c>
      <c r="B89" s="75" t="s">
        <v>441</v>
      </c>
      <c r="C89" s="75" t="s">
        <v>421</v>
      </c>
      <c r="F89" s="76">
        <v>90023754</v>
      </c>
      <c r="G89" s="77" t="s">
        <v>442</v>
      </c>
      <c r="H89" s="78">
        <v>0</v>
      </c>
    </row>
    <row r="90" spans="1:8" ht="15.5">
      <c r="A90" s="74">
        <v>179</v>
      </c>
      <c r="B90" s="75" t="s">
        <v>443</v>
      </c>
      <c r="C90" s="75" t="s">
        <v>421</v>
      </c>
      <c r="F90" s="76">
        <v>300544</v>
      </c>
      <c r="G90" s="77" t="s">
        <v>444</v>
      </c>
      <c r="H90" s="78">
        <v>0</v>
      </c>
    </row>
    <row r="91" spans="1:8" ht="15.5">
      <c r="A91" s="74">
        <v>180</v>
      </c>
      <c r="B91" s="75" t="s">
        <v>445</v>
      </c>
      <c r="C91" s="75" t="s">
        <v>421</v>
      </c>
      <c r="F91" s="76">
        <v>90039023</v>
      </c>
      <c r="G91" s="77" t="s">
        <v>446</v>
      </c>
      <c r="H91" s="78">
        <v>0</v>
      </c>
    </row>
    <row r="92" spans="1:8" ht="15.5">
      <c r="A92" s="74">
        <v>181</v>
      </c>
      <c r="B92" s="75" t="s">
        <v>447</v>
      </c>
      <c r="C92" s="75" t="s">
        <v>421</v>
      </c>
      <c r="F92" s="76">
        <v>315208</v>
      </c>
      <c r="G92" s="77" t="s">
        <v>448</v>
      </c>
      <c r="H92" s="78">
        <v>0</v>
      </c>
    </row>
    <row r="93" spans="1:8" ht="15.5">
      <c r="A93" s="74">
        <v>182</v>
      </c>
      <c r="B93" s="75" t="s">
        <v>449</v>
      </c>
      <c r="C93" s="75" t="s">
        <v>421</v>
      </c>
      <c r="F93" s="76">
        <v>90020203</v>
      </c>
      <c r="G93" s="77" t="s">
        <v>450</v>
      </c>
      <c r="H93" s="78">
        <v>0</v>
      </c>
    </row>
    <row r="94" spans="1:8" ht="15.5">
      <c r="A94" s="74">
        <v>228</v>
      </c>
      <c r="B94" s="75" t="s">
        <v>451</v>
      </c>
      <c r="C94" s="75" t="s">
        <v>421</v>
      </c>
      <c r="F94" s="76">
        <v>315069</v>
      </c>
      <c r="G94" s="77" t="s">
        <v>452</v>
      </c>
      <c r="H94" s="78">
        <v>0</v>
      </c>
    </row>
    <row r="95" spans="1:8" ht="15.5">
      <c r="A95" s="74">
        <v>325</v>
      </c>
      <c r="B95" s="75" t="s">
        <v>453</v>
      </c>
      <c r="C95" s="75" t="s">
        <v>421</v>
      </c>
      <c r="F95" s="76">
        <v>304495</v>
      </c>
      <c r="G95" s="77" t="s">
        <v>454</v>
      </c>
      <c r="H95" s="78">
        <v>0</v>
      </c>
    </row>
    <row r="96" spans="1:8" ht="15.5">
      <c r="A96" s="74">
        <v>7</v>
      </c>
      <c r="B96" s="75" t="s">
        <v>455</v>
      </c>
      <c r="C96" s="75" t="s">
        <v>290</v>
      </c>
      <c r="F96" s="76">
        <v>316392</v>
      </c>
      <c r="G96" s="77" t="s">
        <v>456</v>
      </c>
      <c r="H96" s="78">
        <v>0</v>
      </c>
    </row>
    <row r="97" spans="1:8" ht="15.5">
      <c r="A97" s="74">
        <v>11</v>
      </c>
      <c r="B97" s="75" t="s">
        <v>457</v>
      </c>
      <c r="C97" s="75" t="s">
        <v>457</v>
      </c>
      <c r="F97" s="76">
        <v>313239</v>
      </c>
      <c r="G97" s="77" t="s">
        <v>458</v>
      </c>
      <c r="H97" s="78">
        <v>0</v>
      </c>
    </row>
    <row r="98" spans="1:8" ht="15.5">
      <c r="A98" s="74">
        <v>51</v>
      </c>
      <c r="B98" s="75" t="s">
        <v>459</v>
      </c>
      <c r="C98" s="75" t="s">
        <v>457</v>
      </c>
      <c r="F98" s="76">
        <v>310864</v>
      </c>
      <c r="G98" s="77" t="s">
        <v>460</v>
      </c>
      <c r="H98" s="78">
        <v>0</v>
      </c>
    </row>
    <row r="99" spans="1:8" ht="15.5">
      <c r="A99" s="74">
        <v>57</v>
      </c>
      <c r="B99" s="75" t="s">
        <v>461</v>
      </c>
      <c r="C99" s="75" t="s">
        <v>457</v>
      </c>
      <c r="F99" s="76">
        <v>314604</v>
      </c>
      <c r="G99" s="77" t="s">
        <v>462</v>
      </c>
      <c r="H99" s="78">
        <v>0</v>
      </c>
    </row>
    <row r="100" spans="1:8" ht="15.5">
      <c r="A100" s="74">
        <v>67</v>
      </c>
      <c r="B100" s="75" t="s">
        <v>463</v>
      </c>
      <c r="C100" s="75" t="s">
        <v>457</v>
      </c>
      <c r="F100" s="76">
        <v>90028491</v>
      </c>
      <c r="G100" s="77" t="s">
        <v>464</v>
      </c>
      <c r="H100" s="78">
        <v>0</v>
      </c>
    </row>
    <row r="101" spans="1:8" ht="15.5">
      <c r="A101" s="74">
        <v>86</v>
      </c>
      <c r="B101" s="75" t="s">
        <v>465</v>
      </c>
      <c r="C101" s="75" t="s">
        <v>457</v>
      </c>
      <c r="F101" s="76">
        <v>315870</v>
      </c>
      <c r="G101" s="77" t="s">
        <v>466</v>
      </c>
      <c r="H101" s="78">
        <v>0</v>
      </c>
    </row>
    <row r="102" spans="1:8" ht="15.5">
      <c r="A102" s="74">
        <v>88</v>
      </c>
      <c r="B102" s="75" t="s">
        <v>467</v>
      </c>
      <c r="C102" s="75" t="s">
        <v>457</v>
      </c>
      <c r="F102" s="76">
        <v>313885</v>
      </c>
      <c r="G102" s="77" t="s">
        <v>468</v>
      </c>
      <c r="H102" s="78">
        <v>0</v>
      </c>
    </row>
    <row r="103" spans="1:8" ht="15.5">
      <c r="A103" s="74">
        <v>94</v>
      </c>
      <c r="B103" s="75" t="s">
        <v>469</v>
      </c>
      <c r="C103" s="75" t="s">
        <v>457</v>
      </c>
      <c r="F103" s="76">
        <v>90040486</v>
      </c>
      <c r="G103" s="77" t="s">
        <v>470</v>
      </c>
      <c r="H103" s="78">
        <v>0</v>
      </c>
    </row>
    <row r="104" spans="1:8" ht="15.5">
      <c r="A104" s="74">
        <v>95</v>
      </c>
      <c r="B104" s="75" t="s">
        <v>471</v>
      </c>
      <c r="C104" s="75" t="s">
        <v>457</v>
      </c>
      <c r="F104" s="76">
        <v>90029439</v>
      </c>
      <c r="G104" s="77" t="s">
        <v>472</v>
      </c>
      <c r="H104" s="78">
        <v>0</v>
      </c>
    </row>
    <row r="105" spans="1:8" ht="15.5">
      <c r="A105" s="74">
        <v>112</v>
      </c>
      <c r="B105" s="75" t="s">
        <v>473</v>
      </c>
      <c r="C105" s="75" t="s">
        <v>457</v>
      </c>
      <c r="F105" s="76">
        <v>90039416</v>
      </c>
      <c r="G105" s="77" t="s">
        <v>474</v>
      </c>
      <c r="H105" s="78">
        <v>0</v>
      </c>
    </row>
    <row r="106" spans="1:8" ht="15.5">
      <c r="A106" s="74">
        <v>119</v>
      </c>
      <c r="B106" s="75" t="s">
        <v>475</v>
      </c>
      <c r="C106" s="75" t="s">
        <v>457</v>
      </c>
      <c r="F106" s="76">
        <v>90040679</v>
      </c>
      <c r="G106" s="77" t="s">
        <v>476</v>
      </c>
      <c r="H106" s="78">
        <v>0</v>
      </c>
    </row>
    <row r="107" spans="1:8" ht="15.5">
      <c r="A107" s="74">
        <v>120</v>
      </c>
      <c r="B107" s="75" t="s">
        <v>477</v>
      </c>
      <c r="C107" s="75" t="s">
        <v>457</v>
      </c>
      <c r="F107" s="76">
        <v>316187</v>
      </c>
      <c r="G107" s="77" t="s">
        <v>478</v>
      </c>
      <c r="H107" s="78">
        <v>0</v>
      </c>
    </row>
    <row r="108" spans="1:8" ht="15.5">
      <c r="A108" s="74">
        <v>213</v>
      </c>
      <c r="B108" s="75" t="s">
        <v>479</v>
      </c>
      <c r="C108" s="75" t="s">
        <v>457</v>
      </c>
      <c r="F108" s="76">
        <v>311687</v>
      </c>
      <c r="G108" s="77" t="s">
        <v>480</v>
      </c>
      <c r="H108" s="78">
        <v>0</v>
      </c>
    </row>
    <row r="109" spans="1:8" ht="15.5">
      <c r="A109" s="74">
        <v>223</v>
      </c>
      <c r="B109" s="75" t="s">
        <v>481</v>
      </c>
      <c r="C109" s="75" t="s">
        <v>457</v>
      </c>
      <c r="F109" s="76">
        <v>315221</v>
      </c>
      <c r="G109" s="77" t="s">
        <v>482</v>
      </c>
      <c r="H109" s="78">
        <v>0</v>
      </c>
    </row>
    <row r="110" spans="1:8" ht="15.5">
      <c r="A110" s="74">
        <v>250</v>
      </c>
      <c r="B110" s="75" t="s">
        <v>483</v>
      </c>
      <c r="C110" s="75" t="s">
        <v>457</v>
      </c>
      <c r="F110" s="76">
        <v>311950</v>
      </c>
      <c r="G110" s="77" t="s">
        <v>484</v>
      </c>
      <c r="H110" s="78">
        <v>0</v>
      </c>
    </row>
    <row r="111" spans="1:8" ht="15.5">
      <c r="A111" s="74">
        <v>290</v>
      </c>
      <c r="B111" s="75" t="s">
        <v>485</v>
      </c>
      <c r="C111" s="75" t="s">
        <v>457</v>
      </c>
      <c r="F111" s="76">
        <v>313765</v>
      </c>
      <c r="G111" s="77" t="s">
        <v>486</v>
      </c>
      <c r="H111" s="78">
        <v>0</v>
      </c>
    </row>
    <row r="112" spans="1:8" ht="15.5">
      <c r="A112" s="74">
        <v>295</v>
      </c>
      <c r="B112" s="75" t="s">
        <v>487</v>
      </c>
      <c r="C112" s="75" t="s">
        <v>457</v>
      </c>
      <c r="F112" s="76">
        <v>314840</v>
      </c>
      <c r="G112" s="77" t="s">
        <v>488</v>
      </c>
      <c r="H112" s="78">
        <v>0</v>
      </c>
    </row>
    <row r="113" spans="1:8" ht="15.5">
      <c r="A113" s="74">
        <v>340</v>
      </c>
      <c r="B113" s="75" t="s">
        <v>489</v>
      </c>
      <c r="C113" s="75" t="s">
        <v>457</v>
      </c>
      <c r="F113" s="76">
        <v>312686</v>
      </c>
      <c r="G113" s="77" t="s">
        <v>490</v>
      </c>
      <c r="H113" s="78">
        <v>0</v>
      </c>
    </row>
    <row r="114" spans="1:8" ht="15.5">
      <c r="A114" s="74">
        <v>3</v>
      </c>
      <c r="B114" s="75" t="s">
        <v>491</v>
      </c>
      <c r="C114" s="75" t="s">
        <v>268</v>
      </c>
      <c r="F114" s="76">
        <v>90045458</v>
      </c>
      <c r="G114" s="77" t="s">
        <v>492</v>
      </c>
      <c r="H114" s="78">
        <v>0</v>
      </c>
    </row>
    <row r="115" spans="1:8" ht="15.5">
      <c r="A115" s="74">
        <v>4</v>
      </c>
      <c r="B115" s="75" t="s">
        <v>493</v>
      </c>
      <c r="C115" s="75" t="s">
        <v>268</v>
      </c>
      <c r="F115" s="76">
        <v>313081</v>
      </c>
      <c r="G115" s="77" t="s">
        <v>494</v>
      </c>
      <c r="H115" s="78">
        <v>0</v>
      </c>
    </row>
    <row r="116" spans="1:8" ht="15.5">
      <c r="A116" s="74">
        <v>6</v>
      </c>
      <c r="B116" s="75" t="s">
        <v>495</v>
      </c>
      <c r="C116" s="75" t="s">
        <v>268</v>
      </c>
      <c r="F116" s="76">
        <v>313531</v>
      </c>
      <c r="G116" s="77" t="s">
        <v>496</v>
      </c>
      <c r="H116" s="78">
        <v>0</v>
      </c>
    </row>
    <row r="117" spans="1:8" ht="15.5">
      <c r="A117" s="74">
        <v>8</v>
      </c>
      <c r="B117" s="75" t="s">
        <v>268</v>
      </c>
      <c r="C117" s="75" t="s">
        <v>268</v>
      </c>
      <c r="F117" s="76">
        <v>313714</v>
      </c>
      <c r="G117" s="77" t="s">
        <v>497</v>
      </c>
      <c r="H117" s="78">
        <v>0</v>
      </c>
    </row>
    <row r="118" spans="1:8" ht="15.5">
      <c r="A118" s="74">
        <v>10</v>
      </c>
      <c r="B118" s="75" t="s">
        <v>498</v>
      </c>
      <c r="C118" s="75" t="s">
        <v>268</v>
      </c>
      <c r="F118" s="76">
        <v>313994</v>
      </c>
      <c r="G118" s="77" t="s">
        <v>499</v>
      </c>
      <c r="H118" s="78">
        <v>0</v>
      </c>
    </row>
    <row r="119" spans="1:8" ht="15.5">
      <c r="A119" s="74">
        <v>15</v>
      </c>
      <c r="B119" s="75" t="s">
        <v>500</v>
      </c>
      <c r="C119" s="75" t="s">
        <v>268</v>
      </c>
      <c r="F119" s="76">
        <v>314849</v>
      </c>
      <c r="G119" s="77" t="s">
        <v>501</v>
      </c>
      <c r="H119" s="78">
        <v>0</v>
      </c>
    </row>
    <row r="120" spans="1:8" ht="15.5">
      <c r="A120" s="74">
        <v>16</v>
      </c>
      <c r="B120" s="75" t="s">
        <v>502</v>
      </c>
      <c r="C120" s="75" t="s">
        <v>268</v>
      </c>
      <c r="F120" s="76">
        <v>314099</v>
      </c>
      <c r="G120" s="77" t="s">
        <v>503</v>
      </c>
      <c r="H120" s="78">
        <v>0</v>
      </c>
    </row>
    <row r="121" spans="1:8" ht="15.5">
      <c r="A121" s="74">
        <v>18</v>
      </c>
      <c r="B121" s="75" t="s">
        <v>504</v>
      </c>
      <c r="C121" s="75" t="s">
        <v>268</v>
      </c>
      <c r="F121" s="76">
        <v>315220</v>
      </c>
      <c r="G121" s="77" t="s">
        <v>505</v>
      </c>
      <c r="H121" s="78">
        <v>0</v>
      </c>
    </row>
    <row r="122" spans="1:8" ht="15.5">
      <c r="A122" s="74">
        <v>62</v>
      </c>
      <c r="B122" s="75" t="s">
        <v>506</v>
      </c>
      <c r="C122" s="75" t="s">
        <v>268</v>
      </c>
      <c r="F122" s="76">
        <v>314705</v>
      </c>
      <c r="G122" s="77" t="s">
        <v>507</v>
      </c>
      <c r="H122" s="78">
        <v>0</v>
      </c>
    </row>
    <row r="123" spans="1:8" ht="15.5">
      <c r="A123" s="74">
        <v>106</v>
      </c>
      <c r="B123" s="75" t="s">
        <v>508</v>
      </c>
      <c r="C123" s="75" t="s">
        <v>268</v>
      </c>
      <c r="F123" s="76">
        <v>314936</v>
      </c>
      <c r="G123" s="77" t="s">
        <v>509</v>
      </c>
      <c r="H123" s="78">
        <v>0</v>
      </c>
    </row>
    <row r="124" spans="1:8" ht="15.5">
      <c r="A124" s="74">
        <v>199</v>
      </c>
      <c r="B124" s="75" t="s">
        <v>510</v>
      </c>
      <c r="C124" s="75" t="s">
        <v>268</v>
      </c>
      <c r="F124" s="76">
        <v>313694</v>
      </c>
      <c r="G124" s="77" t="s">
        <v>511</v>
      </c>
      <c r="H124" s="78">
        <v>0</v>
      </c>
    </row>
    <row r="125" spans="1:8" ht="15.5">
      <c r="A125" s="74">
        <v>282</v>
      </c>
      <c r="B125" s="75" t="s">
        <v>512</v>
      </c>
      <c r="C125" s="75" t="s">
        <v>268</v>
      </c>
      <c r="F125" s="76">
        <v>307867</v>
      </c>
      <c r="G125" s="77" t="s">
        <v>513</v>
      </c>
      <c r="H125" s="78">
        <v>0</v>
      </c>
    </row>
    <row r="126" spans="1:8" ht="15.5">
      <c r="A126" s="74">
        <v>317</v>
      </c>
      <c r="B126" s="75" t="s">
        <v>514</v>
      </c>
      <c r="C126" s="75" t="s">
        <v>268</v>
      </c>
      <c r="F126" s="76">
        <v>90034705</v>
      </c>
      <c r="G126" s="77" t="s">
        <v>515</v>
      </c>
      <c r="H126" s="78">
        <v>0</v>
      </c>
    </row>
    <row r="127" spans="1:8" ht="15.5">
      <c r="A127" s="74">
        <v>323</v>
      </c>
      <c r="B127" s="75" t="s">
        <v>516</v>
      </c>
      <c r="C127" s="75" t="s">
        <v>268</v>
      </c>
      <c r="F127" s="76">
        <v>311810</v>
      </c>
      <c r="G127" s="77" t="s">
        <v>517</v>
      </c>
      <c r="H127" s="78">
        <v>0</v>
      </c>
    </row>
    <row r="128" spans="1:8" ht="15.5">
      <c r="A128" s="74">
        <v>324</v>
      </c>
      <c r="B128" s="75" t="s">
        <v>518</v>
      </c>
      <c r="C128" s="75" t="s">
        <v>268</v>
      </c>
      <c r="F128" s="76">
        <v>301291</v>
      </c>
      <c r="G128" s="77" t="s">
        <v>519</v>
      </c>
      <c r="H128" s="78">
        <v>0</v>
      </c>
    </row>
    <row r="129" spans="1:8" ht="15.5">
      <c r="A129" s="74">
        <v>9</v>
      </c>
      <c r="B129" s="75" t="s">
        <v>520</v>
      </c>
      <c r="C129" s="75" t="s">
        <v>520</v>
      </c>
      <c r="F129" s="76">
        <v>90023724</v>
      </c>
      <c r="G129" s="77" t="s">
        <v>521</v>
      </c>
      <c r="H129" s="78">
        <v>0</v>
      </c>
    </row>
    <row r="130" spans="1:8" ht="15.5">
      <c r="A130" s="74">
        <v>26</v>
      </c>
      <c r="B130" s="75" t="s">
        <v>522</v>
      </c>
      <c r="C130" s="75" t="s">
        <v>520</v>
      </c>
      <c r="F130" s="76">
        <v>313482</v>
      </c>
      <c r="G130" s="77" t="s">
        <v>523</v>
      </c>
      <c r="H130" s="78">
        <v>0</v>
      </c>
    </row>
    <row r="131" spans="1:8" ht="15.5">
      <c r="A131" s="74">
        <v>32</v>
      </c>
      <c r="B131" s="75" t="s">
        <v>524</v>
      </c>
      <c r="C131" s="75" t="s">
        <v>520</v>
      </c>
      <c r="F131" s="76">
        <v>300907</v>
      </c>
      <c r="G131" s="77" t="s">
        <v>525</v>
      </c>
      <c r="H131" s="78">
        <v>0</v>
      </c>
    </row>
    <row r="132" spans="1:8" ht="15.5">
      <c r="A132" s="74">
        <v>52</v>
      </c>
      <c r="B132" s="75" t="s">
        <v>526</v>
      </c>
      <c r="C132" s="75" t="s">
        <v>520</v>
      </c>
      <c r="F132" s="76">
        <v>312962</v>
      </c>
      <c r="G132" s="77" t="s">
        <v>527</v>
      </c>
      <c r="H132" s="78">
        <v>0</v>
      </c>
    </row>
    <row r="133" spans="1:8" ht="15.5">
      <c r="A133" s="74">
        <v>60</v>
      </c>
      <c r="B133" s="75" t="s">
        <v>528</v>
      </c>
      <c r="C133" s="75" t="s">
        <v>520</v>
      </c>
      <c r="F133" s="76">
        <v>314671</v>
      </c>
      <c r="G133" s="77" t="s">
        <v>529</v>
      </c>
      <c r="H133" s="78">
        <v>0</v>
      </c>
    </row>
    <row r="134" spans="1:8" ht="15.5">
      <c r="A134" s="74">
        <v>69</v>
      </c>
      <c r="B134" s="75" t="s">
        <v>530</v>
      </c>
      <c r="C134" s="75" t="s">
        <v>520</v>
      </c>
      <c r="F134" s="76">
        <v>311103</v>
      </c>
      <c r="G134" s="77" t="s">
        <v>531</v>
      </c>
      <c r="H134" s="78">
        <v>0</v>
      </c>
    </row>
    <row r="135" spans="1:8" ht="15.5">
      <c r="A135" s="74">
        <v>74</v>
      </c>
      <c r="B135" s="75" t="s">
        <v>532</v>
      </c>
      <c r="C135" s="75" t="s">
        <v>268</v>
      </c>
      <c r="F135" s="76">
        <v>311576</v>
      </c>
      <c r="G135" s="77" t="s">
        <v>533</v>
      </c>
      <c r="H135" s="78">
        <v>0</v>
      </c>
    </row>
    <row r="136" spans="1:8" ht="15.5">
      <c r="A136" s="74">
        <v>200</v>
      </c>
      <c r="B136" s="75" t="s">
        <v>534</v>
      </c>
      <c r="C136" s="75" t="s">
        <v>520</v>
      </c>
      <c r="F136" s="76">
        <v>313014</v>
      </c>
      <c r="G136" s="77" t="s">
        <v>535</v>
      </c>
      <c r="H136" s="78">
        <v>0</v>
      </c>
    </row>
    <row r="137" spans="1:8" ht="15.5">
      <c r="A137" s="74">
        <v>220</v>
      </c>
      <c r="B137" s="75" t="s">
        <v>536</v>
      </c>
      <c r="C137" s="75" t="s">
        <v>520</v>
      </c>
      <c r="F137" s="76">
        <v>315223</v>
      </c>
      <c r="G137" s="77" t="s">
        <v>537</v>
      </c>
      <c r="H137" s="78">
        <v>0</v>
      </c>
    </row>
    <row r="138" spans="1:8" ht="15.5">
      <c r="A138" s="74">
        <v>252</v>
      </c>
      <c r="B138" s="75" t="s">
        <v>538</v>
      </c>
      <c r="C138" s="75" t="s">
        <v>520</v>
      </c>
      <c r="F138" s="76">
        <v>90039162</v>
      </c>
      <c r="G138" s="77" t="s">
        <v>539</v>
      </c>
      <c r="H138" s="78">
        <v>0</v>
      </c>
    </row>
    <row r="139" spans="1:8" ht="15.5">
      <c r="A139" s="74">
        <v>260</v>
      </c>
      <c r="B139" s="75" t="s">
        <v>540</v>
      </c>
      <c r="C139" s="75" t="s">
        <v>520</v>
      </c>
      <c r="F139" s="76">
        <v>316316</v>
      </c>
      <c r="G139" s="77" t="s">
        <v>541</v>
      </c>
      <c r="H139" s="78">
        <v>0</v>
      </c>
    </row>
    <row r="140" spans="1:8" ht="15.5">
      <c r="A140" s="74">
        <v>273</v>
      </c>
      <c r="B140" s="75" t="s">
        <v>542</v>
      </c>
      <c r="C140" s="75" t="s">
        <v>520</v>
      </c>
      <c r="F140" s="76">
        <v>314035</v>
      </c>
      <c r="G140" s="77" t="s">
        <v>543</v>
      </c>
      <c r="H140" s="78">
        <v>0</v>
      </c>
    </row>
    <row r="141" spans="1:8" ht="15.5">
      <c r="A141" s="74">
        <v>280</v>
      </c>
      <c r="B141" s="75" t="s">
        <v>544</v>
      </c>
      <c r="C141" s="75" t="s">
        <v>520</v>
      </c>
      <c r="F141" s="76">
        <v>315214</v>
      </c>
      <c r="G141" s="77" t="s">
        <v>545</v>
      </c>
      <c r="H141" s="78">
        <v>0</v>
      </c>
    </row>
    <row r="142" spans="1:8" ht="15.5">
      <c r="A142" s="74">
        <v>91</v>
      </c>
      <c r="B142" s="75" t="s">
        <v>546</v>
      </c>
      <c r="C142" s="75" t="s">
        <v>547</v>
      </c>
      <c r="F142" s="76">
        <v>316241</v>
      </c>
      <c r="G142" s="77" t="s">
        <v>548</v>
      </c>
      <c r="H142" s="78">
        <v>0</v>
      </c>
    </row>
    <row r="143" spans="1:8" ht="15.5">
      <c r="A143" s="74">
        <v>285</v>
      </c>
      <c r="B143" s="75" t="s">
        <v>549</v>
      </c>
      <c r="C143" s="75" t="s">
        <v>547</v>
      </c>
      <c r="F143" s="76">
        <v>306902</v>
      </c>
      <c r="G143" s="77" t="s">
        <v>550</v>
      </c>
      <c r="H143" s="78">
        <v>0</v>
      </c>
    </row>
    <row r="144" spans="1:8" ht="15.5">
      <c r="A144" s="74">
        <v>291</v>
      </c>
      <c r="B144" s="75" t="s">
        <v>551</v>
      </c>
      <c r="C144" s="75" t="s">
        <v>547</v>
      </c>
      <c r="F144" s="76">
        <v>313182</v>
      </c>
      <c r="G144" s="77" t="s">
        <v>552</v>
      </c>
      <c r="H144" s="78">
        <v>0</v>
      </c>
    </row>
    <row r="145" spans="1:8" ht="15.5">
      <c r="A145" s="74">
        <v>293</v>
      </c>
      <c r="B145" s="75" t="s">
        <v>553</v>
      </c>
      <c r="C145" s="75" t="s">
        <v>547</v>
      </c>
      <c r="F145" s="76">
        <v>316227</v>
      </c>
      <c r="G145" s="77" t="s">
        <v>554</v>
      </c>
      <c r="H145" s="78">
        <v>0</v>
      </c>
    </row>
    <row r="146" spans="1:8" ht="15.5">
      <c r="A146" s="74">
        <v>307</v>
      </c>
      <c r="B146" s="75" t="s">
        <v>555</v>
      </c>
      <c r="C146" s="75" t="s">
        <v>547</v>
      </c>
      <c r="F146" s="76">
        <v>90033123</v>
      </c>
      <c r="G146" s="77" t="s">
        <v>556</v>
      </c>
      <c r="H146" s="78">
        <v>0</v>
      </c>
    </row>
    <row r="147" spans="1:8" ht="15.5">
      <c r="A147" s="74">
        <v>315</v>
      </c>
      <c r="B147" s="75" t="s">
        <v>557</v>
      </c>
      <c r="C147" s="75" t="s">
        <v>547</v>
      </c>
      <c r="F147" s="76">
        <v>315434</v>
      </c>
      <c r="G147" s="77" t="s">
        <v>558</v>
      </c>
      <c r="H147" s="78">
        <v>0</v>
      </c>
    </row>
    <row r="148" spans="1:8" ht="15.5">
      <c r="A148" s="74">
        <v>316</v>
      </c>
      <c r="B148" s="75" t="s">
        <v>559</v>
      </c>
      <c r="C148" s="75" t="s">
        <v>547</v>
      </c>
      <c r="F148" s="76">
        <v>315280</v>
      </c>
      <c r="G148" s="77" t="s">
        <v>560</v>
      </c>
      <c r="H148" s="78">
        <v>0</v>
      </c>
    </row>
    <row r="149" spans="1:8" ht="15.5">
      <c r="A149" s="74">
        <v>20</v>
      </c>
      <c r="B149" s="75" t="s">
        <v>561</v>
      </c>
      <c r="C149" s="75" t="s">
        <v>562</v>
      </c>
      <c r="F149" s="76">
        <v>302247</v>
      </c>
      <c r="G149" s="77" t="s">
        <v>563</v>
      </c>
      <c r="H149" s="78">
        <v>0</v>
      </c>
    </row>
    <row r="150" spans="1:8" ht="15.5">
      <c r="A150" s="74">
        <v>25</v>
      </c>
      <c r="B150" s="75" t="s">
        <v>564</v>
      </c>
      <c r="C150" s="75" t="s">
        <v>562</v>
      </c>
      <c r="F150" s="76">
        <v>310433</v>
      </c>
      <c r="G150" s="77" t="s">
        <v>565</v>
      </c>
      <c r="H150" s="78">
        <v>0</v>
      </c>
    </row>
    <row r="151" spans="1:8" ht="15.5">
      <c r="A151" s="74">
        <v>31</v>
      </c>
      <c r="B151" s="75" t="s">
        <v>566</v>
      </c>
      <c r="C151" s="75" t="s">
        <v>562</v>
      </c>
      <c r="F151" s="76">
        <v>313286</v>
      </c>
      <c r="G151" s="77" t="s">
        <v>567</v>
      </c>
      <c r="H151" s="78">
        <v>0</v>
      </c>
    </row>
    <row r="152" spans="1:8" ht="15.5">
      <c r="A152" s="74">
        <v>43</v>
      </c>
      <c r="B152" s="75" t="s">
        <v>568</v>
      </c>
      <c r="C152" s="75" t="s">
        <v>562</v>
      </c>
      <c r="F152" s="76">
        <v>310546</v>
      </c>
      <c r="G152" s="77" t="s">
        <v>569</v>
      </c>
      <c r="H152" s="78">
        <v>0</v>
      </c>
    </row>
    <row r="153" spans="1:8" ht="15.5">
      <c r="A153" s="74">
        <v>48</v>
      </c>
      <c r="B153" s="75" t="s">
        <v>570</v>
      </c>
      <c r="C153" s="75" t="s">
        <v>562</v>
      </c>
      <c r="F153" s="76">
        <v>313119</v>
      </c>
      <c r="G153" s="77" t="s">
        <v>571</v>
      </c>
      <c r="H153" s="78">
        <v>0</v>
      </c>
    </row>
    <row r="154" spans="1:8" ht="15.5">
      <c r="A154" s="74">
        <v>63</v>
      </c>
      <c r="B154" s="75" t="s">
        <v>572</v>
      </c>
      <c r="C154" s="75" t="s">
        <v>562</v>
      </c>
      <c r="F154" s="76">
        <v>315101</v>
      </c>
      <c r="G154" s="77" t="s">
        <v>573</v>
      </c>
      <c r="H154" s="78">
        <v>0</v>
      </c>
    </row>
    <row r="155" spans="1:8" ht="15.5">
      <c r="A155" s="74">
        <v>89</v>
      </c>
      <c r="B155" s="75" t="s">
        <v>574</v>
      </c>
      <c r="C155" s="75" t="s">
        <v>562</v>
      </c>
      <c r="F155" s="76">
        <v>314982</v>
      </c>
      <c r="G155" s="77" t="s">
        <v>575</v>
      </c>
      <c r="H155" s="78">
        <v>0</v>
      </c>
    </row>
    <row r="156" spans="1:8" ht="15.5">
      <c r="A156" s="74">
        <v>130</v>
      </c>
      <c r="B156" s="75" t="s">
        <v>576</v>
      </c>
      <c r="C156" s="75" t="s">
        <v>562</v>
      </c>
      <c r="F156" s="76">
        <v>313528</v>
      </c>
      <c r="G156" s="77" t="s">
        <v>577</v>
      </c>
      <c r="H156" s="78">
        <v>0</v>
      </c>
    </row>
    <row r="157" spans="1:8" ht="15.5">
      <c r="A157" s="74">
        <v>143</v>
      </c>
      <c r="B157" s="75" t="s">
        <v>578</v>
      </c>
      <c r="C157" s="75" t="s">
        <v>562</v>
      </c>
      <c r="F157" s="76">
        <v>309338</v>
      </c>
      <c r="G157" s="77" t="s">
        <v>579</v>
      </c>
      <c r="H157" s="78">
        <v>0</v>
      </c>
    </row>
    <row r="158" spans="1:8" ht="15.5">
      <c r="A158" s="74">
        <v>176</v>
      </c>
      <c r="B158" s="75" t="s">
        <v>580</v>
      </c>
      <c r="C158" s="75" t="s">
        <v>562</v>
      </c>
      <c r="F158" s="76">
        <v>309664</v>
      </c>
      <c r="G158" s="77" t="s">
        <v>581</v>
      </c>
      <c r="H158" s="78">
        <v>0</v>
      </c>
    </row>
    <row r="159" spans="1:8" ht="15.5">
      <c r="A159" s="74">
        <v>178</v>
      </c>
      <c r="B159" s="75" t="s">
        <v>582</v>
      </c>
      <c r="C159" s="75" t="s">
        <v>562</v>
      </c>
      <c r="F159" s="76">
        <v>309337</v>
      </c>
      <c r="G159" s="77" t="s">
        <v>583</v>
      </c>
      <c r="H159" s="78">
        <v>0</v>
      </c>
    </row>
    <row r="160" spans="1:8" ht="15.5">
      <c r="A160" s="74">
        <v>227</v>
      </c>
      <c r="B160" s="75" t="s">
        <v>584</v>
      </c>
      <c r="C160" s="75" t="s">
        <v>562</v>
      </c>
      <c r="F160" s="76">
        <v>313295</v>
      </c>
      <c r="G160" s="77" t="s">
        <v>585</v>
      </c>
      <c r="H160" s="78">
        <v>0</v>
      </c>
    </row>
    <row r="161" spans="1:8" ht="15.5">
      <c r="A161" s="74">
        <v>236</v>
      </c>
      <c r="B161" s="75" t="s">
        <v>586</v>
      </c>
      <c r="C161" s="75" t="s">
        <v>562</v>
      </c>
      <c r="F161" s="76">
        <v>315553</v>
      </c>
      <c r="G161" s="77" t="s">
        <v>587</v>
      </c>
      <c r="H161" s="78">
        <v>0</v>
      </c>
    </row>
    <row r="162" spans="1:8" ht="15.5">
      <c r="A162" s="74">
        <v>257</v>
      </c>
      <c r="B162" s="75" t="s">
        <v>588</v>
      </c>
      <c r="C162" s="75" t="s">
        <v>562</v>
      </c>
      <c r="F162" s="76">
        <v>301503</v>
      </c>
      <c r="G162" s="77" t="s">
        <v>589</v>
      </c>
      <c r="H162" s="78">
        <v>0</v>
      </c>
    </row>
    <row r="163" spans="1:8" ht="15.5">
      <c r="A163" s="74">
        <v>297</v>
      </c>
      <c r="B163" s="75" t="s">
        <v>590</v>
      </c>
      <c r="C163" s="75" t="s">
        <v>562</v>
      </c>
      <c r="F163" s="76">
        <v>316348</v>
      </c>
      <c r="G163" s="77" t="s">
        <v>591</v>
      </c>
      <c r="H163" s="78">
        <v>0</v>
      </c>
    </row>
    <row r="164" spans="1:8" ht="15.5">
      <c r="A164" s="81">
        <v>400</v>
      </c>
      <c r="B164" s="82" t="s">
        <v>592</v>
      </c>
      <c r="C164" s="82" t="s">
        <v>256</v>
      </c>
      <c r="F164" s="76">
        <v>311055</v>
      </c>
      <c r="G164" s="77" t="s">
        <v>593</v>
      </c>
      <c r="H164" s="78">
        <v>0</v>
      </c>
    </row>
    <row r="165" spans="1:8" ht="15.5">
      <c r="A165" s="81">
        <v>93</v>
      </c>
      <c r="B165" s="82" t="s">
        <v>594</v>
      </c>
      <c r="C165" s="82" t="s">
        <v>594</v>
      </c>
      <c r="F165" s="76">
        <v>316329</v>
      </c>
      <c r="G165" s="77" t="s">
        <v>595</v>
      </c>
      <c r="H165" s="78">
        <v>0</v>
      </c>
    </row>
    <row r="166" spans="1:8" ht="15.5">
      <c r="A166" s="81">
        <v>345</v>
      </c>
      <c r="B166" s="82" t="s">
        <v>596</v>
      </c>
      <c r="C166" s="82" t="s">
        <v>562</v>
      </c>
      <c r="F166" s="76">
        <v>301234</v>
      </c>
      <c r="G166" s="77" t="s">
        <v>597</v>
      </c>
      <c r="H166" s="78">
        <v>0</v>
      </c>
    </row>
    <row r="167" spans="1:8" ht="15.5">
      <c r="F167" s="76">
        <v>301139</v>
      </c>
      <c r="G167" s="77" t="s">
        <v>598</v>
      </c>
      <c r="H167" s="78">
        <v>0</v>
      </c>
    </row>
    <row r="168" spans="1:8" ht="15.5">
      <c r="F168" s="76">
        <v>307790</v>
      </c>
      <c r="G168" s="77" t="s">
        <v>599</v>
      </c>
      <c r="H168" s="78">
        <v>0</v>
      </c>
    </row>
    <row r="169" spans="1:8" ht="15.5">
      <c r="F169" s="76">
        <v>315044</v>
      </c>
      <c r="G169" s="77" t="s">
        <v>600</v>
      </c>
      <c r="H169" s="78">
        <v>0</v>
      </c>
    </row>
    <row r="170" spans="1:8" ht="15.5">
      <c r="F170" s="76">
        <v>90040315</v>
      </c>
      <c r="G170" s="77" t="s">
        <v>601</v>
      </c>
      <c r="H170" s="78">
        <v>0</v>
      </c>
    </row>
    <row r="171" spans="1:8" ht="15.5">
      <c r="F171" s="76">
        <v>316153</v>
      </c>
      <c r="G171" s="77" t="s">
        <v>602</v>
      </c>
      <c r="H171" s="78">
        <v>0</v>
      </c>
    </row>
    <row r="172" spans="1:8" ht="15.5">
      <c r="F172" s="76">
        <v>315858</v>
      </c>
      <c r="G172" s="77" t="s">
        <v>603</v>
      </c>
      <c r="H172" s="78">
        <v>0</v>
      </c>
    </row>
    <row r="173" spans="1:8" ht="15.5">
      <c r="F173" s="76">
        <v>309527</v>
      </c>
      <c r="G173" s="77" t="s">
        <v>604</v>
      </c>
      <c r="H173" s="78">
        <v>0</v>
      </c>
    </row>
    <row r="174" spans="1:8" ht="15.5">
      <c r="F174" s="76">
        <v>313217</v>
      </c>
      <c r="G174" s="77" t="s">
        <v>605</v>
      </c>
      <c r="H174" s="78">
        <v>0</v>
      </c>
    </row>
    <row r="175" spans="1:8" ht="15.5">
      <c r="F175" s="76">
        <v>305932</v>
      </c>
      <c r="G175" s="77" t="s">
        <v>606</v>
      </c>
      <c r="H175" s="78">
        <v>0</v>
      </c>
    </row>
    <row r="176" spans="1:8" ht="15.5">
      <c r="F176" s="76">
        <v>314984</v>
      </c>
      <c r="G176" s="77" t="s">
        <v>607</v>
      </c>
      <c r="H176" s="78">
        <v>0</v>
      </c>
    </row>
    <row r="177" spans="6:8" ht="15.5">
      <c r="F177" s="76">
        <v>314578</v>
      </c>
      <c r="G177" s="77" t="s">
        <v>608</v>
      </c>
      <c r="H177" s="78">
        <v>0</v>
      </c>
    </row>
    <row r="178" spans="6:8" ht="15.5">
      <c r="F178" s="76">
        <v>307751</v>
      </c>
      <c r="G178" s="77" t="s">
        <v>609</v>
      </c>
      <c r="H178" s="78">
        <v>0</v>
      </c>
    </row>
    <row r="179" spans="6:8" ht="15.5">
      <c r="F179" s="76">
        <v>309545</v>
      </c>
      <c r="G179" s="77" t="s">
        <v>610</v>
      </c>
      <c r="H179" s="78">
        <v>0</v>
      </c>
    </row>
    <row r="180" spans="6:8" ht="15.5">
      <c r="F180" s="76">
        <v>90040157</v>
      </c>
      <c r="G180" s="77" t="s">
        <v>611</v>
      </c>
      <c r="H180" s="78">
        <v>0</v>
      </c>
    </row>
    <row r="181" spans="6:8" ht="15.5">
      <c r="F181" s="76">
        <v>314839</v>
      </c>
      <c r="G181" s="77" t="s">
        <v>612</v>
      </c>
      <c r="H181" s="78">
        <v>0</v>
      </c>
    </row>
    <row r="182" spans="6:8" ht="15.5">
      <c r="F182" s="76">
        <v>315941</v>
      </c>
      <c r="G182" s="77" t="s">
        <v>613</v>
      </c>
      <c r="H182" s="78">
        <v>0</v>
      </c>
    </row>
    <row r="183" spans="6:8" ht="15.5">
      <c r="F183" s="76">
        <v>316036</v>
      </c>
      <c r="G183" s="77" t="s">
        <v>614</v>
      </c>
      <c r="H183" s="78">
        <v>0</v>
      </c>
    </row>
    <row r="184" spans="6:8" ht="15.5">
      <c r="F184" s="76">
        <v>310329</v>
      </c>
      <c r="G184" s="77" t="s">
        <v>615</v>
      </c>
      <c r="H184" s="78">
        <v>0</v>
      </c>
    </row>
    <row r="185" spans="6:8" ht="15.5">
      <c r="F185" s="76">
        <v>316053</v>
      </c>
      <c r="G185" s="77" t="s">
        <v>616</v>
      </c>
      <c r="H185" s="78">
        <v>0</v>
      </c>
    </row>
    <row r="186" spans="6:8" ht="15.5">
      <c r="F186" s="76">
        <v>311761</v>
      </c>
      <c r="G186" s="77" t="s">
        <v>617</v>
      </c>
      <c r="H186" s="78">
        <v>0</v>
      </c>
    </row>
    <row r="187" spans="6:8" ht="15.5">
      <c r="F187" s="76">
        <v>311111</v>
      </c>
      <c r="G187" s="77" t="s">
        <v>618</v>
      </c>
      <c r="H187" s="78">
        <v>0</v>
      </c>
    </row>
    <row r="188" spans="6:8" ht="15.5">
      <c r="F188" s="76">
        <v>313991</v>
      </c>
      <c r="G188" s="77" t="s">
        <v>619</v>
      </c>
      <c r="H188" s="78">
        <v>0</v>
      </c>
    </row>
    <row r="189" spans="6:8" ht="15.5">
      <c r="F189" s="76">
        <v>90034569</v>
      </c>
      <c r="G189" s="77" t="s">
        <v>620</v>
      </c>
      <c r="H189" s="78">
        <v>0</v>
      </c>
    </row>
    <row r="190" spans="6:8" ht="15.5">
      <c r="F190" s="76">
        <v>307442</v>
      </c>
      <c r="G190" s="77" t="s">
        <v>621</v>
      </c>
      <c r="H190" s="78">
        <v>0</v>
      </c>
    </row>
    <row r="191" spans="6:8" ht="15.5">
      <c r="F191" s="76">
        <v>314751</v>
      </c>
      <c r="G191" s="77" t="s">
        <v>622</v>
      </c>
      <c r="H191" s="78">
        <v>0</v>
      </c>
    </row>
    <row r="192" spans="6:8" ht="15.5">
      <c r="F192" s="76">
        <v>90025620</v>
      </c>
      <c r="G192" s="77" t="s">
        <v>623</v>
      </c>
      <c r="H192" s="78">
        <v>0</v>
      </c>
    </row>
    <row r="193" spans="6:9" ht="15.5">
      <c r="F193" s="76">
        <v>306767</v>
      </c>
      <c r="G193" s="77" t="s">
        <v>624</v>
      </c>
      <c r="H193" s="78">
        <v>0</v>
      </c>
      <c r="I193" s="47"/>
    </row>
    <row r="194" spans="6:9" ht="15.5">
      <c r="F194" s="76">
        <v>312249</v>
      </c>
      <c r="G194" s="77" t="s">
        <v>625</v>
      </c>
      <c r="H194" s="78">
        <v>0</v>
      </c>
      <c r="I194" s="47"/>
    </row>
    <row r="195" spans="6:9" ht="15.5">
      <c r="F195" s="76">
        <v>202795</v>
      </c>
      <c r="G195" s="77" t="s">
        <v>626</v>
      </c>
      <c r="H195" s="78">
        <v>0</v>
      </c>
    </row>
    <row r="196" spans="6:9" ht="15.5">
      <c r="F196" s="76">
        <v>302684</v>
      </c>
      <c r="G196" s="77" t="s">
        <v>627</v>
      </c>
      <c r="H196" s="78">
        <v>0</v>
      </c>
    </row>
    <row r="197" spans="6:9" ht="15.5">
      <c r="F197" s="76">
        <v>315474</v>
      </c>
      <c r="G197" s="77" t="s">
        <v>628</v>
      </c>
      <c r="H197" s="78">
        <v>0</v>
      </c>
    </row>
    <row r="198" spans="6:9" ht="15.5">
      <c r="F198" s="76">
        <v>308129</v>
      </c>
      <c r="G198" s="77" t="s">
        <v>629</v>
      </c>
      <c r="H198" s="78">
        <v>0</v>
      </c>
    </row>
    <row r="199" spans="6:9" ht="15.5">
      <c r="F199" s="76">
        <v>314191</v>
      </c>
      <c r="G199" s="77" t="s">
        <v>630</v>
      </c>
      <c r="H199" s="78">
        <v>0</v>
      </c>
    </row>
    <row r="200" spans="6:9" ht="15.5">
      <c r="F200" s="76">
        <v>310191</v>
      </c>
      <c r="G200" s="77" t="s">
        <v>631</v>
      </c>
      <c r="H200" s="78">
        <v>0</v>
      </c>
    </row>
    <row r="201" spans="6:9" ht="15.5">
      <c r="F201" s="76">
        <v>310728</v>
      </c>
      <c r="G201" s="77" t="s">
        <v>632</v>
      </c>
      <c r="H201" s="78">
        <v>0</v>
      </c>
    </row>
    <row r="202" spans="6:9" ht="15.5">
      <c r="F202" s="76">
        <v>315052</v>
      </c>
      <c r="G202" s="77" t="s">
        <v>633</v>
      </c>
      <c r="H202" s="78">
        <v>0</v>
      </c>
    </row>
    <row r="203" spans="6:9" ht="15.5">
      <c r="F203" s="76">
        <v>314224</v>
      </c>
      <c r="G203" s="77" t="s">
        <v>634</v>
      </c>
      <c r="H203" s="78">
        <v>0</v>
      </c>
    </row>
    <row r="204" spans="6:9" ht="15.5">
      <c r="F204" s="76">
        <v>314469</v>
      </c>
      <c r="G204" s="77" t="s">
        <v>635</v>
      </c>
      <c r="H204" s="78">
        <v>0</v>
      </c>
    </row>
    <row r="205" spans="6:9" ht="15.5">
      <c r="F205" s="76">
        <v>312945</v>
      </c>
      <c r="G205" s="77" t="s">
        <v>636</v>
      </c>
      <c r="H205" s="78">
        <v>0</v>
      </c>
    </row>
    <row r="206" spans="6:9" ht="15.5">
      <c r="F206" s="76">
        <v>315974</v>
      </c>
      <c r="G206" s="77" t="s">
        <v>637</v>
      </c>
      <c r="H206" s="78">
        <v>0</v>
      </c>
    </row>
    <row r="207" spans="6:9" ht="15.5">
      <c r="F207" s="76">
        <v>314019</v>
      </c>
      <c r="G207" s="77" t="s">
        <v>638</v>
      </c>
      <c r="H207" s="78">
        <v>0</v>
      </c>
    </row>
    <row r="208" spans="6:9" ht="15.5">
      <c r="F208" s="76">
        <v>90045664</v>
      </c>
      <c r="G208" s="77" t="s">
        <v>639</v>
      </c>
      <c r="H208" s="78">
        <v>0</v>
      </c>
    </row>
    <row r="209" spans="6:8" ht="15.5">
      <c r="F209" s="76">
        <v>316215</v>
      </c>
      <c r="G209" s="77" t="s">
        <v>640</v>
      </c>
      <c r="H209" s="78">
        <v>0</v>
      </c>
    </row>
    <row r="210" spans="6:8" ht="15.5">
      <c r="F210" s="76">
        <v>314363</v>
      </c>
      <c r="G210" s="77" t="s">
        <v>641</v>
      </c>
      <c r="H210" s="78">
        <v>0</v>
      </c>
    </row>
    <row r="211" spans="6:8" ht="15.5">
      <c r="F211" s="76">
        <v>90014151</v>
      </c>
      <c r="G211" s="77" t="s">
        <v>642</v>
      </c>
      <c r="H211" s="78">
        <v>0</v>
      </c>
    </row>
    <row r="212" spans="6:8" ht="15.5">
      <c r="F212" s="76">
        <v>90028242</v>
      </c>
      <c r="G212" s="77" t="s">
        <v>643</v>
      </c>
      <c r="H212" s="78">
        <v>0</v>
      </c>
    </row>
    <row r="213" spans="6:8" ht="15.5">
      <c r="F213" s="76">
        <v>315372</v>
      </c>
      <c r="G213" s="77" t="s">
        <v>644</v>
      </c>
      <c r="H213" s="78">
        <v>0</v>
      </c>
    </row>
    <row r="214" spans="6:8" ht="15.5">
      <c r="F214" s="76">
        <v>90034026</v>
      </c>
      <c r="G214" s="77" t="s">
        <v>645</v>
      </c>
      <c r="H214" s="78">
        <v>0</v>
      </c>
    </row>
    <row r="215" spans="6:8" ht="15.5">
      <c r="F215" s="76">
        <v>315647</v>
      </c>
      <c r="G215" s="77" t="s">
        <v>646</v>
      </c>
      <c r="H215" s="78">
        <v>0</v>
      </c>
    </row>
    <row r="216" spans="6:8" ht="15.5">
      <c r="F216" s="76">
        <v>311505</v>
      </c>
      <c r="G216" s="77" t="s">
        <v>647</v>
      </c>
      <c r="H216" s="78">
        <v>0</v>
      </c>
    </row>
    <row r="217" spans="6:8" ht="15.5">
      <c r="F217" s="76">
        <v>306350</v>
      </c>
      <c r="G217" s="77" t="s">
        <v>648</v>
      </c>
      <c r="H217" s="78">
        <v>0</v>
      </c>
    </row>
    <row r="218" spans="6:8" ht="15.5">
      <c r="F218" s="76">
        <v>312424</v>
      </c>
      <c r="G218" s="77" t="s">
        <v>649</v>
      </c>
      <c r="H218" s="78">
        <v>0</v>
      </c>
    </row>
    <row r="219" spans="6:8" ht="15.5">
      <c r="F219" s="76">
        <v>315215</v>
      </c>
      <c r="G219" s="77" t="s">
        <v>650</v>
      </c>
      <c r="H219" s="78">
        <v>0</v>
      </c>
    </row>
    <row r="220" spans="6:8" ht="15.5">
      <c r="F220" s="76">
        <v>311380</v>
      </c>
      <c r="G220" s="77" t="s">
        <v>651</v>
      </c>
      <c r="H220" s="78">
        <v>0</v>
      </c>
    </row>
    <row r="221" spans="6:8" ht="15.5">
      <c r="F221" s="76">
        <v>311137</v>
      </c>
      <c r="G221" s="77" t="s">
        <v>652</v>
      </c>
      <c r="H221" s="78">
        <v>0</v>
      </c>
    </row>
    <row r="222" spans="6:8" ht="15.5">
      <c r="F222" s="76">
        <v>303012</v>
      </c>
      <c r="G222" s="77" t="s">
        <v>653</v>
      </c>
      <c r="H222" s="78">
        <v>0</v>
      </c>
    </row>
    <row r="223" spans="6:8" ht="15.5">
      <c r="F223" s="76">
        <v>315264</v>
      </c>
      <c r="G223" s="77" t="s">
        <v>654</v>
      </c>
      <c r="H223" s="78">
        <v>0</v>
      </c>
    </row>
    <row r="224" spans="6:8" ht="15.5">
      <c r="F224" s="76">
        <v>302630</v>
      </c>
      <c r="G224" s="77" t="s">
        <v>655</v>
      </c>
      <c r="H224" s="78">
        <v>0</v>
      </c>
    </row>
    <row r="225" spans="6:8" ht="15.5">
      <c r="F225" s="76">
        <v>314057</v>
      </c>
      <c r="G225" s="77" t="s">
        <v>656</v>
      </c>
      <c r="H225" s="78">
        <v>0</v>
      </c>
    </row>
    <row r="226" spans="6:8" ht="15.5">
      <c r="F226" s="76">
        <v>312310</v>
      </c>
      <c r="G226" s="77" t="s">
        <v>657</v>
      </c>
      <c r="H226" s="78">
        <v>0</v>
      </c>
    </row>
    <row r="227" spans="6:8" ht="15.5">
      <c r="F227" s="76">
        <v>314786</v>
      </c>
      <c r="G227" s="77" t="s">
        <v>658</v>
      </c>
      <c r="H227" s="78">
        <v>0</v>
      </c>
    </row>
    <row r="228" spans="6:8" ht="15.5">
      <c r="F228" s="76">
        <v>311079</v>
      </c>
      <c r="G228" s="77" t="s">
        <v>659</v>
      </c>
      <c r="H228" s="78">
        <v>0</v>
      </c>
    </row>
    <row r="229" spans="6:8" ht="15.5">
      <c r="F229" s="76">
        <v>311759</v>
      </c>
      <c r="G229" s="77" t="s">
        <v>660</v>
      </c>
      <c r="H229" s="78">
        <v>0</v>
      </c>
    </row>
    <row r="230" spans="6:8" ht="15.5">
      <c r="F230" s="76">
        <v>313301</v>
      </c>
      <c r="G230" s="77" t="s">
        <v>661</v>
      </c>
      <c r="H230" s="78">
        <v>0</v>
      </c>
    </row>
    <row r="231" spans="6:8" ht="15.5">
      <c r="F231" s="76">
        <v>314241</v>
      </c>
      <c r="G231" s="77" t="s">
        <v>662</v>
      </c>
      <c r="H231" s="78">
        <v>0</v>
      </c>
    </row>
    <row r="232" spans="6:8" ht="15.5">
      <c r="F232" s="76">
        <v>315169</v>
      </c>
      <c r="G232" s="77" t="s">
        <v>663</v>
      </c>
      <c r="H232" s="78">
        <v>0</v>
      </c>
    </row>
    <row r="233" spans="6:8" ht="15.5">
      <c r="F233" s="76">
        <v>90024412</v>
      </c>
      <c r="G233" s="77" t="s">
        <v>664</v>
      </c>
      <c r="H233" s="78">
        <v>0</v>
      </c>
    </row>
    <row r="234" spans="6:8" ht="15.5">
      <c r="F234" s="76">
        <v>314323</v>
      </c>
      <c r="G234" s="77" t="s">
        <v>665</v>
      </c>
      <c r="H234" s="78">
        <v>0</v>
      </c>
    </row>
    <row r="235" spans="6:8" ht="15.5">
      <c r="F235" s="76">
        <v>90039395</v>
      </c>
      <c r="G235" s="77" t="s">
        <v>666</v>
      </c>
      <c r="H235" s="78">
        <v>0</v>
      </c>
    </row>
    <row r="236" spans="6:8" ht="15.5">
      <c r="F236" s="76">
        <v>314933</v>
      </c>
      <c r="G236" s="77" t="s">
        <v>667</v>
      </c>
      <c r="H236" s="78">
        <v>0</v>
      </c>
    </row>
    <row r="237" spans="6:8" ht="15.5">
      <c r="F237" s="76">
        <v>306471</v>
      </c>
      <c r="G237" s="77" t="s">
        <v>668</v>
      </c>
      <c r="H237" s="78">
        <v>0</v>
      </c>
    </row>
    <row r="238" spans="6:8" ht="15.5">
      <c r="F238" s="76">
        <v>309341</v>
      </c>
      <c r="G238" s="77" t="s">
        <v>669</v>
      </c>
      <c r="H238" s="78">
        <v>0</v>
      </c>
    </row>
    <row r="239" spans="6:8" ht="15.5">
      <c r="F239" s="76">
        <v>315129</v>
      </c>
      <c r="G239" s="77" t="s">
        <v>670</v>
      </c>
      <c r="H239" s="78">
        <v>0</v>
      </c>
    </row>
    <row r="240" spans="6:8" ht="15.5">
      <c r="F240" s="76">
        <v>90019011</v>
      </c>
      <c r="G240" s="77" t="s">
        <v>671</v>
      </c>
      <c r="H240" s="78">
        <v>0</v>
      </c>
    </row>
    <row r="241" spans="6:8" ht="15.5">
      <c r="F241" s="76">
        <v>309415</v>
      </c>
      <c r="G241" s="77" t="s">
        <v>672</v>
      </c>
      <c r="H241" s="78">
        <v>0</v>
      </c>
    </row>
    <row r="242" spans="6:8" ht="15.5">
      <c r="F242" s="76">
        <v>315312</v>
      </c>
      <c r="G242" s="77" t="s">
        <v>673</v>
      </c>
      <c r="H242" s="78">
        <v>0</v>
      </c>
    </row>
    <row r="243" spans="6:8" ht="15.5">
      <c r="F243" s="76">
        <v>305814</v>
      </c>
      <c r="G243" s="77" t="s">
        <v>674</v>
      </c>
      <c r="H243" s="78">
        <v>0</v>
      </c>
    </row>
    <row r="244" spans="6:8" ht="15.5">
      <c r="F244" s="76">
        <v>316229</v>
      </c>
      <c r="G244" s="77" t="s">
        <v>675</v>
      </c>
      <c r="H244" s="78">
        <v>0</v>
      </c>
    </row>
    <row r="245" spans="6:8" ht="15.5">
      <c r="F245" s="76">
        <v>90019594</v>
      </c>
      <c r="G245" s="77" t="s">
        <v>676</v>
      </c>
      <c r="H245" s="78">
        <v>0</v>
      </c>
    </row>
    <row r="246" spans="6:8" ht="15.5">
      <c r="F246" s="76">
        <v>314564</v>
      </c>
      <c r="G246" s="77" t="s">
        <v>677</v>
      </c>
      <c r="H246" s="78">
        <v>0</v>
      </c>
    </row>
    <row r="247" spans="6:8" ht="15.5">
      <c r="F247" s="76">
        <v>312055</v>
      </c>
      <c r="G247" s="77" t="s">
        <v>678</v>
      </c>
      <c r="H247" s="78">
        <v>0</v>
      </c>
    </row>
    <row r="248" spans="6:8" ht="15.5">
      <c r="F248" s="76">
        <v>311086</v>
      </c>
      <c r="G248" s="77" t="s">
        <v>679</v>
      </c>
      <c r="H248" s="78">
        <v>0</v>
      </c>
    </row>
    <row r="249" spans="6:8" ht="15.5">
      <c r="F249" s="76">
        <v>309859</v>
      </c>
      <c r="G249" s="77" t="s">
        <v>680</v>
      </c>
      <c r="H249" s="78">
        <v>0</v>
      </c>
    </row>
    <row r="250" spans="6:8" ht="15.5">
      <c r="F250" s="76">
        <v>90038297</v>
      </c>
      <c r="G250" s="77" t="s">
        <v>681</v>
      </c>
      <c r="H250" s="78">
        <v>0</v>
      </c>
    </row>
    <row r="251" spans="6:8" ht="15.5">
      <c r="F251" s="76">
        <v>90019118</v>
      </c>
      <c r="G251" s="77" t="s">
        <v>682</v>
      </c>
      <c r="H251" s="78">
        <v>0</v>
      </c>
    </row>
    <row r="252" spans="6:8" ht="15.5">
      <c r="F252" s="76">
        <v>315026</v>
      </c>
      <c r="G252" s="77" t="s">
        <v>683</v>
      </c>
      <c r="H252" s="78">
        <v>0</v>
      </c>
    </row>
    <row r="253" spans="6:8" ht="15.5">
      <c r="F253" s="76">
        <v>90012092</v>
      </c>
      <c r="G253" s="77" t="s">
        <v>684</v>
      </c>
      <c r="H253" s="78">
        <v>0</v>
      </c>
    </row>
    <row r="254" spans="6:8" ht="15.5">
      <c r="F254" s="76">
        <v>315679</v>
      </c>
      <c r="G254" s="77" t="s">
        <v>685</v>
      </c>
      <c r="H254" s="78">
        <v>0</v>
      </c>
    </row>
    <row r="255" spans="6:8" ht="15.5">
      <c r="F255" s="76">
        <v>316255</v>
      </c>
      <c r="G255" s="77" t="s">
        <v>686</v>
      </c>
      <c r="H255" s="78">
        <v>0</v>
      </c>
    </row>
    <row r="256" spans="6:8" ht="15.5">
      <c r="F256" s="76">
        <v>314741</v>
      </c>
      <c r="G256" s="77" t="s">
        <v>687</v>
      </c>
      <c r="H256" s="78">
        <v>0</v>
      </c>
    </row>
    <row r="257" spans="6:8" ht="15.5">
      <c r="F257" s="76">
        <v>314696</v>
      </c>
      <c r="G257" s="77" t="s">
        <v>688</v>
      </c>
      <c r="H257" s="78">
        <v>0</v>
      </c>
    </row>
    <row r="258" spans="6:8" ht="15.5">
      <c r="F258" s="76">
        <v>90046642</v>
      </c>
      <c r="G258" s="77" t="s">
        <v>689</v>
      </c>
      <c r="H258" s="78">
        <v>0</v>
      </c>
    </row>
    <row r="259" spans="6:8" ht="15.5">
      <c r="F259" s="76">
        <v>311699</v>
      </c>
      <c r="G259" s="77" t="s">
        <v>690</v>
      </c>
      <c r="H259" s="78">
        <v>0</v>
      </c>
    </row>
    <row r="260" spans="6:8" ht="15.5">
      <c r="F260" s="76">
        <v>315556</v>
      </c>
      <c r="G260" s="77" t="s">
        <v>691</v>
      </c>
      <c r="H260" s="78">
        <v>0</v>
      </c>
    </row>
    <row r="261" spans="6:8" ht="15.5">
      <c r="F261" s="76">
        <v>315121</v>
      </c>
      <c r="G261" s="77" t="s">
        <v>692</v>
      </c>
      <c r="H261" s="78">
        <v>0</v>
      </c>
    </row>
    <row r="262" spans="6:8" ht="15.5">
      <c r="F262" s="76">
        <v>314905</v>
      </c>
      <c r="G262" s="77" t="s">
        <v>693</v>
      </c>
      <c r="H262" s="78">
        <v>0</v>
      </c>
    </row>
    <row r="263" spans="6:8" ht="15.5">
      <c r="F263" s="76">
        <v>90045958</v>
      </c>
      <c r="G263" s="77" t="s">
        <v>694</v>
      </c>
      <c r="H263" s="78">
        <v>0</v>
      </c>
    </row>
    <row r="264" spans="6:8" ht="15.5">
      <c r="F264" s="76">
        <v>316077</v>
      </c>
      <c r="G264" s="77" t="s">
        <v>695</v>
      </c>
      <c r="H264" s="78">
        <v>0</v>
      </c>
    </row>
    <row r="265" spans="6:8" ht="15.5">
      <c r="F265" s="76">
        <v>90035252</v>
      </c>
      <c r="G265" s="77" t="s">
        <v>696</v>
      </c>
      <c r="H265" s="78">
        <v>0</v>
      </c>
    </row>
    <row r="266" spans="6:8" ht="15.5">
      <c r="F266" s="76">
        <v>311557</v>
      </c>
      <c r="G266" s="77" t="s">
        <v>697</v>
      </c>
      <c r="H266" s="78">
        <v>0</v>
      </c>
    </row>
    <row r="267" spans="6:8" ht="15.5">
      <c r="F267" s="76">
        <v>102256</v>
      </c>
      <c r="G267" s="77" t="s">
        <v>698</v>
      </c>
      <c r="H267" s="78">
        <v>0</v>
      </c>
    </row>
    <row r="268" spans="6:8" ht="15.5">
      <c r="F268" s="76">
        <v>315150</v>
      </c>
      <c r="G268" s="77" t="s">
        <v>699</v>
      </c>
      <c r="H268" s="78">
        <v>0</v>
      </c>
    </row>
    <row r="269" spans="6:8" ht="15.5">
      <c r="F269" s="76">
        <v>314522</v>
      </c>
      <c r="G269" s="77" t="s">
        <v>700</v>
      </c>
      <c r="H269" s="78">
        <v>0</v>
      </c>
    </row>
    <row r="270" spans="6:8" ht="15.5">
      <c r="F270" s="76">
        <v>315499</v>
      </c>
      <c r="G270" s="77" t="s">
        <v>701</v>
      </c>
      <c r="H270" s="78">
        <v>0</v>
      </c>
    </row>
    <row r="271" spans="6:8" ht="15.5">
      <c r="F271" s="76">
        <v>309908</v>
      </c>
      <c r="G271" s="77" t="s">
        <v>702</v>
      </c>
      <c r="H271" s="78">
        <v>0</v>
      </c>
    </row>
    <row r="272" spans="6:8" ht="15.5">
      <c r="F272" s="76">
        <v>312327</v>
      </c>
      <c r="G272" s="77" t="s">
        <v>703</v>
      </c>
      <c r="H272" s="78">
        <v>0</v>
      </c>
    </row>
    <row r="273" spans="6:8" ht="15.5">
      <c r="F273" s="76">
        <v>90040541</v>
      </c>
      <c r="G273" s="77" t="s">
        <v>704</v>
      </c>
      <c r="H273" s="78">
        <v>0</v>
      </c>
    </row>
    <row r="274" spans="6:8" ht="15.5">
      <c r="F274" s="76">
        <v>315532</v>
      </c>
      <c r="G274" s="77" t="s">
        <v>705</v>
      </c>
      <c r="H274" s="78">
        <v>0</v>
      </c>
    </row>
    <row r="275" spans="6:8" ht="15.5">
      <c r="F275" s="76">
        <v>90039321</v>
      </c>
      <c r="G275" s="77" t="s">
        <v>706</v>
      </c>
      <c r="H275" s="78">
        <v>0</v>
      </c>
    </row>
    <row r="276" spans="6:8" ht="15.5">
      <c r="F276" s="76">
        <v>90027868</v>
      </c>
      <c r="G276" s="77" t="s">
        <v>707</v>
      </c>
      <c r="H276" s="78">
        <v>0</v>
      </c>
    </row>
    <row r="277" spans="6:8" ht="15.5">
      <c r="F277" s="76">
        <v>90040420</v>
      </c>
      <c r="G277" s="77" t="s">
        <v>708</v>
      </c>
      <c r="H277" s="78">
        <v>0</v>
      </c>
    </row>
    <row r="278" spans="6:8" ht="15.5">
      <c r="F278" s="76">
        <v>310537</v>
      </c>
      <c r="G278" s="77" t="s">
        <v>709</v>
      </c>
      <c r="H278" s="78">
        <v>0</v>
      </c>
    </row>
    <row r="279" spans="6:8" ht="15.5">
      <c r="F279" s="76">
        <v>315493</v>
      </c>
      <c r="G279" s="77" t="s">
        <v>710</v>
      </c>
      <c r="H279" s="78">
        <v>0</v>
      </c>
    </row>
    <row r="280" spans="6:8" ht="15.5">
      <c r="F280" s="76">
        <v>310020</v>
      </c>
      <c r="G280" s="77" t="s">
        <v>711</v>
      </c>
      <c r="H280" s="78">
        <v>0</v>
      </c>
    </row>
    <row r="281" spans="6:8" ht="15.5">
      <c r="F281" s="76">
        <v>309560</v>
      </c>
      <c r="G281" s="77" t="s">
        <v>712</v>
      </c>
      <c r="H281" s="78">
        <v>0</v>
      </c>
    </row>
    <row r="282" spans="6:8" ht="15.5">
      <c r="F282" s="76">
        <v>315277</v>
      </c>
      <c r="G282" s="77" t="s">
        <v>713</v>
      </c>
      <c r="H282" s="78">
        <v>0</v>
      </c>
    </row>
    <row r="283" spans="6:8" ht="15.5">
      <c r="F283" s="76">
        <v>310483</v>
      </c>
      <c r="G283" s="77" t="s">
        <v>714</v>
      </c>
      <c r="H283" s="78">
        <v>0</v>
      </c>
    </row>
    <row r="284" spans="6:8" ht="15.5">
      <c r="F284" s="76">
        <v>309804</v>
      </c>
      <c r="G284" s="77" t="s">
        <v>715</v>
      </c>
      <c r="H284" s="78">
        <v>0</v>
      </c>
    </row>
    <row r="285" spans="6:8" ht="15.5">
      <c r="F285" s="76">
        <v>312146</v>
      </c>
      <c r="G285" s="77" t="s">
        <v>716</v>
      </c>
      <c r="H285" s="78">
        <v>0</v>
      </c>
    </row>
    <row r="286" spans="6:8" ht="15.5">
      <c r="F286" s="76">
        <v>310967</v>
      </c>
      <c r="G286" s="77" t="s">
        <v>717</v>
      </c>
      <c r="H286" s="78">
        <v>0</v>
      </c>
    </row>
    <row r="287" spans="6:8" ht="15.5">
      <c r="F287" s="76">
        <v>316090</v>
      </c>
      <c r="G287" s="77" t="s">
        <v>718</v>
      </c>
      <c r="H287" s="78">
        <v>0</v>
      </c>
    </row>
    <row r="288" spans="6:8" ht="15.5">
      <c r="F288" s="76">
        <v>301426</v>
      </c>
      <c r="G288" s="77" t="s">
        <v>719</v>
      </c>
      <c r="H288" s="78">
        <v>0</v>
      </c>
    </row>
    <row r="289" spans="6:8" ht="15.5">
      <c r="F289" s="76">
        <v>90046808</v>
      </c>
      <c r="G289" s="77" t="s">
        <v>720</v>
      </c>
      <c r="H289" s="78">
        <v>0</v>
      </c>
    </row>
    <row r="290" spans="6:8" ht="15.5">
      <c r="F290" s="76">
        <v>311328</v>
      </c>
      <c r="G290" s="77" t="s">
        <v>721</v>
      </c>
      <c r="H290" s="78">
        <v>0</v>
      </c>
    </row>
    <row r="291" spans="6:8" ht="15.5">
      <c r="F291" s="76">
        <v>315877</v>
      </c>
      <c r="G291" s="77" t="s">
        <v>722</v>
      </c>
      <c r="H291" s="78">
        <v>0</v>
      </c>
    </row>
    <row r="292" spans="6:8" ht="15.5">
      <c r="F292" s="76">
        <v>314277</v>
      </c>
      <c r="G292" s="77" t="s">
        <v>723</v>
      </c>
      <c r="H292" s="78">
        <v>0</v>
      </c>
    </row>
    <row r="293" spans="6:8" ht="15.5">
      <c r="F293" s="76">
        <v>202265</v>
      </c>
      <c r="G293" s="77" t="s">
        <v>724</v>
      </c>
      <c r="H293" s="78">
        <v>0</v>
      </c>
    </row>
    <row r="294" spans="6:8" ht="15.5">
      <c r="F294" s="76">
        <v>314986</v>
      </c>
      <c r="G294" s="77" t="s">
        <v>725</v>
      </c>
      <c r="H294" s="78">
        <v>0</v>
      </c>
    </row>
    <row r="295" spans="6:8" ht="15.5">
      <c r="F295" s="76">
        <v>316381</v>
      </c>
      <c r="G295" s="77" t="s">
        <v>726</v>
      </c>
      <c r="H295" s="78">
        <v>0</v>
      </c>
    </row>
    <row r="296" spans="6:8" ht="15.5">
      <c r="F296" s="76">
        <v>90009266</v>
      </c>
      <c r="G296" s="77" t="s">
        <v>727</v>
      </c>
      <c r="H296" s="78">
        <v>0</v>
      </c>
    </row>
    <row r="297" spans="6:8" ht="15.5">
      <c r="F297" s="76">
        <v>307550</v>
      </c>
      <c r="G297" s="77" t="s">
        <v>728</v>
      </c>
      <c r="H297" s="78">
        <v>0</v>
      </c>
    </row>
    <row r="298" spans="6:8" ht="15.5">
      <c r="F298" s="76">
        <v>314350</v>
      </c>
      <c r="G298" s="77" t="s">
        <v>729</v>
      </c>
      <c r="H298" s="78">
        <v>0</v>
      </c>
    </row>
    <row r="299" spans="6:8" ht="15.5">
      <c r="F299" s="76">
        <v>313666</v>
      </c>
      <c r="G299" s="77" t="s">
        <v>730</v>
      </c>
      <c r="H299" s="78">
        <v>0</v>
      </c>
    </row>
    <row r="300" spans="6:8" ht="15.5">
      <c r="F300" s="76">
        <v>315316</v>
      </c>
      <c r="G300" s="77" t="s">
        <v>731</v>
      </c>
      <c r="H300" s="78">
        <v>0</v>
      </c>
    </row>
    <row r="301" spans="6:8" ht="15.5">
      <c r="F301" s="76">
        <v>315388</v>
      </c>
      <c r="G301" s="77" t="s">
        <v>732</v>
      </c>
      <c r="H301" s="78">
        <v>0</v>
      </c>
    </row>
    <row r="302" spans="6:8" ht="15.5">
      <c r="F302" s="76">
        <v>314730</v>
      </c>
      <c r="G302" s="77" t="s">
        <v>733</v>
      </c>
      <c r="H302" s="78">
        <v>0</v>
      </c>
    </row>
    <row r="303" spans="6:8" ht="15.5">
      <c r="F303" s="76">
        <v>307506</v>
      </c>
      <c r="G303" s="77" t="s">
        <v>734</v>
      </c>
      <c r="H303" s="78">
        <v>0</v>
      </c>
    </row>
    <row r="304" spans="6:8" ht="15.5">
      <c r="F304" s="76">
        <v>315271</v>
      </c>
      <c r="G304" s="77" t="s">
        <v>735</v>
      </c>
      <c r="H304" s="78">
        <v>0</v>
      </c>
    </row>
    <row r="305" spans="6:8" ht="15.5">
      <c r="F305" s="76">
        <v>308798</v>
      </c>
      <c r="G305" s="77" t="s">
        <v>736</v>
      </c>
      <c r="H305" s="78">
        <v>0</v>
      </c>
    </row>
    <row r="306" spans="6:8" ht="15.5">
      <c r="F306" s="76">
        <v>90019192</v>
      </c>
      <c r="G306" s="77" t="s">
        <v>737</v>
      </c>
      <c r="H306" s="78">
        <v>0</v>
      </c>
    </row>
    <row r="307" spans="6:8" ht="15.5">
      <c r="F307" s="76">
        <v>90019415</v>
      </c>
      <c r="G307" s="77" t="s">
        <v>738</v>
      </c>
      <c r="H307" s="78">
        <v>0</v>
      </c>
    </row>
    <row r="308" spans="6:8" ht="15.5">
      <c r="F308" s="76">
        <v>313155</v>
      </c>
      <c r="G308" s="77" t="s">
        <v>739</v>
      </c>
      <c r="H308" s="78">
        <v>0</v>
      </c>
    </row>
    <row r="309" spans="6:8" ht="15.5">
      <c r="F309" s="76">
        <v>307068</v>
      </c>
      <c r="G309" s="77" t="s">
        <v>740</v>
      </c>
      <c r="H309" s="78">
        <v>0</v>
      </c>
    </row>
    <row r="310" spans="6:8" ht="15.5">
      <c r="F310" s="76">
        <v>313706</v>
      </c>
      <c r="G310" s="77" t="s">
        <v>741</v>
      </c>
      <c r="H310" s="78">
        <v>0</v>
      </c>
    </row>
    <row r="311" spans="6:8" ht="15.5">
      <c r="F311" s="76">
        <v>315693</v>
      </c>
      <c r="G311" s="77" t="s">
        <v>742</v>
      </c>
      <c r="H311" s="78">
        <v>0</v>
      </c>
    </row>
    <row r="312" spans="6:8" ht="15.5">
      <c r="F312" s="76">
        <v>315454</v>
      </c>
      <c r="G312" s="77" t="s">
        <v>743</v>
      </c>
      <c r="H312" s="78">
        <v>0</v>
      </c>
    </row>
    <row r="313" spans="6:8" ht="15.5">
      <c r="F313" s="76">
        <v>90028293</v>
      </c>
      <c r="G313" s="77" t="s">
        <v>744</v>
      </c>
      <c r="H313" s="78">
        <v>0</v>
      </c>
    </row>
    <row r="314" spans="6:8" ht="15.5">
      <c r="F314" s="76">
        <v>311943</v>
      </c>
      <c r="G314" s="77" t="s">
        <v>745</v>
      </c>
      <c r="H314" s="78">
        <v>0</v>
      </c>
    </row>
    <row r="315" spans="6:8" ht="15.5">
      <c r="F315" s="76">
        <v>311141</v>
      </c>
      <c r="G315" s="77" t="s">
        <v>746</v>
      </c>
      <c r="H315" s="78">
        <v>0</v>
      </c>
    </row>
    <row r="316" spans="6:8" ht="15.5">
      <c r="F316" s="76">
        <v>312544</v>
      </c>
      <c r="G316" s="77" t="s">
        <v>747</v>
      </c>
      <c r="H316" s="78">
        <v>0</v>
      </c>
    </row>
    <row r="317" spans="6:8" ht="15.5">
      <c r="F317" s="76">
        <v>309965</v>
      </c>
      <c r="G317" s="77" t="s">
        <v>748</v>
      </c>
      <c r="H317" s="78">
        <v>0</v>
      </c>
    </row>
    <row r="318" spans="6:8" ht="15.5">
      <c r="F318" s="76">
        <v>313675</v>
      </c>
      <c r="G318" s="77" t="s">
        <v>749</v>
      </c>
      <c r="H318" s="78">
        <v>0</v>
      </c>
    </row>
    <row r="319" spans="6:8" ht="15.5">
      <c r="F319" s="76">
        <v>316161</v>
      </c>
      <c r="G319" s="77" t="s">
        <v>750</v>
      </c>
      <c r="H319" s="78">
        <v>0</v>
      </c>
    </row>
    <row r="320" spans="6:8" ht="15.5">
      <c r="F320" s="76">
        <v>311623</v>
      </c>
      <c r="G320" s="77" t="s">
        <v>751</v>
      </c>
      <c r="H320" s="78">
        <v>0</v>
      </c>
    </row>
    <row r="321" spans="6:8" ht="15.5">
      <c r="F321" s="76">
        <v>90023865</v>
      </c>
      <c r="G321" s="77" t="s">
        <v>752</v>
      </c>
      <c r="H321" s="78">
        <v>0</v>
      </c>
    </row>
    <row r="322" spans="6:8" ht="15.5">
      <c r="F322" s="76">
        <v>312483</v>
      </c>
      <c r="G322" s="77" t="s">
        <v>753</v>
      </c>
      <c r="H322" s="78">
        <v>0</v>
      </c>
    </row>
    <row r="323" spans="6:8" ht="15.5">
      <c r="F323" s="76">
        <v>314219</v>
      </c>
      <c r="G323" s="77" t="s">
        <v>754</v>
      </c>
      <c r="H323" s="78">
        <v>0</v>
      </c>
    </row>
    <row r="324" spans="6:8" ht="15.5">
      <c r="F324" s="76">
        <v>314495</v>
      </c>
      <c r="G324" s="77" t="s">
        <v>755</v>
      </c>
      <c r="H324" s="78">
        <v>0</v>
      </c>
    </row>
    <row r="325" spans="6:8" ht="15.5">
      <c r="F325" s="76">
        <v>310116</v>
      </c>
      <c r="G325" s="77" t="s">
        <v>756</v>
      </c>
      <c r="H325" s="78">
        <v>0</v>
      </c>
    </row>
    <row r="326" spans="6:8" ht="15.5">
      <c r="F326" s="76">
        <v>312164</v>
      </c>
      <c r="G326" s="77" t="s">
        <v>757</v>
      </c>
      <c r="H326" s="78">
        <v>0</v>
      </c>
    </row>
    <row r="327" spans="6:8" ht="15.5">
      <c r="F327" s="76">
        <v>314695</v>
      </c>
      <c r="G327" s="77" t="s">
        <v>758</v>
      </c>
      <c r="H327" s="78">
        <v>0</v>
      </c>
    </row>
    <row r="328" spans="6:8" ht="15.5">
      <c r="F328" s="76">
        <v>305070</v>
      </c>
      <c r="G328" s="77" t="s">
        <v>759</v>
      </c>
      <c r="H328" s="78">
        <v>0</v>
      </c>
    </row>
    <row r="329" spans="6:8" ht="15.5">
      <c r="F329" s="76">
        <v>311595</v>
      </c>
      <c r="G329" s="77" t="s">
        <v>760</v>
      </c>
      <c r="H329" s="78">
        <v>0</v>
      </c>
    </row>
    <row r="330" spans="6:8" ht="15.5">
      <c r="F330" s="76">
        <v>314496</v>
      </c>
      <c r="G330" s="77" t="s">
        <v>761</v>
      </c>
      <c r="H330" s="78">
        <v>0</v>
      </c>
    </row>
    <row r="331" spans="6:8" ht="15.5">
      <c r="F331" s="76">
        <v>310463</v>
      </c>
      <c r="G331" s="77" t="s">
        <v>762</v>
      </c>
      <c r="H331" s="78">
        <v>0</v>
      </c>
    </row>
    <row r="332" spans="6:8" ht="15.5">
      <c r="F332" s="76">
        <v>312093</v>
      </c>
      <c r="G332" s="77" t="s">
        <v>763</v>
      </c>
      <c r="H332" s="78">
        <v>0</v>
      </c>
    </row>
    <row r="333" spans="6:8" ht="15.5">
      <c r="F333" s="76">
        <v>90040131</v>
      </c>
      <c r="G333" s="77" t="s">
        <v>764</v>
      </c>
      <c r="H333" s="78">
        <v>0</v>
      </c>
    </row>
    <row r="334" spans="6:8" ht="15.5">
      <c r="F334" s="76">
        <v>315542</v>
      </c>
      <c r="G334" s="77" t="s">
        <v>765</v>
      </c>
      <c r="H334" s="78">
        <v>0</v>
      </c>
    </row>
    <row r="335" spans="6:8" ht="15.5">
      <c r="F335" s="76">
        <v>90040632</v>
      </c>
      <c r="G335" s="77" t="s">
        <v>766</v>
      </c>
      <c r="H335" s="78">
        <v>0</v>
      </c>
    </row>
    <row r="336" spans="6:8" ht="15.5">
      <c r="F336" s="76">
        <v>90039821</v>
      </c>
      <c r="G336" s="77" t="s">
        <v>767</v>
      </c>
      <c r="H336" s="78">
        <v>0</v>
      </c>
    </row>
    <row r="337" spans="6:8" ht="15.5">
      <c r="F337" s="76">
        <v>313655</v>
      </c>
      <c r="G337" s="77" t="s">
        <v>768</v>
      </c>
      <c r="H337" s="78">
        <v>0</v>
      </c>
    </row>
    <row r="338" spans="6:8" ht="15.5">
      <c r="F338" s="76">
        <v>311035</v>
      </c>
      <c r="G338" s="77" t="s">
        <v>769</v>
      </c>
      <c r="H338" s="78">
        <v>0</v>
      </c>
    </row>
    <row r="339" spans="6:8" ht="15.5">
      <c r="F339" s="76">
        <v>90033943</v>
      </c>
      <c r="G339" s="77" t="s">
        <v>770</v>
      </c>
      <c r="H339" s="78">
        <v>0</v>
      </c>
    </row>
    <row r="340" spans="6:8" ht="15.5">
      <c r="F340" s="76">
        <v>314928</v>
      </c>
      <c r="G340" s="77" t="s">
        <v>771</v>
      </c>
      <c r="H340" s="78">
        <v>0</v>
      </c>
    </row>
    <row r="341" spans="6:8" ht="15.5">
      <c r="F341" s="76">
        <v>313852</v>
      </c>
      <c r="G341" s="77" t="s">
        <v>772</v>
      </c>
      <c r="H341" s="78">
        <v>0</v>
      </c>
    </row>
    <row r="342" spans="6:8" ht="15.5">
      <c r="F342" s="76">
        <v>90034295</v>
      </c>
      <c r="G342" s="77" t="s">
        <v>773</v>
      </c>
      <c r="H342" s="78">
        <v>0</v>
      </c>
    </row>
    <row r="343" spans="6:8" ht="15.5">
      <c r="F343" s="76">
        <v>90038385</v>
      </c>
      <c r="G343" s="77" t="s">
        <v>774</v>
      </c>
      <c r="H343" s="78">
        <v>0</v>
      </c>
    </row>
    <row r="344" spans="6:8" ht="15.5">
      <c r="F344" s="76">
        <v>315227</v>
      </c>
      <c r="G344" s="77" t="s">
        <v>775</v>
      </c>
      <c r="H344" s="78">
        <v>0</v>
      </c>
    </row>
    <row r="345" spans="6:8" ht="15.5">
      <c r="F345" s="76">
        <v>311689</v>
      </c>
      <c r="G345" s="77" t="s">
        <v>776</v>
      </c>
      <c r="H345" s="78">
        <v>0</v>
      </c>
    </row>
    <row r="346" spans="6:8" ht="15.5">
      <c r="F346" s="76">
        <v>90012124</v>
      </c>
      <c r="G346" s="77" t="s">
        <v>777</v>
      </c>
      <c r="H346" s="78">
        <v>0</v>
      </c>
    </row>
    <row r="347" spans="6:8" ht="15.5">
      <c r="F347" s="76">
        <v>314853</v>
      </c>
      <c r="G347" s="77" t="s">
        <v>778</v>
      </c>
      <c r="H347" s="78">
        <v>0</v>
      </c>
    </row>
    <row r="348" spans="6:8" ht="15.5">
      <c r="F348" s="76">
        <v>310812</v>
      </c>
      <c r="G348" s="77" t="s">
        <v>779</v>
      </c>
      <c r="H348" s="78">
        <v>0</v>
      </c>
    </row>
    <row r="349" spans="6:8" ht="15.5">
      <c r="F349" s="76">
        <v>316342</v>
      </c>
      <c r="G349" s="77" t="s">
        <v>780</v>
      </c>
      <c r="H349" s="78">
        <v>0</v>
      </c>
    </row>
    <row r="350" spans="6:8" ht="15.5">
      <c r="F350" s="76">
        <v>90014221</v>
      </c>
      <c r="G350" s="77" t="s">
        <v>781</v>
      </c>
      <c r="H350" s="78">
        <v>0</v>
      </c>
    </row>
    <row r="351" spans="6:8" ht="15.5">
      <c r="F351" s="76">
        <v>90033553</v>
      </c>
      <c r="G351" s="77" t="s">
        <v>782</v>
      </c>
      <c r="H351" s="78">
        <v>0</v>
      </c>
    </row>
    <row r="352" spans="6:8" ht="15.5">
      <c r="F352" s="76">
        <v>315698</v>
      </c>
      <c r="G352" s="77" t="s">
        <v>783</v>
      </c>
      <c r="H352" s="78">
        <v>0</v>
      </c>
    </row>
    <row r="353" spans="6:8" ht="15.5">
      <c r="F353" s="76">
        <v>9033891</v>
      </c>
      <c r="G353" s="77" t="s">
        <v>784</v>
      </c>
      <c r="H353" s="78">
        <v>0</v>
      </c>
    </row>
    <row r="354" spans="6:8" ht="15.5">
      <c r="F354" s="76">
        <v>90033891</v>
      </c>
      <c r="G354" s="77" t="s">
        <v>785</v>
      </c>
      <c r="H354" s="78">
        <v>0</v>
      </c>
    </row>
    <row r="355" spans="6:8" ht="15.5">
      <c r="F355" s="76">
        <v>308857</v>
      </c>
      <c r="G355" s="77" t="s">
        <v>786</v>
      </c>
      <c r="H355" s="78">
        <v>0</v>
      </c>
    </row>
    <row r="356" spans="6:8" ht="15.5">
      <c r="F356" s="76">
        <v>305633</v>
      </c>
      <c r="G356" s="77" t="s">
        <v>787</v>
      </c>
      <c r="H356" s="78">
        <v>0</v>
      </c>
    </row>
    <row r="357" spans="6:8" ht="15.5">
      <c r="F357" s="76">
        <v>311220</v>
      </c>
      <c r="G357" s="77" t="s">
        <v>788</v>
      </c>
      <c r="H357" s="78">
        <v>0</v>
      </c>
    </row>
    <row r="358" spans="6:8" ht="15.5">
      <c r="F358" s="76">
        <v>314642</v>
      </c>
      <c r="G358" s="77" t="s">
        <v>789</v>
      </c>
      <c r="H358" s="78">
        <v>0</v>
      </c>
    </row>
    <row r="359" spans="6:8" ht="15.5">
      <c r="F359" s="76">
        <v>304427</v>
      </c>
      <c r="G359" s="77" t="s">
        <v>790</v>
      </c>
      <c r="H359" s="78">
        <v>0</v>
      </c>
    </row>
    <row r="360" spans="6:8" ht="15.5">
      <c r="F360" s="76">
        <v>315536</v>
      </c>
      <c r="G360" s="77" t="s">
        <v>791</v>
      </c>
      <c r="H360" s="78">
        <v>0</v>
      </c>
    </row>
    <row r="361" spans="6:8" ht="15.5">
      <c r="F361" s="76">
        <v>860486</v>
      </c>
      <c r="G361" s="77" t="s">
        <v>792</v>
      </c>
      <c r="H361" s="78">
        <v>0</v>
      </c>
    </row>
    <row r="362" spans="6:8" ht="15.5">
      <c r="F362" s="76">
        <v>310019</v>
      </c>
      <c r="G362" s="77" t="s">
        <v>793</v>
      </c>
      <c r="H362" s="78">
        <v>0</v>
      </c>
    </row>
    <row r="363" spans="6:8" ht="15.5">
      <c r="F363" s="76">
        <v>301074</v>
      </c>
      <c r="G363" s="77" t="s">
        <v>794</v>
      </c>
      <c r="H363" s="78">
        <v>0</v>
      </c>
    </row>
    <row r="364" spans="6:8" ht="15.5">
      <c r="F364" s="76">
        <v>313843</v>
      </c>
      <c r="G364" s="77" t="s">
        <v>795</v>
      </c>
      <c r="H364" s="78">
        <v>0</v>
      </c>
    </row>
    <row r="365" spans="6:8" ht="15.5">
      <c r="F365" s="76">
        <v>309042</v>
      </c>
      <c r="G365" s="77" t="s">
        <v>796</v>
      </c>
      <c r="H365" s="78">
        <v>0</v>
      </c>
    </row>
    <row r="366" spans="6:8" ht="15.5">
      <c r="F366" s="76">
        <v>306259</v>
      </c>
      <c r="G366" s="77" t="s">
        <v>797</v>
      </c>
      <c r="H366" s="78">
        <v>0</v>
      </c>
    </row>
    <row r="367" spans="6:8" ht="15.5">
      <c r="F367" s="76">
        <v>90048641</v>
      </c>
      <c r="G367" s="77" t="s">
        <v>798</v>
      </c>
      <c r="H367" s="78">
        <v>0</v>
      </c>
    </row>
    <row r="368" spans="6:8" ht="15.5">
      <c r="F368" s="76">
        <v>316139</v>
      </c>
      <c r="G368" s="77" t="s">
        <v>799</v>
      </c>
      <c r="H368" s="78">
        <v>0</v>
      </c>
    </row>
    <row r="369" spans="6:8" ht="15.5">
      <c r="F369" s="76">
        <v>314304</v>
      </c>
      <c r="G369" s="77" t="s">
        <v>800</v>
      </c>
      <c r="H369" s="78">
        <v>0</v>
      </c>
    </row>
    <row r="370" spans="6:8" ht="15.5">
      <c r="F370" s="76">
        <v>90016326</v>
      </c>
      <c r="G370" s="77" t="s">
        <v>801</v>
      </c>
      <c r="H370" s="78">
        <v>0</v>
      </c>
    </row>
    <row r="371" spans="6:8" ht="15.5">
      <c r="F371" s="76">
        <v>315398</v>
      </c>
      <c r="G371" s="77" t="s">
        <v>802</v>
      </c>
      <c r="H371" s="78">
        <v>0</v>
      </c>
    </row>
    <row r="372" spans="6:8" ht="15.5">
      <c r="F372" s="76">
        <v>313436</v>
      </c>
      <c r="G372" s="77" t="s">
        <v>803</v>
      </c>
      <c r="H372" s="78">
        <v>0</v>
      </c>
    </row>
    <row r="373" spans="6:8" ht="15.5">
      <c r="F373" s="76">
        <v>310691</v>
      </c>
      <c r="G373" s="77" t="s">
        <v>804</v>
      </c>
      <c r="H373" s="78">
        <v>0</v>
      </c>
    </row>
    <row r="374" spans="6:8" ht="15.5">
      <c r="F374" s="76">
        <v>314290</v>
      </c>
      <c r="G374" s="77" t="s">
        <v>805</v>
      </c>
      <c r="H374" s="78">
        <v>0</v>
      </c>
    </row>
    <row r="375" spans="6:8" ht="15.5">
      <c r="F375" s="76">
        <v>90049042</v>
      </c>
      <c r="G375" s="77" t="s">
        <v>806</v>
      </c>
      <c r="H375" s="78">
        <v>0</v>
      </c>
    </row>
    <row r="376" spans="6:8" ht="15.5">
      <c r="F376" s="76">
        <v>315893</v>
      </c>
      <c r="G376" s="77" t="s">
        <v>807</v>
      </c>
      <c r="H376" s="78">
        <v>0</v>
      </c>
    </row>
    <row r="377" spans="6:8" ht="15.5">
      <c r="F377" s="76">
        <v>90024675</v>
      </c>
      <c r="G377" s="77" t="s">
        <v>808</v>
      </c>
      <c r="H377" s="78">
        <v>0</v>
      </c>
    </row>
    <row r="378" spans="6:8" ht="15.5">
      <c r="F378" s="76">
        <v>310326</v>
      </c>
      <c r="G378" s="77" t="s">
        <v>809</v>
      </c>
      <c r="H378" s="78">
        <v>0</v>
      </c>
    </row>
    <row r="379" spans="6:8" ht="15.5">
      <c r="F379" s="76">
        <v>315133</v>
      </c>
      <c r="G379" s="77" t="s">
        <v>810</v>
      </c>
      <c r="H379" s="78">
        <v>0</v>
      </c>
    </row>
    <row r="380" spans="6:8" ht="15.5">
      <c r="F380" s="76">
        <v>315743</v>
      </c>
      <c r="G380" s="77" t="s">
        <v>811</v>
      </c>
      <c r="H380" s="78">
        <v>0</v>
      </c>
    </row>
    <row r="381" spans="6:8" ht="15.5">
      <c r="F381" s="76">
        <v>314080</v>
      </c>
      <c r="G381" s="77" t="s">
        <v>812</v>
      </c>
      <c r="H381" s="78">
        <v>0</v>
      </c>
    </row>
    <row r="382" spans="6:8" ht="15.5">
      <c r="F382" s="76">
        <v>303716</v>
      </c>
      <c r="G382" s="77" t="s">
        <v>813</v>
      </c>
      <c r="H382" s="78">
        <v>0</v>
      </c>
    </row>
    <row r="383" spans="6:8" ht="15.5">
      <c r="F383" s="76">
        <v>314726</v>
      </c>
      <c r="G383" s="77" t="s">
        <v>814</v>
      </c>
      <c r="H383" s="78">
        <v>0</v>
      </c>
    </row>
    <row r="384" spans="6:8" ht="15.5">
      <c r="F384" s="76">
        <v>90038373</v>
      </c>
      <c r="G384" s="77" t="s">
        <v>815</v>
      </c>
      <c r="H384" s="78">
        <v>0</v>
      </c>
    </row>
    <row r="385" spans="6:8" ht="15.5">
      <c r="F385" s="76">
        <v>307335</v>
      </c>
      <c r="G385" s="77" t="s">
        <v>816</v>
      </c>
      <c r="H385" s="78">
        <v>0</v>
      </c>
    </row>
    <row r="386" spans="6:8" ht="15.5">
      <c r="F386" s="76">
        <v>90035045</v>
      </c>
      <c r="G386" s="77" t="s">
        <v>817</v>
      </c>
      <c r="H386" s="78">
        <v>0</v>
      </c>
    </row>
    <row r="387" spans="6:8" ht="15.5">
      <c r="F387" s="76">
        <v>315690</v>
      </c>
      <c r="G387" s="77" t="s">
        <v>818</v>
      </c>
      <c r="H387" s="78">
        <v>0</v>
      </c>
    </row>
    <row r="388" spans="6:8" ht="15.5">
      <c r="F388" s="76">
        <v>314864</v>
      </c>
      <c r="G388" s="77" t="s">
        <v>819</v>
      </c>
      <c r="H388" s="78">
        <v>0</v>
      </c>
    </row>
    <row r="389" spans="6:8" ht="15.5">
      <c r="F389" s="76">
        <v>303766</v>
      </c>
      <c r="G389" s="77" t="s">
        <v>820</v>
      </c>
      <c r="H389" s="78">
        <v>0</v>
      </c>
    </row>
    <row r="390" spans="6:8" ht="15.5">
      <c r="F390" s="76">
        <v>313985</v>
      </c>
      <c r="G390" s="77" t="s">
        <v>821</v>
      </c>
      <c r="H390" s="78">
        <v>0</v>
      </c>
    </row>
    <row r="391" spans="6:8" ht="15.5">
      <c r="F391" s="76">
        <v>313648</v>
      </c>
      <c r="G391" s="77" t="s">
        <v>822</v>
      </c>
      <c r="H391" s="78">
        <v>0</v>
      </c>
    </row>
    <row r="392" spans="6:8" ht="15.5">
      <c r="F392" s="76">
        <v>315029</v>
      </c>
      <c r="G392" s="77" t="s">
        <v>823</v>
      </c>
      <c r="H392" s="78">
        <v>0</v>
      </c>
    </row>
    <row r="393" spans="6:8" ht="15.5">
      <c r="F393" s="76">
        <v>90023720</v>
      </c>
      <c r="G393" s="77" t="s">
        <v>824</v>
      </c>
      <c r="H393" s="78">
        <v>0</v>
      </c>
    </row>
    <row r="394" spans="6:8" ht="15.5">
      <c r="F394" s="76">
        <v>90034378</v>
      </c>
      <c r="G394" s="77" t="s">
        <v>825</v>
      </c>
      <c r="H394" s="78">
        <v>0</v>
      </c>
    </row>
    <row r="395" spans="6:8" ht="15.5">
      <c r="F395" s="76">
        <v>309787</v>
      </c>
      <c r="G395" s="77" t="s">
        <v>826</v>
      </c>
      <c r="H395" s="78">
        <v>0</v>
      </c>
    </row>
    <row r="396" spans="6:8" ht="15.5">
      <c r="F396" s="76">
        <v>315267</v>
      </c>
      <c r="G396" s="77" t="s">
        <v>827</v>
      </c>
      <c r="H396" s="78">
        <v>0</v>
      </c>
    </row>
    <row r="397" spans="6:8" ht="15.5">
      <c r="F397" s="76">
        <v>314451</v>
      </c>
      <c r="G397" s="77" t="s">
        <v>828</v>
      </c>
      <c r="H397" s="78">
        <v>0</v>
      </c>
    </row>
    <row r="398" spans="6:8" ht="15.5">
      <c r="F398" s="76">
        <v>312153</v>
      </c>
      <c r="G398" s="77" t="s">
        <v>829</v>
      </c>
      <c r="H398" s="78">
        <v>0</v>
      </c>
    </row>
    <row r="399" spans="6:8" ht="15.5">
      <c r="F399" s="76">
        <v>315125</v>
      </c>
      <c r="G399" s="77" t="s">
        <v>830</v>
      </c>
      <c r="H399" s="78">
        <v>0</v>
      </c>
    </row>
    <row r="400" spans="6:8" ht="15.5">
      <c r="F400" s="76">
        <v>314135</v>
      </c>
      <c r="G400" s="77" t="s">
        <v>831</v>
      </c>
      <c r="H400" s="78">
        <v>0</v>
      </c>
    </row>
    <row r="401" spans="6:11" ht="15.5">
      <c r="F401" s="76">
        <v>300358</v>
      </c>
      <c r="G401" s="77" t="s">
        <v>832</v>
      </c>
      <c r="H401" s="78">
        <v>0</v>
      </c>
    </row>
    <row r="402" spans="6:11" ht="15.5">
      <c r="F402" s="76">
        <v>315422</v>
      </c>
      <c r="G402" s="77" t="s">
        <v>833</v>
      </c>
      <c r="H402" s="78">
        <v>0</v>
      </c>
    </row>
    <row r="403" spans="6:11" ht="15.5">
      <c r="F403" s="76">
        <v>315051</v>
      </c>
      <c r="G403" s="77" t="s">
        <v>834</v>
      </c>
      <c r="H403" s="78">
        <v>0</v>
      </c>
      <c r="K403" t="s">
        <v>835</v>
      </c>
    </row>
    <row r="404" spans="6:11" ht="15.5">
      <c r="F404" s="76">
        <v>309822</v>
      </c>
      <c r="G404" s="77" t="s">
        <v>836</v>
      </c>
      <c r="H404" s="78">
        <v>0</v>
      </c>
      <c r="K404" t="s">
        <v>835</v>
      </c>
    </row>
    <row r="405" spans="6:11" ht="15.5">
      <c r="F405" s="76">
        <v>90040281</v>
      </c>
      <c r="G405" s="77" t="s">
        <v>837</v>
      </c>
      <c r="H405" s="78">
        <v>0</v>
      </c>
      <c r="K405" t="s">
        <v>835</v>
      </c>
    </row>
    <row r="406" spans="6:11" ht="15.5">
      <c r="F406" s="76">
        <v>302371</v>
      </c>
      <c r="G406" s="77" t="s">
        <v>838</v>
      </c>
      <c r="H406" s="78">
        <v>0</v>
      </c>
      <c r="K406" t="s">
        <v>835</v>
      </c>
    </row>
    <row r="407" spans="6:11" ht="15.5">
      <c r="F407" s="76">
        <v>90040568</v>
      </c>
      <c r="G407" s="77" t="s">
        <v>839</v>
      </c>
      <c r="H407" s="78">
        <v>0</v>
      </c>
      <c r="K407" t="s">
        <v>835</v>
      </c>
    </row>
    <row r="408" spans="6:11" ht="15.5">
      <c r="F408" s="76">
        <v>314836</v>
      </c>
      <c r="G408" s="77" t="s">
        <v>840</v>
      </c>
      <c r="H408" s="78">
        <v>0</v>
      </c>
      <c r="K408" t="s">
        <v>835</v>
      </c>
    </row>
    <row r="409" spans="6:11" ht="15.5">
      <c r="F409" s="76">
        <v>314738</v>
      </c>
      <c r="G409" s="77" t="s">
        <v>841</v>
      </c>
      <c r="H409" s="78">
        <v>0</v>
      </c>
      <c r="K409" t="s">
        <v>835</v>
      </c>
    </row>
    <row r="410" spans="6:11" ht="15.5">
      <c r="F410" s="76">
        <v>315301</v>
      </c>
      <c r="G410" s="77" t="s">
        <v>842</v>
      </c>
      <c r="H410" s="78">
        <v>0</v>
      </c>
      <c r="K410" t="s">
        <v>835</v>
      </c>
    </row>
    <row r="411" spans="6:11" ht="15.5">
      <c r="F411" s="76">
        <v>90040530</v>
      </c>
      <c r="G411" s="77" t="s">
        <v>843</v>
      </c>
      <c r="H411" s="78">
        <v>0</v>
      </c>
      <c r="K411" t="s">
        <v>835</v>
      </c>
    </row>
    <row r="412" spans="6:11" ht="15.5">
      <c r="F412" s="76">
        <v>315158</v>
      </c>
      <c r="G412" s="77" t="s">
        <v>844</v>
      </c>
      <c r="H412" s="78">
        <v>0</v>
      </c>
      <c r="K412" t="s">
        <v>835</v>
      </c>
    </row>
    <row r="413" spans="6:11" ht="15.5">
      <c r="F413" s="76">
        <v>90019985</v>
      </c>
      <c r="G413" s="77" t="s">
        <v>845</v>
      </c>
      <c r="H413" s="78">
        <v>0</v>
      </c>
    </row>
    <row r="414" spans="6:11" ht="15.5">
      <c r="F414" s="76">
        <v>312533</v>
      </c>
      <c r="G414" s="77" t="s">
        <v>846</v>
      </c>
      <c r="H414" s="78">
        <v>0</v>
      </c>
    </row>
    <row r="415" spans="6:11" ht="15.5">
      <c r="F415" s="76">
        <v>313839</v>
      </c>
      <c r="G415" s="77" t="s">
        <v>847</v>
      </c>
      <c r="H415" s="78">
        <v>0</v>
      </c>
    </row>
    <row r="416" spans="6:11" ht="15.5">
      <c r="F416" s="76">
        <v>314773</v>
      </c>
      <c r="G416" s="77" t="s">
        <v>848</v>
      </c>
      <c r="H416" s="78">
        <v>0</v>
      </c>
    </row>
    <row r="417" spans="6:8" ht="15.5">
      <c r="F417" s="76">
        <v>312210</v>
      </c>
      <c r="G417" s="77" t="s">
        <v>849</v>
      </c>
      <c r="H417" s="78">
        <v>0</v>
      </c>
    </row>
    <row r="418" spans="6:8" ht="15.5">
      <c r="F418" s="76">
        <v>316060</v>
      </c>
      <c r="G418" s="77" t="s">
        <v>850</v>
      </c>
      <c r="H418" s="78">
        <v>0</v>
      </c>
    </row>
    <row r="419" spans="6:8" ht="15.5">
      <c r="F419" s="76">
        <v>313303</v>
      </c>
      <c r="G419" s="77" t="s">
        <v>851</v>
      </c>
      <c r="H419" s="78">
        <v>0</v>
      </c>
    </row>
    <row r="420" spans="6:8" ht="15.5">
      <c r="F420" s="76">
        <v>314841</v>
      </c>
      <c r="G420" s="77" t="s">
        <v>852</v>
      </c>
      <c r="H420" s="78">
        <v>0</v>
      </c>
    </row>
    <row r="421" spans="6:8" ht="15.5">
      <c r="F421" s="76">
        <v>90039873</v>
      </c>
      <c r="G421" s="77" t="s">
        <v>853</v>
      </c>
      <c r="H421" s="78">
        <v>0</v>
      </c>
    </row>
    <row r="422" spans="6:8" ht="15.5">
      <c r="F422" s="76">
        <v>308075</v>
      </c>
      <c r="G422" s="77" t="s">
        <v>854</v>
      </c>
      <c r="H422" s="78">
        <v>0</v>
      </c>
    </row>
    <row r="423" spans="6:8" ht="15.5">
      <c r="F423" s="76">
        <v>314441</v>
      </c>
      <c r="G423" s="77" t="s">
        <v>855</v>
      </c>
      <c r="H423" s="78">
        <v>0</v>
      </c>
    </row>
    <row r="424" spans="6:8" ht="15.5">
      <c r="F424" s="76">
        <v>90015872</v>
      </c>
      <c r="G424" s="77" t="s">
        <v>856</v>
      </c>
      <c r="H424" s="78">
        <v>0</v>
      </c>
    </row>
    <row r="425" spans="6:8" ht="15.5">
      <c r="F425" s="76">
        <v>202153</v>
      </c>
      <c r="G425" s="77" t="s">
        <v>857</v>
      </c>
      <c r="H425" s="78">
        <v>0</v>
      </c>
    </row>
    <row r="426" spans="6:8" ht="15.5">
      <c r="F426" s="76">
        <v>90046281</v>
      </c>
      <c r="G426" s="77" t="s">
        <v>858</v>
      </c>
      <c r="H426" s="78">
        <v>0</v>
      </c>
    </row>
    <row r="427" spans="6:8" ht="15.5">
      <c r="F427" s="76">
        <v>313324</v>
      </c>
      <c r="G427" s="77" t="s">
        <v>859</v>
      </c>
      <c r="H427" s="78">
        <v>0</v>
      </c>
    </row>
    <row r="428" spans="6:8" ht="15.5">
      <c r="F428" s="76">
        <v>310535</v>
      </c>
      <c r="G428" s="77" t="s">
        <v>860</v>
      </c>
      <c r="H428" s="78">
        <v>0</v>
      </c>
    </row>
    <row r="429" spans="6:8" ht="15.5">
      <c r="F429" s="76">
        <v>315501</v>
      </c>
      <c r="G429" s="77" t="s">
        <v>861</v>
      </c>
      <c r="H429" s="78">
        <v>0</v>
      </c>
    </row>
    <row r="430" spans="6:8" ht="15.5">
      <c r="F430" s="76">
        <v>313844</v>
      </c>
      <c r="G430" s="77" t="s">
        <v>862</v>
      </c>
      <c r="H430" s="78">
        <v>0</v>
      </c>
    </row>
    <row r="431" spans="6:8" ht="15.5">
      <c r="F431" s="76">
        <v>315111</v>
      </c>
      <c r="G431" s="77" t="s">
        <v>863</v>
      </c>
      <c r="H431" s="78">
        <v>0</v>
      </c>
    </row>
    <row r="432" spans="6:8" ht="15.5">
      <c r="F432" s="76">
        <v>314759</v>
      </c>
      <c r="G432" s="77" t="s">
        <v>864</v>
      </c>
      <c r="H432" s="78">
        <v>0</v>
      </c>
    </row>
    <row r="433" spans="6:8" ht="15.5">
      <c r="F433" s="76">
        <v>304522</v>
      </c>
      <c r="G433" s="77" t="s">
        <v>865</v>
      </c>
      <c r="H433" s="78">
        <v>0</v>
      </c>
    </row>
    <row r="434" spans="6:8" ht="15.5">
      <c r="F434" s="76">
        <v>315182</v>
      </c>
      <c r="G434" s="77" t="s">
        <v>866</v>
      </c>
      <c r="H434" s="78">
        <v>0</v>
      </c>
    </row>
    <row r="435" spans="6:8" ht="15.5">
      <c r="F435" s="76">
        <v>314413</v>
      </c>
      <c r="G435" s="77" t="s">
        <v>867</v>
      </c>
      <c r="H435" s="78">
        <v>0</v>
      </c>
    </row>
    <row r="436" spans="6:8" ht="15.5">
      <c r="F436" s="76">
        <v>311800</v>
      </c>
      <c r="G436" s="77" t="s">
        <v>868</v>
      </c>
      <c r="H436" s="78">
        <v>0</v>
      </c>
    </row>
    <row r="437" spans="6:8" ht="15.5">
      <c r="F437" s="76">
        <v>316294</v>
      </c>
      <c r="G437" s="77" t="s">
        <v>869</v>
      </c>
      <c r="H437" s="78">
        <v>0</v>
      </c>
    </row>
    <row r="438" spans="6:8" ht="15.5">
      <c r="F438" s="76">
        <v>312849</v>
      </c>
      <c r="G438" s="77" t="s">
        <v>870</v>
      </c>
      <c r="H438" s="78">
        <v>0</v>
      </c>
    </row>
    <row r="439" spans="6:8" ht="15.5">
      <c r="F439" s="76">
        <v>315612</v>
      </c>
      <c r="G439" s="77" t="s">
        <v>871</v>
      </c>
      <c r="H439" s="78">
        <v>0</v>
      </c>
    </row>
    <row r="440" spans="6:8" ht="15.5">
      <c r="F440" s="76">
        <v>312692</v>
      </c>
      <c r="G440" s="77" t="s">
        <v>872</v>
      </c>
      <c r="H440" s="78">
        <v>0</v>
      </c>
    </row>
    <row r="441" spans="6:8" ht="15.5">
      <c r="F441" s="76">
        <v>314287</v>
      </c>
      <c r="G441" s="77" t="s">
        <v>873</v>
      </c>
      <c r="H441" s="78">
        <v>0</v>
      </c>
    </row>
    <row r="442" spans="6:8" ht="15.5">
      <c r="F442" s="76">
        <v>90020133</v>
      </c>
      <c r="G442" s="77" t="s">
        <v>874</v>
      </c>
      <c r="H442" s="78">
        <v>0</v>
      </c>
    </row>
    <row r="443" spans="6:8" ht="15.5">
      <c r="F443" s="76">
        <v>311488</v>
      </c>
      <c r="G443" s="77" t="s">
        <v>875</v>
      </c>
      <c r="H443" s="78">
        <v>0</v>
      </c>
    </row>
    <row r="444" spans="6:8" ht="15.5">
      <c r="F444" s="76">
        <v>90046860</v>
      </c>
      <c r="G444" s="77" t="s">
        <v>876</v>
      </c>
      <c r="H444" s="78">
        <v>0</v>
      </c>
    </row>
    <row r="445" spans="6:8" ht="15.5">
      <c r="F445" s="76">
        <v>313662</v>
      </c>
      <c r="G445" s="77" t="s">
        <v>877</v>
      </c>
      <c r="H445" s="78">
        <v>0</v>
      </c>
    </row>
    <row r="446" spans="6:8" ht="15.5">
      <c r="F446" s="76">
        <v>307766</v>
      </c>
      <c r="G446" s="77" t="s">
        <v>878</v>
      </c>
      <c r="H446" s="78">
        <v>0</v>
      </c>
    </row>
    <row r="447" spans="6:8" ht="15.5">
      <c r="F447" s="76">
        <v>311730</v>
      </c>
      <c r="G447" s="77" t="s">
        <v>879</v>
      </c>
      <c r="H447" s="78">
        <v>0</v>
      </c>
    </row>
    <row r="448" spans="6:8" ht="15.5">
      <c r="F448" s="76">
        <v>304801</v>
      </c>
      <c r="G448" s="77" t="s">
        <v>880</v>
      </c>
      <c r="H448" s="78">
        <v>0</v>
      </c>
    </row>
    <row r="449" spans="6:8" ht="15.5">
      <c r="F449" s="76">
        <v>314955</v>
      </c>
      <c r="G449" s="77" t="s">
        <v>881</v>
      </c>
      <c r="H449" s="78">
        <v>0</v>
      </c>
    </row>
    <row r="450" spans="6:8" ht="15.5">
      <c r="F450" s="76">
        <v>315237</v>
      </c>
      <c r="G450" s="77" t="s">
        <v>882</v>
      </c>
      <c r="H450" s="78">
        <v>0</v>
      </c>
    </row>
    <row r="451" spans="6:8" ht="15.5">
      <c r="F451" s="76">
        <v>310950</v>
      </c>
      <c r="G451" s="77" t="s">
        <v>883</v>
      </c>
      <c r="H451" s="78">
        <v>0</v>
      </c>
    </row>
    <row r="452" spans="6:8" ht="15.5">
      <c r="F452" s="76">
        <v>90033490</v>
      </c>
      <c r="G452" s="77" t="s">
        <v>884</v>
      </c>
      <c r="H452" s="78">
        <v>0</v>
      </c>
    </row>
    <row r="453" spans="6:8" ht="15.5">
      <c r="F453" s="76">
        <v>90034702</v>
      </c>
      <c r="G453" s="77" t="s">
        <v>885</v>
      </c>
      <c r="H453" s="78">
        <v>0</v>
      </c>
    </row>
    <row r="454" spans="6:8" ht="15.5">
      <c r="F454" s="76">
        <v>315840</v>
      </c>
      <c r="G454" s="77" t="s">
        <v>886</v>
      </c>
      <c r="H454" s="78">
        <v>0</v>
      </c>
    </row>
    <row r="455" spans="6:8" ht="15.5">
      <c r="F455" s="76">
        <v>311971</v>
      </c>
      <c r="G455" s="77" t="s">
        <v>887</v>
      </c>
      <c r="H455" s="78">
        <v>0</v>
      </c>
    </row>
    <row r="456" spans="6:8" ht="15.5">
      <c r="F456" s="76">
        <v>314640</v>
      </c>
      <c r="G456" s="77" t="s">
        <v>888</v>
      </c>
      <c r="H456" s="78">
        <v>0</v>
      </c>
    </row>
    <row r="457" spans="6:8" ht="15.5">
      <c r="F457" s="76">
        <v>300192</v>
      </c>
      <c r="G457" s="77" t="s">
        <v>889</v>
      </c>
      <c r="H457" s="78">
        <v>0</v>
      </c>
    </row>
    <row r="458" spans="6:8" ht="15.5">
      <c r="F458" s="76">
        <v>313484</v>
      </c>
      <c r="G458" s="77" t="s">
        <v>890</v>
      </c>
      <c r="H458" s="78">
        <v>0</v>
      </c>
    </row>
    <row r="459" spans="6:8" ht="15.5">
      <c r="F459" s="76">
        <v>303330</v>
      </c>
      <c r="G459" s="77" t="s">
        <v>891</v>
      </c>
      <c r="H459" s="78">
        <v>0</v>
      </c>
    </row>
    <row r="460" spans="6:8" ht="15.5">
      <c r="F460" s="76">
        <v>313749</v>
      </c>
      <c r="G460" s="77" t="s">
        <v>892</v>
      </c>
      <c r="H460" s="78">
        <v>0</v>
      </c>
    </row>
    <row r="461" spans="6:8" ht="15.5">
      <c r="F461" s="76">
        <v>314446</v>
      </c>
      <c r="G461" s="77" t="s">
        <v>893</v>
      </c>
      <c r="H461" s="78">
        <v>0</v>
      </c>
    </row>
    <row r="462" spans="6:8" ht="15.5">
      <c r="F462" s="76">
        <v>314900</v>
      </c>
      <c r="G462" s="77" t="s">
        <v>894</v>
      </c>
      <c r="H462" s="78">
        <v>0</v>
      </c>
    </row>
    <row r="463" spans="6:8" ht="15.5">
      <c r="F463" s="76">
        <v>90013868</v>
      </c>
      <c r="G463" s="77" t="s">
        <v>895</v>
      </c>
      <c r="H463" s="78">
        <v>0</v>
      </c>
    </row>
    <row r="464" spans="6:8" ht="15.5">
      <c r="F464" s="76">
        <v>311692</v>
      </c>
      <c r="G464" s="77" t="s">
        <v>896</v>
      </c>
      <c r="H464" s="78">
        <v>0</v>
      </c>
    </row>
    <row r="465" spans="6:8" ht="15.5">
      <c r="F465" s="76">
        <v>315401</v>
      </c>
      <c r="G465" s="77" t="s">
        <v>897</v>
      </c>
      <c r="H465" s="78">
        <v>0</v>
      </c>
    </row>
    <row r="466" spans="6:8" ht="15.5">
      <c r="F466" s="76">
        <v>315509</v>
      </c>
      <c r="G466" s="77" t="s">
        <v>898</v>
      </c>
      <c r="H466" s="78">
        <v>0</v>
      </c>
    </row>
    <row r="467" spans="6:8" ht="15.5">
      <c r="F467" s="76">
        <v>310362</v>
      </c>
      <c r="G467" s="77" t="s">
        <v>899</v>
      </c>
      <c r="H467" s="78">
        <v>0</v>
      </c>
    </row>
    <row r="468" spans="6:8" ht="15.5">
      <c r="F468" s="76">
        <v>315525</v>
      </c>
      <c r="G468" s="77" t="s">
        <v>900</v>
      </c>
      <c r="H468" s="78">
        <v>0</v>
      </c>
    </row>
    <row r="469" spans="6:8" ht="15.5">
      <c r="F469" s="76">
        <v>314565</v>
      </c>
      <c r="G469" s="77" t="s">
        <v>901</v>
      </c>
      <c r="H469" s="78">
        <v>0</v>
      </c>
    </row>
    <row r="470" spans="6:8" ht="15.5">
      <c r="F470" s="76">
        <v>312926</v>
      </c>
      <c r="G470" s="77" t="s">
        <v>902</v>
      </c>
      <c r="H470" s="78">
        <v>0</v>
      </c>
    </row>
    <row r="471" spans="6:8" ht="15.5">
      <c r="F471" s="76">
        <v>316051</v>
      </c>
      <c r="G471" s="77" t="s">
        <v>903</v>
      </c>
      <c r="H471" s="78">
        <v>0</v>
      </c>
    </row>
    <row r="472" spans="6:8" ht="15.5">
      <c r="F472" s="76">
        <v>309907</v>
      </c>
      <c r="G472" s="77" t="s">
        <v>904</v>
      </c>
      <c r="H472" s="78">
        <v>0</v>
      </c>
    </row>
    <row r="473" spans="6:8" ht="15.5">
      <c r="F473" s="76">
        <v>90035213</v>
      </c>
      <c r="G473" s="77" t="s">
        <v>905</v>
      </c>
      <c r="H473" s="78">
        <v>0</v>
      </c>
    </row>
    <row r="474" spans="6:8" ht="15.5">
      <c r="F474" s="76">
        <v>314040</v>
      </c>
      <c r="G474" s="77" t="s">
        <v>906</v>
      </c>
      <c r="H474" s="78">
        <v>0</v>
      </c>
    </row>
    <row r="475" spans="6:8" ht="15.5">
      <c r="F475" s="76">
        <v>312703</v>
      </c>
      <c r="G475" s="77" t="s">
        <v>907</v>
      </c>
      <c r="H475" s="78">
        <v>0</v>
      </c>
    </row>
    <row r="476" spans="6:8" ht="15.5">
      <c r="F476" s="76">
        <v>307760</v>
      </c>
      <c r="G476" s="77" t="s">
        <v>908</v>
      </c>
      <c r="H476" s="78">
        <v>0</v>
      </c>
    </row>
    <row r="477" spans="6:8" ht="15.5">
      <c r="F477" s="76">
        <v>312950</v>
      </c>
      <c r="G477" s="77" t="s">
        <v>909</v>
      </c>
      <c r="H477" s="78">
        <v>0</v>
      </c>
    </row>
    <row r="478" spans="6:8" ht="15.5">
      <c r="F478" s="76">
        <v>314704</v>
      </c>
      <c r="G478" s="77" t="s">
        <v>910</v>
      </c>
      <c r="H478" s="78">
        <v>0</v>
      </c>
    </row>
    <row r="479" spans="6:8" ht="15.5">
      <c r="F479" s="76">
        <v>312302</v>
      </c>
      <c r="G479" s="77" t="s">
        <v>911</v>
      </c>
      <c r="H479" s="78">
        <v>0</v>
      </c>
    </row>
    <row r="480" spans="6:8" ht="15.5">
      <c r="F480" s="76">
        <v>312872</v>
      </c>
      <c r="G480" s="77" t="s">
        <v>912</v>
      </c>
      <c r="H480" s="78">
        <v>0</v>
      </c>
    </row>
    <row r="481" spans="6:8" ht="15.5">
      <c r="F481" s="76">
        <v>314903</v>
      </c>
      <c r="G481" s="77" t="s">
        <v>913</v>
      </c>
      <c r="H481" s="78">
        <v>0</v>
      </c>
    </row>
    <row r="482" spans="6:8" ht="15.5">
      <c r="F482" s="76">
        <v>90012180</v>
      </c>
      <c r="G482" s="77" t="s">
        <v>914</v>
      </c>
      <c r="H482" s="78">
        <v>0</v>
      </c>
    </row>
    <row r="483" spans="6:8" ht="15.5">
      <c r="F483" s="76">
        <v>312532</v>
      </c>
      <c r="G483" s="77" t="s">
        <v>915</v>
      </c>
      <c r="H483" s="78">
        <v>0</v>
      </c>
    </row>
    <row r="484" spans="6:8" ht="15.5">
      <c r="F484" s="76">
        <v>90040631</v>
      </c>
      <c r="G484" s="77" t="s">
        <v>916</v>
      </c>
      <c r="H484" s="78">
        <v>0</v>
      </c>
    </row>
    <row r="485" spans="6:8" ht="15.5">
      <c r="F485" s="76">
        <v>314028</v>
      </c>
      <c r="G485" s="77" t="s">
        <v>917</v>
      </c>
      <c r="H485" s="78">
        <v>0</v>
      </c>
    </row>
    <row r="486" spans="6:8" ht="15.5">
      <c r="F486" s="76">
        <v>315484</v>
      </c>
      <c r="G486" s="77" t="s">
        <v>918</v>
      </c>
      <c r="H486" s="78">
        <v>0</v>
      </c>
    </row>
    <row r="487" spans="6:8" ht="15.5">
      <c r="F487" s="76">
        <v>314689</v>
      </c>
      <c r="G487" s="77" t="s">
        <v>919</v>
      </c>
      <c r="H487" s="78">
        <v>0</v>
      </c>
    </row>
    <row r="488" spans="6:8" ht="15.5">
      <c r="F488" s="76">
        <v>314409</v>
      </c>
      <c r="G488" s="77" t="s">
        <v>920</v>
      </c>
      <c r="H488" s="78">
        <v>0</v>
      </c>
    </row>
    <row r="489" spans="6:8" ht="15.5">
      <c r="F489" s="76">
        <v>310946</v>
      </c>
      <c r="G489" s="77" t="s">
        <v>921</v>
      </c>
      <c r="H489" s="78">
        <v>0</v>
      </c>
    </row>
    <row r="490" spans="6:8" ht="15.5">
      <c r="F490" s="76">
        <v>312831</v>
      </c>
      <c r="G490" s="77" t="s">
        <v>922</v>
      </c>
      <c r="H490" s="78">
        <v>0</v>
      </c>
    </row>
    <row r="491" spans="6:8" ht="15.5">
      <c r="F491" s="76">
        <v>90033088</v>
      </c>
      <c r="G491" s="77" t="s">
        <v>923</v>
      </c>
      <c r="H491" s="78">
        <v>0</v>
      </c>
    </row>
    <row r="492" spans="6:8" ht="15.5">
      <c r="F492" s="76">
        <v>314546</v>
      </c>
      <c r="G492" s="77" t="s">
        <v>924</v>
      </c>
      <c r="H492" s="78">
        <v>0</v>
      </c>
    </row>
    <row r="493" spans="6:8" ht="15.5">
      <c r="F493" s="76">
        <v>312181</v>
      </c>
      <c r="G493" s="77" t="s">
        <v>925</v>
      </c>
      <c r="H493" s="78">
        <v>0</v>
      </c>
    </row>
    <row r="494" spans="6:8" ht="15.5">
      <c r="F494" s="76">
        <v>310768</v>
      </c>
      <c r="G494" s="77" t="s">
        <v>926</v>
      </c>
      <c r="H494" s="78">
        <v>0</v>
      </c>
    </row>
    <row r="495" spans="6:8" ht="15.5">
      <c r="F495" s="76">
        <v>315453</v>
      </c>
      <c r="G495" s="77" t="s">
        <v>927</v>
      </c>
      <c r="H495" s="78">
        <v>0</v>
      </c>
    </row>
    <row r="496" spans="6:8" ht="15.5">
      <c r="F496" s="76">
        <v>306444</v>
      </c>
      <c r="G496" s="77" t="s">
        <v>928</v>
      </c>
      <c r="H496" s="78">
        <v>0</v>
      </c>
    </row>
    <row r="497" spans="6:8" ht="15.5">
      <c r="F497" s="76">
        <v>315625</v>
      </c>
      <c r="G497" s="77" t="s">
        <v>929</v>
      </c>
      <c r="H497" s="78">
        <v>0</v>
      </c>
    </row>
    <row r="498" spans="6:8" ht="15.5">
      <c r="F498" s="76">
        <v>301809</v>
      </c>
      <c r="G498" s="77" t="s">
        <v>930</v>
      </c>
      <c r="H498" s="78">
        <v>0</v>
      </c>
    </row>
    <row r="499" spans="6:8" ht="15.5">
      <c r="F499" s="76">
        <v>90010411</v>
      </c>
      <c r="G499" s="77" t="s">
        <v>931</v>
      </c>
      <c r="H499" s="78">
        <v>0</v>
      </c>
    </row>
    <row r="500" spans="6:8" ht="15.5">
      <c r="F500" s="76">
        <v>311808</v>
      </c>
      <c r="G500" s="77" t="s">
        <v>932</v>
      </c>
      <c r="H500" s="78">
        <v>0</v>
      </c>
    </row>
    <row r="501" spans="6:8" ht="15.5">
      <c r="F501" s="76">
        <v>313840</v>
      </c>
      <c r="G501" s="77" t="s">
        <v>933</v>
      </c>
      <c r="H501" s="78">
        <v>0</v>
      </c>
    </row>
    <row r="502" spans="6:8" ht="15.5">
      <c r="F502" s="76">
        <v>314574</v>
      </c>
      <c r="G502" s="77" t="s">
        <v>934</v>
      </c>
      <c r="H502" s="78">
        <v>0</v>
      </c>
    </row>
    <row r="503" spans="6:8" ht="15.5">
      <c r="F503" s="76">
        <v>315248</v>
      </c>
      <c r="G503" s="77" t="s">
        <v>935</v>
      </c>
      <c r="H503" s="78">
        <v>0</v>
      </c>
    </row>
    <row r="504" spans="6:8" ht="15.5">
      <c r="F504" s="76">
        <v>313613</v>
      </c>
      <c r="G504" s="77" t="s">
        <v>936</v>
      </c>
      <c r="H504" s="78">
        <v>0</v>
      </c>
    </row>
    <row r="505" spans="6:8" ht="15.5">
      <c r="F505" s="76">
        <v>315859</v>
      </c>
      <c r="G505" s="77" t="s">
        <v>937</v>
      </c>
      <c r="H505" s="78">
        <v>0</v>
      </c>
    </row>
    <row r="506" spans="6:8" ht="15.5">
      <c r="F506" s="76">
        <v>90034566</v>
      </c>
      <c r="G506" s="77" t="s">
        <v>938</v>
      </c>
      <c r="H506" s="78">
        <v>0</v>
      </c>
    </row>
    <row r="507" spans="6:8" ht="15.5">
      <c r="F507" s="76">
        <v>306569</v>
      </c>
      <c r="G507" s="77" t="s">
        <v>939</v>
      </c>
      <c r="H507" s="78">
        <v>0</v>
      </c>
    </row>
    <row r="508" spans="6:8" ht="15.5">
      <c r="F508" s="76">
        <v>311441</v>
      </c>
      <c r="G508" s="77" t="s">
        <v>940</v>
      </c>
      <c r="H508" s="78">
        <v>0</v>
      </c>
    </row>
    <row r="509" spans="6:8" ht="15.5">
      <c r="F509" s="76">
        <v>303265</v>
      </c>
      <c r="G509" s="77" t="s">
        <v>941</v>
      </c>
      <c r="H509" s="78">
        <v>0</v>
      </c>
    </row>
    <row r="510" spans="6:8" ht="15.5">
      <c r="F510" s="76">
        <v>313318</v>
      </c>
      <c r="G510" s="77" t="s">
        <v>942</v>
      </c>
      <c r="H510" s="78">
        <v>0</v>
      </c>
    </row>
    <row r="511" spans="6:8" ht="15.5">
      <c r="F511" s="76">
        <v>90048811</v>
      </c>
      <c r="G511" s="77" t="s">
        <v>943</v>
      </c>
      <c r="H511" s="78">
        <v>0</v>
      </c>
    </row>
    <row r="512" spans="6:8" ht="15.5">
      <c r="F512" s="76">
        <v>315497</v>
      </c>
      <c r="G512" s="77" t="s">
        <v>944</v>
      </c>
      <c r="H512" s="78">
        <v>0</v>
      </c>
    </row>
    <row r="513" spans="6:8" ht="15.5">
      <c r="F513" s="76">
        <v>309535</v>
      </c>
      <c r="G513" s="77" t="s">
        <v>945</v>
      </c>
      <c r="H513" s="78">
        <v>0</v>
      </c>
    </row>
    <row r="514" spans="6:8" ht="15.5">
      <c r="F514" s="76">
        <v>315611</v>
      </c>
      <c r="G514" s="77" t="s">
        <v>946</v>
      </c>
      <c r="H514" s="78">
        <v>0</v>
      </c>
    </row>
    <row r="515" spans="6:8" ht="15.5">
      <c r="F515" s="76">
        <v>314757</v>
      </c>
      <c r="G515" s="77" t="s">
        <v>947</v>
      </c>
      <c r="H515" s="78">
        <v>0</v>
      </c>
    </row>
    <row r="516" spans="6:8" ht="15.5">
      <c r="F516" s="76">
        <v>90040454</v>
      </c>
      <c r="G516" s="77" t="s">
        <v>948</v>
      </c>
      <c r="H516" s="78">
        <v>0</v>
      </c>
    </row>
    <row r="517" spans="6:8" ht="15.5">
      <c r="F517" s="76">
        <v>90033452</v>
      </c>
      <c r="G517" s="77" t="s">
        <v>949</v>
      </c>
      <c r="H517" s="78">
        <v>0</v>
      </c>
    </row>
    <row r="518" spans="6:8" ht="15.5">
      <c r="F518" s="76">
        <v>90046187</v>
      </c>
      <c r="G518" s="77" t="s">
        <v>950</v>
      </c>
      <c r="H518" s="78">
        <v>0</v>
      </c>
    </row>
    <row r="519" spans="6:8" ht="15.5">
      <c r="F519" s="76">
        <v>90019997</v>
      </c>
      <c r="G519" s="77" t="s">
        <v>951</v>
      </c>
      <c r="H519" s="78">
        <v>0</v>
      </c>
    </row>
    <row r="520" spans="6:8" ht="15.5">
      <c r="F520" s="76">
        <v>310711</v>
      </c>
      <c r="G520" s="77" t="s">
        <v>952</v>
      </c>
      <c r="H520" s="78">
        <v>0</v>
      </c>
    </row>
    <row r="521" spans="6:8" ht="15.5">
      <c r="F521" s="76">
        <v>314119</v>
      </c>
      <c r="G521" s="77" t="s">
        <v>953</v>
      </c>
      <c r="H521" s="78">
        <v>0</v>
      </c>
    </row>
    <row r="522" spans="6:8" ht="15.5">
      <c r="F522" s="76">
        <v>90038775</v>
      </c>
      <c r="G522" s="77" t="s">
        <v>954</v>
      </c>
      <c r="H522" s="78">
        <v>0</v>
      </c>
    </row>
    <row r="523" spans="6:8" ht="15.5">
      <c r="F523" s="76">
        <v>312995</v>
      </c>
      <c r="G523" s="77" t="s">
        <v>955</v>
      </c>
      <c r="H523" s="78">
        <v>0</v>
      </c>
    </row>
    <row r="524" spans="6:8" ht="15.5">
      <c r="F524" s="76">
        <v>313746</v>
      </c>
      <c r="G524" s="77" t="s">
        <v>956</v>
      </c>
      <c r="H524" s="78">
        <v>0</v>
      </c>
    </row>
    <row r="525" spans="6:8" ht="15.5">
      <c r="F525" s="76">
        <v>314701</v>
      </c>
      <c r="G525" s="77" t="s">
        <v>957</v>
      </c>
      <c r="H525" s="78">
        <v>0</v>
      </c>
    </row>
    <row r="526" spans="6:8" ht="15.5">
      <c r="F526" s="76">
        <v>314817</v>
      </c>
      <c r="G526" s="77" t="s">
        <v>958</v>
      </c>
      <c r="H526" s="78">
        <v>0</v>
      </c>
    </row>
    <row r="527" spans="6:8" ht="15.5">
      <c r="F527" s="76">
        <v>314085</v>
      </c>
      <c r="G527" s="77" t="s">
        <v>959</v>
      </c>
      <c r="H527" s="78">
        <v>0</v>
      </c>
    </row>
    <row r="528" spans="6:8" ht="15.5">
      <c r="F528" s="76">
        <v>314431</v>
      </c>
      <c r="G528" s="77" t="s">
        <v>960</v>
      </c>
      <c r="H528" s="78">
        <v>0</v>
      </c>
    </row>
    <row r="529" spans="6:8" ht="15.5">
      <c r="F529" s="76">
        <v>90050524</v>
      </c>
      <c r="G529" s="77" t="s">
        <v>961</v>
      </c>
      <c r="H529" s="78">
        <v>0</v>
      </c>
    </row>
    <row r="530" spans="6:8" ht="15.5">
      <c r="F530" s="76">
        <v>314612</v>
      </c>
      <c r="G530" s="77" t="s">
        <v>962</v>
      </c>
      <c r="H530" s="78">
        <v>0</v>
      </c>
    </row>
    <row r="531" spans="6:8" ht="15.5">
      <c r="F531" s="76">
        <v>314468</v>
      </c>
      <c r="G531" s="77" t="s">
        <v>963</v>
      </c>
      <c r="H531" s="78">
        <v>0</v>
      </c>
    </row>
    <row r="532" spans="6:8" ht="15.5">
      <c r="F532" s="76">
        <v>314670</v>
      </c>
      <c r="G532" s="77" t="s">
        <v>964</v>
      </c>
      <c r="H532" s="78">
        <v>0</v>
      </c>
    </row>
    <row r="533" spans="6:8" ht="15.5">
      <c r="F533" s="76">
        <v>315578</v>
      </c>
      <c r="G533" s="77" t="s">
        <v>965</v>
      </c>
      <c r="H533" s="78">
        <v>0</v>
      </c>
    </row>
    <row r="534" spans="6:8" ht="15.5">
      <c r="F534" s="76">
        <v>307449</v>
      </c>
      <c r="G534" s="77" t="s">
        <v>966</v>
      </c>
      <c r="H534" s="78">
        <v>0</v>
      </c>
    </row>
    <row r="535" spans="6:8" ht="15.5">
      <c r="F535" s="76">
        <v>306823</v>
      </c>
      <c r="G535" s="77" t="s">
        <v>967</v>
      </c>
      <c r="H535" s="78">
        <v>0</v>
      </c>
    </row>
    <row r="536" spans="6:8" ht="15.5">
      <c r="F536" s="76">
        <v>313589</v>
      </c>
      <c r="G536" s="77" t="s">
        <v>968</v>
      </c>
      <c r="H536" s="78">
        <v>0</v>
      </c>
    </row>
    <row r="537" spans="6:8" ht="15.5">
      <c r="F537" s="76">
        <v>314538</v>
      </c>
      <c r="G537" s="77" t="s">
        <v>969</v>
      </c>
      <c r="H537" s="78">
        <v>0</v>
      </c>
    </row>
    <row r="538" spans="6:8" ht="15.5">
      <c r="F538" s="76">
        <v>90024719</v>
      </c>
      <c r="G538" s="77" t="s">
        <v>970</v>
      </c>
      <c r="H538" s="78">
        <v>0</v>
      </c>
    </row>
    <row r="539" spans="6:8" ht="15.5">
      <c r="F539" s="76">
        <v>310386</v>
      </c>
      <c r="G539" s="77" t="s">
        <v>971</v>
      </c>
      <c r="H539" s="78">
        <v>0</v>
      </c>
    </row>
    <row r="540" spans="6:8" ht="15.5">
      <c r="F540" s="76">
        <v>314883</v>
      </c>
      <c r="G540" s="77" t="s">
        <v>972</v>
      </c>
      <c r="H540" s="78">
        <v>0</v>
      </c>
    </row>
    <row r="541" spans="6:8" ht="15.5">
      <c r="F541" s="76">
        <v>313709</v>
      </c>
      <c r="G541" s="77" t="s">
        <v>973</v>
      </c>
      <c r="H541" s="78">
        <v>0</v>
      </c>
    </row>
    <row r="542" spans="6:8" ht="15.5">
      <c r="F542" s="76">
        <v>314097</v>
      </c>
      <c r="G542" s="77" t="s">
        <v>974</v>
      </c>
      <c r="H542" s="78">
        <v>0</v>
      </c>
    </row>
    <row r="543" spans="6:8" ht="15.5">
      <c r="F543" s="76">
        <v>90038604</v>
      </c>
      <c r="G543" s="77" t="s">
        <v>975</v>
      </c>
      <c r="H543" s="78">
        <v>0</v>
      </c>
    </row>
    <row r="544" spans="6:8" ht="15.5">
      <c r="F544" s="76">
        <v>90049072</v>
      </c>
      <c r="G544" s="77" t="s">
        <v>976</v>
      </c>
      <c r="H544" s="78">
        <v>0</v>
      </c>
    </row>
    <row r="545" spans="6:8" ht="15.5">
      <c r="F545" s="76">
        <v>314981</v>
      </c>
      <c r="G545" s="77" t="s">
        <v>977</v>
      </c>
      <c r="H545" s="78">
        <v>0</v>
      </c>
    </row>
    <row r="546" spans="6:8" ht="15.5">
      <c r="F546" s="76">
        <v>315331</v>
      </c>
      <c r="G546" s="77" t="s">
        <v>978</v>
      </c>
      <c r="H546" s="78">
        <v>0</v>
      </c>
    </row>
    <row r="547" spans="6:8" ht="15.5">
      <c r="F547" s="76">
        <v>308765</v>
      </c>
      <c r="G547" s="77" t="s">
        <v>979</v>
      </c>
      <c r="H547" s="78">
        <v>0</v>
      </c>
    </row>
    <row r="548" spans="6:8" ht="15.5">
      <c r="F548" s="76">
        <v>315256</v>
      </c>
      <c r="G548" s="77" t="s">
        <v>980</v>
      </c>
      <c r="H548" s="78">
        <v>0</v>
      </c>
    </row>
    <row r="549" spans="6:8" ht="15.5">
      <c r="F549" s="76">
        <v>315624</v>
      </c>
      <c r="G549" s="77" t="s">
        <v>981</v>
      </c>
      <c r="H549" s="78">
        <v>0</v>
      </c>
    </row>
    <row r="550" spans="6:8" ht="15.5">
      <c r="F550" s="76">
        <v>307394</v>
      </c>
      <c r="G550" s="77" t="s">
        <v>982</v>
      </c>
      <c r="H550" s="78">
        <v>0</v>
      </c>
    </row>
    <row r="551" spans="6:8" ht="15.5">
      <c r="F551" s="76">
        <v>312949</v>
      </c>
      <c r="G551" s="77" t="s">
        <v>983</v>
      </c>
      <c r="H551" s="78">
        <v>0</v>
      </c>
    </row>
    <row r="552" spans="6:8" ht="15.5">
      <c r="F552" s="76">
        <v>314411</v>
      </c>
      <c r="G552" s="77" t="s">
        <v>984</v>
      </c>
      <c r="H552" s="78">
        <v>0</v>
      </c>
    </row>
    <row r="553" spans="6:8" ht="15.5">
      <c r="F553" s="76">
        <v>314179</v>
      </c>
      <c r="G553" s="77" t="s">
        <v>985</v>
      </c>
      <c r="H553" s="78">
        <v>0</v>
      </c>
    </row>
    <row r="554" spans="6:8" ht="15.5">
      <c r="F554" s="76">
        <v>314276</v>
      </c>
      <c r="G554" s="77" t="s">
        <v>986</v>
      </c>
      <c r="H554" s="78">
        <v>0</v>
      </c>
    </row>
    <row r="555" spans="6:8" ht="15.5">
      <c r="F555" s="76">
        <v>313514</v>
      </c>
      <c r="G555" s="77" t="s">
        <v>987</v>
      </c>
      <c r="H555" s="78">
        <v>0</v>
      </c>
    </row>
    <row r="556" spans="6:8" ht="15.5">
      <c r="F556" s="76">
        <v>90029081</v>
      </c>
      <c r="G556" s="77" t="s">
        <v>988</v>
      </c>
      <c r="H556" s="78">
        <v>0</v>
      </c>
    </row>
    <row r="557" spans="6:8" ht="15.5">
      <c r="F557" s="76">
        <v>313868</v>
      </c>
      <c r="G557" s="77" t="s">
        <v>989</v>
      </c>
      <c r="H557" s="78">
        <v>0</v>
      </c>
    </row>
    <row r="558" spans="6:8" ht="15.5">
      <c r="F558" s="76">
        <v>315480</v>
      </c>
      <c r="G558" s="77" t="s">
        <v>990</v>
      </c>
      <c r="H558" s="78">
        <v>0</v>
      </c>
    </row>
    <row r="559" spans="6:8" ht="15.5">
      <c r="F559" s="76">
        <v>314406</v>
      </c>
      <c r="G559" s="77" t="s">
        <v>991</v>
      </c>
      <c r="H559" s="78">
        <v>0</v>
      </c>
    </row>
    <row r="560" spans="6:8" ht="15.5">
      <c r="F560" s="76">
        <v>316140</v>
      </c>
      <c r="G560" s="77" t="s">
        <v>992</v>
      </c>
      <c r="H560" s="78">
        <v>0</v>
      </c>
    </row>
    <row r="561" spans="6:8" ht="15.5">
      <c r="F561" s="76">
        <v>90045772</v>
      </c>
      <c r="G561" s="77" t="s">
        <v>993</v>
      </c>
      <c r="H561" s="78">
        <v>0</v>
      </c>
    </row>
    <row r="562" spans="6:8" ht="15.5">
      <c r="F562" s="76">
        <v>90039185</v>
      </c>
      <c r="G562" s="77" t="s">
        <v>994</v>
      </c>
      <c r="H562" s="78">
        <v>0</v>
      </c>
    </row>
    <row r="563" spans="6:8" ht="15.5">
      <c r="F563" s="76">
        <v>314646</v>
      </c>
      <c r="G563" s="77" t="s">
        <v>995</v>
      </c>
      <c r="H563" s="78">
        <v>0</v>
      </c>
    </row>
    <row r="564" spans="6:8" ht="15.5">
      <c r="F564" s="76">
        <v>305521</v>
      </c>
      <c r="G564" s="77" t="s">
        <v>996</v>
      </c>
      <c r="H564" s="78">
        <v>0</v>
      </c>
    </row>
    <row r="565" spans="6:8" ht="15.5">
      <c r="F565" s="76">
        <v>315030</v>
      </c>
      <c r="G565" s="77" t="s">
        <v>997</v>
      </c>
      <c r="H565" s="78">
        <v>0</v>
      </c>
    </row>
    <row r="566" spans="6:8" ht="15.5">
      <c r="F566" s="76">
        <v>90040976</v>
      </c>
      <c r="G566" s="77" t="s">
        <v>998</v>
      </c>
      <c r="H566" s="78">
        <v>0</v>
      </c>
    </row>
    <row r="567" spans="6:8" ht="15.5">
      <c r="F567" s="76">
        <v>90009267</v>
      </c>
      <c r="G567" s="77" t="s">
        <v>999</v>
      </c>
      <c r="H567" s="78">
        <v>0</v>
      </c>
    </row>
    <row r="568" spans="6:8" ht="15.5">
      <c r="F568" s="76">
        <v>315568</v>
      </c>
      <c r="G568" s="77" t="s">
        <v>1000</v>
      </c>
      <c r="H568" s="78">
        <v>0</v>
      </c>
    </row>
    <row r="569" spans="6:8" ht="15.5">
      <c r="F569" s="76">
        <v>90018997</v>
      </c>
      <c r="G569" s="77" t="s">
        <v>1001</v>
      </c>
      <c r="H569" s="78">
        <v>0</v>
      </c>
    </row>
    <row r="570" spans="6:8" ht="15.5">
      <c r="F570" s="76">
        <v>310374</v>
      </c>
      <c r="G570" s="77" t="s">
        <v>1002</v>
      </c>
      <c r="H570" s="78">
        <v>0</v>
      </c>
    </row>
    <row r="571" spans="6:8" ht="15.5">
      <c r="F571" s="76">
        <v>90027914</v>
      </c>
      <c r="G571" s="77" t="s">
        <v>1003</v>
      </c>
      <c r="H571" s="78">
        <v>0</v>
      </c>
    </row>
    <row r="572" spans="6:8" ht="15.5">
      <c r="F572" s="76">
        <v>316279</v>
      </c>
      <c r="G572" s="77" t="s">
        <v>1004</v>
      </c>
      <c r="H572" s="78">
        <v>0</v>
      </c>
    </row>
    <row r="573" spans="6:8" ht="15.5">
      <c r="F573" s="76">
        <v>315327</v>
      </c>
      <c r="G573" s="77" t="s">
        <v>1005</v>
      </c>
      <c r="H573" s="78">
        <v>0</v>
      </c>
    </row>
    <row r="574" spans="6:8" ht="15.5">
      <c r="F574" s="76">
        <v>307048</v>
      </c>
      <c r="G574" s="77" t="s">
        <v>1006</v>
      </c>
      <c r="H574" s="78">
        <v>0</v>
      </c>
    </row>
    <row r="575" spans="6:8" ht="15.5">
      <c r="F575" s="76">
        <v>312659</v>
      </c>
      <c r="G575" s="77" t="s">
        <v>1007</v>
      </c>
      <c r="H575" s="78">
        <v>0</v>
      </c>
    </row>
    <row r="576" spans="6:8" ht="15.5">
      <c r="F576" s="76">
        <v>315104</v>
      </c>
      <c r="G576" s="77" t="s">
        <v>1008</v>
      </c>
      <c r="H576" s="78">
        <v>0</v>
      </c>
    </row>
    <row r="577" spans="6:8" ht="15.5">
      <c r="F577" s="76">
        <v>314807</v>
      </c>
      <c r="G577" s="77" t="s">
        <v>1009</v>
      </c>
      <c r="H577" s="78">
        <v>0</v>
      </c>
    </row>
    <row r="578" spans="6:8" ht="15.5">
      <c r="F578" s="76">
        <v>312391</v>
      </c>
      <c r="G578" s="77" t="s">
        <v>1010</v>
      </c>
      <c r="H578" s="78">
        <v>0</v>
      </c>
    </row>
    <row r="579" spans="6:8" ht="15.5">
      <c r="F579" s="76">
        <v>312172</v>
      </c>
      <c r="G579" s="77" t="s">
        <v>1011</v>
      </c>
      <c r="H579" s="78">
        <v>0</v>
      </c>
    </row>
    <row r="580" spans="6:8" ht="15.5">
      <c r="F580" s="76">
        <v>314845</v>
      </c>
      <c r="G580" s="77" t="s">
        <v>1012</v>
      </c>
      <c r="H580" s="78">
        <v>0</v>
      </c>
    </row>
    <row r="581" spans="6:8" ht="15.5">
      <c r="F581" s="76">
        <v>312419</v>
      </c>
      <c r="G581" s="77" t="s">
        <v>1013</v>
      </c>
      <c r="H581" s="78">
        <v>0</v>
      </c>
    </row>
    <row r="582" spans="6:8" ht="15.5">
      <c r="F582" s="76">
        <v>312836</v>
      </c>
      <c r="G582" s="77" t="s">
        <v>1014</v>
      </c>
      <c r="H582" s="78">
        <v>0</v>
      </c>
    </row>
    <row r="583" spans="6:8" ht="15.5">
      <c r="F583" s="76">
        <v>312077</v>
      </c>
      <c r="G583" s="77" t="s">
        <v>1015</v>
      </c>
      <c r="H583" s="78">
        <v>0</v>
      </c>
    </row>
    <row r="584" spans="6:8" ht="15.5">
      <c r="F584" s="76">
        <v>316002</v>
      </c>
      <c r="G584" s="77" t="s">
        <v>1016</v>
      </c>
      <c r="H584" s="78">
        <v>0</v>
      </c>
    </row>
    <row r="585" spans="6:8" ht="15.5">
      <c r="F585" s="76">
        <v>90046250</v>
      </c>
      <c r="G585" s="77" t="s">
        <v>1017</v>
      </c>
      <c r="H585" s="78">
        <v>0</v>
      </c>
    </row>
    <row r="586" spans="6:8" ht="15.5">
      <c r="F586" s="76">
        <v>314775</v>
      </c>
      <c r="G586" s="77" t="s">
        <v>1018</v>
      </c>
      <c r="H586" s="78">
        <v>0</v>
      </c>
    </row>
    <row r="587" spans="6:8" ht="15.5">
      <c r="F587" s="76">
        <v>312223</v>
      </c>
      <c r="G587" s="77" t="s">
        <v>1019</v>
      </c>
      <c r="H587" s="78">
        <v>0</v>
      </c>
    </row>
    <row r="588" spans="6:8" ht="15.5">
      <c r="F588" s="76">
        <v>309926</v>
      </c>
      <c r="G588" s="77" t="s">
        <v>1020</v>
      </c>
      <c r="H588" s="78">
        <v>0</v>
      </c>
    </row>
    <row r="589" spans="6:8" ht="15.5">
      <c r="F589" s="76">
        <v>315650</v>
      </c>
      <c r="G589" s="77" t="s">
        <v>1021</v>
      </c>
      <c r="H589" s="78">
        <v>0</v>
      </c>
    </row>
    <row r="590" spans="6:8" ht="15.5">
      <c r="F590" s="76">
        <v>90049762</v>
      </c>
      <c r="G590" s="77" t="s">
        <v>1022</v>
      </c>
      <c r="H590" s="78">
        <v>0</v>
      </c>
    </row>
    <row r="591" spans="6:8" ht="15.5">
      <c r="F591" s="76">
        <v>315167</v>
      </c>
      <c r="G591" s="77" t="s">
        <v>1023</v>
      </c>
      <c r="H591" s="78">
        <v>0</v>
      </c>
    </row>
    <row r="592" spans="6:8" ht="15.5">
      <c r="F592" s="76">
        <v>311345</v>
      </c>
      <c r="G592" s="77" t="s">
        <v>1024</v>
      </c>
      <c r="H592" s="78">
        <v>0</v>
      </c>
    </row>
    <row r="593" spans="6:8" ht="15.5">
      <c r="F593" s="76">
        <v>310390</v>
      </c>
      <c r="G593" s="77" t="s">
        <v>1025</v>
      </c>
      <c r="H593" s="78">
        <v>0</v>
      </c>
    </row>
    <row r="594" spans="6:8" ht="15.5">
      <c r="F594" s="76">
        <v>202076</v>
      </c>
      <c r="G594" s="77" t="s">
        <v>1026</v>
      </c>
      <c r="H594" s="78">
        <v>0</v>
      </c>
    </row>
    <row r="595" spans="6:8" ht="15.5">
      <c r="F595" s="76">
        <v>314891</v>
      </c>
      <c r="G595" s="77" t="s">
        <v>1027</v>
      </c>
      <c r="H595" s="78">
        <v>0</v>
      </c>
    </row>
    <row r="596" spans="6:8" ht="15.5">
      <c r="F596" s="76">
        <v>316254</v>
      </c>
      <c r="G596" s="77" t="s">
        <v>1028</v>
      </c>
      <c r="H596" s="78">
        <v>0</v>
      </c>
    </row>
    <row r="597" spans="6:8" ht="15.5">
      <c r="F597" s="76">
        <v>309831</v>
      </c>
      <c r="G597" s="77" t="s">
        <v>1029</v>
      </c>
      <c r="H597" s="78">
        <v>0</v>
      </c>
    </row>
    <row r="598" spans="6:8" ht="15.5">
      <c r="F598" s="76">
        <v>314090</v>
      </c>
      <c r="G598" s="77" t="s">
        <v>1030</v>
      </c>
      <c r="H598" s="78">
        <v>0</v>
      </c>
    </row>
    <row r="599" spans="6:8" ht="15.5">
      <c r="F599" s="76">
        <v>315533</v>
      </c>
      <c r="G599" s="77" t="s">
        <v>1031</v>
      </c>
      <c r="H599" s="78">
        <v>0</v>
      </c>
    </row>
    <row r="600" spans="6:8" ht="15.5">
      <c r="F600" s="76">
        <v>314017</v>
      </c>
      <c r="G600" s="77" t="s">
        <v>1032</v>
      </c>
      <c r="H600" s="78">
        <v>0</v>
      </c>
    </row>
    <row r="601" spans="6:8" ht="15.5">
      <c r="F601" s="76">
        <v>90028025</v>
      </c>
      <c r="G601" s="77" t="s">
        <v>1033</v>
      </c>
      <c r="H601" s="78">
        <v>0</v>
      </c>
    </row>
    <row r="602" spans="6:8" ht="15.5">
      <c r="F602" s="76">
        <v>314852</v>
      </c>
      <c r="G602" s="77" t="s">
        <v>1034</v>
      </c>
      <c r="H602" s="78">
        <v>0</v>
      </c>
    </row>
    <row r="603" spans="6:8" ht="15.5">
      <c r="F603" s="76">
        <v>313408</v>
      </c>
      <c r="G603" s="77" t="s">
        <v>1035</v>
      </c>
      <c r="H603" s="78">
        <v>0</v>
      </c>
    </row>
    <row r="604" spans="6:8" ht="15.5">
      <c r="F604" s="76">
        <v>90040024</v>
      </c>
      <c r="G604" s="77" t="s">
        <v>1036</v>
      </c>
      <c r="H604" s="78">
        <v>0</v>
      </c>
    </row>
    <row r="605" spans="6:8" ht="15.5">
      <c r="F605" s="76">
        <v>315552</v>
      </c>
      <c r="G605" s="77" t="s">
        <v>1037</v>
      </c>
      <c r="H605" s="78">
        <v>0</v>
      </c>
    </row>
    <row r="606" spans="6:8" ht="15.5">
      <c r="F606" s="76">
        <v>313629</v>
      </c>
      <c r="G606" s="77" t="s">
        <v>1038</v>
      </c>
      <c r="H606" s="78">
        <v>0</v>
      </c>
    </row>
    <row r="607" spans="6:8" ht="15.5">
      <c r="F607" s="76">
        <v>315270</v>
      </c>
      <c r="G607" s="77" t="s">
        <v>1039</v>
      </c>
      <c r="H607" s="78">
        <v>0</v>
      </c>
    </row>
    <row r="608" spans="6:8" ht="15.5">
      <c r="F608" s="76">
        <v>90040435</v>
      </c>
      <c r="G608" s="77" t="s">
        <v>1040</v>
      </c>
      <c r="H608" s="78">
        <v>0</v>
      </c>
    </row>
    <row r="609" spans="6:8" ht="15.5">
      <c r="F609" s="76">
        <v>314353</v>
      </c>
      <c r="G609" s="77" t="s">
        <v>1041</v>
      </c>
      <c r="H609" s="78">
        <v>0</v>
      </c>
    </row>
    <row r="610" spans="6:8" ht="15.5">
      <c r="F610" s="76">
        <v>90039668</v>
      </c>
      <c r="G610" s="77" t="s">
        <v>1042</v>
      </c>
      <c r="H610" s="78">
        <v>0</v>
      </c>
    </row>
    <row r="611" spans="6:8" ht="15.5">
      <c r="F611" s="76">
        <v>302751</v>
      </c>
      <c r="G611" s="77" t="s">
        <v>1043</v>
      </c>
      <c r="H611" s="78">
        <v>0</v>
      </c>
    </row>
    <row r="612" spans="6:8" ht="15.5">
      <c r="F612" s="76">
        <v>201031</v>
      </c>
      <c r="G612" s="77" t="s">
        <v>1044</v>
      </c>
      <c r="H612" s="78">
        <v>0</v>
      </c>
    </row>
    <row r="613" spans="6:8" ht="15.5">
      <c r="F613" s="76">
        <v>311758</v>
      </c>
      <c r="G613" s="77" t="s">
        <v>1045</v>
      </c>
      <c r="H613" s="78">
        <v>0</v>
      </c>
    </row>
    <row r="614" spans="6:8" ht="15.5">
      <c r="F614" s="76">
        <v>307870</v>
      </c>
      <c r="G614" s="77" t="s">
        <v>1046</v>
      </c>
      <c r="H614" s="78">
        <v>0</v>
      </c>
    </row>
    <row r="615" spans="6:8" ht="15.5">
      <c r="F615" s="76">
        <v>90025139</v>
      </c>
      <c r="G615" s="77" t="s">
        <v>1047</v>
      </c>
      <c r="H615" s="78">
        <v>0</v>
      </c>
    </row>
    <row r="616" spans="6:8" ht="15.5">
      <c r="F616" s="76">
        <v>314901</v>
      </c>
      <c r="G616" s="77" t="s">
        <v>1048</v>
      </c>
      <c r="H616" s="78">
        <v>0</v>
      </c>
    </row>
    <row r="617" spans="6:8" ht="15.5">
      <c r="F617" s="76">
        <v>306256</v>
      </c>
      <c r="G617" s="77" t="s">
        <v>1049</v>
      </c>
      <c r="H617" s="78">
        <v>0</v>
      </c>
    </row>
    <row r="618" spans="6:8" ht="15.5">
      <c r="F618" s="76">
        <v>314540</v>
      </c>
      <c r="G618" s="77" t="s">
        <v>1050</v>
      </c>
      <c r="H618" s="78">
        <v>0</v>
      </c>
    </row>
    <row r="619" spans="6:8" ht="15.5">
      <c r="F619" s="76">
        <v>315802</v>
      </c>
      <c r="G619" s="77" t="s">
        <v>1051</v>
      </c>
      <c r="H619" s="78">
        <v>0</v>
      </c>
    </row>
    <row r="620" spans="6:8" ht="15.5">
      <c r="F620" s="76">
        <v>90039302</v>
      </c>
      <c r="G620" s="77" t="s">
        <v>1052</v>
      </c>
      <c r="H620" s="78">
        <v>0</v>
      </c>
    </row>
    <row r="621" spans="6:8" ht="15.5">
      <c r="F621" s="76">
        <v>312158</v>
      </c>
      <c r="G621" s="77" t="s">
        <v>1053</v>
      </c>
      <c r="H621" s="78">
        <v>0</v>
      </c>
    </row>
    <row r="622" spans="6:8" ht="15.5">
      <c r="F622" s="76">
        <v>315437</v>
      </c>
      <c r="G622" s="77" t="s">
        <v>1054</v>
      </c>
      <c r="H622" s="78">
        <v>0</v>
      </c>
    </row>
    <row r="623" spans="6:8" ht="15.5">
      <c r="F623" s="76">
        <v>309692</v>
      </c>
      <c r="G623" s="77" t="s">
        <v>1055</v>
      </c>
      <c r="H623" s="78">
        <v>0</v>
      </c>
    </row>
    <row r="624" spans="6:8" ht="15.5">
      <c r="F624" s="76">
        <v>309418</v>
      </c>
      <c r="G624" s="77" t="s">
        <v>1056</v>
      </c>
      <c r="H624" s="78">
        <v>0</v>
      </c>
    </row>
    <row r="625" spans="6:8" ht="15.5">
      <c r="F625" s="76">
        <v>313797</v>
      </c>
      <c r="G625" s="77" t="s">
        <v>1057</v>
      </c>
      <c r="H625" s="78">
        <v>0</v>
      </c>
    </row>
    <row r="626" spans="6:8" ht="15.5">
      <c r="F626" s="76">
        <v>312166</v>
      </c>
      <c r="G626" s="77" t="s">
        <v>1058</v>
      </c>
      <c r="H626" s="78">
        <v>0</v>
      </c>
    </row>
    <row r="627" spans="6:8" ht="15.5">
      <c r="F627" s="76">
        <v>315803</v>
      </c>
      <c r="G627" s="77" t="s">
        <v>1059</v>
      </c>
      <c r="H627" s="78">
        <v>0</v>
      </c>
    </row>
    <row r="628" spans="6:8" ht="15.5">
      <c r="F628" s="76">
        <v>313856</v>
      </c>
      <c r="G628" s="77" t="s">
        <v>1060</v>
      </c>
      <c r="H628" s="78">
        <v>0</v>
      </c>
    </row>
    <row r="629" spans="6:8" ht="15.5">
      <c r="F629" s="76">
        <v>310411</v>
      </c>
      <c r="G629" s="77" t="s">
        <v>1061</v>
      </c>
      <c r="H629" s="78">
        <v>0</v>
      </c>
    </row>
    <row r="630" spans="6:8" ht="15.5">
      <c r="F630" s="76">
        <v>315070</v>
      </c>
      <c r="G630" s="77" t="s">
        <v>1062</v>
      </c>
      <c r="H630" s="78">
        <v>0</v>
      </c>
    </row>
    <row r="631" spans="6:8" ht="15.5">
      <c r="F631" s="76">
        <v>90039330</v>
      </c>
      <c r="G631" s="77" t="s">
        <v>1063</v>
      </c>
      <c r="H631" s="78">
        <v>0</v>
      </c>
    </row>
    <row r="632" spans="6:8" ht="15.5">
      <c r="F632" s="76">
        <v>315089</v>
      </c>
      <c r="G632" s="77" t="s">
        <v>1064</v>
      </c>
      <c r="H632" s="78">
        <v>0</v>
      </c>
    </row>
    <row r="633" spans="6:8" ht="15.5">
      <c r="F633" s="76">
        <v>315209</v>
      </c>
      <c r="G633" s="77" t="s">
        <v>1065</v>
      </c>
      <c r="H633" s="78">
        <v>0</v>
      </c>
    </row>
    <row r="634" spans="6:8" ht="15.5">
      <c r="F634" s="76">
        <v>314964</v>
      </c>
      <c r="G634" s="77" t="s">
        <v>1066</v>
      </c>
      <c r="H634" s="78">
        <v>0</v>
      </c>
    </row>
    <row r="635" spans="6:8" ht="15.5">
      <c r="F635" s="76">
        <v>309360</v>
      </c>
      <c r="G635" s="77" t="s">
        <v>1067</v>
      </c>
      <c r="H635" s="78">
        <v>0</v>
      </c>
    </row>
    <row r="636" spans="6:8" ht="15.5">
      <c r="F636" s="76">
        <v>315616</v>
      </c>
      <c r="G636" s="77" t="s">
        <v>1068</v>
      </c>
      <c r="H636" s="78">
        <v>0</v>
      </c>
    </row>
    <row r="637" spans="6:8" ht="15.5">
      <c r="F637" s="76">
        <v>90023521</v>
      </c>
      <c r="G637" s="77" t="s">
        <v>1069</v>
      </c>
      <c r="H637" s="78">
        <v>0</v>
      </c>
    </row>
    <row r="638" spans="6:8" ht="15.5">
      <c r="F638" s="76">
        <v>90025289</v>
      </c>
      <c r="G638" s="77" t="s">
        <v>1070</v>
      </c>
      <c r="H638" s="78">
        <v>0</v>
      </c>
    </row>
    <row r="639" spans="6:8" ht="15.5">
      <c r="F639" s="76">
        <v>310497</v>
      </c>
      <c r="G639" s="77" t="s">
        <v>1071</v>
      </c>
      <c r="H639" s="78">
        <v>0</v>
      </c>
    </row>
    <row r="640" spans="6:8" ht="15.5">
      <c r="F640" s="76">
        <v>315545</v>
      </c>
      <c r="G640" s="77" t="s">
        <v>1072</v>
      </c>
      <c r="H640" s="78">
        <v>0</v>
      </c>
    </row>
    <row r="641" spans="6:8" ht="15.5">
      <c r="F641" s="76">
        <v>314603</v>
      </c>
      <c r="G641" s="77" t="s">
        <v>1073</v>
      </c>
      <c r="H641" s="78">
        <v>0</v>
      </c>
    </row>
    <row r="642" spans="6:8" ht="15.5">
      <c r="F642" s="76">
        <v>314250</v>
      </c>
      <c r="G642" s="77" t="s">
        <v>1074</v>
      </c>
      <c r="H642" s="78">
        <v>0</v>
      </c>
    </row>
    <row r="643" spans="6:8" ht="15.5">
      <c r="F643" s="76">
        <v>314912</v>
      </c>
      <c r="G643" s="77" t="s">
        <v>1075</v>
      </c>
      <c r="H643" s="78">
        <v>0</v>
      </c>
    </row>
    <row r="644" spans="6:8" ht="15.5">
      <c r="F644" s="76">
        <v>90018989</v>
      </c>
      <c r="G644" s="77" t="s">
        <v>1076</v>
      </c>
      <c r="H644" s="78">
        <v>0</v>
      </c>
    </row>
    <row r="645" spans="6:8" ht="15.5">
      <c r="F645" s="76">
        <v>314021</v>
      </c>
      <c r="G645" s="77" t="s">
        <v>1077</v>
      </c>
      <c r="H645" s="78">
        <v>0</v>
      </c>
    </row>
    <row r="646" spans="6:8" ht="15.5">
      <c r="F646" s="76">
        <v>315354</v>
      </c>
      <c r="G646" s="77" t="s">
        <v>1078</v>
      </c>
      <c r="H646" s="78">
        <v>0</v>
      </c>
    </row>
    <row r="647" spans="6:8" ht="15.5">
      <c r="F647" s="76">
        <v>314609</v>
      </c>
      <c r="G647" s="77" t="s">
        <v>1079</v>
      </c>
      <c r="H647" s="78">
        <v>0</v>
      </c>
    </row>
    <row r="648" spans="6:8" ht="15.5">
      <c r="F648" s="76">
        <v>90025593</v>
      </c>
      <c r="G648" s="77" t="s">
        <v>1080</v>
      </c>
      <c r="H648" s="78">
        <v>0</v>
      </c>
    </row>
    <row r="649" spans="6:8" ht="15.5">
      <c r="F649" s="76">
        <v>315393</v>
      </c>
      <c r="G649" s="77" t="s">
        <v>1081</v>
      </c>
      <c r="H649" s="78">
        <v>0</v>
      </c>
    </row>
    <row r="650" spans="6:8" ht="15.5">
      <c r="F650" s="76">
        <v>90024411</v>
      </c>
      <c r="G650" s="77" t="s">
        <v>1082</v>
      </c>
      <c r="H650" s="78">
        <v>0</v>
      </c>
    </row>
    <row r="651" spans="6:8" ht="15.5">
      <c r="F651" s="76">
        <v>315224</v>
      </c>
      <c r="G651" s="77" t="s">
        <v>1083</v>
      </c>
      <c r="H651" s="78">
        <v>0</v>
      </c>
    </row>
    <row r="652" spans="6:8" ht="15.5">
      <c r="F652" s="76">
        <v>301534</v>
      </c>
      <c r="G652" s="77" t="s">
        <v>1084</v>
      </c>
      <c r="H652" s="78">
        <v>0</v>
      </c>
    </row>
    <row r="653" spans="6:8" ht="15.5">
      <c r="F653" s="76">
        <v>314847</v>
      </c>
      <c r="G653" s="77" t="s">
        <v>1085</v>
      </c>
      <c r="H653" s="78">
        <v>0</v>
      </c>
    </row>
    <row r="654" spans="6:8" ht="15.5">
      <c r="F654" s="76">
        <v>314364</v>
      </c>
      <c r="G654" s="77" t="s">
        <v>1086</v>
      </c>
      <c r="H654" s="78">
        <v>0</v>
      </c>
    </row>
    <row r="655" spans="6:8" ht="15.5">
      <c r="F655" s="76">
        <v>314070</v>
      </c>
      <c r="G655" s="77" t="s">
        <v>1087</v>
      </c>
      <c r="H655" s="78">
        <v>0</v>
      </c>
    </row>
    <row r="656" spans="6:8" ht="15.5">
      <c r="F656" s="76">
        <v>313316</v>
      </c>
      <c r="G656" s="77" t="s">
        <v>1088</v>
      </c>
      <c r="H656" s="78">
        <v>0</v>
      </c>
    </row>
    <row r="657" spans="6:8" ht="15.5">
      <c r="F657" s="76">
        <v>308707</v>
      </c>
      <c r="G657" s="77" t="s">
        <v>1089</v>
      </c>
      <c r="H657" s="78">
        <v>0</v>
      </c>
    </row>
    <row r="658" spans="6:8" ht="15.5">
      <c r="F658" s="76">
        <v>308921</v>
      </c>
      <c r="G658" s="77" t="s">
        <v>1090</v>
      </c>
      <c r="H658" s="78">
        <v>0</v>
      </c>
    </row>
    <row r="659" spans="6:8" ht="15.5">
      <c r="F659" s="76">
        <v>315057</v>
      </c>
      <c r="G659" s="77" t="s">
        <v>1091</v>
      </c>
      <c r="H659" s="78">
        <v>0</v>
      </c>
    </row>
    <row r="660" spans="6:8" ht="15.5">
      <c r="F660" s="76">
        <v>312651</v>
      </c>
      <c r="G660" s="77" t="s">
        <v>1092</v>
      </c>
      <c r="H660" s="78">
        <v>0</v>
      </c>
    </row>
    <row r="661" spans="6:8" ht="15.5">
      <c r="F661" s="76">
        <v>316040</v>
      </c>
      <c r="G661" s="77" t="s">
        <v>1093</v>
      </c>
      <c r="H661" s="78">
        <v>0</v>
      </c>
    </row>
    <row r="662" spans="6:8" ht="15.5">
      <c r="F662" s="76">
        <v>314635</v>
      </c>
      <c r="G662" s="77" t="s">
        <v>1094</v>
      </c>
      <c r="H662" s="78">
        <v>0</v>
      </c>
    </row>
    <row r="663" spans="6:8" ht="15.5">
      <c r="F663" s="76">
        <v>313351</v>
      </c>
      <c r="G663" s="77" t="s">
        <v>1095</v>
      </c>
      <c r="H663" s="78">
        <v>0</v>
      </c>
    </row>
    <row r="664" spans="6:8" ht="15.5">
      <c r="F664" s="76">
        <v>309154</v>
      </c>
      <c r="G664" s="77" t="s">
        <v>1096</v>
      </c>
      <c r="H664" s="78">
        <v>0</v>
      </c>
    </row>
    <row r="665" spans="6:8" ht="15.5">
      <c r="F665" s="76">
        <v>314977</v>
      </c>
      <c r="G665" s="77" t="s">
        <v>1097</v>
      </c>
      <c r="H665" s="78">
        <v>0</v>
      </c>
    </row>
    <row r="666" spans="6:8" ht="15.5">
      <c r="F666" s="76">
        <v>316311</v>
      </c>
      <c r="G666" s="77" t="s">
        <v>1098</v>
      </c>
      <c r="H666" s="78">
        <v>0</v>
      </c>
    </row>
    <row r="667" spans="6:8" ht="15.5">
      <c r="F667" s="76">
        <v>310593</v>
      </c>
      <c r="G667" s="77" t="s">
        <v>1099</v>
      </c>
      <c r="H667" s="78">
        <v>0</v>
      </c>
    </row>
    <row r="668" spans="6:8" ht="15.5">
      <c r="F668" s="76">
        <v>312578</v>
      </c>
      <c r="G668" s="77" t="s">
        <v>1100</v>
      </c>
      <c r="H668" s="78">
        <v>0</v>
      </c>
    </row>
    <row r="669" spans="6:8" ht="15.5">
      <c r="F669" s="76">
        <v>90027833</v>
      </c>
      <c r="G669" s="77" t="s">
        <v>1101</v>
      </c>
      <c r="H669" s="78">
        <v>0</v>
      </c>
    </row>
    <row r="670" spans="6:8" ht="15.5">
      <c r="F670" s="76">
        <v>90040421</v>
      </c>
      <c r="G670" s="77" t="s">
        <v>1102</v>
      </c>
      <c r="H670" s="78">
        <v>0</v>
      </c>
    </row>
    <row r="671" spans="6:8" ht="15.5">
      <c r="F671" s="76">
        <v>315028</v>
      </c>
      <c r="G671" s="77" t="s">
        <v>1103</v>
      </c>
      <c r="H671" s="78">
        <v>0</v>
      </c>
    </row>
    <row r="672" spans="6:8" ht="15.5">
      <c r="F672" s="76">
        <v>314016</v>
      </c>
      <c r="G672" s="77" t="s">
        <v>1104</v>
      </c>
      <c r="H672" s="78">
        <v>0</v>
      </c>
    </row>
    <row r="673" spans="6:8" ht="15.5">
      <c r="F673" s="76">
        <v>314511</v>
      </c>
      <c r="G673" s="77" t="s">
        <v>1105</v>
      </c>
      <c r="H673" s="78">
        <v>0</v>
      </c>
    </row>
    <row r="674" spans="6:8" ht="15.5">
      <c r="F674" s="76">
        <v>90051355</v>
      </c>
      <c r="G674" s="77" t="s">
        <v>1106</v>
      </c>
      <c r="H674" s="78">
        <v>0</v>
      </c>
    </row>
    <row r="675" spans="6:8" ht="15.5">
      <c r="F675" s="76">
        <v>314338</v>
      </c>
      <c r="G675" s="77" t="s">
        <v>1107</v>
      </c>
      <c r="H675" s="78">
        <v>0</v>
      </c>
    </row>
    <row r="676" spans="6:8" ht="15.5">
      <c r="F676" s="76">
        <v>315734</v>
      </c>
      <c r="G676" s="77" t="s">
        <v>1108</v>
      </c>
      <c r="H676" s="78">
        <v>0</v>
      </c>
    </row>
    <row r="677" spans="6:8" ht="15.5">
      <c r="F677" s="76">
        <v>90046332</v>
      </c>
      <c r="G677" s="77" t="s">
        <v>1109</v>
      </c>
      <c r="H677" s="78">
        <v>0</v>
      </c>
    </row>
    <row r="678" spans="6:8" ht="15.5">
      <c r="F678" s="76">
        <v>301052</v>
      </c>
      <c r="G678" s="77" t="s">
        <v>1110</v>
      </c>
      <c r="H678" s="78">
        <v>0</v>
      </c>
    </row>
    <row r="679" spans="6:8" ht="15.5">
      <c r="F679" s="76">
        <v>313406</v>
      </c>
      <c r="G679" s="77" t="s">
        <v>1111</v>
      </c>
      <c r="H679" s="78">
        <v>0</v>
      </c>
    </row>
    <row r="680" spans="6:8" ht="15.5">
      <c r="F680" s="76">
        <v>315061</v>
      </c>
      <c r="G680" s="77" t="s">
        <v>1112</v>
      </c>
      <c r="H680" s="78">
        <v>0</v>
      </c>
    </row>
    <row r="681" spans="6:8" ht="15.5">
      <c r="F681" s="76">
        <v>315551</v>
      </c>
      <c r="G681" s="77" t="s">
        <v>1113</v>
      </c>
      <c r="H681" s="78">
        <v>0</v>
      </c>
    </row>
    <row r="682" spans="6:8" ht="15.5">
      <c r="F682" s="76">
        <v>301579</v>
      </c>
      <c r="G682" s="77" t="s">
        <v>1114</v>
      </c>
      <c r="H682" s="78">
        <v>0</v>
      </c>
    </row>
    <row r="683" spans="6:8" ht="15.5">
      <c r="F683" s="76">
        <v>314077</v>
      </c>
      <c r="G683" s="77" t="s">
        <v>1115</v>
      </c>
      <c r="H683" s="78">
        <v>0</v>
      </c>
    </row>
    <row r="684" spans="6:8" ht="15.5">
      <c r="F684" s="76">
        <v>304630</v>
      </c>
      <c r="G684" s="77" t="s">
        <v>1116</v>
      </c>
      <c r="H684" s="78">
        <v>0</v>
      </c>
    </row>
    <row r="685" spans="6:8" ht="15.5">
      <c r="F685" s="76">
        <v>315163</v>
      </c>
      <c r="G685" s="77" t="s">
        <v>1117</v>
      </c>
      <c r="H685" s="78">
        <v>0</v>
      </c>
    </row>
    <row r="686" spans="6:8" ht="15.5">
      <c r="F686" s="76">
        <v>90041399</v>
      </c>
      <c r="G686" s="77" t="s">
        <v>1118</v>
      </c>
      <c r="H686" s="78">
        <v>0</v>
      </c>
    </row>
    <row r="687" spans="6:8" ht="15.5">
      <c r="F687" s="76">
        <v>314231</v>
      </c>
      <c r="G687" s="77" t="s">
        <v>1119</v>
      </c>
      <c r="H687" s="78">
        <v>0</v>
      </c>
    </row>
    <row r="688" spans="6:8" ht="15.5">
      <c r="F688" s="76">
        <v>312910</v>
      </c>
      <c r="G688" s="77" t="s">
        <v>1120</v>
      </c>
      <c r="H688" s="78">
        <v>0</v>
      </c>
    </row>
    <row r="689" spans="6:8" ht="15.5">
      <c r="F689" s="76">
        <v>314084</v>
      </c>
      <c r="G689" s="77" t="s">
        <v>1121</v>
      </c>
      <c r="H689" s="78">
        <v>0</v>
      </c>
    </row>
    <row r="690" spans="6:8" ht="15.5">
      <c r="F690" s="76">
        <v>311466</v>
      </c>
      <c r="G690" s="77" t="s">
        <v>1122</v>
      </c>
      <c r="H690" s="78">
        <v>0</v>
      </c>
    </row>
    <row r="691" spans="6:8" ht="15.5">
      <c r="F691" s="76">
        <v>312457</v>
      </c>
      <c r="G691" s="77" t="s">
        <v>1123</v>
      </c>
      <c r="H691" s="78">
        <v>0</v>
      </c>
    </row>
    <row r="692" spans="6:8" ht="15.5">
      <c r="F692" s="76">
        <v>316039</v>
      </c>
      <c r="G692" s="77" t="s">
        <v>1124</v>
      </c>
      <c r="H692" s="78">
        <v>0</v>
      </c>
    </row>
    <row r="693" spans="6:8" ht="15.5">
      <c r="F693" s="76">
        <v>313373</v>
      </c>
      <c r="G693" s="77" t="s">
        <v>1125</v>
      </c>
      <c r="H693" s="78">
        <v>0</v>
      </c>
    </row>
    <row r="694" spans="6:8" ht="15.5">
      <c r="F694" s="76">
        <v>315597</v>
      </c>
      <c r="G694" s="77" t="s">
        <v>1126</v>
      </c>
      <c r="H694" s="78">
        <v>0</v>
      </c>
    </row>
    <row r="695" spans="6:8" ht="15.5">
      <c r="F695" s="76">
        <v>90012195</v>
      </c>
      <c r="G695" s="77" t="s">
        <v>1127</v>
      </c>
      <c r="H695" s="78">
        <v>0</v>
      </c>
    </row>
    <row r="696" spans="6:8" ht="15.5">
      <c r="F696" s="76">
        <v>314531</v>
      </c>
      <c r="G696" s="77" t="s">
        <v>1128</v>
      </c>
      <c r="H696" s="78">
        <v>0</v>
      </c>
    </row>
    <row r="697" spans="6:8" ht="15.5">
      <c r="F697" s="76">
        <v>309428</v>
      </c>
      <c r="G697" s="77" t="s">
        <v>1129</v>
      </c>
      <c r="H697" s="78">
        <v>0</v>
      </c>
    </row>
    <row r="698" spans="6:8" ht="15.5">
      <c r="F698" s="76">
        <v>315766</v>
      </c>
      <c r="G698" s="77" t="s">
        <v>1130</v>
      </c>
      <c r="H698" s="78">
        <v>0</v>
      </c>
    </row>
    <row r="699" spans="6:8" ht="15.5">
      <c r="F699" s="76">
        <v>313559</v>
      </c>
      <c r="G699" s="77" t="s">
        <v>1131</v>
      </c>
      <c r="H699" s="78">
        <v>0</v>
      </c>
    </row>
    <row r="700" spans="6:8" ht="15.5">
      <c r="F700" s="76">
        <v>314916</v>
      </c>
      <c r="G700" s="77" t="s">
        <v>1132</v>
      </c>
      <c r="H700" s="78">
        <v>0</v>
      </c>
    </row>
    <row r="701" spans="6:8" ht="15.5">
      <c r="F701" s="76">
        <v>314885</v>
      </c>
      <c r="G701" s="77" t="s">
        <v>1133</v>
      </c>
      <c r="H701" s="78">
        <v>0</v>
      </c>
    </row>
    <row r="702" spans="6:8" ht="15.5">
      <c r="F702" s="76">
        <v>313141</v>
      </c>
      <c r="G702" s="77" t="s">
        <v>1134</v>
      </c>
      <c r="H702" s="78">
        <v>0</v>
      </c>
    </row>
    <row r="703" spans="6:8" ht="15.5">
      <c r="F703" s="76">
        <v>313861</v>
      </c>
      <c r="G703" s="77" t="s">
        <v>1135</v>
      </c>
      <c r="H703" s="78">
        <v>0</v>
      </c>
    </row>
    <row r="704" spans="6:8" ht="15.5">
      <c r="F704" s="76">
        <v>311901</v>
      </c>
      <c r="G704" s="77" t="s">
        <v>1136</v>
      </c>
      <c r="H704" s="78">
        <v>0</v>
      </c>
    </row>
    <row r="705" spans="6:8" ht="15.5">
      <c r="F705" s="76">
        <v>304240</v>
      </c>
      <c r="G705" s="77" t="s">
        <v>1137</v>
      </c>
      <c r="H705" s="78">
        <v>0</v>
      </c>
    </row>
    <row r="706" spans="6:8" ht="15.5">
      <c r="F706" s="76">
        <v>90024418</v>
      </c>
      <c r="G706" s="77" t="s">
        <v>1138</v>
      </c>
      <c r="H706" s="78">
        <v>0</v>
      </c>
    </row>
    <row r="707" spans="6:8" ht="15.5">
      <c r="F707" s="76">
        <v>313195</v>
      </c>
      <c r="G707" s="77" t="s">
        <v>1139</v>
      </c>
      <c r="H707" s="78">
        <v>0</v>
      </c>
    </row>
    <row r="708" spans="6:8" ht="15.5">
      <c r="F708" s="76">
        <v>313770</v>
      </c>
      <c r="G708" s="77" t="s">
        <v>1140</v>
      </c>
      <c r="H708" s="78">
        <v>0</v>
      </c>
    </row>
    <row r="709" spans="6:8" ht="15.5">
      <c r="F709" s="76">
        <v>90048797</v>
      </c>
      <c r="G709" s="77" t="s">
        <v>1141</v>
      </c>
      <c r="H709" s="78">
        <v>0</v>
      </c>
    </row>
    <row r="710" spans="6:8" ht="15.5">
      <c r="F710" s="76">
        <v>314675</v>
      </c>
      <c r="G710" s="77" t="s">
        <v>1142</v>
      </c>
      <c r="H710" s="78">
        <v>0</v>
      </c>
    </row>
    <row r="711" spans="6:8" ht="15.5">
      <c r="F711" s="76">
        <v>308533</v>
      </c>
      <c r="G711" s="77" t="s">
        <v>1143</v>
      </c>
      <c r="H711" s="78">
        <v>0</v>
      </c>
    </row>
    <row r="712" spans="6:8" ht="15.5">
      <c r="F712" s="76">
        <v>315502</v>
      </c>
      <c r="G712" s="77" t="s">
        <v>1144</v>
      </c>
      <c r="H712" s="78">
        <v>0</v>
      </c>
    </row>
    <row r="713" spans="6:8" ht="15.5">
      <c r="F713" s="76">
        <v>315786</v>
      </c>
      <c r="G713" s="77" t="s">
        <v>1145</v>
      </c>
      <c r="H713" s="78">
        <v>0</v>
      </c>
    </row>
    <row r="714" spans="6:8" ht="15.5">
      <c r="F714" s="76">
        <v>315483</v>
      </c>
      <c r="G714" s="77" t="s">
        <v>1146</v>
      </c>
      <c r="H714" s="78">
        <v>0</v>
      </c>
    </row>
    <row r="715" spans="6:8" ht="15.5">
      <c r="F715" s="76">
        <v>306695</v>
      </c>
      <c r="G715" s="77" t="s">
        <v>1147</v>
      </c>
      <c r="H715" s="78">
        <v>0</v>
      </c>
    </row>
    <row r="716" spans="6:8" ht="15.5">
      <c r="F716" s="76">
        <v>313804</v>
      </c>
      <c r="G716" s="77" t="s">
        <v>1148</v>
      </c>
      <c r="H716" s="78">
        <v>0</v>
      </c>
    </row>
    <row r="717" spans="6:8" ht="15.5">
      <c r="F717" s="76">
        <v>305736</v>
      </c>
      <c r="G717" s="77" t="s">
        <v>1149</v>
      </c>
      <c r="H717" s="78">
        <v>0</v>
      </c>
    </row>
    <row r="718" spans="6:8" ht="15.5">
      <c r="F718" s="76">
        <v>90024501</v>
      </c>
      <c r="G718" s="77" t="s">
        <v>1150</v>
      </c>
      <c r="H718" s="78">
        <v>0</v>
      </c>
    </row>
    <row r="719" spans="6:8" ht="15.5">
      <c r="F719" s="76">
        <v>313259</v>
      </c>
      <c r="G719" s="77" t="s">
        <v>1151</v>
      </c>
      <c r="H719" s="78">
        <v>0</v>
      </c>
    </row>
    <row r="720" spans="6:8" ht="15.5">
      <c r="F720" s="76">
        <v>313327</v>
      </c>
      <c r="G720" s="77" t="s">
        <v>1152</v>
      </c>
      <c r="H720" s="78">
        <v>0</v>
      </c>
    </row>
    <row r="721" spans="6:8" ht="15.5">
      <c r="F721" s="76">
        <v>309209</v>
      </c>
      <c r="G721" s="77" t="s">
        <v>1153</v>
      </c>
      <c r="H721" s="78">
        <v>0</v>
      </c>
    </row>
    <row r="722" spans="6:8" ht="15.5">
      <c r="F722" s="76">
        <v>314281</v>
      </c>
      <c r="G722" s="77" t="s">
        <v>1154</v>
      </c>
      <c r="H722" s="78">
        <v>0</v>
      </c>
    </row>
    <row r="723" spans="6:8" ht="15.5">
      <c r="F723" s="76">
        <v>311219</v>
      </c>
      <c r="G723" s="77" t="s">
        <v>1155</v>
      </c>
      <c r="H723" s="78">
        <v>0</v>
      </c>
    </row>
    <row r="724" spans="6:8" ht="15.5">
      <c r="F724" s="76">
        <v>316043</v>
      </c>
      <c r="G724" s="77" t="s">
        <v>1156</v>
      </c>
      <c r="H724" s="78">
        <v>0</v>
      </c>
    </row>
    <row r="725" spans="6:8" ht="15.5">
      <c r="F725" s="76">
        <v>315174</v>
      </c>
      <c r="G725" s="77" t="s">
        <v>1157</v>
      </c>
      <c r="H725" s="78">
        <v>0</v>
      </c>
    </row>
    <row r="726" spans="6:8" ht="15.5">
      <c r="F726" s="76">
        <v>312540</v>
      </c>
      <c r="G726" s="77" t="s">
        <v>1158</v>
      </c>
      <c r="H726" s="78">
        <v>0</v>
      </c>
    </row>
    <row r="727" spans="6:8" ht="15.5">
      <c r="F727" s="76">
        <v>90009506</v>
      </c>
      <c r="G727" s="77" t="s">
        <v>1159</v>
      </c>
      <c r="H727" s="78">
        <v>0</v>
      </c>
    </row>
    <row r="728" spans="6:8" ht="15.5">
      <c r="F728" s="76">
        <v>313701</v>
      </c>
      <c r="G728" s="77" t="s">
        <v>1160</v>
      </c>
      <c r="H728" s="78">
        <v>0</v>
      </c>
    </row>
    <row r="729" spans="6:8" ht="15.5">
      <c r="F729" s="76">
        <v>312557</v>
      </c>
      <c r="G729" s="77" t="s">
        <v>1161</v>
      </c>
      <c r="H729" s="78">
        <v>0</v>
      </c>
    </row>
    <row r="730" spans="6:8" ht="15.5">
      <c r="F730" s="76">
        <v>315994</v>
      </c>
      <c r="G730" s="77" t="s">
        <v>1162</v>
      </c>
      <c r="H730" s="78">
        <v>0</v>
      </c>
    </row>
    <row r="731" spans="6:8" ht="15.5">
      <c r="F731" s="76">
        <v>315190</v>
      </c>
      <c r="G731" s="77" t="s">
        <v>1163</v>
      </c>
      <c r="H731" s="78">
        <v>0</v>
      </c>
    </row>
    <row r="732" spans="6:8" ht="15.5">
      <c r="F732" s="76">
        <v>90023752</v>
      </c>
      <c r="G732" s="77" t="s">
        <v>1164</v>
      </c>
      <c r="H732" s="78">
        <v>0</v>
      </c>
    </row>
    <row r="733" spans="6:8" ht="15.5">
      <c r="F733" s="76">
        <v>311167</v>
      </c>
      <c r="G733" s="77" t="s">
        <v>1165</v>
      </c>
      <c r="H733" s="78">
        <v>0</v>
      </c>
    </row>
    <row r="734" spans="6:8" ht="15.5">
      <c r="F734" s="76">
        <v>90034737</v>
      </c>
      <c r="G734" s="77" t="s">
        <v>1166</v>
      </c>
      <c r="H734" s="78">
        <v>0</v>
      </c>
    </row>
    <row r="735" spans="6:8" ht="15.5">
      <c r="F735" s="76">
        <v>90033087</v>
      </c>
      <c r="G735" s="77" t="s">
        <v>1167</v>
      </c>
      <c r="H735" s="78">
        <v>0</v>
      </c>
    </row>
    <row r="736" spans="6:8" ht="15.5">
      <c r="F736" s="76">
        <v>312542</v>
      </c>
      <c r="G736" s="77" t="s">
        <v>1168</v>
      </c>
      <c r="H736" s="78">
        <v>0</v>
      </c>
    </row>
    <row r="737" spans="6:8" ht="15.5">
      <c r="F737" s="76">
        <v>3410331</v>
      </c>
      <c r="G737" s="77" t="s">
        <v>1169</v>
      </c>
      <c r="H737" s="78">
        <v>0</v>
      </c>
    </row>
    <row r="738" spans="6:8" ht="15.5">
      <c r="F738" s="76">
        <v>303412</v>
      </c>
      <c r="G738" s="77" t="s">
        <v>1170</v>
      </c>
      <c r="H738" s="78">
        <v>0</v>
      </c>
    </row>
    <row r="739" spans="6:8" ht="15.5">
      <c r="F739" s="76">
        <v>315436</v>
      </c>
      <c r="G739" s="77" t="s">
        <v>1171</v>
      </c>
      <c r="H739" s="78">
        <v>0</v>
      </c>
    </row>
    <row r="740" spans="6:8" ht="15.5">
      <c r="F740" s="76">
        <v>311891</v>
      </c>
      <c r="G740" s="77" t="s">
        <v>1172</v>
      </c>
      <c r="H740" s="78">
        <v>0</v>
      </c>
    </row>
    <row r="741" spans="6:8" ht="15.5">
      <c r="F741" s="76">
        <v>309812</v>
      </c>
      <c r="G741" s="77" t="s">
        <v>1173</v>
      </c>
      <c r="H741" s="78">
        <v>0</v>
      </c>
    </row>
    <row r="742" spans="6:8" ht="15.5">
      <c r="F742" s="76">
        <v>315975</v>
      </c>
      <c r="G742" s="77" t="s">
        <v>1174</v>
      </c>
      <c r="H742" s="78">
        <v>0</v>
      </c>
    </row>
    <row r="743" spans="6:8" ht="15.5">
      <c r="F743" s="76">
        <v>314275</v>
      </c>
      <c r="G743" s="77" t="s">
        <v>1175</v>
      </c>
      <c r="H743" s="78">
        <v>0</v>
      </c>
    </row>
    <row r="744" spans="6:8" ht="15.5">
      <c r="F744" s="76">
        <v>313314</v>
      </c>
      <c r="G744" s="77" t="s">
        <v>1176</v>
      </c>
      <c r="H744" s="78">
        <v>0</v>
      </c>
    </row>
    <row r="745" spans="6:8" ht="15.5">
      <c r="F745" s="76">
        <v>307588</v>
      </c>
      <c r="G745" s="77" t="s">
        <v>1177</v>
      </c>
      <c r="H745" s="78">
        <v>0</v>
      </c>
    </row>
    <row r="746" spans="6:8" ht="15.5">
      <c r="F746" s="76">
        <v>315463</v>
      </c>
      <c r="G746" s="77" t="s">
        <v>1178</v>
      </c>
      <c r="H746" s="78">
        <v>0</v>
      </c>
    </row>
    <row r="747" spans="6:8" ht="15.5">
      <c r="F747" s="76">
        <v>90045872</v>
      </c>
      <c r="G747" s="77" t="s">
        <v>1179</v>
      </c>
      <c r="H747" s="78">
        <v>0</v>
      </c>
    </row>
    <row r="748" spans="6:8" ht="15.5">
      <c r="F748" s="76">
        <v>316378</v>
      </c>
      <c r="G748" s="77" t="s">
        <v>1180</v>
      </c>
      <c r="H748" s="78">
        <v>0</v>
      </c>
    </row>
    <row r="749" spans="6:8" ht="15.5">
      <c r="F749" s="76">
        <v>310755</v>
      </c>
      <c r="G749" s="77" t="s">
        <v>1181</v>
      </c>
      <c r="H749" s="78">
        <v>0</v>
      </c>
    </row>
    <row r="750" spans="6:8" ht="15.5">
      <c r="F750" s="76">
        <v>314466</v>
      </c>
      <c r="G750" s="77" t="s">
        <v>1182</v>
      </c>
      <c r="H750" s="78">
        <v>0</v>
      </c>
    </row>
    <row r="751" spans="6:8" ht="15.5">
      <c r="F751" s="76">
        <v>315555</v>
      </c>
      <c r="G751" s="77" t="s">
        <v>1183</v>
      </c>
      <c r="H751" s="78">
        <v>0</v>
      </c>
    </row>
    <row r="752" spans="6:8" ht="15.5">
      <c r="F752" s="76">
        <v>90016469</v>
      </c>
      <c r="G752" s="77" t="s">
        <v>1184</v>
      </c>
      <c r="H752" s="78">
        <v>0</v>
      </c>
    </row>
    <row r="753" spans="6:8" ht="15.5">
      <c r="F753" s="76">
        <v>310043</v>
      </c>
      <c r="G753" s="77" t="s">
        <v>1185</v>
      </c>
      <c r="H753" s="78">
        <v>0</v>
      </c>
    </row>
    <row r="754" spans="6:8" ht="15.5">
      <c r="F754" s="76">
        <v>314443</v>
      </c>
      <c r="G754" s="77" t="s">
        <v>1186</v>
      </c>
      <c r="H754" s="78">
        <v>0</v>
      </c>
    </row>
    <row r="755" spans="6:8" ht="15.5">
      <c r="F755" s="76">
        <v>314800</v>
      </c>
      <c r="G755" s="77" t="s">
        <v>1187</v>
      </c>
      <c r="H755" s="78">
        <v>0</v>
      </c>
    </row>
    <row r="756" spans="6:8" ht="15.5">
      <c r="F756" s="76">
        <v>314739</v>
      </c>
      <c r="G756" s="77" t="s">
        <v>1188</v>
      </c>
      <c r="H756" s="78">
        <v>0</v>
      </c>
    </row>
    <row r="757" spans="6:8" ht="15.5">
      <c r="F757" s="76">
        <v>314763</v>
      </c>
      <c r="G757" s="77" t="s">
        <v>1189</v>
      </c>
      <c r="H757" s="78">
        <v>0</v>
      </c>
    </row>
    <row r="758" spans="6:8" ht="15.5">
      <c r="F758" s="76">
        <v>311227</v>
      </c>
      <c r="G758" s="77" t="s">
        <v>1190</v>
      </c>
      <c r="H758" s="78">
        <v>0</v>
      </c>
    </row>
    <row r="759" spans="6:8" ht="15.5">
      <c r="F759" s="76">
        <v>308968</v>
      </c>
      <c r="G759" s="77" t="s">
        <v>1191</v>
      </c>
      <c r="H759" s="78">
        <v>0</v>
      </c>
    </row>
    <row r="760" spans="6:8" ht="15.5">
      <c r="F760" s="76">
        <v>308401</v>
      </c>
      <c r="G760" s="77" t="s">
        <v>1192</v>
      </c>
      <c r="H760" s="78">
        <v>0</v>
      </c>
    </row>
    <row r="761" spans="6:8" ht="15.5">
      <c r="F761" s="76">
        <v>314871</v>
      </c>
      <c r="G761" s="77" t="s">
        <v>1193</v>
      </c>
      <c r="H761" s="78">
        <v>0</v>
      </c>
    </row>
    <row r="762" spans="6:8" ht="15.5">
      <c r="F762" s="76">
        <v>90040434</v>
      </c>
      <c r="G762" s="77" t="s">
        <v>1194</v>
      </c>
      <c r="H762" s="78">
        <v>0</v>
      </c>
    </row>
    <row r="763" spans="6:8" ht="15.5">
      <c r="F763" s="76">
        <v>315613</v>
      </c>
      <c r="G763" s="77" t="s">
        <v>1195</v>
      </c>
      <c r="H763" s="78">
        <v>0</v>
      </c>
    </row>
    <row r="764" spans="6:8" ht="15.5">
      <c r="F764" s="76">
        <v>90020902</v>
      </c>
      <c r="G764" s="77" t="s">
        <v>1196</v>
      </c>
      <c r="H764" s="78">
        <v>0</v>
      </c>
    </row>
    <row r="765" spans="6:8" ht="15.5">
      <c r="F765" s="76">
        <v>313368</v>
      </c>
      <c r="G765" s="77" t="s">
        <v>1197</v>
      </c>
      <c r="H765" s="78">
        <v>0</v>
      </c>
    </row>
    <row r="766" spans="6:8" ht="15.5">
      <c r="F766" s="76">
        <v>314342</v>
      </c>
      <c r="G766" s="77" t="s">
        <v>1198</v>
      </c>
      <c r="H766" s="78">
        <v>0</v>
      </c>
    </row>
    <row r="767" spans="6:8" ht="15.5">
      <c r="F767" s="76">
        <v>312736</v>
      </c>
      <c r="G767" s="77" t="s">
        <v>1199</v>
      </c>
      <c r="H767" s="78">
        <v>0</v>
      </c>
    </row>
    <row r="768" spans="6:8" ht="15.5">
      <c r="F768" s="76">
        <v>90039503</v>
      </c>
      <c r="G768" s="77" t="s">
        <v>1200</v>
      </c>
      <c r="H768" s="78">
        <v>0</v>
      </c>
    </row>
    <row r="769" spans="6:8" ht="15.5">
      <c r="F769" s="76">
        <v>90034565</v>
      </c>
      <c r="G769" s="77" t="s">
        <v>1201</v>
      </c>
      <c r="H769" s="78">
        <v>0</v>
      </c>
    </row>
    <row r="770" spans="6:8" ht="15.5">
      <c r="F770" s="76">
        <v>312762</v>
      </c>
      <c r="G770" s="77" t="s">
        <v>1202</v>
      </c>
      <c r="H770" s="78">
        <v>0</v>
      </c>
    </row>
    <row r="771" spans="6:8" ht="15.5">
      <c r="F771" s="76">
        <v>303591</v>
      </c>
      <c r="G771" s="77" t="s">
        <v>1203</v>
      </c>
      <c r="H771" s="78">
        <v>0</v>
      </c>
    </row>
    <row r="772" spans="6:8" ht="15.5">
      <c r="F772" s="76">
        <v>312165</v>
      </c>
      <c r="G772" s="77" t="s">
        <v>1204</v>
      </c>
      <c r="H772" s="78">
        <v>0</v>
      </c>
    </row>
    <row r="773" spans="6:8" ht="15.5">
      <c r="F773" s="76">
        <v>90033484</v>
      </c>
      <c r="G773" s="77" t="s">
        <v>1205</v>
      </c>
      <c r="H773" s="78">
        <v>0</v>
      </c>
    </row>
    <row r="774" spans="6:8" ht="15.5">
      <c r="F774" s="76">
        <v>860236</v>
      </c>
      <c r="G774" s="77" t="s">
        <v>1206</v>
      </c>
      <c r="H774" s="78">
        <v>0</v>
      </c>
    </row>
    <row r="775" spans="6:8" ht="15.5">
      <c r="F775" s="76">
        <v>313560</v>
      </c>
      <c r="G775" s="77" t="s">
        <v>1207</v>
      </c>
      <c r="H775" s="78">
        <v>0</v>
      </c>
    </row>
    <row r="776" spans="6:8" ht="15.5">
      <c r="F776" s="76">
        <v>315360</v>
      </c>
      <c r="G776" s="77" t="s">
        <v>1208</v>
      </c>
      <c r="H776" s="78">
        <v>0</v>
      </c>
    </row>
    <row r="777" spans="6:8" ht="15.5">
      <c r="F777" s="76">
        <v>316174</v>
      </c>
      <c r="G777" s="77" t="s">
        <v>1209</v>
      </c>
      <c r="H777" s="78">
        <v>0</v>
      </c>
    </row>
    <row r="778" spans="6:8" ht="15.5">
      <c r="F778" s="76">
        <v>315047</v>
      </c>
      <c r="G778" s="77" t="s">
        <v>1210</v>
      </c>
      <c r="H778" s="78">
        <v>0</v>
      </c>
    </row>
    <row r="779" spans="6:8" ht="15.5">
      <c r="F779" s="76">
        <v>90021461</v>
      </c>
      <c r="G779" s="77" t="s">
        <v>1211</v>
      </c>
      <c r="H779" s="78">
        <v>0</v>
      </c>
    </row>
    <row r="780" spans="6:8" ht="15.5">
      <c r="F780" s="76">
        <v>311598</v>
      </c>
      <c r="G780" s="77" t="s">
        <v>1212</v>
      </c>
      <c r="H780" s="78">
        <v>0</v>
      </c>
    </row>
    <row r="781" spans="6:8" ht="15.5">
      <c r="F781" s="76">
        <v>90048448</v>
      </c>
      <c r="G781" s="77" t="s">
        <v>1213</v>
      </c>
      <c r="H781" s="78">
        <v>0</v>
      </c>
    </row>
    <row r="782" spans="6:8" ht="15.5">
      <c r="F782" s="76">
        <v>313451</v>
      </c>
      <c r="G782" s="77" t="s">
        <v>1214</v>
      </c>
      <c r="H782" s="78">
        <v>0</v>
      </c>
    </row>
    <row r="783" spans="6:8" ht="15.5">
      <c r="F783" s="76">
        <v>311742</v>
      </c>
      <c r="G783" s="77" t="s">
        <v>1215</v>
      </c>
      <c r="H783" s="78">
        <v>0</v>
      </c>
    </row>
    <row r="784" spans="6:8" ht="15.5">
      <c r="F784" s="76">
        <v>308758</v>
      </c>
      <c r="G784" s="77" t="s">
        <v>1216</v>
      </c>
      <c r="H784" s="78">
        <v>0</v>
      </c>
    </row>
    <row r="785" spans="6:8" ht="15.5">
      <c r="F785" s="76">
        <v>90025143</v>
      </c>
      <c r="G785" s="77" t="s">
        <v>1217</v>
      </c>
      <c r="H785" s="78">
        <v>0</v>
      </c>
    </row>
    <row r="786" spans="6:8" ht="15.5">
      <c r="F786" s="76">
        <v>90015672</v>
      </c>
      <c r="G786" s="77" t="s">
        <v>1218</v>
      </c>
      <c r="H786" s="78">
        <v>0</v>
      </c>
    </row>
    <row r="787" spans="6:8" ht="15.5">
      <c r="F787" s="76">
        <v>314371</v>
      </c>
      <c r="G787" s="77" t="s">
        <v>1219</v>
      </c>
      <c r="H787" s="78">
        <v>0</v>
      </c>
    </row>
    <row r="788" spans="6:8" ht="15.5">
      <c r="F788" s="76">
        <v>90014082</v>
      </c>
      <c r="G788" s="77" t="s">
        <v>1220</v>
      </c>
      <c r="H788" s="78">
        <v>0</v>
      </c>
    </row>
    <row r="789" spans="6:8" ht="15.5">
      <c r="F789" s="76">
        <v>314095</v>
      </c>
      <c r="G789" s="77" t="s">
        <v>1221</v>
      </c>
      <c r="H789" s="78">
        <v>0</v>
      </c>
    </row>
    <row r="790" spans="6:8" ht="15.5">
      <c r="F790" s="76">
        <v>314408</v>
      </c>
      <c r="G790" s="77" t="s">
        <v>1222</v>
      </c>
      <c r="H790" s="78">
        <v>0</v>
      </c>
    </row>
    <row r="791" spans="6:8" ht="15.5">
      <c r="F791" s="76">
        <v>315868</v>
      </c>
      <c r="G791" s="77" t="s">
        <v>1223</v>
      </c>
      <c r="H791" s="78">
        <v>0</v>
      </c>
    </row>
    <row r="792" spans="6:8" ht="15.5">
      <c r="F792" s="76">
        <v>315890</v>
      </c>
      <c r="G792" s="77" t="s">
        <v>1224</v>
      </c>
      <c r="H792" s="78">
        <v>0</v>
      </c>
    </row>
    <row r="793" spans="6:8" ht="15.5">
      <c r="F793" s="76">
        <v>312434</v>
      </c>
      <c r="G793" s="77" t="s">
        <v>1225</v>
      </c>
      <c r="H793" s="78">
        <v>0</v>
      </c>
    </row>
    <row r="794" spans="6:8" ht="15.5">
      <c r="F794" s="76">
        <v>202410</v>
      </c>
      <c r="G794" s="77" t="s">
        <v>1226</v>
      </c>
      <c r="H794" s="78">
        <v>0</v>
      </c>
    </row>
    <row r="795" spans="6:8" ht="15.5">
      <c r="F795" s="76">
        <v>90046396</v>
      </c>
      <c r="G795" s="77" t="s">
        <v>1227</v>
      </c>
      <c r="H795" s="78">
        <v>0</v>
      </c>
    </row>
    <row r="796" spans="6:8" ht="15.5">
      <c r="F796" s="76">
        <v>310750</v>
      </c>
      <c r="G796" s="77" t="s">
        <v>1228</v>
      </c>
      <c r="H796" s="78">
        <v>0</v>
      </c>
    </row>
    <row r="797" spans="6:8" ht="15.5">
      <c r="F797" s="76">
        <v>304557</v>
      </c>
      <c r="G797" s="77" t="s">
        <v>1229</v>
      </c>
      <c r="H797" s="78">
        <v>0</v>
      </c>
    </row>
    <row r="798" spans="6:8" ht="15.5">
      <c r="F798" s="76">
        <v>308593</v>
      </c>
      <c r="G798" s="77" t="s">
        <v>1230</v>
      </c>
      <c r="H798" s="78">
        <v>0</v>
      </c>
    </row>
    <row r="799" spans="6:8" ht="15.5">
      <c r="F799" s="76">
        <v>90040440</v>
      </c>
      <c r="G799" s="77" t="s">
        <v>1231</v>
      </c>
      <c r="H799" s="78">
        <v>0</v>
      </c>
    </row>
    <row r="800" spans="6:8" ht="15.5">
      <c r="F800" s="76">
        <v>90024632</v>
      </c>
      <c r="G800" s="77" t="s">
        <v>1232</v>
      </c>
      <c r="H800" s="78">
        <v>0</v>
      </c>
    </row>
    <row r="801" spans="6:8" ht="15.5">
      <c r="F801" s="76">
        <v>310893</v>
      </c>
      <c r="G801" s="77" t="s">
        <v>1233</v>
      </c>
      <c r="H801" s="78">
        <v>0</v>
      </c>
    </row>
    <row r="802" spans="6:8" ht="15.5">
      <c r="F802" s="76">
        <v>310845</v>
      </c>
      <c r="G802" s="77" t="s">
        <v>1234</v>
      </c>
      <c r="H802" s="78">
        <v>0</v>
      </c>
    </row>
    <row r="803" spans="6:8" ht="15.5">
      <c r="F803" s="76">
        <v>316018</v>
      </c>
      <c r="G803" s="77" t="s">
        <v>1235</v>
      </c>
      <c r="H803" s="78">
        <v>0</v>
      </c>
    </row>
    <row r="804" spans="6:8" ht="15.5">
      <c r="F804" s="76">
        <v>313654</v>
      </c>
      <c r="G804" s="77" t="s">
        <v>1236</v>
      </c>
      <c r="H804" s="78">
        <v>0</v>
      </c>
    </row>
    <row r="805" spans="6:8" ht="15.5">
      <c r="F805" s="76">
        <v>308152</v>
      </c>
      <c r="G805" s="77" t="s">
        <v>1237</v>
      </c>
      <c r="H805" s="78">
        <v>0</v>
      </c>
    </row>
    <row r="806" spans="6:8" ht="15.5">
      <c r="F806" s="76">
        <v>313812</v>
      </c>
      <c r="G806" s="77" t="s">
        <v>1238</v>
      </c>
      <c r="H806" s="78">
        <v>0</v>
      </c>
    </row>
    <row r="807" spans="6:8" ht="15.5">
      <c r="F807" s="76">
        <v>315652</v>
      </c>
      <c r="G807" s="77" t="s">
        <v>1239</v>
      </c>
      <c r="H807" s="78">
        <v>0</v>
      </c>
    </row>
    <row r="808" spans="6:8" ht="15.5">
      <c r="F808" s="76">
        <v>90019931</v>
      </c>
      <c r="G808" s="77" t="s">
        <v>1240</v>
      </c>
      <c r="H808" s="78">
        <v>0</v>
      </c>
    </row>
    <row r="809" spans="6:8" ht="15.5">
      <c r="F809" s="76">
        <v>90039750</v>
      </c>
      <c r="G809" s="77" t="s">
        <v>1241</v>
      </c>
      <c r="H809" s="78">
        <v>0</v>
      </c>
    </row>
    <row r="810" spans="6:8" ht="15.5">
      <c r="F810" s="76">
        <v>314467</v>
      </c>
      <c r="G810" s="77" t="s">
        <v>1242</v>
      </c>
      <c r="H810" s="78">
        <v>0</v>
      </c>
    </row>
    <row r="811" spans="6:8" ht="15.5">
      <c r="F811" s="76">
        <v>303616</v>
      </c>
      <c r="G811" s="77" t="s">
        <v>1243</v>
      </c>
      <c r="H811" s="78">
        <v>0</v>
      </c>
    </row>
    <row r="812" spans="6:8" ht="15.5">
      <c r="F812" s="76">
        <v>310011</v>
      </c>
      <c r="G812" s="77" t="s">
        <v>1244</v>
      </c>
      <c r="H812" s="78">
        <v>0</v>
      </c>
    </row>
    <row r="813" spans="6:8" ht="15.5">
      <c r="F813" s="76">
        <v>314808</v>
      </c>
      <c r="G813" s="77" t="s">
        <v>1245</v>
      </c>
      <c r="H813" s="78">
        <v>0</v>
      </c>
    </row>
    <row r="814" spans="6:8" ht="15.5">
      <c r="F814" s="76">
        <v>306497</v>
      </c>
      <c r="G814" s="77" t="s">
        <v>1246</v>
      </c>
      <c r="H814" s="78">
        <v>0</v>
      </c>
    </row>
    <row r="815" spans="6:8" ht="15.5">
      <c r="F815" s="76">
        <v>90024786</v>
      </c>
      <c r="G815" s="77" t="s">
        <v>1247</v>
      </c>
      <c r="H815" s="78">
        <v>0</v>
      </c>
    </row>
    <row r="816" spans="6:8" ht="15.5">
      <c r="F816" s="76">
        <v>90028608</v>
      </c>
      <c r="G816" s="77" t="s">
        <v>1248</v>
      </c>
      <c r="H816" s="78">
        <v>0</v>
      </c>
    </row>
    <row r="817" spans="6:8" ht="15.5">
      <c r="F817" s="76">
        <v>314703</v>
      </c>
      <c r="G817" s="77" t="s">
        <v>1249</v>
      </c>
      <c r="H817" s="78">
        <v>0</v>
      </c>
    </row>
    <row r="818" spans="6:8" ht="15.5">
      <c r="F818" s="76">
        <v>315330</v>
      </c>
      <c r="G818" s="77" t="s">
        <v>1250</v>
      </c>
      <c r="H818" s="78">
        <v>0</v>
      </c>
    </row>
    <row r="819" spans="6:8" ht="15.5">
      <c r="F819" s="76">
        <v>315947</v>
      </c>
      <c r="G819" s="77" t="s">
        <v>1251</v>
      </c>
      <c r="H819" s="78">
        <v>0</v>
      </c>
    </row>
    <row r="820" spans="6:8" ht="15.5">
      <c r="F820" s="76">
        <v>90024069</v>
      </c>
      <c r="G820" s="77" t="s">
        <v>1252</v>
      </c>
      <c r="H820" s="78">
        <v>0</v>
      </c>
    </row>
    <row r="821" spans="6:8" ht="15.5">
      <c r="F821" s="76">
        <v>313727</v>
      </c>
      <c r="G821" s="77" t="s">
        <v>1253</v>
      </c>
      <c r="H821" s="78">
        <v>0</v>
      </c>
    </row>
    <row r="822" spans="6:8" ht="15.5">
      <c r="F822" s="76">
        <v>313685</v>
      </c>
      <c r="G822" s="77" t="s">
        <v>1254</v>
      </c>
      <c r="H822" s="78">
        <v>0</v>
      </c>
    </row>
    <row r="823" spans="6:8" ht="15.5">
      <c r="F823" s="76">
        <v>314684</v>
      </c>
      <c r="G823" s="77" t="s">
        <v>1255</v>
      </c>
      <c r="H823" s="78">
        <v>0</v>
      </c>
    </row>
    <row r="824" spans="6:8" ht="15.5">
      <c r="F824" s="76">
        <v>315123</v>
      </c>
      <c r="G824" s="77" t="s">
        <v>1256</v>
      </c>
      <c r="H824" s="78">
        <v>0</v>
      </c>
    </row>
    <row r="825" spans="6:8" ht="15.5">
      <c r="F825" s="76">
        <v>315491</v>
      </c>
      <c r="G825" s="77" t="s">
        <v>1257</v>
      </c>
      <c r="H825" s="78">
        <v>0</v>
      </c>
    </row>
    <row r="826" spans="6:8" ht="15.5">
      <c r="F826" s="76">
        <v>314068</v>
      </c>
      <c r="G826" s="77" t="s">
        <v>1258</v>
      </c>
      <c r="H826" s="78">
        <v>0</v>
      </c>
    </row>
    <row r="827" spans="6:8" ht="15.5">
      <c r="F827" s="76">
        <v>313871</v>
      </c>
      <c r="G827" s="77" t="s">
        <v>1259</v>
      </c>
      <c r="H827" s="78">
        <v>0</v>
      </c>
    </row>
    <row r="828" spans="6:8" ht="15.5">
      <c r="F828" s="76">
        <v>312554</v>
      </c>
      <c r="G828" s="77" t="s">
        <v>1260</v>
      </c>
      <c r="H828" s="78">
        <v>0</v>
      </c>
    </row>
    <row r="829" spans="6:8" ht="15.5">
      <c r="F829" s="76">
        <v>313410</v>
      </c>
      <c r="G829" s="77" t="s">
        <v>1261</v>
      </c>
      <c r="H829" s="78">
        <v>0</v>
      </c>
    </row>
    <row r="830" spans="6:8" ht="15.5">
      <c r="F830" s="76">
        <v>315510</v>
      </c>
      <c r="G830" s="77" t="s">
        <v>1262</v>
      </c>
      <c r="H830" s="78">
        <v>0</v>
      </c>
    </row>
    <row r="831" spans="6:8" ht="15.5">
      <c r="F831" s="76">
        <v>90041423</v>
      </c>
      <c r="G831" s="77" t="s">
        <v>1263</v>
      </c>
      <c r="H831" s="78">
        <v>0</v>
      </c>
    </row>
    <row r="832" spans="6:8" ht="15.5">
      <c r="F832" s="76">
        <v>90045666</v>
      </c>
      <c r="G832" s="77" t="s">
        <v>1264</v>
      </c>
      <c r="H832" s="78">
        <v>0</v>
      </c>
    </row>
    <row r="833" spans="6:8" ht="15.5">
      <c r="F833" s="76">
        <v>313644</v>
      </c>
      <c r="G833" s="77" t="s">
        <v>1265</v>
      </c>
      <c r="H833" s="78">
        <v>0</v>
      </c>
    </row>
    <row r="834" spans="6:8" ht="15.5">
      <c r="F834" s="76">
        <v>312323</v>
      </c>
      <c r="G834" s="77" t="s">
        <v>1266</v>
      </c>
      <c r="H834" s="78">
        <v>0</v>
      </c>
    </row>
    <row r="835" spans="6:8" ht="15.5">
      <c r="F835" s="76">
        <v>313428</v>
      </c>
      <c r="G835" s="77" t="s">
        <v>1267</v>
      </c>
      <c r="H835" s="78">
        <v>0</v>
      </c>
    </row>
    <row r="836" spans="6:8" ht="15.5">
      <c r="F836" s="76">
        <v>90034152</v>
      </c>
      <c r="G836" s="77" t="s">
        <v>1268</v>
      </c>
      <c r="H836" s="78">
        <v>0</v>
      </c>
    </row>
    <row r="837" spans="6:8" ht="15.5">
      <c r="F837" s="76">
        <v>90033763</v>
      </c>
      <c r="G837" s="77" t="s">
        <v>1269</v>
      </c>
      <c r="H837" s="78">
        <v>0</v>
      </c>
    </row>
    <row r="838" spans="6:8" ht="15.5">
      <c r="F838" s="76">
        <v>311094</v>
      </c>
      <c r="G838" s="77" t="s">
        <v>1270</v>
      </c>
      <c r="H838" s="78">
        <v>0</v>
      </c>
    </row>
    <row r="839" spans="6:8" ht="15.5">
      <c r="F839" s="76">
        <v>313151</v>
      </c>
      <c r="G839" s="77" t="s">
        <v>1271</v>
      </c>
      <c r="H839" s="78">
        <v>0</v>
      </c>
    </row>
    <row r="840" spans="6:8" ht="15.5">
      <c r="F840" s="76">
        <v>90048474</v>
      </c>
      <c r="G840" s="77" t="s">
        <v>1272</v>
      </c>
      <c r="H840" s="78">
        <v>0</v>
      </c>
    </row>
    <row r="841" spans="6:8" ht="15.5">
      <c r="F841" s="76">
        <v>315682</v>
      </c>
      <c r="G841" s="77" t="s">
        <v>1273</v>
      </c>
      <c r="H841" s="78">
        <v>0</v>
      </c>
    </row>
    <row r="842" spans="6:8" ht="15.5">
      <c r="F842" s="76">
        <v>308702</v>
      </c>
      <c r="G842" s="77" t="s">
        <v>1274</v>
      </c>
      <c r="H842" s="78">
        <v>0</v>
      </c>
    </row>
    <row r="843" spans="6:8" ht="15.5">
      <c r="F843" s="76">
        <v>306313</v>
      </c>
      <c r="G843" s="77" t="s">
        <v>1275</v>
      </c>
      <c r="H843" s="78">
        <v>0</v>
      </c>
    </row>
    <row r="844" spans="6:8" ht="15.5">
      <c r="F844" s="76">
        <v>315646</v>
      </c>
      <c r="G844" s="77" t="s">
        <v>1276</v>
      </c>
      <c r="H844" s="78">
        <v>0</v>
      </c>
    </row>
    <row r="845" spans="6:8" ht="15.5">
      <c r="F845" s="76">
        <v>315249</v>
      </c>
      <c r="G845" s="77" t="s">
        <v>1277</v>
      </c>
      <c r="H845" s="78">
        <v>0</v>
      </c>
    </row>
    <row r="846" spans="6:8" ht="15.5">
      <c r="F846" s="76">
        <v>315056</v>
      </c>
      <c r="G846" s="77" t="s">
        <v>1278</v>
      </c>
      <c r="H846" s="78">
        <v>0</v>
      </c>
    </row>
    <row r="847" spans="6:8" ht="15.5">
      <c r="F847" s="76">
        <v>314285</v>
      </c>
      <c r="G847" s="77" t="s">
        <v>1279</v>
      </c>
      <c r="H847" s="78">
        <v>0</v>
      </c>
    </row>
    <row r="848" spans="6:8" ht="15.5">
      <c r="F848" s="76">
        <v>311882</v>
      </c>
      <c r="G848" s="77" t="s">
        <v>1280</v>
      </c>
      <c r="H848" s="78">
        <v>0</v>
      </c>
    </row>
    <row r="849" spans="6:8" ht="15.5">
      <c r="F849" s="76">
        <v>314750</v>
      </c>
      <c r="G849" s="77" t="s">
        <v>1281</v>
      </c>
      <c r="H849" s="78">
        <v>0</v>
      </c>
    </row>
    <row r="850" spans="6:8" ht="15.5">
      <c r="F850" s="76">
        <v>315596</v>
      </c>
      <c r="G850" s="77" t="s">
        <v>1282</v>
      </c>
      <c r="H850" s="78">
        <v>0</v>
      </c>
    </row>
    <row r="851" spans="6:8" ht="15.5">
      <c r="F851" s="76">
        <v>315176</v>
      </c>
      <c r="G851" s="77" t="s">
        <v>1283</v>
      </c>
      <c r="H851" s="78">
        <v>0</v>
      </c>
    </row>
    <row r="852" spans="6:8" ht="15.5">
      <c r="F852" s="76">
        <v>315041</v>
      </c>
      <c r="G852" s="77" t="s">
        <v>1284</v>
      </c>
      <c r="H852" s="78">
        <v>0</v>
      </c>
    </row>
    <row r="853" spans="6:8" ht="15.5">
      <c r="F853" s="76">
        <v>313219</v>
      </c>
      <c r="G853" s="77" t="s">
        <v>1285</v>
      </c>
      <c r="H853" s="78">
        <v>0</v>
      </c>
    </row>
    <row r="854" spans="6:8" ht="15.5">
      <c r="F854" s="76">
        <v>314553</v>
      </c>
      <c r="G854" s="77" t="s">
        <v>1286</v>
      </c>
      <c r="H854" s="78">
        <v>0</v>
      </c>
    </row>
    <row r="855" spans="6:8" ht="15.5">
      <c r="F855" s="76">
        <v>90040156</v>
      </c>
      <c r="G855" s="77" t="s">
        <v>1287</v>
      </c>
      <c r="H855" s="78">
        <v>0</v>
      </c>
    </row>
    <row r="856" spans="6:8" ht="15.5">
      <c r="F856" s="76">
        <v>313803</v>
      </c>
      <c r="G856" s="77" t="s">
        <v>1288</v>
      </c>
      <c r="H856" s="78">
        <v>0</v>
      </c>
    </row>
    <row r="857" spans="6:8" ht="15.5">
      <c r="F857" s="76">
        <v>90034562</v>
      </c>
      <c r="G857" s="77" t="s">
        <v>1289</v>
      </c>
      <c r="H857" s="78">
        <v>0</v>
      </c>
    </row>
    <row r="858" spans="6:8" ht="15.5">
      <c r="F858" s="76">
        <v>307154</v>
      </c>
      <c r="G858" s="77" t="s">
        <v>1290</v>
      </c>
      <c r="H858" s="78">
        <v>0</v>
      </c>
    </row>
    <row r="859" spans="6:8" ht="15.5">
      <c r="F859" s="76">
        <v>314445</v>
      </c>
      <c r="G859" s="77" t="s">
        <v>1291</v>
      </c>
      <c r="H859" s="78">
        <v>0</v>
      </c>
    </row>
    <row r="860" spans="6:8" ht="15.5">
      <c r="F860" s="76">
        <v>314320</v>
      </c>
      <c r="G860" s="77" t="s">
        <v>1292</v>
      </c>
      <c r="H860" s="78">
        <v>0</v>
      </c>
    </row>
    <row r="861" spans="6:8" ht="15.5">
      <c r="F861" s="76">
        <v>90024829</v>
      </c>
      <c r="G861" s="77" t="s">
        <v>1293</v>
      </c>
      <c r="H861" s="78">
        <v>0</v>
      </c>
    </row>
    <row r="862" spans="6:8" ht="15.5">
      <c r="F862" s="76">
        <v>90049264</v>
      </c>
      <c r="G862" s="77" t="s">
        <v>1294</v>
      </c>
      <c r="H862" s="78">
        <v>0</v>
      </c>
    </row>
    <row r="863" spans="6:8" ht="15.5">
      <c r="F863" s="76">
        <v>90045957</v>
      </c>
      <c r="G863" s="77" t="s">
        <v>1295</v>
      </c>
      <c r="H863" s="78">
        <v>0</v>
      </c>
    </row>
    <row r="864" spans="6:8" ht="15.5">
      <c r="F864" s="76">
        <v>313699</v>
      </c>
      <c r="G864" s="77" t="s">
        <v>1296</v>
      </c>
      <c r="H864" s="78">
        <v>0</v>
      </c>
    </row>
    <row r="865" spans="6:13" ht="15.5">
      <c r="F865" s="76">
        <v>307498</v>
      </c>
      <c r="G865" s="77" t="s">
        <v>1297</v>
      </c>
      <c r="H865" s="78">
        <v>0</v>
      </c>
    </row>
    <row r="866" spans="6:13" ht="15.5">
      <c r="F866" s="76">
        <v>313108</v>
      </c>
      <c r="G866" s="77" t="s">
        <v>1298</v>
      </c>
      <c r="H866" s="78">
        <v>0</v>
      </c>
    </row>
    <row r="867" spans="6:13" ht="15.5">
      <c r="F867" s="76">
        <v>315762</v>
      </c>
      <c r="G867" s="77" t="s">
        <v>1299</v>
      </c>
      <c r="H867" s="78">
        <v>0</v>
      </c>
    </row>
    <row r="868" spans="6:13" ht="15.5">
      <c r="F868" s="76">
        <v>312811</v>
      </c>
      <c r="G868" s="77" t="s">
        <v>1300</v>
      </c>
      <c r="H868" s="78">
        <v>0</v>
      </c>
    </row>
    <row r="869" spans="6:13" ht="15.5">
      <c r="F869" s="76">
        <v>313353</v>
      </c>
      <c r="G869" s="77" t="s">
        <v>1301</v>
      </c>
      <c r="H869" s="78">
        <v>0</v>
      </c>
    </row>
    <row r="870" spans="6:13" ht="15.5">
      <c r="F870" s="76">
        <v>313264</v>
      </c>
      <c r="G870" s="77" t="s">
        <v>1302</v>
      </c>
      <c r="H870" s="78">
        <v>0</v>
      </c>
    </row>
    <row r="871" spans="6:13" ht="15.5">
      <c r="F871" s="76">
        <v>314528</v>
      </c>
      <c r="G871" s="77" t="s">
        <v>1303</v>
      </c>
      <c r="H871" s="78">
        <v>0</v>
      </c>
    </row>
    <row r="872" spans="6:13" ht="15.5">
      <c r="F872" s="76">
        <v>307008</v>
      </c>
      <c r="G872" s="77" t="s">
        <v>1304</v>
      </c>
      <c r="H872" s="78">
        <v>0</v>
      </c>
    </row>
    <row r="873" spans="6:13" ht="15.5">
      <c r="F873" s="76">
        <v>311933</v>
      </c>
      <c r="G873" s="77" t="s">
        <v>1305</v>
      </c>
      <c r="H873" s="78">
        <v>0</v>
      </c>
    </row>
    <row r="874" spans="6:13" ht="15.5">
      <c r="F874" s="76">
        <v>90033666</v>
      </c>
      <c r="G874" s="77" t="s">
        <v>1306</v>
      </c>
      <c r="H874" s="78">
        <v>0</v>
      </c>
    </row>
    <row r="875" spans="6:13" ht="15.5">
      <c r="F875" s="76">
        <v>315213</v>
      </c>
      <c r="G875" s="77" t="s">
        <v>1307</v>
      </c>
      <c r="H875" s="78">
        <v>0</v>
      </c>
    </row>
    <row r="876" spans="6:13" ht="15.5">
      <c r="F876" s="76">
        <v>311721</v>
      </c>
      <c r="G876" s="77" t="s">
        <v>1308</v>
      </c>
      <c r="H876" s="78">
        <v>0</v>
      </c>
    </row>
    <row r="877" spans="6:13" ht="15.5">
      <c r="F877" s="76">
        <v>90039532</v>
      </c>
      <c r="G877" s="77" t="s">
        <v>1309</v>
      </c>
      <c r="H877" s="78">
        <v>0</v>
      </c>
    </row>
    <row r="878" spans="6:13" ht="15.5">
      <c r="F878" s="76">
        <v>90025140</v>
      </c>
      <c r="G878" s="77" t="s">
        <v>1310</v>
      </c>
      <c r="H878" s="78">
        <v>0</v>
      </c>
    </row>
    <row r="879" spans="6:13" ht="15.5">
      <c r="F879" s="76">
        <v>313016</v>
      </c>
      <c r="G879" s="77" t="s">
        <v>1311</v>
      </c>
      <c r="H879" s="78">
        <v>0</v>
      </c>
    </row>
    <row r="880" spans="6:13" ht="15.5">
      <c r="F880" s="76">
        <v>313552</v>
      </c>
      <c r="G880" s="77" t="s">
        <v>1312</v>
      </c>
      <c r="H880" s="78">
        <v>0</v>
      </c>
      <c r="L880" s="47"/>
      <c r="M880" s="47"/>
    </row>
    <row r="881" spans="6:8" ht="15.5">
      <c r="F881" s="76">
        <v>313091</v>
      </c>
      <c r="G881" s="77" t="s">
        <v>1313</v>
      </c>
      <c r="H881" s="78">
        <v>0</v>
      </c>
    </row>
    <row r="882" spans="6:8" ht="15.5">
      <c r="F882" s="76">
        <v>312169</v>
      </c>
      <c r="G882" s="77" t="s">
        <v>1314</v>
      </c>
      <c r="H882" s="78">
        <v>0</v>
      </c>
    </row>
    <row r="883" spans="6:8" ht="15.5">
      <c r="F883" s="76">
        <v>308284</v>
      </c>
      <c r="G883" s="77" t="s">
        <v>1315</v>
      </c>
      <c r="H883" s="78">
        <v>0</v>
      </c>
    </row>
    <row r="884" spans="6:8" ht="15.5">
      <c r="F884" s="76">
        <v>312293</v>
      </c>
      <c r="G884" s="77" t="s">
        <v>1316</v>
      </c>
      <c r="H884" s="78">
        <v>0</v>
      </c>
    </row>
    <row r="885" spans="6:8" ht="15.5">
      <c r="F885" s="76">
        <v>315582</v>
      </c>
      <c r="G885" s="77" t="s">
        <v>1317</v>
      </c>
      <c r="H885" s="78">
        <v>0</v>
      </c>
    </row>
    <row r="886" spans="6:8" ht="15.5">
      <c r="F886" s="76">
        <v>314664</v>
      </c>
      <c r="G886" s="77" t="s">
        <v>1318</v>
      </c>
      <c r="H886" s="78">
        <v>0</v>
      </c>
    </row>
    <row r="887" spans="6:8" ht="15.5">
      <c r="F887" s="76">
        <v>316273</v>
      </c>
      <c r="G887" s="77" t="s">
        <v>1319</v>
      </c>
      <c r="H887" s="78">
        <v>0</v>
      </c>
    </row>
    <row r="888" spans="6:8" ht="15.5">
      <c r="F888" s="76">
        <v>314263</v>
      </c>
      <c r="G888" s="77" t="s">
        <v>1320</v>
      </c>
      <c r="H888" s="78">
        <v>0</v>
      </c>
    </row>
    <row r="889" spans="6:8" ht="15.5">
      <c r="F889" s="76">
        <v>314012</v>
      </c>
      <c r="G889" s="77" t="s">
        <v>1321</v>
      </c>
      <c r="H889" s="78">
        <v>0</v>
      </c>
    </row>
    <row r="890" spans="6:8" ht="15.5">
      <c r="F890" s="76">
        <v>314349</v>
      </c>
      <c r="G890" s="77" t="s">
        <v>1322</v>
      </c>
      <c r="H890" s="78">
        <v>0</v>
      </c>
    </row>
    <row r="891" spans="6:8" ht="15.5">
      <c r="F891" s="76">
        <v>312409</v>
      </c>
      <c r="G891" s="77" t="s">
        <v>1323</v>
      </c>
      <c r="H891" s="78">
        <v>0</v>
      </c>
    </row>
    <row r="892" spans="6:8" ht="15.5">
      <c r="F892" s="76">
        <v>316145</v>
      </c>
      <c r="G892" s="77" t="s">
        <v>1324</v>
      </c>
      <c r="H892" s="78">
        <v>0</v>
      </c>
    </row>
    <row r="893" spans="6:8" ht="15.5">
      <c r="F893" s="76">
        <v>314934</v>
      </c>
      <c r="G893" s="77" t="s">
        <v>1325</v>
      </c>
      <c r="H893" s="78">
        <v>0</v>
      </c>
    </row>
    <row r="894" spans="6:8" ht="15.5">
      <c r="F894" s="76">
        <v>90046185</v>
      </c>
      <c r="G894" s="77" t="s">
        <v>1326</v>
      </c>
      <c r="H894" s="78">
        <v>0</v>
      </c>
    </row>
    <row r="895" spans="6:8" ht="15.5">
      <c r="F895" s="76">
        <v>90023868</v>
      </c>
      <c r="G895" s="77" t="s">
        <v>1327</v>
      </c>
      <c r="H895" s="78">
        <v>0</v>
      </c>
    </row>
    <row r="896" spans="6:8" ht="15.5">
      <c r="F896" s="76">
        <v>315303</v>
      </c>
      <c r="G896" s="77" t="s">
        <v>1328</v>
      </c>
      <c r="H896" s="78">
        <v>0</v>
      </c>
    </row>
    <row r="897" spans="6:8" ht="15.5">
      <c r="F897" s="76">
        <v>315309</v>
      </c>
      <c r="G897" s="77" t="s">
        <v>1329</v>
      </c>
      <c r="H897" s="78">
        <v>0</v>
      </c>
    </row>
    <row r="898" spans="6:8" ht="15.5">
      <c r="F898" s="76">
        <v>307917</v>
      </c>
      <c r="G898" s="77" t="s">
        <v>1330</v>
      </c>
      <c r="H898" s="78">
        <v>0</v>
      </c>
    </row>
    <row r="899" spans="6:8" ht="15.5">
      <c r="F899" s="76">
        <v>90049037</v>
      </c>
      <c r="G899" s="77" t="s">
        <v>1331</v>
      </c>
      <c r="H899" s="78">
        <v>0</v>
      </c>
    </row>
    <row r="900" spans="6:8" ht="15.5">
      <c r="F900" s="76">
        <v>315038</v>
      </c>
      <c r="G900" s="77" t="s">
        <v>1332</v>
      </c>
      <c r="H900" s="78">
        <v>0</v>
      </c>
    </row>
    <row r="901" spans="6:8" ht="15.5">
      <c r="F901" s="76">
        <v>315593</v>
      </c>
      <c r="G901" s="77" t="s">
        <v>1333</v>
      </c>
      <c r="H901" s="78">
        <v>0</v>
      </c>
    </row>
    <row r="902" spans="6:8" ht="15.5">
      <c r="F902" s="76">
        <v>303509</v>
      </c>
      <c r="G902" s="77" t="s">
        <v>1334</v>
      </c>
      <c r="H902" s="78">
        <v>0</v>
      </c>
    </row>
    <row r="903" spans="6:8" ht="15.5">
      <c r="F903" s="76">
        <v>101729</v>
      </c>
      <c r="G903" s="77" t="s">
        <v>1335</v>
      </c>
      <c r="H903" s="78">
        <v>0</v>
      </c>
    </row>
    <row r="904" spans="6:8" ht="15.5">
      <c r="F904" s="76">
        <v>314230</v>
      </c>
      <c r="G904" s="77" t="s">
        <v>1336</v>
      </c>
      <c r="H904" s="78">
        <v>0</v>
      </c>
    </row>
    <row r="905" spans="6:8" ht="15.5">
      <c r="F905" s="76">
        <v>314093</v>
      </c>
      <c r="G905" s="77" t="s">
        <v>1337</v>
      </c>
      <c r="H905" s="78">
        <v>0</v>
      </c>
    </row>
    <row r="906" spans="6:8" ht="15.5">
      <c r="F906" s="76">
        <v>312717</v>
      </c>
      <c r="G906" s="77" t="s">
        <v>1338</v>
      </c>
      <c r="H906" s="78">
        <v>0</v>
      </c>
    </row>
    <row r="907" spans="6:8" ht="15.5">
      <c r="F907" s="76">
        <v>314785</v>
      </c>
      <c r="G907" s="77" t="s">
        <v>1339</v>
      </c>
      <c r="H907" s="78">
        <v>0</v>
      </c>
    </row>
    <row r="908" spans="6:8" ht="15.5">
      <c r="F908" s="76">
        <v>305673</v>
      </c>
      <c r="G908" s="77" t="s">
        <v>1340</v>
      </c>
      <c r="H908" s="78">
        <v>0</v>
      </c>
    </row>
    <row r="909" spans="6:8" ht="15.5">
      <c r="F909" s="76">
        <v>90040629</v>
      </c>
      <c r="G909" s="77" t="s">
        <v>1341</v>
      </c>
      <c r="H909" s="78">
        <v>0</v>
      </c>
    </row>
    <row r="910" spans="6:8" ht="15.5">
      <c r="F910" s="76">
        <v>314524</v>
      </c>
      <c r="G910" s="77" t="s">
        <v>1342</v>
      </c>
      <c r="H910" s="78">
        <v>0</v>
      </c>
    </row>
    <row r="911" spans="6:8" ht="15.5">
      <c r="F911" s="76">
        <v>315987</v>
      </c>
      <c r="G911" s="77" t="s">
        <v>1343</v>
      </c>
      <c r="H911" s="78">
        <v>0</v>
      </c>
    </row>
    <row r="912" spans="6:8" ht="15.5">
      <c r="F912" s="76">
        <v>310144</v>
      </c>
      <c r="G912" s="77" t="s">
        <v>1344</v>
      </c>
      <c r="H912" s="78">
        <v>0</v>
      </c>
    </row>
    <row r="913" spans="6:8" ht="15.5">
      <c r="F913" s="76">
        <v>315457</v>
      </c>
      <c r="G913" s="77" t="s">
        <v>1345</v>
      </c>
      <c r="H913" s="78">
        <v>0</v>
      </c>
    </row>
    <row r="914" spans="6:8" ht="15.5">
      <c r="F914" s="76">
        <v>90027823</v>
      </c>
      <c r="G914" s="77" t="s">
        <v>1346</v>
      </c>
      <c r="H914" s="78">
        <v>0</v>
      </c>
    </row>
    <row r="915" spans="6:8" ht="15.5">
      <c r="F915" s="76">
        <v>313313</v>
      </c>
      <c r="G915" s="77" t="s">
        <v>1347</v>
      </c>
      <c r="H915" s="78">
        <v>0</v>
      </c>
    </row>
    <row r="916" spans="6:8" ht="15.5">
      <c r="F916" s="76">
        <v>313497</v>
      </c>
      <c r="G916" s="77" t="s">
        <v>1348</v>
      </c>
      <c r="H916" s="78">
        <v>0</v>
      </c>
    </row>
    <row r="917" spans="6:8" ht="15.5">
      <c r="F917" s="76">
        <v>90027915</v>
      </c>
      <c r="G917" s="77" t="s">
        <v>1349</v>
      </c>
      <c r="H917" s="78">
        <v>0</v>
      </c>
    </row>
    <row r="918" spans="6:8" ht="15.5">
      <c r="F918" s="76">
        <v>90040153</v>
      </c>
      <c r="G918" s="77" t="s">
        <v>1350</v>
      </c>
      <c r="H918" s="78">
        <v>0</v>
      </c>
    </row>
    <row r="919" spans="6:8" ht="15.5">
      <c r="F919" s="76">
        <v>311612</v>
      </c>
      <c r="G919" s="77" t="s">
        <v>1351</v>
      </c>
      <c r="H919" s="78">
        <v>0</v>
      </c>
    </row>
    <row r="920" spans="6:8" ht="15.5">
      <c r="F920" s="76">
        <v>90009231</v>
      </c>
      <c r="G920" s="77" t="s">
        <v>1352</v>
      </c>
      <c r="H920" s="78">
        <v>0</v>
      </c>
    </row>
    <row r="921" spans="6:8" ht="15.5">
      <c r="F921" s="76">
        <v>310557</v>
      </c>
      <c r="G921" s="77" t="s">
        <v>1353</v>
      </c>
      <c r="H921" s="78">
        <v>0</v>
      </c>
    </row>
    <row r="922" spans="6:8" ht="15.5">
      <c r="F922" s="76">
        <v>90024340</v>
      </c>
      <c r="G922" s="77" t="s">
        <v>1354</v>
      </c>
      <c r="H922" s="78">
        <v>0</v>
      </c>
    </row>
    <row r="923" spans="6:8" ht="15.5">
      <c r="F923" s="76">
        <v>314748</v>
      </c>
      <c r="G923" s="77" t="s">
        <v>1355</v>
      </c>
      <c r="H923" s="78">
        <v>0</v>
      </c>
    </row>
    <row r="924" spans="6:8" ht="15.5">
      <c r="F924" s="76">
        <v>314329</v>
      </c>
      <c r="G924" s="77" t="s">
        <v>1356</v>
      </c>
      <c r="H924" s="78">
        <v>0</v>
      </c>
    </row>
    <row r="925" spans="6:8" ht="15.5">
      <c r="F925" s="76">
        <v>90039301</v>
      </c>
      <c r="G925" s="77" t="s">
        <v>1357</v>
      </c>
      <c r="H925" s="78">
        <v>0</v>
      </c>
    </row>
    <row r="926" spans="6:8" ht="15.5">
      <c r="F926" s="76">
        <v>314753</v>
      </c>
      <c r="G926" s="77" t="s">
        <v>1358</v>
      </c>
      <c r="H926" s="78">
        <v>0</v>
      </c>
    </row>
    <row r="927" spans="6:8" ht="15.5">
      <c r="F927" s="76">
        <v>315204</v>
      </c>
      <c r="G927" s="77" t="s">
        <v>1359</v>
      </c>
      <c r="H927" s="78">
        <v>0</v>
      </c>
    </row>
    <row r="928" spans="6:8" ht="15.5">
      <c r="F928" s="76">
        <v>90009507</v>
      </c>
      <c r="G928" s="77" t="s">
        <v>1360</v>
      </c>
      <c r="H928" s="78">
        <v>0</v>
      </c>
    </row>
    <row r="929" spans="6:8" ht="15.5">
      <c r="F929" s="76">
        <v>315584</v>
      </c>
      <c r="G929" s="77" t="s">
        <v>1361</v>
      </c>
      <c r="H929" s="78">
        <v>0</v>
      </c>
    </row>
    <row r="930" spans="6:8" ht="15.5">
      <c r="F930" s="76">
        <v>311548</v>
      </c>
      <c r="G930" s="77" t="s">
        <v>1362</v>
      </c>
      <c r="H930" s="78">
        <v>0</v>
      </c>
    </row>
    <row r="931" spans="6:8" ht="15.5">
      <c r="F931" s="76">
        <v>314815</v>
      </c>
      <c r="G931" s="77" t="s">
        <v>1363</v>
      </c>
      <c r="H931" s="78">
        <v>0</v>
      </c>
    </row>
    <row r="932" spans="6:8" ht="15.5">
      <c r="F932" s="76">
        <v>306667</v>
      </c>
      <c r="G932" s="77" t="s">
        <v>1364</v>
      </c>
      <c r="H932" s="78">
        <v>0</v>
      </c>
    </row>
    <row r="933" spans="6:8" ht="15.5">
      <c r="F933" s="76">
        <v>90024328</v>
      </c>
      <c r="G933" s="77" t="s">
        <v>1365</v>
      </c>
      <c r="H933" s="78">
        <v>0</v>
      </c>
    </row>
    <row r="934" spans="6:8" ht="15.5">
      <c r="F934" s="76">
        <v>316322</v>
      </c>
      <c r="G934" s="77" t="s">
        <v>1366</v>
      </c>
      <c r="H934" s="78">
        <v>0</v>
      </c>
    </row>
    <row r="935" spans="6:8" ht="15.5">
      <c r="F935" s="76">
        <v>90019276</v>
      </c>
      <c r="G935" s="77" t="s">
        <v>1367</v>
      </c>
      <c r="H935" s="78">
        <v>0</v>
      </c>
    </row>
    <row r="936" spans="6:8" ht="15.5">
      <c r="F936" s="76">
        <v>314533</v>
      </c>
      <c r="G936" s="77" t="s">
        <v>1368</v>
      </c>
      <c r="H936" s="78">
        <v>0</v>
      </c>
    </row>
    <row r="937" spans="6:8" ht="15.5">
      <c r="F937" s="76">
        <v>315318</v>
      </c>
      <c r="G937" s="77" t="s">
        <v>1369</v>
      </c>
      <c r="H937" s="78">
        <v>0</v>
      </c>
    </row>
    <row r="938" spans="6:8" ht="15.5">
      <c r="F938" s="76">
        <v>311817</v>
      </c>
      <c r="G938" s="77" t="s">
        <v>1370</v>
      </c>
      <c r="H938" s="78">
        <v>0</v>
      </c>
    </row>
    <row r="939" spans="6:8" ht="15.5">
      <c r="F939" s="76">
        <v>301309</v>
      </c>
      <c r="G939" s="77" t="s">
        <v>1371</v>
      </c>
      <c r="H939" s="78">
        <v>0</v>
      </c>
    </row>
    <row r="940" spans="6:8" ht="15.5">
      <c r="F940" s="76">
        <v>315530</v>
      </c>
      <c r="G940" s="77" t="s">
        <v>1372</v>
      </c>
      <c r="H940" s="78">
        <v>0</v>
      </c>
    </row>
    <row r="941" spans="6:8" ht="15.5">
      <c r="F941" s="76">
        <v>315343</v>
      </c>
      <c r="G941" s="77" t="s">
        <v>1373</v>
      </c>
      <c r="H941" s="78">
        <v>0</v>
      </c>
    </row>
    <row r="942" spans="6:8" ht="15.5">
      <c r="F942" s="76">
        <v>309911</v>
      </c>
      <c r="G942" s="77" t="s">
        <v>1374</v>
      </c>
      <c r="H942" s="78">
        <v>0</v>
      </c>
    </row>
    <row r="943" spans="6:8" ht="15.5">
      <c r="F943" s="76">
        <v>90035164</v>
      </c>
      <c r="G943" s="77" t="s">
        <v>1375</v>
      </c>
      <c r="H943" s="78">
        <v>0</v>
      </c>
    </row>
    <row r="944" spans="6:8" ht="15.5">
      <c r="F944" s="76">
        <v>90046848</v>
      </c>
      <c r="G944" s="77" t="s">
        <v>1376</v>
      </c>
      <c r="H944" s="78">
        <v>0</v>
      </c>
    </row>
    <row r="945" spans="6:8" ht="15.5">
      <c r="F945" s="76">
        <v>90040516</v>
      </c>
      <c r="G945" s="77" t="s">
        <v>1377</v>
      </c>
      <c r="H945" s="78">
        <v>0</v>
      </c>
    </row>
    <row r="946" spans="6:8" ht="15.5">
      <c r="F946" s="76">
        <v>90046366</v>
      </c>
      <c r="G946" s="77" t="s">
        <v>1378</v>
      </c>
      <c r="H946" s="78">
        <v>0</v>
      </c>
    </row>
    <row r="947" spans="6:8" ht="15.5">
      <c r="F947" s="76">
        <v>315485</v>
      </c>
      <c r="G947" s="77" t="s">
        <v>1379</v>
      </c>
      <c r="H947" s="78">
        <v>0</v>
      </c>
    </row>
    <row r="948" spans="6:8" ht="15.5">
      <c r="F948" s="76">
        <v>90027918</v>
      </c>
      <c r="G948" s="77" t="s">
        <v>1380</v>
      </c>
      <c r="H948" s="78">
        <v>0</v>
      </c>
    </row>
    <row r="949" spans="6:8" ht="15.5">
      <c r="F949" s="76">
        <v>307104</v>
      </c>
      <c r="G949" s="77" t="s">
        <v>1381</v>
      </c>
      <c r="H949" s="78">
        <v>0</v>
      </c>
    </row>
    <row r="950" spans="6:8" ht="15.5">
      <c r="F950" s="76">
        <v>90050198</v>
      </c>
      <c r="G950" s="77" t="s">
        <v>1382</v>
      </c>
      <c r="H950" s="78">
        <v>0</v>
      </c>
    </row>
    <row r="951" spans="6:8" ht="15.5">
      <c r="F951" s="76">
        <v>312975</v>
      </c>
      <c r="G951" s="77" t="s">
        <v>1383</v>
      </c>
      <c r="H951" s="78">
        <v>0</v>
      </c>
    </row>
    <row r="952" spans="6:8" ht="15.5">
      <c r="F952" s="76">
        <v>90041270</v>
      </c>
      <c r="G952" s="77" t="s">
        <v>1384</v>
      </c>
      <c r="H952" s="78">
        <v>0</v>
      </c>
    </row>
    <row r="953" spans="6:8" ht="15.5">
      <c r="F953" s="76">
        <v>306654</v>
      </c>
      <c r="G953" s="77" t="s">
        <v>1385</v>
      </c>
      <c r="H953" s="78">
        <v>0</v>
      </c>
    </row>
    <row r="954" spans="6:8" ht="15.5">
      <c r="F954" s="76">
        <v>315035</v>
      </c>
      <c r="G954" s="77" t="s">
        <v>1386</v>
      </c>
      <c r="H954" s="78">
        <v>0</v>
      </c>
    </row>
    <row r="955" spans="6:8" ht="15.5">
      <c r="F955" s="76">
        <v>308638</v>
      </c>
      <c r="G955" s="77" t="s">
        <v>1387</v>
      </c>
      <c r="H955" s="78">
        <v>0</v>
      </c>
    </row>
    <row r="956" spans="6:8" ht="15.5">
      <c r="F956" s="76">
        <v>90038360</v>
      </c>
      <c r="G956" s="77" t="s">
        <v>1388</v>
      </c>
      <c r="H956" s="78">
        <v>0</v>
      </c>
    </row>
    <row r="957" spans="6:8" ht="15.5">
      <c r="F957" s="76">
        <v>315255</v>
      </c>
      <c r="G957" s="77" t="s">
        <v>1389</v>
      </c>
      <c r="H957" s="78">
        <v>0</v>
      </c>
    </row>
    <row r="958" spans="6:8" ht="15.5">
      <c r="F958" s="76">
        <v>313730</v>
      </c>
      <c r="G958" s="77" t="s">
        <v>1390</v>
      </c>
      <c r="H958" s="78">
        <v>0</v>
      </c>
    </row>
    <row r="959" spans="6:8" ht="15.5">
      <c r="F959" s="76">
        <v>316025</v>
      </c>
      <c r="G959" s="77" t="s">
        <v>1391</v>
      </c>
      <c r="H959" s="78">
        <v>0</v>
      </c>
    </row>
    <row r="960" spans="6:8" ht="15.5">
      <c r="F960" s="76">
        <v>90012459</v>
      </c>
      <c r="G960" s="77" t="s">
        <v>1392</v>
      </c>
      <c r="H960" s="78">
        <v>0</v>
      </c>
    </row>
    <row r="961" spans="6:8" ht="15.5">
      <c r="F961" s="76">
        <v>313757</v>
      </c>
      <c r="G961" s="77" t="s">
        <v>1393</v>
      </c>
      <c r="H961" s="78">
        <v>0</v>
      </c>
    </row>
    <row r="962" spans="6:8" ht="15.5">
      <c r="F962" s="76">
        <v>314118</v>
      </c>
      <c r="G962" s="77" t="s">
        <v>1394</v>
      </c>
      <c r="H962" s="78">
        <v>0</v>
      </c>
    </row>
    <row r="963" spans="6:8" ht="15.5">
      <c r="F963" s="76">
        <v>309429</v>
      </c>
      <c r="G963" s="77" t="s">
        <v>1395</v>
      </c>
      <c r="H963" s="78">
        <v>0</v>
      </c>
    </row>
    <row r="964" spans="6:8" ht="15.5">
      <c r="F964" s="76">
        <v>315421</v>
      </c>
      <c r="G964" s="77" t="s">
        <v>1396</v>
      </c>
      <c r="H964" s="78">
        <v>0</v>
      </c>
    </row>
    <row r="965" spans="6:8" ht="15.5">
      <c r="F965" s="76">
        <v>315265</v>
      </c>
      <c r="G965" s="77" t="s">
        <v>1397</v>
      </c>
      <c r="H965" s="78">
        <v>0</v>
      </c>
    </row>
    <row r="966" spans="6:8" ht="15.5">
      <c r="F966" s="76">
        <v>90047632</v>
      </c>
      <c r="G966" s="77" t="s">
        <v>1398</v>
      </c>
      <c r="H966" s="78">
        <v>0</v>
      </c>
    </row>
    <row r="967" spans="6:8" ht="15.5">
      <c r="F967" s="76">
        <v>301514</v>
      </c>
      <c r="G967" s="77" t="s">
        <v>1399</v>
      </c>
      <c r="H967" s="78">
        <v>0</v>
      </c>
    </row>
    <row r="968" spans="6:8" ht="15.5">
      <c r="F968" s="76">
        <v>90018835</v>
      </c>
      <c r="G968" s="77" t="s">
        <v>1400</v>
      </c>
      <c r="H968" s="78">
        <v>0</v>
      </c>
    </row>
    <row r="969" spans="6:8" ht="15.5">
      <c r="F969" s="76">
        <v>315273</v>
      </c>
      <c r="G969" s="77" t="s">
        <v>1401</v>
      </c>
      <c r="H969" s="78">
        <v>0</v>
      </c>
    </row>
    <row r="970" spans="6:8" ht="15.5">
      <c r="F970" s="76">
        <v>309950</v>
      </c>
      <c r="G970" s="77" t="s">
        <v>1402</v>
      </c>
      <c r="H970" s="78">
        <v>0</v>
      </c>
    </row>
    <row r="971" spans="6:8" ht="15.5">
      <c r="F971" s="76">
        <v>315349</v>
      </c>
      <c r="G971" s="77" t="s">
        <v>1403</v>
      </c>
      <c r="H971" s="78">
        <v>0</v>
      </c>
    </row>
    <row r="972" spans="6:8" ht="15.5">
      <c r="F972" s="76">
        <v>306248</v>
      </c>
      <c r="G972" s="77" t="s">
        <v>1404</v>
      </c>
      <c r="H972" s="78">
        <v>0</v>
      </c>
    </row>
    <row r="973" spans="6:8" ht="15.5">
      <c r="F973" s="76">
        <v>310719</v>
      </c>
      <c r="G973" s="77" t="s">
        <v>1405</v>
      </c>
      <c r="H973" s="78">
        <v>0</v>
      </c>
    </row>
    <row r="974" spans="6:8" ht="15.5">
      <c r="F974" s="76">
        <v>90039872</v>
      </c>
      <c r="G974" s="77" t="s">
        <v>1406</v>
      </c>
      <c r="H974" s="78">
        <v>0</v>
      </c>
    </row>
    <row r="975" spans="6:8" ht="15.5">
      <c r="F975" s="76">
        <v>309945</v>
      </c>
      <c r="G975" s="77" t="s">
        <v>1407</v>
      </c>
      <c r="H975" s="78">
        <v>0</v>
      </c>
    </row>
    <row r="976" spans="6:8" ht="15.5">
      <c r="F976" s="76">
        <v>314619</v>
      </c>
      <c r="G976" s="77" t="s">
        <v>1408</v>
      </c>
      <c r="H976" s="78">
        <v>0</v>
      </c>
    </row>
    <row r="977" spans="6:8" ht="15.5">
      <c r="F977" s="76">
        <v>311200</v>
      </c>
      <c r="G977" s="77" t="s">
        <v>1409</v>
      </c>
      <c r="H977" s="78">
        <v>0</v>
      </c>
    </row>
    <row r="978" spans="6:8" ht="15.5">
      <c r="F978" s="76">
        <v>90009509</v>
      </c>
      <c r="G978" s="77" t="s">
        <v>1410</v>
      </c>
      <c r="H978" s="78">
        <v>0</v>
      </c>
    </row>
    <row r="979" spans="6:8" ht="15.5">
      <c r="F979" s="76">
        <v>315263</v>
      </c>
      <c r="G979" s="77" t="s">
        <v>1411</v>
      </c>
      <c r="H979" s="78">
        <v>0</v>
      </c>
    </row>
    <row r="980" spans="6:8" ht="15.5">
      <c r="F980" s="76">
        <v>312140</v>
      </c>
      <c r="G980" s="77" t="s">
        <v>1412</v>
      </c>
      <c r="H980" s="78">
        <v>0</v>
      </c>
    </row>
    <row r="981" spans="6:8" ht="15.5">
      <c r="F981" s="76">
        <v>304949</v>
      </c>
      <c r="G981" s="77" t="s">
        <v>1413</v>
      </c>
      <c r="H981" s="78">
        <v>0</v>
      </c>
    </row>
    <row r="982" spans="6:8" ht="15.5">
      <c r="F982" s="76">
        <v>314189</v>
      </c>
      <c r="G982" s="77" t="s">
        <v>1414</v>
      </c>
      <c r="H982" s="78">
        <v>0</v>
      </c>
    </row>
    <row r="983" spans="6:8" ht="15.5">
      <c r="F983" s="76">
        <v>304943</v>
      </c>
      <c r="G983" s="77" t="s">
        <v>1415</v>
      </c>
      <c r="H983" s="78">
        <v>0</v>
      </c>
    </row>
    <row r="984" spans="6:8" ht="15.5">
      <c r="F984" s="76">
        <v>314566</v>
      </c>
      <c r="G984" s="77" t="s">
        <v>1416</v>
      </c>
      <c r="H984" s="78">
        <v>0</v>
      </c>
    </row>
    <row r="985" spans="6:8" ht="15.5">
      <c r="F985" s="76">
        <v>314569</v>
      </c>
      <c r="G985" s="77" t="s">
        <v>1417</v>
      </c>
      <c r="H985" s="78">
        <v>0</v>
      </c>
    </row>
    <row r="986" spans="6:8" ht="15.5">
      <c r="F986" s="76">
        <v>316320</v>
      </c>
      <c r="G986" s="77" t="s">
        <v>1418</v>
      </c>
      <c r="H986" s="78">
        <v>0</v>
      </c>
    </row>
    <row r="987" spans="6:8" ht="15.5">
      <c r="F987" s="76">
        <v>309122</v>
      </c>
      <c r="G987" s="77" t="s">
        <v>1419</v>
      </c>
      <c r="H987" s="78">
        <v>0</v>
      </c>
    </row>
    <row r="988" spans="6:8" ht="15.5">
      <c r="F988" s="76">
        <v>90024339</v>
      </c>
      <c r="G988" s="77" t="s">
        <v>1420</v>
      </c>
      <c r="H988" s="78">
        <v>0</v>
      </c>
    </row>
    <row r="989" spans="6:8" ht="15.5">
      <c r="F989" s="76">
        <v>310114</v>
      </c>
      <c r="G989" s="77" t="s">
        <v>1421</v>
      </c>
      <c r="H989" s="78">
        <v>0</v>
      </c>
    </row>
    <row r="990" spans="6:8" ht="15.5">
      <c r="F990" s="76">
        <v>315699</v>
      </c>
      <c r="G990" s="77" t="s">
        <v>1422</v>
      </c>
      <c r="H990" s="78">
        <v>0</v>
      </c>
    </row>
    <row r="991" spans="6:8" ht="15.5">
      <c r="F991" s="76">
        <v>90046225</v>
      </c>
      <c r="G991" s="77" t="s">
        <v>1423</v>
      </c>
      <c r="H991" s="78">
        <v>0</v>
      </c>
    </row>
    <row r="992" spans="6:8" ht="15.5">
      <c r="F992" s="76">
        <v>315411</v>
      </c>
      <c r="G992" s="77" t="s">
        <v>1424</v>
      </c>
      <c r="H992" s="78">
        <v>0</v>
      </c>
    </row>
    <row r="993" spans="6:8" ht="15.5">
      <c r="F993" s="76">
        <v>313242</v>
      </c>
      <c r="G993" s="77" t="s">
        <v>1425</v>
      </c>
      <c r="H993" s="78">
        <v>0</v>
      </c>
    </row>
    <row r="994" spans="6:8" ht="15.5">
      <c r="F994" s="76">
        <v>313710</v>
      </c>
      <c r="G994" s="77" t="s">
        <v>1426</v>
      </c>
      <c r="H994" s="78">
        <v>0</v>
      </c>
    </row>
    <row r="995" spans="6:8" ht="15.5">
      <c r="F995" s="76">
        <v>314795</v>
      </c>
      <c r="G995" s="77" t="s">
        <v>1427</v>
      </c>
      <c r="H995" s="78">
        <v>0</v>
      </c>
    </row>
    <row r="996" spans="6:8" ht="15.5">
      <c r="F996" s="76">
        <v>314863</v>
      </c>
      <c r="G996" s="77" t="s">
        <v>1428</v>
      </c>
      <c r="H996" s="78">
        <v>0</v>
      </c>
    </row>
    <row r="997" spans="6:8" ht="15.5">
      <c r="F997" s="76">
        <v>313780</v>
      </c>
      <c r="G997" s="77" t="s">
        <v>1429</v>
      </c>
      <c r="H997" s="78">
        <v>0</v>
      </c>
    </row>
    <row r="998" spans="6:8" ht="15.5">
      <c r="F998" s="76">
        <v>315412</v>
      </c>
      <c r="G998" s="77" t="s">
        <v>1430</v>
      </c>
      <c r="H998" s="78">
        <v>0</v>
      </c>
    </row>
    <row r="999" spans="6:8" ht="15.5">
      <c r="F999" s="76">
        <v>311419</v>
      </c>
      <c r="G999" s="77" t="s">
        <v>1431</v>
      </c>
      <c r="H999" s="78">
        <v>0</v>
      </c>
    </row>
    <row r="1000" spans="6:8" ht="15.5">
      <c r="F1000" s="76">
        <v>312961</v>
      </c>
      <c r="G1000" s="77" t="s">
        <v>1432</v>
      </c>
      <c r="H1000" s="78">
        <v>0</v>
      </c>
    </row>
    <row r="1001" spans="6:8" ht="15.5">
      <c r="F1001" s="76">
        <v>90040743</v>
      </c>
      <c r="G1001" s="77" t="s">
        <v>1433</v>
      </c>
      <c r="H1001" s="78">
        <v>0</v>
      </c>
    </row>
    <row r="1002" spans="6:8" ht="15.5">
      <c r="F1002" s="76">
        <v>314362</v>
      </c>
      <c r="G1002" s="77" t="s">
        <v>1434</v>
      </c>
      <c r="H1002" s="78">
        <v>0</v>
      </c>
    </row>
    <row r="1003" spans="6:8" ht="15.5">
      <c r="F1003" s="76">
        <v>315569</v>
      </c>
      <c r="G1003" s="77" t="s">
        <v>1435</v>
      </c>
      <c r="H1003" s="78">
        <v>0</v>
      </c>
    </row>
    <row r="1004" spans="6:8" ht="15.5">
      <c r="F1004" s="76">
        <v>315175</v>
      </c>
      <c r="G1004" s="77" t="s">
        <v>1436</v>
      </c>
      <c r="H1004" s="78">
        <v>0</v>
      </c>
    </row>
    <row r="1005" spans="6:8" ht="15.5">
      <c r="F1005" s="76">
        <v>315576</v>
      </c>
      <c r="G1005" s="77" t="s">
        <v>1437</v>
      </c>
      <c r="H1005" s="78">
        <v>0</v>
      </c>
    </row>
    <row r="1006" spans="6:8" ht="15.5">
      <c r="F1006" s="76">
        <v>90012232</v>
      </c>
      <c r="G1006" s="77" t="s">
        <v>1438</v>
      </c>
      <c r="H1006" s="78">
        <v>0</v>
      </c>
    </row>
    <row r="1007" spans="6:8" ht="15.5">
      <c r="F1007" s="76">
        <v>315154</v>
      </c>
      <c r="G1007" s="77" t="s">
        <v>1439</v>
      </c>
      <c r="H1007" s="78">
        <v>0</v>
      </c>
    </row>
    <row r="1008" spans="6:8" ht="15.5">
      <c r="F1008" s="76">
        <v>315721</v>
      </c>
      <c r="G1008" s="77" t="s">
        <v>1440</v>
      </c>
      <c r="H1008" s="78">
        <v>0</v>
      </c>
    </row>
    <row r="1009" spans="6:8" ht="15.5">
      <c r="F1009" s="76">
        <v>312588</v>
      </c>
      <c r="G1009" s="77" t="s">
        <v>1441</v>
      </c>
      <c r="H1009" s="78">
        <v>0</v>
      </c>
    </row>
    <row r="1010" spans="6:8" ht="15.5">
      <c r="F1010" s="76">
        <v>309925</v>
      </c>
      <c r="G1010" s="77" t="s">
        <v>1442</v>
      </c>
      <c r="H1010" s="78">
        <v>0</v>
      </c>
    </row>
    <row r="1011" spans="6:8" ht="15.5">
      <c r="F1011" s="76">
        <v>306393</v>
      </c>
      <c r="G1011" s="77" t="s">
        <v>1443</v>
      </c>
      <c r="H1011" s="78">
        <v>0</v>
      </c>
    </row>
    <row r="1012" spans="6:8" ht="15.5">
      <c r="F1012" s="76">
        <v>312114</v>
      </c>
      <c r="G1012" s="77" t="s">
        <v>1444</v>
      </c>
      <c r="H1012" s="78">
        <v>0</v>
      </c>
    </row>
    <row r="1013" spans="6:8" ht="15.5">
      <c r="F1013" s="76">
        <v>310241</v>
      </c>
      <c r="G1013" s="77" t="s">
        <v>1445</v>
      </c>
      <c r="H1013" s="78">
        <v>0</v>
      </c>
    </row>
    <row r="1014" spans="6:8" ht="15.5">
      <c r="F1014" s="76">
        <v>314629</v>
      </c>
      <c r="G1014" s="77" t="s">
        <v>1446</v>
      </c>
      <c r="H1014" s="78">
        <v>0</v>
      </c>
    </row>
    <row r="1015" spans="6:8" ht="15.5">
      <c r="F1015" s="76">
        <v>90039431</v>
      </c>
      <c r="G1015" s="77" t="s">
        <v>1447</v>
      </c>
      <c r="H1015" s="78">
        <v>0</v>
      </c>
    </row>
    <row r="1016" spans="6:8" ht="15.5">
      <c r="F1016" s="76">
        <v>310694</v>
      </c>
      <c r="G1016" s="77" t="s">
        <v>1448</v>
      </c>
      <c r="H1016" s="78">
        <v>0</v>
      </c>
    </row>
    <row r="1017" spans="6:8" ht="15.5">
      <c r="F1017" s="76">
        <v>309956</v>
      </c>
      <c r="G1017" s="77" t="s">
        <v>1449</v>
      </c>
      <c r="H1017" s="78">
        <v>0</v>
      </c>
    </row>
    <row r="1018" spans="6:8" ht="15.5">
      <c r="F1018" s="76">
        <v>315300</v>
      </c>
      <c r="G1018" s="77" t="s">
        <v>1450</v>
      </c>
      <c r="H1018" s="78">
        <v>0</v>
      </c>
    </row>
    <row r="1019" spans="6:8" ht="15.5">
      <c r="F1019" s="76">
        <v>90040350</v>
      </c>
      <c r="G1019" s="77" t="s">
        <v>1451</v>
      </c>
      <c r="H1019" s="78">
        <v>0</v>
      </c>
    </row>
    <row r="1020" spans="6:8" ht="15.5">
      <c r="F1020" s="76">
        <v>90038942</v>
      </c>
      <c r="G1020" s="77" t="s">
        <v>1452</v>
      </c>
      <c r="H1020" s="78">
        <v>0</v>
      </c>
    </row>
    <row r="1021" spans="6:8" ht="15.5">
      <c r="F1021" s="76">
        <v>314029</v>
      </c>
      <c r="G1021" s="77" t="s">
        <v>1453</v>
      </c>
      <c r="H1021" s="78">
        <v>0</v>
      </c>
    </row>
    <row r="1022" spans="6:8" ht="15.5">
      <c r="F1022" s="76">
        <v>313510</v>
      </c>
      <c r="G1022" s="77" t="s">
        <v>1454</v>
      </c>
      <c r="H1022" s="78">
        <v>0</v>
      </c>
    </row>
    <row r="1023" spans="6:8" ht="15.5">
      <c r="F1023" s="76">
        <v>308951</v>
      </c>
      <c r="G1023" s="77" t="s">
        <v>1455</v>
      </c>
      <c r="H1023" s="78">
        <v>0</v>
      </c>
    </row>
    <row r="1024" spans="6:8" ht="15.5">
      <c r="F1024" s="76">
        <v>301847</v>
      </c>
      <c r="G1024" s="77" t="s">
        <v>1456</v>
      </c>
      <c r="H1024" s="78">
        <v>0</v>
      </c>
    </row>
    <row r="1025" spans="6:8" ht="15.5">
      <c r="F1025" s="76">
        <v>314009</v>
      </c>
      <c r="G1025" s="77" t="s">
        <v>1457</v>
      </c>
      <c r="H1025" s="78">
        <v>0</v>
      </c>
    </row>
    <row r="1026" spans="6:8" ht="15.5">
      <c r="F1026" s="76">
        <v>316218</v>
      </c>
      <c r="G1026" s="77" t="s">
        <v>1458</v>
      </c>
      <c r="H1026" s="78">
        <v>0</v>
      </c>
    </row>
    <row r="1027" spans="6:8" ht="15.5">
      <c r="F1027" s="76">
        <v>303959</v>
      </c>
      <c r="G1027" s="77" t="s">
        <v>1459</v>
      </c>
      <c r="H1027" s="78">
        <v>0</v>
      </c>
    </row>
    <row r="1028" spans="6:8" ht="15.5">
      <c r="F1028" s="76">
        <v>308028</v>
      </c>
      <c r="G1028" s="77" t="s">
        <v>1460</v>
      </c>
      <c r="H1028" s="78">
        <v>0</v>
      </c>
    </row>
    <row r="1029" spans="6:8" ht="15.5">
      <c r="F1029" s="76">
        <v>90024419</v>
      </c>
      <c r="G1029" s="77" t="s">
        <v>1461</v>
      </c>
      <c r="H1029" s="78">
        <v>0</v>
      </c>
    </row>
    <row r="1030" spans="6:8" ht="15.5">
      <c r="F1030" s="76">
        <v>302479</v>
      </c>
      <c r="G1030" s="77" t="s">
        <v>1462</v>
      </c>
      <c r="H1030" s="78">
        <v>0</v>
      </c>
    </row>
    <row r="1031" spans="6:8" ht="15.5">
      <c r="F1031" s="76">
        <v>90019689</v>
      </c>
      <c r="G1031" s="77" t="s">
        <v>1463</v>
      </c>
      <c r="H1031" s="78">
        <v>0</v>
      </c>
    </row>
    <row r="1032" spans="6:8" ht="15.5">
      <c r="F1032" s="76">
        <v>90040078</v>
      </c>
      <c r="G1032" s="77" t="s">
        <v>1464</v>
      </c>
      <c r="H1032" s="78">
        <v>0</v>
      </c>
    </row>
    <row r="1033" spans="6:8" ht="15.5">
      <c r="F1033" s="76">
        <v>313041</v>
      </c>
      <c r="G1033" s="77" t="s">
        <v>1465</v>
      </c>
      <c r="H1033" s="78">
        <v>0</v>
      </c>
    </row>
    <row r="1034" spans="6:8" ht="15.5">
      <c r="F1034" s="76">
        <v>313729</v>
      </c>
      <c r="G1034" s="77" t="s">
        <v>1466</v>
      </c>
      <c r="H1034" s="78">
        <v>0</v>
      </c>
    </row>
    <row r="1035" spans="6:8" ht="15.5">
      <c r="F1035" s="76">
        <v>314858</v>
      </c>
      <c r="G1035" s="77" t="s">
        <v>1467</v>
      </c>
      <c r="H1035" s="78">
        <v>0</v>
      </c>
    </row>
    <row r="1036" spans="6:8" ht="15.5">
      <c r="F1036" s="76">
        <v>307713</v>
      </c>
      <c r="G1036" s="77" t="s">
        <v>1468</v>
      </c>
      <c r="H1036" s="78">
        <v>0</v>
      </c>
    </row>
    <row r="1037" spans="6:8" ht="15.5">
      <c r="F1037" s="76">
        <v>315304</v>
      </c>
      <c r="G1037" s="77" t="s">
        <v>1469</v>
      </c>
      <c r="H1037" s="78">
        <v>0</v>
      </c>
    </row>
    <row r="1038" spans="6:8" ht="15.5">
      <c r="F1038" s="76">
        <v>314305</v>
      </c>
      <c r="G1038" s="77" t="s">
        <v>1470</v>
      </c>
      <c r="H1038" s="78">
        <v>0</v>
      </c>
    </row>
    <row r="1039" spans="6:8" ht="15.5">
      <c r="F1039" s="76">
        <v>90016061</v>
      </c>
      <c r="G1039" s="77" t="s">
        <v>1471</v>
      </c>
      <c r="H1039" s="78">
        <v>0</v>
      </c>
    </row>
    <row r="1040" spans="6:8" ht="15.5">
      <c r="F1040" s="76">
        <v>314630</v>
      </c>
      <c r="G1040" s="77" t="s">
        <v>1472</v>
      </c>
      <c r="H1040" s="78">
        <v>0</v>
      </c>
    </row>
    <row r="1041" spans="6:8" ht="15.5">
      <c r="F1041" s="76">
        <v>90034942</v>
      </c>
      <c r="G1041" s="77" t="s">
        <v>1473</v>
      </c>
      <c r="H1041" s="78">
        <v>0</v>
      </c>
    </row>
    <row r="1042" spans="6:8" ht="15.5">
      <c r="F1042" s="76">
        <v>312139</v>
      </c>
      <c r="G1042" s="77" t="s">
        <v>1474</v>
      </c>
      <c r="H1042" s="78">
        <v>0</v>
      </c>
    </row>
    <row r="1043" spans="6:8" ht="15.5">
      <c r="F1043" s="76">
        <v>310725</v>
      </c>
      <c r="G1043" s="77" t="s">
        <v>1475</v>
      </c>
      <c r="H1043" s="78">
        <v>0</v>
      </c>
    </row>
    <row r="1044" spans="6:8" ht="15.5">
      <c r="F1044" s="76">
        <v>309034</v>
      </c>
      <c r="G1044" s="77" t="s">
        <v>1476</v>
      </c>
      <c r="H1044" s="78">
        <v>0</v>
      </c>
    </row>
    <row r="1045" spans="6:8" ht="15.5">
      <c r="F1045" s="76">
        <v>314794</v>
      </c>
      <c r="G1045" s="77" t="s">
        <v>1477</v>
      </c>
      <c r="H1045" s="78">
        <v>0</v>
      </c>
    </row>
    <row r="1046" spans="6:8" ht="15.5">
      <c r="F1046" s="76">
        <v>315218</v>
      </c>
      <c r="G1046" s="77" t="s">
        <v>1478</v>
      </c>
      <c r="H1046" s="78">
        <v>0</v>
      </c>
    </row>
    <row r="1047" spans="6:8" ht="15.5">
      <c r="F1047" s="76">
        <v>313049</v>
      </c>
      <c r="G1047" s="77" t="s">
        <v>1479</v>
      </c>
      <c r="H1047" s="78">
        <v>0</v>
      </c>
    </row>
    <row r="1048" spans="6:8" ht="15.5">
      <c r="F1048" s="76">
        <v>315050</v>
      </c>
      <c r="G1048" s="77" t="s">
        <v>1480</v>
      </c>
      <c r="H1048" s="78">
        <v>0</v>
      </c>
    </row>
    <row r="1049" spans="6:8" ht="15.5">
      <c r="F1049" s="76">
        <v>315913</v>
      </c>
      <c r="G1049" s="77" t="s">
        <v>1481</v>
      </c>
      <c r="H1049" s="78">
        <v>0</v>
      </c>
    </row>
    <row r="1050" spans="6:8" ht="15.5">
      <c r="F1050" s="76">
        <v>314170</v>
      </c>
      <c r="G1050" s="77" t="s">
        <v>1482</v>
      </c>
      <c r="H1050" s="78">
        <v>0</v>
      </c>
    </row>
    <row r="1051" spans="6:8" ht="15.5">
      <c r="F1051" s="76">
        <v>315164</v>
      </c>
      <c r="G1051" s="77" t="s">
        <v>1483</v>
      </c>
      <c r="H1051" s="78">
        <v>0</v>
      </c>
    </row>
    <row r="1052" spans="6:8" ht="15.5">
      <c r="F1052" s="76">
        <v>312162</v>
      </c>
      <c r="G1052" s="77" t="s">
        <v>1484</v>
      </c>
      <c r="H1052" s="78">
        <v>0</v>
      </c>
    </row>
    <row r="1053" spans="6:8" ht="15.5">
      <c r="F1053" s="76">
        <v>314439</v>
      </c>
      <c r="G1053" s="77" t="s">
        <v>1485</v>
      </c>
      <c r="H1053" s="78">
        <v>0</v>
      </c>
    </row>
    <row r="1054" spans="6:8" ht="15.5">
      <c r="F1054" s="76">
        <v>312377</v>
      </c>
      <c r="G1054" s="77" t="s">
        <v>1486</v>
      </c>
      <c r="H1054" s="78">
        <v>0</v>
      </c>
    </row>
    <row r="1055" spans="6:8" ht="15.5">
      <c r="F1055" s="76">
        <v>315495</v>
      </c>
      <c r="G1055" s="77" t="s">
        <v>1487</v>
      </c>
      <c r="H1055" s="78">
        <v>0</v>
      </c>
    </row>
    <row r="1056" spans="6:8" ht="15.5">
      <c r="F1056" s="76">
        <v>302285</v>
      </c>
      <c r="G1056" s="77" t="s">
        <v>1488</v>
      </c>
      <c r="H1056" s="78">
        <v>0</v>
      </c>
    </row>
    <row r="1057" spans="6:8" ht="15.5">
      <c r="F1057" s="76">
        <v>309528</v>
      </c>
      <c r="G1057" s="77" t="s">
        <v>1489</v>
      </c>
      <c r="H1057" s="78">
        <v>0</v>
      </c>
    </row>
    <row r="1058" spans="6:8" ht="15.5">
      <c r="F1058" s="76">
        <v>310612</v>
      </c>
      <c r="G1058" s="77" t="s">
        <v>1490</v>
      </c>
      <c r="H1058" s="78">
        <v>0</v>
      </c>
    </row>
    <row r="1059" spans="6:8" ht="15.5">
      <c r="F1059" s="76">
        <v>90040151</v>
      </c>
      <c r="G1059" s="77" t="s">
        <v>1491</v>
      </c>
      <c r="H1059" s="78">
        <v>0</v>
      </c>
    </row>
    <row r="1060" spans="6:8" ht="15.5">
      <c r="F1060" s="76">
        <v>313576</v>
      </c>
      <c r="G1060" s="77" t="s">
        <v>1492</v>
      </c>
      <c r="H1060" s="78">
        <v>0</v>
      </c>
    </row>
    <row r="1061" spans="6:8" ht="15.5">
      <c r="F1061" s="76">
        <v>90046423</v>
      </c>
      <c r="G1061" s="77" t="s">
        <v>1493</v>
      </c>
      <c r="H1061" s="78">
        <v>0</v>
      </c>
    </row>
    <row r="1062" spans="6:8" ht="15.5">
      <c r="F1062" s="76">
        <v>301649</v>
      </c>
      <c r="G1062" s="77" t="s">
        <v>1494</v>
      </c>
      <c r="H1062" s="78">
        <v>0</v>
      </c>
    </row>
    <row r="1063" spans="6:8" ht="15.5">
      <c r="F1063" s="76">
        <v>315080</v>
      </c>
      <c r="G1063" s="77" t="s">
        <v>1495</v>
      </c>
      <c r="H1063" s="78">
        <v>0</v>
      </c>
    </row>
    <row r="1064" spans="6:8" ht="15.5">
      <c r="F1064" s="76">
        <v>90016106</v>
      </c>
      <c r="G1064" s="77" t="s">
        <v>1496</v>
      </c>
      <c r="H1064" s="78">
        <v>0</v>
      </c>
    </row>
    <row r="1065" spans="6:8" ht="15.5">
      <c r="F1065" s="76">
        <v>311962</v>
      </c>
      <c r="G1065" s="77" t="s">
        <v>1497</v>
      </c>
      <c r="H1065" s="78">
        <v>0</v>
      </c>
    </row>
    <row r="1066" spans="6:8" ht="15.5">
      <c r="F1066" s="76">
        <v>315657</v>
      </c>
      <c r="G1066" s="77" t="s">
        <v>1498</v>
      </c>
      <c r="H1066" s="78">
        <v>0</v>
      </c>
    </row>
    <row r="1067" spans="6:8" ht="15.5">
      <c r="F1067" s="76">
        <v>306404</v>
      </c>
      <c r="G1067" s="77" t="s">
        <v>1499</v>
      </c>
      <c r="H1067" s="78">
        <v>0</v>
      </c>
    </row>
    <row r="1068" spans="6:8" ht="15.5">
      <c r="F1068" s="76">
        <v>313743</v>
      </c>
      <c r="G1068" s="77" t="s">
        <v>1500</v>
      </c>
      <c r="H1068" s="78">
        <v>0</v>
      </c>
    </row>
    <row r="1069" spans="6:8" ht="15.5">
      <c r="F1069" s="76">
        <v>310888</v>
      </c>
      <c r="G1069" s="77" t="s">
        <v>1501</v>
      </c>
      <c r="H1069" s="78">
        <v>0</v>
      </c>
    </row>
    <row r="1070" spans="6:8" ht="15.5">
      <c r="F1070" s="76">
        <v>302261</v>
      </c>
      <c r="G1070" s="77" t="s">
        <v>1502</v>
      </c>
      <c r="H1070" s="78">
        <v>0</v>
      </c>
    </row>
    <row r="1071" spans="6:8" ht="15.5">
      <c r="F1071" s="76">
        <v>304392</v>
      </c>
      <c r="G1071" s="77" t="s">
        <v>1503</v>
      </c>
      <c r="H1071" s="78">
        <v>0</v>
      </c>
    </row>
    <row r="1072" spans="6:8" ht="15.5">
      <c r="F1072" s="76">
        <v>313703</v>
      </c>
      <c r="G1072" s="77" t="s">
        <v>1504</v>
      </c>
      <c r="H1072" s="78">
        <v>0</v>
      </c>
    </row>
    <row r="1073" spans="6:8" ht="15.5">
      <c r="F1073" s="76">
        <v>310432</v>
      </c>
      <c r="G1073" s="77" t="s">
        <v>1505</v>
      </c>
      <c r="H1073" s="78">
        <v>0</v>
      </c>
    </row>
    <row r="1074" spans="6:8" ht="15.5">
      <c r="F1074" s="76">
        <v>90040711</v>
      </c>
      <c r="G1074" s="77" t="s">
        <v>1506</v>
      </c>
      <c r="H1074" s="78">
        <v>0</v>
      </c>
    </row>
    <row r="1075" spans="6:8" ht="15.5">
      <c r="F1075" s="76">
        <v>309389</v>
      </c>
      <c r="G1075" s="77" t="s">
        <v>1507</v>
      </c>
      <c r="H1075" s="78">
        <v>0</v>
      </c>
    </row>
    <row r="1076" spans="6:8" ht="15.5">
      <c r="F1076" s="76">
        <v>303674</v>
      </c>
      <c r="G1076" s="77" t="s">
        <v>1508</v>
      </c>
      <c r="H1076" s="78">
        <v>0</v>
      </c>
    </row>
    <row r="1077" spans="6:8" ht="15.5">
      <c r="F1077" s="76">
        <v>301644</v>
      </c>
      <c r="G1077" s="77" t="s">
        <v>1509</v>
      </c>
      <c r="H1077" s="78">
        <v>0</v>
      </c>
    </row>
    <row r="1078" spans="6:8" ht="15.5">
      <c r="F1078" s="76">
        <v>307030</v>
      </c>
      <c r="G1078" s="77" t="s">
        <v>1510</v>
      </c>
      <c r="H1078" s="78">
        <v>0</v>
      </c>
    </row>
    <row r="1079" spans="6:8" ht="15.5">
      <c r="F1079" s="76">
        <v>312398</v>
      </c>
      <c r="G1079" s="77" t="s">
        <v>1511</v>
      </c>
      <c r="H1079" s="78">
        <v>0</v>
      </c>
    </row>
    <row r="1080" spans="6:8" ht="15.5">
      <c r="F1080" s="76">
        <v>301199</v>
      </c>
      <c r="G1080" s="77" t="s">
        <v>1512</v>
      </c>
      <c r="H1080" s="78">
        <v>0</v>
      </c>
    </row>
    <row r="1081" spans="6:8" ht="15.5">
      <c r="F1081" s="76">
        <v>90028655</v>
      </c>
      <c r="G1081" s="77" t="s">
        <v>1513</v>
      </c>
      <c r="H1081" s="78">
        <v>0</v>
      </c>
    </row>
    <row r="1082" spans="6:8" ht="15.5">
      <c r="F1082" s="76">
        <v>304317</v>
      </c>
      <c r="G1082" s="77" t="s">
        <v>1514</v>
      </c>
      <c r="H1082" s="78">
        <v>0</v>
      </c>
    </row>
    <row r="1083" spans="6:8" ht="15.5">
      <c r="F1083" s="76">
        <v>313692</v>
      </c>
      <c r="G1083" s="77" t="s">
        <v>1515</v>
      </c>
      <c r="H1083" s="78">
        <v>0</v>
      </c>
    </row>
    <row r="1084" spans="6:8" ht="15.5">
      <c r="F1084" s="76">
        <v>311286</v>
      </c>
      <c r="G1084" s="77" t="s">
        <v>1516</v>
      </c>
      <c r="H1084" s="78">
        <v>0</v>
      </c>
    </row>
    <row r="1085" spans="6:8" ht="15.5">
      <c r="F1085" s="76">
        <v>311133</v>
      </c>
      <c r="G1085" s="77" t="s">
        <v>1517</v>
      </c>
      <c r="H1085" s="78">
        <v>0</v>
      </c>
    </row>
    <row r="1086" spans="6:8" ht="15.5">
      <c r="F1086" s="76">
        <v>90034570</v>
      </c>
      <c r="G1086" s="77" t="s">
        <v>1518</v>
      </c>
      <c r="H1086" s="78">
        <v>0</v>
      </c>
    </row>
    <row r="1087" spans="6:8" ht="15.5">
      <c r="F1087" s="76">
        <v>313304</v>
      </c>
      <c r="G1087" s="77" t="s">
        <v>1519</v>
      </c>
      <c r="H1087" s="78">
        <v>0</v>
      </c>
    </row>
    <row r="1088" spans="6:8" ht="15.5">
      <c r="F1088" s="76">
        <v>315148</v>
      </c>
      <c r="G1088" s="77" t="s">
        <v>1520</v>
      </c>
      <c r="H1088" s="78">
        <v>0</v>
      </c>
    </row>
    <row r="1089" spans="6:8" ht="15.5">
      <c r="F1089" s="76">
        <v>311997</v>
      </c>
      <c r="G1089" s="77" t="s">
        <v>1521</v>
      </c>
      <c r="H1089" s="78">
        <v>0</v>
      </c>
    </row>
    <row r="1090" spans="6:8" ht="15.5">
      <c r="F1090" s="76">
        <v>313128</v>
      </c>
      <c r="G1090" s="77" t="s">
        <v>1522</v>
      </c>
      <c r="H1090" s="78">
        <v>0</v>
      </c>
    </row>
    <row r="1091" spans="6:8" ht="15.5">
      <c r="F1091" s="76">
        <v>315706</v>
      </c>
      <c r="G1091" s="77" t="s">
        <v>1523</v>
      </c>
      <c r="H1091" s="78">
        <v>0</v>
      </c>
    </row>
    <row r="1092" spans="6:8" ht="15.5">
      <c r="F1092" s="76">
        <v>306578</v>
      </c>
      <c r="G1092" s="77" t="s">
        <v>1524</v>
      </c>
      <c r="H1092" s="78">
        <v>0</v>
      </c>
    </row>
    <row r="1093" spans="6:8" ht="15.5">
      <c r="F1093" s="76">
        <v>311524</v>
      </c>
      <c r="G1093" s="77" t="s">
        <v>1525</v>
      </c>
      <c r="H1093" s="78">
        <v>0</v>
      </c>
    </row>
    <row r="1094" spans="6:8" ht="15.5">
      <c r="F1094" s="76">
        <v>314232</v>
      </c>
      <c r="G1094" s="77" t="s">
        <v>1526</v>
      </c>
      <c r="H1094" s="78">
        <v>0</v>
      </c>
    </row>
    <row r="1095" spans="6:8" ht="15.5">
      <c r="F1095" s="76">
        <v>312920</v>
      </c>
      <c r="G1095" s="77" t="s">
        <v>1527</v>
      </c>
      <c r="H1095" s="78">
        <v>0</v>
      </c>
    </row>
    <row r="1096" spans="6:8" ht="15.5">
      <c r="F1096" s="76">
        <v>316360</v>
      </c>
      <c r="G1096" s="77" t="s">
        <v>1528</v>
      </c>
      <c r="H1096" s="78">
        <v>0</v>
      </c>
    </row>
    <row r="1097" spans="6:8" ht="15.5">
      <c r="F1097" s="76">
        <v>314676</v>
      </c>
      <c r="G1097" s="77" t="s">
        <v>1529</v>
      </c>
      <c r="H1097" s="78">
        <v>0</v>
      </c>
    </row>
    <row r="1098" spans="6:8" ht="15.5">
      <c r="F1098" s="76">
        <v>314336</v>
      </c>
      <c r="G1098" s="77" t="s">
        <v>1530</v>
      </c>
      <c r="H1098" s="78">
        <v>0</v>
      </c>
    </row>
    <row r="1099" spans="6:8" ht="15.5">
      <c r="F1099" s="76">
        <v>314680</v>
      </c>
      <c r="G1099" s="77" t="s">
        <v>1531</v>
      </c>
      <c r="H1099" s="78">
        <v>0</v>
      </c>
    </row>
    <row r="1100" spans="6:8" ht="15.5">
      <c r="F1100" s="76">
        <v>315186</v>
      </c>
      <c r="G1100" s="77" t="s">
        <v>1532</v>
      </c>
      <c r="H1100" s="78">
        <v>0</v>
      </c>
    </row>
    <row r="1101" spans="6:8" ht="15.5">
      <c r="F1101" s="76">
        <v>311913</v>
      </c>
      <c r="G1101" s="77" t="s">
        <v>1533</v>
      </c>
      <c r="H1101" s="78">
        <v>0</v>
      </c>
    </row>
    <row r="1102" spans="6:8" ht="15.5">
      <c r="F1102" s="76">
        <v>315302</v>
      </c>
      <c r="G1102" s="77" t="s">
        <v>1534</v>
      </c>
      <c r="H1102" s="78">
        <v>0</v>
      </c>
    </row>
    <row r="1103" spans="6:8" ht="15.5">
      <c r="F1103" s="76">
        <v>314983</v>
      </c>
      <c r="G1103" s="77" t="s">
        <v>1535</v>
      </c>
      <c r="H1103" s="78">
        <v>0</v>
      </c>
    </row>
    <row r="1104" spans="6:8" ht="15.5">
      <c r="F1104" s="76">
        <v>313569</v>
      </c>
      <c r="G1104" s="77" t="s">
        <v>1536</v>
      </c>
      <c r="H1104" s="78">
        <v>0</v>
      </c>
    </row>
    <row r="1105" spans="6:8" ht="15.5">
      <c r="F1105" s="76">
        <v>315034</v>
      </c>
      <c r="G1105" s="77" t="s">
        <v>1537</v>
      </c>
      <c r="H1105" s="78">
        <v>0</v>
      </c>
    </row>
    <row r="1106" spans="6:8" ht="15.5">
      <c r="F1106" s="76">
        <v>315352</v>
      </c>
      <c r="G1106" s="77" t="s">
        <v>1538</v>
      </c>
      <c r="H1106" s="78">
        <v>0</v>
      </c>
    </row>
    <row r="1107" spans="6:8" ht="15.5">
      <c r="F1107" s="76">
        <v>316334</v>
      </c>
      <c r="G1107" s="77" t="s">
        <v>1539</v>
      </c>
      <c r="H1107" s="78">
        <v>0</v>
      </c>
    </row>
    <row r="1108" spans="6:8" ht="15.5">
      <c r="F1108" s="76">
        <v>100717</v>
      </c>
      <c r="G1108" s="77" t="s">
        <v>1540</v>
      </c>
      <c r="H1108" s="78">
        <v>0</v>
      </c>
    </row>
    <row r="1109" spans="6:8" ht="15.5">
      <c r="F1109" s="76">
        <v>315744</v>
      </c>
      <c r="G1109" s="77" t="s">
        <v>1541</v>
      </c>
      <c r="H1109" s="78">
        <v>0</v>
      </c>
    </row>
    <row r="1110" spans="6:8" ht="15.5">
      <c r="F1110" s="76">
        <v>313656</v>
      </c>
      <c r="G1110" s="77" t="s">
        <v>1542</v>
      </c>
      <c r="H1110" s="78">
        <v>0</v>
      </c>
    </row>
    <row r="1111" spans="6:8" ht="15.5">
      <c r="F1111" s="76">
        <v>315765</v>
      </c>
      <c r="G1111" s="77" t="s">
        <v>1543</v>
      </c>
      <c r="H1111" s="78">
        <v>0</v>
      </c>
    </row>
    <row r="1112" spans="6:8" ht="15.5">
      <c r="F1112" s="76">
        <v>312255</v>
      </c>
      <c r="G1112" s="77" t="s">
        <v>1544</v>
      </c>
      <c r="H1112" s="78">
        <v>0</v>
      </c>
    </row>
    <row r="1113" spans="6:8" ht="15.5">
      <c r="F1113" s="76">
        <v>314780</v>
      </c>
      <c r="G1113" s="77" t="s">
        <v>1545</v>
      </c>
      <c r="H1113" s="78">
        <v>0</v>
      </c>
    </row>
    <row r="1114" spans="6:8" ht="15.5">
      <c r="F1114" s="76">
        <v>315687</v>
      </c>
      <c r="G1114" s="77" t="s">
        <v>1546</v>
      </c>
      <c r="H1114" s="78">
        <v>0</v>
      </c>
    </row>
    <row r="1115" spans="6:8" ht="15.5">
      <c r="F1115" s="76">
        <v>314760</v>
      </c>
      <c r="G1115" s="77" t="s">
        <v>1547</v>
      </c>
      <c r="H1115" s="78">
        <v>0</v>
      </c>
    </row>
    <row r="1116" spans="6:8" ht="15.5">
      <c r="F1116" s="76">
        <v>301265</v>
      </c>
      <c r="G1116" s="77" t="s">
        <v>1548</v>
      </c>
      <c r="H1116" s="78">
        <v>0</v>
      </c>
    </row>
    <row r="1117" spans="6:8" ht="15.5">
      <c r="F1117" s="76">
        <v>314552</v>
      </c>
      <c r="G1117" s="77" t="s">
        <v>1549</v>
      </c>
      <c r="H1117" s="78">
        <v>0</v>
      </c>
    </row>
    <row r="1118" spans="6:8" ht="15.5">
      <c r="F1118" s="76">
        <v>301608</v>
      </c>
      <c r="G1118" s="77" t="s">
        <v>1550</v>
      </c>
      <c r="H1118" s="78">
        <v>0</v>
      </c>
    </row>
    <row r="1119" spans="6:8" ht="15.5">
      <c r="F1119" s="76">
        <v>315691</v>
      </c>
      <c r="G1119" s="77" t="s">
        <v>1551</v>
      </c>
      <c r="H1119" s="78">
        <v>0</v>
      </c>
    </row>
    <row r="1120" spans="6:8" ht="15.5">
      <c r="F1120" s="76">
        <v>314866</v>
      </c>
      <c r="G1120" s="77" t="s">
        <v>1552</v>
      </c>
      <c r="H1120" s="78">
        <v>0</v>
      </c>
    </row>
    <row r="1121" spans="6:8" ht="15.5">
      <c r="F1121" s="76">
        <v>90040241</v>
      </c>
      <c r="G1121" s="77" t="s">
        <v>1553</v>
      </c>
      <c r="H1121" s="78">
        <v>0</v>
      </c>
    </row>
    <row r="1122" spans="6:8" ht="15.5">
      <c r="F1122" s="76">
        <v>314935</v>
      </c>
      <c r="G1122" s="77" t="s">
        <v>1554</v>
      </c>
      <c r="H1122" s="78">
        <v>0</v>
      </c>
    </row>
    <row r="1123" spans="6:8" ht="15.5">
      <c r="F1123" s="76">
        <v>314500</v>
      </c>
      <c r="G1123" s="77" t="s">
        <v>1555</v>
      </c>
      <c r="H1123" s="78">
        <v>0</v>
      </c>
    </row>
    <row r="1124" spans="6:8" ht="15.5">
      <c r="F1124" s="76">
        <v>90040278</v>
      </c>
      <c r="G1124" s="77" t="s">
        <v>1556</v>
      </c>
      <c r="H1124" s="78">
        <v>0</v>
      </c>
    </row>
    <row r="1125" spans="6:8" ht="15.5">
      <c r="F1125" s="76">
        <v>315998</v>
      </c>
      <c r="G1125" s="77" t="s">
        <v>1557</v>
      </c>
      <c r="H1125" s="78">
        <v>0</v>
      </c>
    </row>
    <row r="1126" spans="6:8" ht="15.5">
      <c r="F1126" s="76">
        <v>313086</v>
      </c>
      <c r="G1126" s="77" t="s">
        <v>1558</v>
      </c>
      <c r="H1126" s="78">
        <v>0</v>
      </c>
    </row>
    <row r="1127" spans="6:8" ht="15.5">
      <c r="F1127" s="76">
        <v>314146</v>
      </c>
      <c r="G1127" s="77" t="s">
        <v>1559</v>
      </c>
      <c r="H1127" s="78">
        <v>0</v>
      </c>
    </row>
    <row r="1128" spans="6:8" ht="15.5">
      <c r="F1128" s="76">
        <v>315130</v>
      </c>
      <c r="G1128" s="77" t="s">
        <v>1560</v>
      </c>
      <c r="H1128" s="78">
        <v>0</v>
      </c>
    </row>
    <row r="1129" spans="6:8" ht="15.5">
      <c r="F1129" s="76">
        <v>315546</v>
      </c>
      <c r="G1129" s="77" t="s">
        <v>1561</v>
      </c>
      <c r="H1129" s="78">
        <v>0</v>
      </c>
    </row>
    <row r="1130" spans="6:8" ht="15.5">
      <c r="F1130" s="76">
        <v>315590</v>
      </c>
      <c r="G1130" s="77" t="s">
        <v>1562</v>
      </c>
      <c r="H1130" s="78">
        <v>0</v>
      </c>
    </row>
    <row r="1131" spans="6:8" ht="15.5">
      <c r="F1131" s="76">
        <v>314261</v>
      </c>
      <c r="G1131" s="77" t="s">
        <v>1563</v>
      </c>
      <c r="H1131" s="78">
        <v>0</v>
      </c>
    </row>
    <row r="1132" spans="6:8" ht="15.5">
      <c r="F1132" s="76">
        <v>313187</v>
      </c>
      <c r="G1132" s="77" t="s">
        <v>1564</v>
      </c>
      <c r="H1132" s="78">
        <v>0</v>
      </c>
    </row>
    <row r="1133" spans="6:8" ht="15.5">
      <c r="F1133" s="76">
        <v>311082</v>
      </c>
      <c r="G1133" s="77" t="s">
        <v>1565</v>
      </c>
      <c r="H1133" s="78">
        <v>0</v>
      </c>
    </row>
    <row r="1134" spans="6:8" ht="15.5">
      <c r="F1134" s="76">
        <v>90041269</v>
      </c>
      <c r="G1134" s="77" t="s">
        <v>1566</v>
      </c>
      <c r="H1134" s="78">
        <v>0</v>
      </c>
    </row>
    <row r="1135" spans="6:8" ht="15.5">
      <c r="F1135" s="76">
        <v>308525</v>
      </c>
      <c r="G1135" s="77" t="s">
        <v>1567</v>
      </c>
      <c r="H1135" s="78">
        <v>0</v>
      </c>
    </row>
    <row r="1136" spans="6:8" ht="15.5">
      <c r="F1136" s="76">
        <v>308189</v>
      </c>
      <c r="G1136" s="77" t="s">
        <v>1568</v>
      </c>
      <c r="H1136" s="78">
        <v>0</v>
      </c>
    </row>
    <row r="1137" spans="6:12" ht="15.5">
      <c r="F1137" s="76">
        <v>90039956</v>
      </c>
      <c r="G1137" s="77" t="s">
        <v>1569</v>
      </c>
      <c r="H1137" s="78">
        <v>0</v>
      </c>
    </row>
    <row r="1138" spans="6:12" ht="15.5">
      <c r="F1138" s="76">
        <v>90009257</v>
      </c>
      <c r="G1138" s="77" t="s">
        <v>1570</v>
      </c>
      <c r="H1138" s="78">
        <v>0</v>
      </c>
    </row>
    <row r="1139" spans="6:12" ht="15.5">
      <c r="F1139" s="76">
        <v>90018829</v>
      </c>
      <c r="G1139" s="77" t="s">
        <v>1571</v>
      </c>
      <c r="H1139" s="78">
        <v>0</v>
      </c>
      <c r="K1139" s="47"/>
      <c r="L1139" s="47"/>
    </row>
    <row r="1140" spans="6:12" ht="15.5">
      <c r="F1140" s="76">
        <v>312758</v>
      </c>
      <c r="G1140" s="77" t="s">
        <v>1572</v>
      </c>
      <c r="H1140" s="78">
        <v>0</v>
      </c>
    </row>
    <row r="1141" spans="6:12" ht="15.5">
      <c r="F1141" s="76">
        <v>301462</v>
      </c>
      <c r="G1141" s="77" t="s">
        <v>1573</v>
      </c>
      <c r="H1141" s="78">
        <v>0</v>
      </c>
    </row>
    <row r="1142" spans="6:12" ht="15.5">
      <c r="F1142" s="76">
        <v>310027</v>
      </c>
      <c r="G1142" s="77" t="s">
        <v>1574</v>
      </c>
      <c r="H1142" s="78">
        <v>0</v>
      </c>
    </row>
    <row r="1143" spans="6:12" ht="15.5">
      <c r="F1143" s="76">
        <v>313663</v>
      </c>
      <c r="G1143" s="77" t="s">
        <v>1575</v>
      </c>
      <c r="H1143" s="78">
        <v>0</v>
      </c>
    </row>
    <row r="1144" spans="6:12" ht="15.5">
      <c r="F1144" s="76">
        <v>316225</v>
      </c>
      <c r="G1144" s="77" t="s">
        <v>1576</v>
      </c>
      <c r="H1144" s="78">
        <v>0</v>
      </c>
    </row>
    <row r="1145" spans="6:12" ht="15.5">
      <c r="F1145" s="76">
        <v>314697</v>
      </c>
      <c r="G1145" s="77" t="s">
        <v>1577</v>
      </c>
      <c r="H1145" s="78">
        <v>0</v>
      </c>
    </row>
    <row r="1146" spans="6:12" ht="15.5">
      <c r="F1146" s="76">
        <v>315595</v>
      </c>
      <c r="G1146" s="77" t="s">
        <v>1578</v>
      </c>
      <c r="H1146" s="78">
        <v>0</v>
      </c>
    </row>
    <row r="1147" spans="6:12" ht="15.5">
      <c r="F1147" s="76">
        <v>314526</v>
      </c>
      <c r="G1147" s="77" t="s">
        <v>1579</v>
      </c>
      <c r="H1147" s="78">
        <v>0</v>
      </c>
    </row>
    <row r="1148" spans="6:12" ht="15.5">
      <c r="F1148" s="76">
        <v>314952</v>
      </c>
      <c r="G1148" s="77" t="s">
        <v>1580</v>
      </c>
      <c r="H1148" s="78">
        <v>0</v>
      </c>
    </row>
    <row r="1149" spans="6:12" ht="15.5">
      <c r="F1149" s="76">
        <v>315467</v>
      </c>
      <c r="G1149" s="77" t="s">
        <v>1581</v>
      </c>
      <c r="H1149" s="78">
        <v>0</v>
      </c>
    </row>
    <row r="1150" spans="6:12" ht="15.5">
      <c r="F1150" s="76">
        <v>314066</v>
      </c>
      <c r="G1150" s="77" t="s">
        <v>1582</v>
      </c>
      <c r="H1150" s="78">
        <v>0</v>
      </c>
    </row>
    <row r="1151" spans="6:12" ht="15.5">
      <c r="F1151" s="76">
        <v>314639</v>
      </c>
      <c r="G1151" s="77" t="s">
        <v>1583</v>
      </c>
      <c r="H1151" s="78">
        <v>0</v>
      </c>
    </row>
    <row r="1152" spans="6:12" ht="15.5">
      <c r="F1152" s="76">
        <v>311320</v>
      </c>
      <c r="G1152" s="77" t="s">
        <v>1584</v>
      </c>
      <c r="H1152" s="78">
        <v>0</v>
      </c>
    </row>
    <row r="1153" spans="6:8" ht="15.5">
      <c r="F1153" s="76">
        <v>304531</v>
      </c>
      <c r="G1153" s="77" t="s">
        <v>1585</v>
      </c>
      <c r="H1153" s="78">
        <v>0</v>
      </c>
    </row>
    <row r="1154" spans="6:8" ht="15.5">
      <c r="F1154" s="76">
        <v>313884</v>
      </c>
      <c r="G1154" s="77" t="s">
        <v>1586</v>
      </c>
      <c r="H1154" s="78">
        <v>0</v>
      </c>
    </row>
    <row r="1155" spans="6:8" ht="15.5">
      <c r="F1155" s="76">
        <v>90024235</v>
      </c>
      <c r="G1155" s="77" t="s">
        <v>1587</v>
      </c>
      <c r="H1155" s="78">
        <v>0</v>
      </c>
    </row>
    <row r="1156" spans="6:8" ht="15.5">
      <c r="F1156" s="76">
        <v>315383</v>
      </c>
      <c r="G1156" s="77" t="s">
        <v>1588</v>
      </c>
      <c r="H1156" s="78">
        <v>0</v>
      </c>
    </row>
    <row r="1157" spans="6:8" ht="15.5">
      <c r="F1157" s="76">
        <v>307598</v>
      </c>
      <c r="G1157" s="77" t="s">
        <v>1589</v>
      </c>
      <c r="H1157" s="78">
        <v>0</v>
      </c>
    </row>
    <row r="1158" spans="6:8" ht="15.5">
      <c r="F1158" s="76">
        <v>312743</v>
      </c>
      <c r="G1158" s="77" t="s">
        <v>1590</v>
      </c>
      <c r="H1158" s="78">
        <v>0</v>
      </c>
    </row>
    <row r="1159" spans="6:8" ht="15.5">
      <c r="F1159" s="76">
        <v>90024878</v>
      </c>
      <c r="G1159" s="77" t="s">
        <v>1591</v>
      </c>
      <c r="H1159" s="78">
        <v>0</v>
      </c>
    </row>
    <row r="1160" spans="6:8" ht="15.5">
      <c r="F1160" s="76">
        <v>90024495</v>
      </c>
      <c r="G1160" s="77" t="s">
        <v>1592</v>
      </c>
      <c r="H1160" s="78">
        <v>0</v>
      </c>
    </row>
    <row r="1161" spans="6:8" ht="15.5">
      <c r="F1161" s="76">
        <v>90023918</v>
      </c>
      <c r="G1161" s="77" t="s">
        <v>1593</v>
      </c>
      <c r="H1161" s="78">
        <v>0</v>
      </c>
    </row>
    <row r="1162" spans="6:8" ht="15.5">
      <c r="F1162" s="76">
        <v>315665</v>
      </c>
      <c r="G1162" s="77" t="s">
        <v>1594</v>
      </c>
      <c r="H1162" s="78">
        <v>0</v>
      </c>
    </row>
    <row r="1163" spans="6:8" ht="15.5">
      <c r="F1163" s="76">
        <v>313435</v>
      </c>
      <c r="G1163" s="77" t="s">
        <v>1595</v>
      </c>
      <c r="H1163" s="78">
        <v>0</v>
      </c>
    </row>
    <row r="1164" spans="6:8" ht="15.5">
      <c r="F1164" s="76">
        <v>310987</v>
      </c>
      <c r="G1164" s="77" t="s">
        <v>1596</v>
      </c>
      <c r="H1164" s="78">
        <v>0</v>
      </c>
    </row>
    <row r="1165" spans="6:8" ht="15.5">
      <c r="F1165" s="76">
        <v>90023523</v>
      </c>
      <c r="G1165" s="77" t="s">
        <v>1597</v>
      </c>
      <c r="H1165" s="78">
        <v>0</v>
      </c>
    </row>
    <row r="1166" spans="6:8" ht="15.5">
      <c r="F1166" s="76">
        <v>315307</v>
      </c>
      <c r="G1166" s="77" t="s">
        <v>1598</v>
      </c>
      <c r="H1166" s="78">
        <v>0</v>
      </c>
    </row>
    <row r="1167" spans="6:8" ht="15.5">
      <c r="F1167" s="76">
        <v>90015631</v>
      </c>
      <c r="G1167" s="77" t="s">
        <v>1599</v>
      </c>
      <c r="H1167" s="78">
        <v>0</v>
      </c>
    </row>
    <row r="1168" spans="6:8" ht="15.5">
      <c r="F1168" s="76">
        <v>313167</v>
      </c>
      <c r="G1168" s="77" t="s">
        <v>1600</v>
      </c>
      <c r="H1168" s="78">
        <v>0</v>
      </c>
    </row>
    <row r="1169" spans="6:8" ht="15.5">
      <c r="F1169" s="76">
        <v>314783</v>
      </c>
      <c r="G1169" s="77" t="s">
        <v>1601</v>
      </c>
      <c r="H1169" s="78">
        <v>0</v>
      </c>
    </row>
    <row r="1170" spans="6:8" ht="15.5">
      <c r="F1170" s="76">
        <v>302981</v>
      </c>
      <c r="G1170" s="77" t="s">
        <v>1602</v>
      </c>
      <c r="H1170" s="78">
        <v>0</v>
      </c>
    </row>
    <row r="1171" spans="6:8" ht="15.5">
      <c r="F1171" s="76">
        <v>309592</v>
      </c>
      <c r="G1171" s="77" t="s">
        <v>1603</v>
      </c>
      <c r="H1171" s="78">
        <v>0</v>
      </c>
    </row>
    <row r="1172" spans="6:8" ht="15.5">
      <c r="F1172" s="76">
        <v>308871</v>
      </c>
      <c r="G1172" s="77" t="s">
        <v>1604</v>
      </c>
      <c r="H1172" s="78">
        <v>0</v>
      </c>
    </row>
    <row r="1173" spans="6:8" ht="15.5">
      <c r="F1173" s="76">
        <v>314838</v>
      </c>
      <c r="G1173" s="77" t="s">
        <v>1605</v>
      </c>
      <c r="H1173" s="78">
        <v>0</v>
      </c>
    </row>
    <row r="1174" spans="6:8" ht="15.5">
      <c r="F1174" s="76">
        <v>310744</v>
      </c>
      <c r="G1174" s="77" t="s">
        <v>1606</v>
      </c>
      <c r="H1174" s="78">
        <v>0</v>
      </c>
    </row>
    <row r="1175" spans="6:8" ht="15.5">
      <c r="F1175" s="76">
        <v>312022</v>
      </c>
      <c r="G1175" s="77" t="s">
        <v>1607</v>
      </c>
      <c r="H1175" s="78">
        <v>0</v>
      </c>
    </row>
    <row r="1176" spans="6:8" ht="15.5">
      <c r="F1176" s="76">
        <v>311998</v>
      </c>
      <c r="G1176" s="77" t="s">
        <v>1608</v>
      </c>
      <c r="H1176" s="78">
        <v>0</v>
      </c>
    </row>
    <row r="1177" spans="6:8" ht="15.5">
      <c r="F1177" s="76">
        <v>314393</v>
      </c>
      <c r="G1177" s="77" t="s">
        <v>1609</v>
      </c>
      <c r="H1177" s="78">
        <v>0</v>
      </c>
    </row>
    <row r="1178" spans="6:8" ht="15.5">
      <c r="F1178" s="76">
        <v>312144</v>
      </c>
      <c r="G1178" s="77" t="s">
        <v>1610</v>
      </c>
      <c r="H1178" s="78">
        <v>0</v>
      </c>
    </row>
    <row r="1179" spans="6:8" ht="15.5">
      <c r="F1179" s="76">
        <v>90048446</v>
      </c>
      <c r="G1179" s="77" t="s">
        <v>1611</v>
      </c>
      <c r="H1179" s="78">
        <v>0</v>
      </c>
    </row>
    <row r="1180" spans="6:8" ht="15.5">
      <c r="F1180" s="76">
        <v>310751</v>
      </c>
      <c r="G1180" s="77" t="s">
        <v>1612</v>
      </c>
      <c r="H1180" s="78">
        <v>0</v>
      </c>
    </row>
    <row r="1181" spans="6:8" ht="15.5">
      <c r="F1181" s="76">
        <v>311804</v>
      </c>
      <c r="G1181" s="77" t="s">
        <v>1613</v>
      </c>
      <c r="H1181" s="78">
        <v>0</v>
      </c>
    </row>
    <row r="1182" spans="6:8" ht="15.5">
      <c r="F1182" s="76">
        <v>315962</v>
      </c>
      <c r="G1182" s="77" t="s">
        <v>1614</v>
      </c>
      <c r="H1182" s="78">
        <v>0</v>
      </c>
    </row>
    <row r="1183" spans="6:8" ht="15.5">
      <c r="F1183" s="76">
        <v>90035015</v>
      </c>
      <c r="G1183" s="77" t="s">
        <v>1615</v>
      </c>
      <c r="H1183" s="78">
        <v>0</v>
      </c>
    </row>
    <row r="1184" spans="6:8" ht="15.5">
      <c r="F1184" s="76">
        <v>315185</v>
      </c>
      <c r="G1184" s="77" t="s">
        <v>1616</v>
      </c>
      <c r="H1184" s="78">
        <v>0</v>
      </c>
    </row>
    <row r="1185" spans="6:8" ht="15.5">
      <c r="F1185" s="76">
        <v>312983</v>
      </c>
      <c r="G1185" s="77" t="s">
        <v>1617</v>
      </c>
      <c r="H1185" s="78">
        <v>0</v>
      </c>
    </row>
    <row r="1186" spans="6:8" ht="15.5">
      <c r="F1186" s="76">
        <v>315149</v>
      </c>
      <c r="G1186" s="77" t="s">
        <v>1618</v>
      </c>
      <c r="H1186" s="78">
        <v>0</v>
      </c>
    </row>
    <row r="1187" spans="6:8" ht="15.5">
      <c r="F1187" s="76">
        <v>310822</v>
      </c>
      <c r="G1187" s="77" t="s">
        <v>1619</v>
      </c>
      <c r="H1187" s="78">
        <v>0</v>
      </c>
    </row>
    <row r="1188" spans="6:8" ht="15.5">
      <c r="F1188" s="76">
        <v>313611</v>
      </c>
      <c r="G1188" s="77" t="s">
        <v>1620</v>
      </c>
      <c r="H1188" s="78">
        <v>0</v>
      </c>
    </row>
    <row r="1189" spans="6:8" ht="15.5">
      <c r="F1189" s="76">
        <v>314306</v>
      </c>
      <c r="G1189" s="77" t="s">
        <v>1621</v>
      </c>
      <c r="H1189" s="78">
        <v>0</v>
      </c>
    </row>
    <row r="1190" spans="6:8" ht="15.5">
      <c r="F1190" s="76">
        <v>312876</v>
      </c>
      <c r="G1190" s="77" t="s">
        <v>1622</v>
      </c>
      <c r="H1190" s="78">
        <v>0</v>
      </c>
    </row>
    <row r="1191" spans="6:8" ht="15.5">
      <c r="F1191" s="76">
        <v>90040426</v>
      </c>
      <c r="G1191" s="77" t="s">
        <v>1623</v>
      </c>
      <c r="H1191" s="78">
        <v>0</v>
      </c>
    </row>
    <row r="1192" spans="6:8" ht="15.5">
      <c r="F1192" s="76">
        <v>311421</v>
      </c>
      <c r="G1192" s="77" t="s">
        <v>1624</v>
      </c>
      <c r="H1192" s="78">
        <v>0</v>
      </c>
    </row>
    <row r="1193" spans="6:8" ht="15.5">
      <c r="F1193" s="76">
        <v>312270</v>
      </c>
      <c r="G1193" s="77" t="s">
        <v>1625</v>
      </c>
      <c r="H1193" s="78">
        <v>0</v>
      </c>
    </row>
    <row r="1194" spans="6:8" ht="15.5">
      <c r="F1194" s="76">
        <v>315065</v>
      </c>
      <c r="G1194" s="77" t="s">
        <v>1626</v>
      </c>
      <c r="H1194" s="78">
        <v>0</v>
      </c>
    </row>
    <row r="1195" spans="6:8" ht="15.5">
      <c r="F1195" s="76">
        <v>313387</v>
      </c>
      <c r="G1195" s="77" t="s">
        <v>1627</v>
      </c>
      <c r="H1195" s="78">
        <v>0</v>
      </c>
    </row>
    <row r="1196" spans="6:8" ht="15.5">
      <c r="F1196" s="76">
        <v>315843</v>
      </c>
      <c r="G1196" s="77" t="s">
        <v>1628</v>
      </c>
      <c r="H1196" s="78">
        <v>0</v>
      </c>
    </row>
    <row r="1197" spans="6:8" ht="15.5">
      <c r="F1197" s="76">
        <v>312117</v>
      </c>
      <c r="G1197" s="77" t="s">
        <v>1629</v>
      </c>
      <c r="H1197" s="78">
        <v>0</v>
      </c>
    </row>
    <row r="1198" spans="6:8" ht="15.5">
      <c r="F1198" s="76">
        <v>310238</v>
      </c>
      <c r="G1198" s="77" t="s">
        <v>1630</v>
      </c>
      <c r="H1198" s="78">
        <v>0</v>
      </c>
    </row>
    <row r="1199" spans="6:8" ht="15.5">
      <c r="F1199" s="76">
        <v>90025711</v>
      </c>
      <c r="G1199" s="77" t="s">
        <v>1631</v>
      </c>
      <c r="H1199" s="78">
        <v>0</v>
      </c>
    </row>
    <row r="1200" spans="6:8" ht="15.5">
      <c r="F1200" s="76">
        <v>312732</v>
      </c>
      <c r="G1200" s="77" t="s">
        <v>1632</v>
      </c>
      <c r="H1200" s="78">
        <v>0</v>
      </c>
    </row>
    <row r="1201" spans="6:8" ht="15.5">
      <c r="F1201" s="76">
        <v>314962</v>
      </c>
      <c r="G1201" s="77" t="s">
        <v>1633</v>
      </c>
      <c r="H1201" s="78">
        <v>0</v>
      </c>
    </row>
    <row r="1202" spans="6:8" ht="15.5">
      <c r="F1202" s="76">
        <v>90034453</v>
      </c>
      <c r="G1202" s="77" t="s">
        <v>1634</v>
      </c>
      <c r="H1202" s="78">
        <v>0</v>
      </c>
    </row>
    <row r="1203" spans="6:8" ht="15.5">
      <c r="F1203" s="76">
        <v>316188</v>
      </c>
      <c r="G1203" s="77" t="s">
        <v>1635</v>
      </c>
      <c r="H1203" s="78">
        <v>0</v>
      </c>
    </row>
    <row r="1204" spans="6:8" ht="15.5">
      <c r="F1204" s="76">
        <v>314100</v>
      </c>
      <c r="G1204" s="77" t="s">
        <v>1636</v>
      </c>
      <c r="H1204" s="78">
        <v>0</v>
      </c>
    </row>
    <row r="1205" spans="6:8" ht="15.5">
      <c r="F1205" s="76">
        <v>311601</v>
      </c>
      <c r="G1205" s="77" t="s">
        <v>1637</v>
      </c>
      <c r="H1205" s="78">
        <v>0</v>
      </c>
    </row>
    <row r="1206" spans="6:8" ht="15.5">
      <c r="F1206" s="76">
        <v>314620</v>
      </c>
      <c r="G1206" s="77" t="s">
        <v>1638</v>
      </c>
      <c r="H1206" s="78">
        <v>0</v>
      </c>
    </row>
    <row r="1207" spans="6:8" ht="15.5">
      <c r="F1207" s="76">
        <v>302841</v>
      </c>
      <c r="G1207" s="77" t="s">
        <v>1639</v>
      </c>
      <c r="H1207" s="78">
        <v>0</v>
      </c>
    </row>
    <row r="1208" spans="6:8" ht="15.5">
      <c r="F1208" s="76">
        <v>311298</v>
      </c>
      <c r="G1208" s="77" t="s">
        <v>1640</v>
      </c>
      <c r="H1208" s="78">
        <v>0</v>
      </c>
    </row>
    <row r="1209" spans="6:8" ht="15.5">
      <c r="F1209" s="76">
        <v>306420</v>
      </c>
      <c r="G1209" s="77" t="s">
        <v>1641</v>
      </c>
      <c r="H1209" s="78">
        <v>0</v>
      </c>
    </row>
    <row r="1210" spans="6:8" ht="15.5">
      <c r="F1210" s="76">
        <v>90039498</v>
      </c>
      <c r="G1210" s="77" t="s">
        <v>1642</v>
      </c>
      <c r="H1210" s="78">
        <v>0</v>
      </c>
    </row>
    <row r="1211" spans="6:8" ht="15.5">
      <c r="F1211" s="76">
        <v>313826</v>
      </c>
      <c r="G1211" s="77" t="s">
        <v>1643</v>
      </c>
      <c r="H1211" s="78">
        <v>0</v>
      </c>
    </row>
    <row r="1212" spans="6:8" ht="15.5">
      <c r="F1212" s="76">
        <v>314641</v>
      </c>
      <c r="G1212" s="77" t="s">
        <v>1644</v>
      </c>
      <c r="H1212" s="78">
        <v>0</v>
      </c>
    </row>
    <row r="1213" spans="6:8" ht="15.5">
      <c r="F1213" s="76">
        <v>314554</v>
      </c>
      <c r="G1213" s="77" t="s">
        <v>1645</v>
      </c>
      <c r="H1213" s="78">
        <v>0</v>
      </c>
    </row>
    <row r="1214" spans="6:8" ht="15.5">
      <c r="F1214" s="76">
        <v>314360</v>
      </c>
      <c r="G1214" s="77" t="s">
        <v>1646</v>
      </c>
      <c r="H1214" s="78">
        <v>0</v>
      </c>
    </row>
    <row r="1215" spans="6:8" ht="15.5">
      <c r="F1215" s="76">
        <v>309115</v>
      </c>
      <c r="G1215" s="77" t="s">
        <v>1647</v>
      </c>
      <c r="H1215" s="78">
        <v>0</v>
      </c>
    </row>
    <row r="1216" spans="6:8" ht="15.5">
      <c r="F1216" s="76">
        <v>314978</v>
      </c>
      <c r="G1216" s="77" t="s">
        <v>1648</v>
      </c>
      <c r="H1216" s="78">
        <v>0</v>
      </c>
    </row>
    <row r="1217" spans="6:8" ht="15.5">
      <c r="F1217" s="76">
        <v>90049325</v>
      </c>
      <c r="G1217" s="77" t="s">
        <v>1649</v>
      </c>
      <c r="H1217" s="78">
        <v>0</v>
      </c>
    </row>
    <row r="1218" spans="6:8" ht="15.5">
      <c r="F1218" s="76">
        <v>311171</v>
      </c>
      <c r="G1218" s="77" t="s">
        <v>1650</v>
      </c>
      <c r="H1218" s="78">
        <v>0</v>
      </c>
    </row>
    <row r="1219" spans="6:8" ht="15.5">
      <c r="F1219" s="76">
        <v>311987</v>
      </c>
      <c r="G1219" s="77" t="s">
        <v>1651</v>
      </c>
      <c r="H1219" s="78">
        <v>0</v>
      </c>
    </row>
    <row r="1220" spans="6:8" ht="15.5">
      <c r="F1220" s="76">
        <v>315817</v>
      </c>
      <c r="G1220" s="77" t="s">
        <v>1652</v>
      </c>
      <c r="H1220" s="78">
        <v>0</v>
      </c>
    </row>
    <row r="1221" spans="6:8" ht="15.5">
      <c r="F1221" s="76">
        <v>314797</v>
      </c>
      <c r="G1221" s="77" t="s">
        <v>1653</v>
      </c>
      <c r="H1221" s="78">
        <v>0</v>
      </c>
    </row>
    <row r="1222" spans="6:8" ht="15.5">
      <c r="F1222" s="76">
        <v>313539</v>
      </c>
      <c r="G1222" s="77" t="s">
        <v>1654</v>
      </c>
      <c r="H1222" s="78">
        <v>0</v>
      </c>
    </row>
    <row r="1223" spans="6:8" ht="15.5">
      <c r="F1223" s="76">
        <v>315116</v>
      </c>
      <c r="G1223" s="77" t="s">
        <v>1655</v>
      </c>
      <c r="H1223" s="78">
        <v>0</v>
      </c>
    </row>
    <row r="1224" spans="6:8" ht="15.5">
      <c r="F1224" s="76">
        <v>314644</v>
      </c>
      <c r="G1224" s="77" t="s">
        <v>1656</v>
      </c>
      <c r="H1224" s="78">
        <v>0</v>
      </c>
    </row>
    <row r="1225" spans="6:8" ht="15.5">
      <c r="F1225" s="76">
        <v>311012</v>
      </c>
      <c r="G1225" s="77" t="s">
        <v>1657</v>
      </c>
      <c r="H1225" s="78">
        <v>0</v>
      </c>
    </row>
    <row r="1226" spans="6:8" ht="15.5">
      <c r="F1226" s="76">
        <v>314790</v>
      </c>
      <c r="G1226" s="77" t="s">
        <v>1658</v>
      </c>
      <c r="H1226" s="78">
        <v>0</v>
      </c>
    </row>
    <row r="1227" spans="6:8" ht="15.5">
      <c r="F1227" s="76">
        <v>314082</v>
      </c>
      <c r="G1227" s="77" t="s">
        <v>1659</v>
      </c>
      <c r="H1227" s="78">
        <v>0</v>
      </c>
    </row>
    <row r="1228" spans="6:8" ht="15.5">
      <c r="F1228" s="76">
        <v>314368</v>
      </c>
      <c r="G1228" s="77" t="s">
        <v>1660</v>
      </c>
      <c r="H1228" s="78">
        <v>0</v>
      </c>
    </row>
    <row r="1229" spans="6:8" ht="15.5">
      <c r="F1229" s="76">
        <v>314339</v>
      </c>
      <c r="G1229" s="77" t="s">
        <v>1661</v>
      </c>
      <c r="H1229" s="78">
        <v>0</v>
      </c>
    </row>
    <row r="1230" spans="6:8" ht="15.5">
      <c r="F1230" s="76">
        <v>313157</v>
      </c>
      <c r="G1230" s="77" t="s">
        <v>1662</v>
      </c>
      <c r="H1230" s="78">
        <v>0</v>
      </c>
    </row>
    <row r="1231" spans="6:8" ht="15.5">
      <c r="F1231" s="76">
        <v>90028954</v>
      </c>
      <c r="G1231" s="77" t="s">
        <v>1663</v>
      </c>
      <c r="H1231" s="78">
        <v>0</v>
      </c>
    </row>
    <row r="1232" spans="6:8" ht="15.5">
      <c r="F1232" s="76">
        <v>315777</v>
      </c>
      <c r="G1232" s="77" t="s">
        <v>1664</v>
      </c>
      <c r="H1232" s="78">
        <v>0</v>
      </c>
    </row>
    <row r="1233" spans="6:8" ht="15.5">
      <c r="F1233" s="76">
        <v>315896</v>
      </c>
      <c r="G1233" s="77" t="s">
        <v>1665</v>
      </c>
      <c r="H1233" s="78">
        <v>0</v>
      </c>
    </row>
    <row r="1234" spans="6:8" ht="15.5">
      <c r="F1234" s="76">
        <v>315492</v>
      </c>
      <c r="G1234" s="77" t="s">
        <v>1666</v>
      </c>
      <c r="H1234" s="78">
        <v>0</v>
      </c>
    </row>
    <row r="1235" spans="6:8" ht="15.5">
      <c r="F1235" s="76">
        <v>315156</v>
      </c>
      <c r="G1235" s="77" t="s">
        <v>1667</v>
      </c>
      <c r="H1235" s="78">
        <v>0</v>
      </c>
    </row>
    <row r="1236" spans="6:8" ht="15.5">
      <c r="F1236" s="76">
        <v>315451</v>
      </c>
      <c r="G1236" s="77" t="s">
        <v>1668</v>
      </c>
      <c r="H1236" s="78">
        <v>0</v>
      </c>
    </row>
    <row r="1237" spans="6:8" ht="15.5">
      <c r="F1237" s="76">
        <v>90040461</v>
      </c>
      <c r="G1237" s="77" t="s">
        <v>1669</v>
      </c>
      <c r="H1237" s="78">
        <v>0</v>
      </c>
    </row>
    <row r="1238" spans="6:8" ht="15.5">
      <c r="F1238" s="76">
        <v>90033814</v>
      </c>
      <c r="G1238" s="77" t="s">
        <v>1670</v>
      </c>
      <c r="H1238" s="78">
        <v>0</v>
      </c>
    </row>
    <row r="1239" spans="6:8" ht="15.5">
      <c r="F1239" s="76">
        <v>313003</v>
      </c>
      <c r="G1239" s="77" t="s">
        <v>1671</v>
      </c>
      <c r="H1239" s="78">
        <v>0</v>
      </c>
    </row>
    <row r="1240" spans="6:8" ht="15.5">
      <c r="F1240" s="76">
        <v>309852</v>
      </c>
      <c r="G1240" s="77" t="s">
        <v>1672</v>
      </c>
      <c r="H1240" s="78">
        <v>0</v>
      </c>
    </row>
    <row r="1241" spans="6:8" ht="15.5">
      <c r="F1241" s="76">
        <v>314846</v>
      </c>
      <c r="G1241" s="77" t="s">
        <v>1673</v>
      </c>
      <c r="H1241" s="78">
        <v>0</v>
      </c>
    </row>
    <row r="1242" spans="6:8" ht="15.5">
      <c r="F1242" s="76">
        <v>310126</v>
      </c>
      <c r="G1242" s="77" t="s">
        <v>1674</v>
      </c>
      <c r="H1242" s="78">
        <v>0</v>
      </c>
    </row>
    <row r="1243" spans="6:8" ht="15.5">
      <c r="F1243" s="76">
        <v>314228</v>
      </c>
      <c r="G1243" s="77" t="s">
        <v>1675</v>
      </c>
      <c r="H1243" s="78">
        <v>0</v>
      </c>
    </row>
    <row r="1244" spans="6:8" ht="15.5">
      <c r="F1244" s="76">
        <v>311075</v>
      </c>
      <c r="G1244" s="77" t="s">
        <v>1676</v>
      </c>
      <c r="H1244" s="78">
        <v>0</v>
      </c>
    </row>
    <row r="1245" spans="6:8" ht="15.5">
      <c r="F1245" s="76">
        <v>311299</v>
      </c>
      <c r="G1245" s="77" t="s">
        <v>1677</v>
      </c>
      <c r="H1245" s="78">
        <v>0</v>
      </c>
    </row>
    <row r="1246" spans="6:8" ht="15.5">
      <c r="F1246" s="76">
        <v>312709</v>
      </c>
      <c r="G1246" s="77" t="s">
        <v>1678</v>
      </c>
      <c r="H1246" s="78">
        <v>0</v>
      </c>
    </row>
    <row r="1247" spans="6:8" ht="15.5">
      <c r="F1247" s="76">
        <v>305955</v>
      </c>
      <c r="G1247" s="77" t="s">
        <v>1679</v>
      </c>
      <c r="H1247" s="78">
        <v>0</v>
      </c>
    </row>
    <row r="1248" spans="6:8" ht="15.5">
      <c r="F1248" s="76">
        <v>309695</v>
      </c>
      <c r="G1248" s="77" t="s">
        <v>1680</v>
      </c>
      <c r="H1248" s="78">
        <v>0</v>
      </c>
    </row>
    <row r="1249" spans="6:8" ht="15.5">
      <c r="F1249" s="76">
        <v>310641</v>
      </c>
      <c r="G1249" s="77" t="s">
        <v>1681</v>
      </c>
      <c r="H1249" s="78">
        <v>0</v>
      </c>
    </row>
    <row r="1250" spans="6:8" ht="15.5">
      <c r="F1250" s="76">
        <v>300150</v>
      </c>
      <c r="G1250" s="77" t="s">
        <v>1682</v>
      </c>
      <c r="H1250" s="78">
        <v>0</v>
      </c>
    </row>
    <row r="1251" spans="6:8" ht="15.5">
      <c r="F1251" s="76">
        <v>90033656</v>
      </c>
      <c r="G1251" s="77" t="s">
        <v>1683</v>
      </c>
      <c r="H1251" s="78">
        <v>0</v>
      </c>
    </row>
    <row r="1252" spans="6:8" ht="15.5">
      <c r="F1252" s="76">
        <v>314761</v>
      </c>
      <c r="G1252" s="77" t="s">
        <v>1684</v>
      </c>
      <c r="H1252" s="78">
        <v>0</v>
      </c>
    </row>
    <row r="1253" spans="6:8" ht="15.5">
      <c r="F1253" s="76">
        <v>315114</v>
      </c>
      <c r="G1253" s="77" t="s">
        <v>1685</v>
      </c>
      <c r="H1253" s="78">
        <v>0</v>
      </c>
    </row>
    <row r="1254" spans="6:8" ht="15.5">
      <c r="F1254" s="76">
        <v>314436</v>
      </c>
      <c r="G1254" s="77" t="s">
        <v>1686</v>
      </c>
      <c r="H1254" s="78">
        <v>0</v>
      </c>
    </row>
    <row r="1255" spans="6:8" ht="15.5">
      <c r="F1255" s="76">
        <v>300590</v>
      </c>
      <c r="G1255" s="77" t="s">
        <v>1687</v>
      </c>
      <c r="H1255" s="78">
        <v>0</v>
      </c>
    </row>
    <row r="1256" spans="6:8" ht="15.5">
      <c r="F1256" s="76">
        <v>312369</v>
      </c>
      <c r="G1256" s="77" t="s">
        <v>1688</v>
      </c>
      <c r="H1256" s="78">
        <v>0</v>
      </c>
    </row>
    <row r="1257" spans="6:8" ht="15.5">
      <c r="F1257" s="76">
        <v>90039661</v>
      </c>
      <c r="G1257" s="77" t="s">
        <v>1689</v>
      </c>
      <c r="H1257" s="78">
        <v>0</v>
      </c>
    </row>
    <row r="1258" spans="6:8" ht="15.5">
      <c r="F1258" s="76">
        <v>315173</v>
      </c>
      <c r="G1258" s="77" t="s">
        <v>1690</v>
      </c>
      <c r="H1258" s="78">
        <v>0</v>
      </c>
    </row>
    <row r="1259" spans="6:8" ht="15.5">
      <c r="F1259" s="76">
        <v>315067</v>
      </c>
      <c r="G1259" s="77" t="s">
        <v>1691</v>
      </c>
      <c r="H1259" s="78">
        <v>0</v>
      </c>
    </row>
    <row r="1260" spans="6:8" ht="15.5">
      <c r="F1260" s="76">
        <v>316285</v>
      </c>
      <c r="G1260" s="77" t="s">
        <v>1692</v>
      </c>
      <c r="H1260" s="78">
        <v>0</v>
      </c>
    </row>
    <row r="1261" spans="6:8" ht="15.5">
      <c r="F1261" s="76">
        <v>315784</v>
      </c>
      <c r="G1261" s="77" t="s">
        <v>1693</v>
      </c>
      <c r="H1261" s="78">
        <v>0</v>
      </c>
    </row>
    <row r="1262" spans="6:8" ht="15.5">
      <c r="F1262" s="76">
        <v>309498</v>
      </c>
      <c r="G1262" s="77" t="s">
        <v>1694</v>
      </c>
      <c r="H1262" s="78">
        <v>0</v>
      </c>
    </row>
    <row r="1263" spans="6:8" ht="15.5">
      <c r="F1263" s="76">
        <v>313405</v>
      </c>
      <c r="G1263" s="77" t="s">
        <v>1695</v>
      </c>
      <c r="H1263" s="78">
        <v>0</v>
      </c>
    </row>
    <row r="1264" spans="6:8" ht="15.5">
      <c r="F1264" s="76">
        <v>90039186</v>
      </c>
      <c r="G1264" s="77" t="s">
        <v>1696</v>
      </c>
      <c r="H1264" s="78">
        <v>0</v>
      </c>
    </row>
    <row r="1265" spans="6:8" ht="15.5">
      <c r="F1265" s="76">
        <v>315268</v>
      </c>
      <c r="G1265" s="77" t="s">
        <v>1697</v>
      </c>
      <c r="H1265" s="78">
        <v>0</v>
      </c>
    </row>
    <row r="1266" spans="6:8" ht="15.5">
      <c r="F1266" s="76">
        <v>312319</v>
      </c>
      <c r="G1266" s="77" t="s">
        <v>1698</v>
      </c>
      <c r="H1266" s="78">
        <v>0</v>
      </c>
    </row>
    <row r="1267" spans="6:8" ht="15.5">
      <c r="F1267" s="76">
        <v>313114</v>
      </c>
      <c r="G1267" s="77" t="s">
        <v>1699</v>
      </c>
      <c r="H1267" s="78">
        <v>0</v>
      </c>
    </row>
    <row r="1268" spans="6:8" ht="15.5">
      <c r="F1268" s="76">
        <v>314171</v>
      </c>
      <c r="G1268" s="77" t="s">
        <v>1700</v>
      </c>
      <c r="H1268" s="78">
        <v>0</v>
      </c>
    </row>
    <row r="1269" spans="6:8" ht="15.5">
      <c r="F1269" s="76">
        <v>90012193</v>
      </c>
      <c r="G1269" s="77" t="s">
        <v>1701</v>
      </c>
      <c r="H1269" s="78">
        <v>0</v>
      </c>
    </row>
    <row r="1270" spans="6:8" ht="15.5">
      <c r="F1270" s="76">
        <v>315039</v>
      </c>
      <c r="G1270" s="77" t="s">
        <v>1702</v>
      </c>
      <c r="H1270" s="78">
        <v>0</v>
      </c>
    </row>
    <row r="1271" spans="6:8" ht="15.5">
      <c r="F1271" s="76">
        <v>90041208</v>
      </c>
      <c r="G1271" s="77" t="s">
        <v>1703</v>
      </c>
      <c r="H1271" s="78">
        <v>0</v>
      </c>
    </row>
    <row r="1272" spans="6:8" ht="15.5">
      <c r="F1272" s="76">
        <v>90034730</v>
      </c>
      <c r="G1272" s="77" t="s">
        <v>1704</v>
      </c>
      <c r="H1272" s="78">
        <v>0</v>
      </c>
    </row>
    <row r="1273" spans="6:8" ht="15.5">
      <c r="F1273" s="76">
        <v>313983</v>
      </c>
      <c r="G1273" s="77" t="s">
        <v>1705</v>
      </c>
      <c r="H1273" s="78">
        <v>0</v>
      </c>
    </row>
    <row r="1274" spans="6:8" ht="15.5">
      <c r="F1274" s="76">
        <v>90033458</v>
      </c>
      <c r="G1274" s="77" t="s">
        <v>1706</v>
      </c>
      <c r="H1274" s="78">
        <v>0</v>
      </c>
    </row>
    <row r="1275" spans="6:8" ht="15.5">
      <c r="F1275" s="76">
        <v>310674</v>
      </c>
      <c r="G1275" s="77" t="s">
        <v>1707</v>
      </c>
      <c r="H1275" s="78">
        <v>0</v>
      </c>
    </row>
    <row r="1276" spans="6:8" ht="15.5">
      <c r="F1276" s="76">
        <v>314911</v>
      </c>
      <c r="G1276" s="77" t="s">
        <v>1708</v>
      </c>
      <c r="H1276" s="78">
        <v>0</v>
      </c>
    </row>
    <row r="1277" spans="6:8" ht="15.5">
      <c r="F1277" s="76">
        <v>305979</v>
      </c>
      <c r="G1277" s="77" t="s">
        <v>1709</v>
      </c>
      <c r="H1277" s="78">
        <v>0</v>
      </c>
    </row>
    <row r="1278" spans="6:8" ht="15.5">
      <c r="F1278" s="76">
        <v>313612</v>
      </c>
      <c r="G1278" s="77" t="s">
        <v>1710</v>
      </c>
      <c r="H1278" s="78">
        <v>0</v>
      </c>
    </row>
    <row r="1279" spans="6:8" ht="15.5">
      <c r="F1279" s="76">
        <v>314216</v>
      </c>
      <c r="G1279" s="77" t="s">
        <v>1711</v>
      </c>
      <c r="H1279" s="78">
        <v>0</v>
      </c>
    </row>
    <row r="1280" spans="6:8" ht="15.5">
      <c r="F1280" s="76">
        <v>314504</v>
      </c>
      <c r="G1280" s="77" t="s">
        <v>1712</v>
      </c>
      <c r="H1280" s="78">
        <v>0</v>
      </c>
    </row>
    <row r="1281" spans="6:8" ht="15.5">
      <c r="F1281" s="76">
        <v>315390</v>
      </c>
      <c r="G1281" s="77" t="s">
        <v>1713</v>
      </c>
      <c r="H1281" s="78">
        <v>0</v>
      </c>
    </row>
    <row r="1282" spans="6:8" ht="15.5">
      <c r="F1282" s="76">
        <v>310673</v>
      </c>
      <c r="G1282" s="77" t="s">
        <v>1714</v>
      </c>
      <c r="H1282" s="78">
        <v>0</v>
      </c>
    </row>
    <row r="1283" spans="6:8" ht="15.5">
      <c r="F1283" s="76">
        <v>314301</v>
      </c>
      <c r="G1283" s="77" t="s">
        <v>1715</v>
      </c>
      <c r="H1283" s="78">
        <v>0</v>
      </c>
    </row>
    <row r="1284" spans="6:8" ht="15.5">
      <c r="F1284" s="76">
        <v>308982</v>
      </c>
      <c r="G1284" s="77" t="s">
        <v>1716</v>
      </c>
      <c r="H1284" s="78">
        <v>0</v>
      </c>
    </row>
    <row r="1285" spans="6:8" ht="15.5">
      <c r="F1285" s="76">
        <v>314898</v>
      </c>
      <c r="G1285" s="77" t="s">
        <v>1717</v>
      </c>
      <c r="H1285" s="78">
        <v>0</v>
      </c>
    </row>
    <row r="1286" spans="6:8" ht="15.5">
      <c r="F1286" s="76">
        <v>315939</v>
      </c>
      <c r="G1286" s="77" t="s">
        <v>1718</v>
      </c>
      <c r="H1286" s="78">
        <v>0</v>
      </c>
    </row>
    <row r="1287" spans="6:8" ht="15.5">
      <c r="F1287" s="76">
        <v>314510</v>
      </c>
      <c r="G1287" s="77" t="s">
        <v>1719</v>
      </c>
      <c r="H1287" s="78">
        <v>0</v>
      </c>
    </row>
    <row r="1288" spans="6:8" ht="15.5">
      <c r="F1288" s="76">
        <v>315692</v>
      </c>
      <c r="G1288" s="77" t="s">
        <v>1720</v>
      </c>
      <c r="H1288" s="78">
        <v>0</v>
      </c>
    </row>
    <row r="1289" spans="6:8" ht="15.5">
      <c r="F1289" s="76">
        <v>90039941</v>
      </c>
      <c r="G1289" s="77" t="s">
        <v>1721</v>
      </c>
      <c r="H1289" s="78">
        <v>0</v>
      </c>
    </row>
    <row r="1290" spans="6:8" ht="15.5">
      <c r="F1290" s="76">
        <v>308558</v>
      </c>
      <c r="G1290" s="77" t="s">
        <v>1722</v>
      </c>
      <c r="H1290" s="78">
        <v>0</v>
      </c>
    </row>
    <row r="1291" spans="6:8" ht="15.5">
      <c r="F1291" s="76">
        <v>315261</v>
      </c>
      <c r="G1291" s="77" t="s">
        <v>1723</v>
      </c>
      <c r="H1291" s="78">
        <v>0</v>
      </c>
    </row>
    <row r="1292" spans="6:8" ht="15.5">
      <c r="F1292" s="76">
        <v>316177</v>
      </c>
      <c r="G1292" s="77" t="s">
        <v>1724</v>
      </c>
      <c r="H1292" s="78">
        <v>0</v>
      </c>
    </row>
    <row r="1293" spans="6:8" ht="15.5">
      <c r="F1293" s="76">
        <v>90049488</v>
      </c>
      <c r="G1293" s="77" t="s">
        <v>1725</v>
      </c>
      <c r="H1293" s="78">
        <v>0</v>
      </c>
    </row>
    <row r="1294" spans="6:8" ht="15.5">
      <c r="F1294" s="76">
        <v>313766</v>
      </c>
      <c r="G1294" s="77" t="s">
        <v>1726</v>
      </c>
      <c r="H1294" s="78">
        <v>0</v>
      </c>
    </row>
    <row r="1295" spans="6:8" ht="15.5">
      <c r="F1295" s="76">
        <v>314907</v>
      </c>
      <c r="G1295" s="77" t="s">
        <v>1727</v>
      </c>
      <c r="H1295" s="78">
        <v>0</v>
      </c>
    </row>
    <row r="1296" spans="6:8" ht="15.5">
      <c r="F1296" s="76">
        <v>314842</v>
      </c>
      <c r="G1296" s="77" t="s">
        <v>1728</v>
      </c>
      <c r="H1296" s="78">
        <v>0</v>
      </c>
    </row>
    <row r="1297" spans="6:8" ht="15.5">
      <c r="F1297" s="76">
        <v>313008</v>
      </c>
      <c r="G1297" s="77" t="s">
        <v>1729</v>
      </c>
      <c r="H1297" s="78">
        <v>0</v>
      </c>
    </row>
    <row r="1298" spans="6:8" ht="15.5">
      <c r="F1298" s="76">
        <v>315415</v>
      </c>
      <c r="G1298" s="77" t="s">
        <v>1730</v>
      </c>
      <c r="H1298" s="78">
        <v>0</v>
      </c>
    </row>
    <row r="1299" spans="6:8" ht="15.5">
      <c r="F1299" s="76">
        <v>90040627</v>
      </c>
      <c r="G1299" s="77" t="s">
        <v>1731</v>
      </c>
      <c r="H1299" s="78">
        <v>0</v>
      </c>
    </row>
    <row r="1300" spans="6:8" ht="15.5">
      <c r="F1300" s="76">
        <v>90025190</v>
      </c>
      <c r="G1300" s="77" t="s">
        <v>1732</v>
      </c>
      <c r="H1300" s="78">
        <v>0</v>
      </c>
    </row>
    <row r="1301" spans="6:8" ht="15.5">
      <c r="F1301" s="76">
        <v>305181</v>
      </c>
      <c r="G1301" s="77" t="s">
        <v>1733</v>
      </c>
      <c r="H1301" s="78">
        <v>0</v>
      </c>
    </row>
    <row r="1302" spans="6:8" ht="15.5">
      <c r="F1302" s="76">
        <v>306915</v>
      </c>
      <c r="G1302" s="77" t="s">
        <v>1734</v>
      </c>
      <c r="H1302" s="78">
        <v>0</v>
      </c>
    </row>
    <row r="1303" spans="6:8" ht="15.5">
      <c r="F1303" s="76">
        <v>313642</v>
      </c>
      <c r="G1303" s="77" t="s">
        <v>1735</v>
      </c>
      <c r="H1303" s="78">
        <v>0</v>
      </c>
    </row>
    <row r="1304" spans="6:8" ht="15.5">
      <c r="F1304" s="76">
        <v>314746</v>
      </c>
      <c r="G1304" s="77" t="s">
        <v>1736</v>
      </c>
      <c r="H1304" s="78">
        <v>0</v>
      </c>
    </row>
    <row r="1305" spans="6:8" ht="15.5">
      <c r="F1305" s="76">
        <v>309765</v>
      </c>
      <c r="G1305" s="77" t="s">
        <v>1737</v>
      </c>
      <c r="H1305" s="78">
        <v>0</v>
      </c>
    </row>
    <row r="1306" spans="6:8" ht="15.5">
      <c r="F1306" s="76">
        <v>314262</v>
      </c>
      <c r="G1306" s="77" t="s">
        <v>1738</v>
      </c>
      <c r="H1306" s="78">
        <v>0</v>
      </c>
    </row>
    <row r="1307" spans="6:8" ht="15.5">
      <c r="F1307" s="76">
        <v>316190</v>
      </c>
      <c r="G1307" s="77" t="s">
        <v>1739</v>
      </c>
      <c r="H1307" s="78">
        <v>0</v>
      </c>
    </row>
    <row r="1308" spans="6:8" ht="15.5">
      <c r="F1308" s="76">
        <v>315073</v>
      </c>
      <c r="G1308" s="77" t="s">
        <v>1740</v>
      </c>
      <c r="H1308" s="78">
        <v>0</v>
      </c>
    </row>
    <row r="1309" spans="6:8" ht="15.5">
      <c r="F1309" s="76">
        <v>315487</v>
      </c>
      <c r="G1309" s="77" t="s">
        <v>1741</v>
      </c>
      <c r="H1309" s="78">
        <v>0</v>
      </c>
    </row>
    <row r="1310" spans="6:8" ht="15.5">
      <c r="F1310" s="76">
        <v>304892</v>
      </c>
      <c r="G1310" s="77" t="s">
        <v>1742</v>
      </c>
      <c r="H1310" s="78">
        <v>0</v>
      </c>
    </row>
    <row r="1311" spans="6:8" ht="15.5">
      <c r="F1311" s="76">
        <v>313023</v>
      </c>
      <c r="G1311" s="77" t="s">
        <v>1743</v>
      </c>
      <c r="H1311" s="78">
        <v>0</v>
      </c>
    </row>
    <row r="1312" spans="6:8" ht="15.5">
      <c r="F1312" s="76">
        <v>312573</v>
      </c>
      <c r="G1312" s="77" t="s">
        <v>1744</v>
      </c>
      <c r="H1312" s="78">
        <v>0</v>
      </c>
    </row>
    <row r="1313" spans="6:8" ht="15.5">
      <c r="F1313" s="76">
        <v>313233</v>
      </c>
      <c r="G1313" s="77" t="s">
        <v>1745</v>
      </c>
      <c r="H1313" s="78">
        <v>0</v>
      </c>
    </row>
    <row r="1314" spans="6:8" ht="15.5">
      <c r="F1314" s="76">
        <v>314013</v>
      </c>
      <c r="G1314" s="77" t="s">
        <v>1746</v>
      </c>
      <c r="H1314" s="78">
        <v>0</v>
      </c>
    </row>
    <row r="1315" spans="6:8" ht="15.5">
      <c r="F1315" s="76">
        <v>313996</v>
      </c>
      <c r="G1315" s="77" t="s">
        <v>1747</v>
      </c>
      <c r="H1315" s="78">
        <v>0</v>
      </c>
    </row>
    <row r="1316" spans="6:8" ht="15.5">
      <c r="F1316" s="76">
        <v>90028739</v>
      </c>
      <c r="G1316" s="77" t="s">
        <v>1748</v>
      </c>
      <c r="H1316" s="78">
        <v>0</v>
      </c>
    </row>
    <row r="1317" spans="6:8" ht="15.5">
      <c r="F1317" s="76">
        <v>311802</v>
      </c>
      <c r="G1317" s="77" t="s">
        <v>1749</v>
      </c>
      <c r="H1317" s="78">
        <v>0</v>
      </c>
    </row>
    <row r="1318" spans="6:8" ht="15.5">
      <c r="F1318" s="76">
        <v>314614</v>
      </c>
      <c r="G1318" s="77" t="s">
        <v>1750</v>
      </c>
      <c r="H1318" s="78">
        <v>0</v>
      </c>
    </row>
    <row r="1319" spans="6:8" ht="15.5">
      <c r="F1319" s="76">
        <v>90040333</v>
      </c>
      <c r="G1319" s="77" t="s">
        <v>1751</v>
      </c>
      <c r="H1319" s="78">
        <v>0</v>
      </c>
    </row>
    <row r="1320" spans="6:8" ht="15.5">
      <c r="F1320" s="76">
        <v>90040767</v>
      </c>
      <c r="G1320" s="77" t="s">
        <v>1752</v>
      </c>
      <c r="H1320" s="78">
        <v>0</v>
      </c>
    </row>
    <row r="1321" spans="6:8" ht="15.5">
      <c r="F1321" s="76">
        <v>314729</v>
      </c>
      <c r="G1321" s="77" t="s">
        <v>1753</v>
      </c>
      <c r="H1321" s="78">
        <v>0</v>
      </c>
    </row>
    <row r="1322" spans="6:8" ht="15.5">
      <c r="F1322" s="76">
        <v>315641</v>
      </c>
      <c r="G1322" s="77" t="s">
        <v>1754</v>
      </c>
      <c r="H1322" s="78">
        <v>0</v>
      </c>
    </row>
    <row r="1323" spans="6:8" ht="15.5">
      <c r="F1323" s="76">
        <v>315496</v>
      </c>
      <c r="G1323" s="77" t="s">
        <v>1755</v>
      </c>
      <c r="H1323" s="78">
        <v>0</v>
      </c>
    </row>
    <row r="1324" spans="6:8" ht="15.5">
      <c r="F1324" s="76">
        <v>90034559</v>
      </c>
      <c r="G1324" s="77" t="s">
        <v>1756</v>
      </c>
      <c r="H1324" s="78">
        <v>0</v>
      </c>
    </row>
    <row r="1325" spans="6:8" ht="15.5">
      <c r="F1325" s="76">
        <v>90028184</v>
      </c>
      <c r="G1325" s="77" t="s">
        <v>1757</v>
      </c>
      <c r="H1325" s="78">
        <v>0</v>
      </c>
    </row>
    <row r="1326" spans="6:8" ht="15.5">
      <c r="F1326" s="76">
        <v>90032911</v>
      </c>
      <c r="G1326" s="77" t="s">
        <v>1758</v>
      </c>
      <c r="H1326" s="78">
        <v>0</v>
      </c>
    </row>
    <row r="1327" spans="6:8" ht="15.5">
      <c r="F1327" s="76">
        <v>310302</v>
      </c>
      <c r="G1327" s="77" t="s">
        <v>1759</v>
      </c>
      <c r="H1327" s="78">
        <v>0</v>
      </c>
    </row>
    <row r="1328" spans="6:8" ht="15.5">
      <c r="F1328" s="76">
        <v>90033870</v>
      </c>
      <c r="G1328" s="77" t="s">
        <v>1760</v>
      </c>
      <c r="H1328" s="78">
        <v>0</v>
      </c>
    </row>
    <row r="1329" spans="6:8" ht="15.5">
      <c r="F1329" s="76">
        <v>308875</v>
      </c>
      <c r="G1329" s="77" t="s">
        <v>1761</v>
      </c>
      <c r="H1329" s="78">
        <v>0</v>
      </c>
    </row>
    <row r="1330" spans="6:8" ht="15.5">
      <c r="F1330" s="76">
        <v>90034560</v>
      </c>
      <c r="G1330" s="77" t="s">
        <v>1762</v>
      </c>
      <c r="H1330" s="78">
        <v>0</v>
      </c>
    </row>
    <row r="1331" spans="6:8" ht="15.5">
      <c r="F1331" s="76">
        <v>313361</v>
      </c>
      <c r="G1331" s="77" t="s">
        <v>1763</v>
      </c>
      <c r="H1331" s="78">
        <v>0</v>
      </c>
    </row>
    <row r="1332" spans="6:8" ht="15.5">
      <c r="F1332" s="76">
        <v>309870</v>
      </c>
      <c r="G1332" s="77" t="s">
        <v>1764</v>
      </c>
      <c r="H1332" s="78">
        <v>0</v>
      </c>
    </row>
    <row r="1333" spans="6:8" ht="15.5">
      <c r="F1333" s="76">
        <v>316122</v>
      </c>
      <c r="G1333" s="77" t="s">
        <v>1765</v>
      </c>
      <c r="H1333" s="78">
        <v>0</v>
      </c>
    </row>
    <row r="1334" spans="6:8" ht="15.5">
      <c r="F1334" s="76">
        <v>311407</v>
      </c>
      <c r="G1334" s="77" t="s">
        <v>1766</v>
      </c>
      <c r="H1334" s="78">
        <v>0</v>
      </c>
    </row>
    <row r="1335" spans="6:8" ht="15.5">
      <c r="F1335" s="76">
        <v>315066</v>
      </c>
      <c r="G1335" s="77" t="s">
        <v>1767</v>
      </c>
      <c r="H1335" s="78">
        <v>0</v>
      </c>
    </row>
    <row r="1336" spans="6:8" ht="15.5">
      <c r="F1336" s="76">
        <v>314433</v>
      </c>
      <c r="G1336" s="77" t="s">
        <v>1768</v>
      </c>
      <c r="H1336" s="78">
        <v>0</v>
      </c>
    </row>
    <row r="1337" spans="6:8" ht="15.5">
      <c r="F1337" s="76">
        <v>90046186</v>
      </c>
      <c r="G1337" s="77" t="s">
        <v>1769</v>
      </c>
      <c r="H1337" s="78">
        <v>0</v>
      </c>
    </row>
    <row r="1338" spans="6:8" ht="15.5">
      <c r="F1338" s="76">
        <v>315560</v>
      </c>
      <c r="G1338" s="77" t="s">
        <v>1770</v>
      </c>
      <c r="H1338" s="78">
        <v>0</v>
      </c>
    </row>
    <row r="1339" spans="6:8" ht="15.5">
      <c r="F1339" s="76">
        <v>314268</v>
      </c>
      <c r="G1339" s="77" t="s">
        <v>1771</v>
      </c>
      <c r="H1339" s="78">
        <v>0</v>
      </c>
    </row>
    <row r="1340" spans="6:8" ht="15.5">
      <c r="F1340" s="76">
        <v>309110</v>
      </c>
      <c r="G1340" s="77" t="s">
        <v>1772</v>
      </c>
      <c r="H1340" s="78">
        <v>0</v>
      </c>
    </row>
    <row r="1341" spans="6:8" ht="15.5">
      <c r="F1341" s="76">
        <v>309102</v>
      </c>
      <c r="G1341" s="77" t="s">
        <v>1773</v>
      </c>
      <c r="H1341" s="78">
        <v>0</v>
      </c>
    </row>
    <row r="1342" spans="6:8" ht="15.5">
      <c r="F1342" s="76">
        <v>313034</v>
      </c>
      <c r="G1342" s="77" t="s">
        <v>1774</v>
      </c>
      <c r="H1342" s="78">
        <v>0</v>
      </c>
    </row>
    <row r="1343" spans="6:8" ht="15.5">
      <c r="F1343" s="76">
        <v>315925</v>
      </c>
      <c r="G1343" s="77" t="s">
        <v>1775</v>
      </c>
      <c r="H1343" s="78">
        <v>0</v>
      </c>
    </row>
    <row r="1344" spans="6:8" ht="15.5">
      <c r="F1344" s="76">
        <v>314989</v>
      </c>
      <c r="G1344" s="77" t="s">
        <v>1776</v>
      </c>
      <c r="H1344" s="78">
        <v>0</v>
      </c>
    </row>
    <row r="1345" spans="6:8" ht="15.5">
      <c r="F1345" s="76">
        <v>90045911</v>
      </c>
      <c r="G1345" s="77" t="s">
        <v>1777</v>
      </c>
      <c r="H1345" s="78">
        <v>0</v>
      </c>
    </row>
    <row r="1346" spans="6:8" ht="15.5">
      <c r="F1346" s="76">
        <v>315812</v>
      </c>
      <c r="G1346" s="77" t="s">
        <v>1778</v>
      </c>
      <c r="H1346" s="78">
        <v>0</v>
      </c>
    </row>
    <row r="1347" spans="6:8" ht="15.5">
      <c r="F1347" s="76">
        <v>308461</v>
      </c>
      <c r="G1347" s="77" t="s">
        <v>1779</v>
      </c>
      <c r="H1347" s="78">
        <v>0</v>
      </c>
    </row>
    <row r="1348" spans="6:8" ht="15.5">
      <c r="F1348" s="76">
        <v>315155</v>
      </c>
      <c r="G1348" s="77" t="s">
        <v>1780</v>
      </c>
      <c r="H1348" s="78">
        <v>0</v>
      </c>
    </row>
    <row r="1349" spans="6:8" ht="15.5">
      <c r="F1349" s="76">
        <v>90040296</v>
      </c>
      <c r="G1349" s="77" t="s">
        <v>1781</v>
      </c>
      <c r="H1349" s="78">
        <v>0</v>
      </c>
    </row>
    <row r="1350" spans="6:8" ht="15.5">
      <c r="F1350" s="76">
        <v>315011</v>
      </c>
      <c r="G1350" s="77" t="s">
        <v>1782</v>
      </c>
      <c r="H1350" s="78">
        <v>0</v>
      </c>
    </row>
    <row r="1351" spans="6:8" ht="15.5">
      <c r="F1351" s="76">
        <v>313389</v>
      </c>
      <c r="G1351" s="77" t="s">
        <v>1783</v>
      </c>
      <c r="H1351" s="78">
        <v>0</v>
      </c>
    </row>
    <row r="1352" spans="6:8" ht="15.5">
      <c r="F1352" s="76">
        <v>90039317</v>
      </c>
      <c r="G1352" s="77" t="s">
        <v>1784</v>
      </c>
      <c r="H1352" s="78">
        <v>0</v>
      </c>
    </row>
    <row r="1353" spans="6:8" ht="15.5">
      <c r="F1353" s="76">
        <v>314490</v>
      </c>
      <c r="G1353" s="77" t="s">
        <v>1785</v>
      </c>
      <c r="H1353" s="78">
        <v>0</v>
      </c>
    </row>
    <row r="1354" spans="6:8" ht="15.5">
      <c r="F1354" s="76">
        <v>316250</v>
      </c>
      <c r="G1354" s="77" t="s">
        <v>1786</v>
      </c>
      <c r="H1354" s="78">
        <v>0</v>
      </c>
    </row>
    <row r="1355" spans="6:8" ht="15.5">
      <c r="F1355" s="76">
        <v>301059</v>
      </c>
      <c r="G1355" s="77" t="s">
        <v>1787</v>
      </c>
      <c r="H1355" s="78">
        <v>0</v>
      </c>
    </row>
    <row r="1356" spans="6:8" ht="15.5">
      <c r="F1356" s="76">
        <v>314492</v>
      </c>
      <c r="G1356" s="77" t="s">
        <v>1788</v>
      </c>
      <c r="H1356" s="78">
        <v>0</v>
      </c>
    </row>
    <row r="1357" spans="6:8" ht="15.5">
      <c r="F1357" s="76">
        <v>311662</v>
      </c>
      <c r="G1357" s="77" t="s">
        <v>1789</v>
      </c>
      <c r="H1357" s="78">
        <v>0</v>
      </c>
    </row>
    <row r="1358" spans="6:8" ht="15.5">
      <c r="F1358" s="76">
        <v>308405</v>
      </c>
      <c r="G1358" s="77" t="s">
        <v>1790</v>
      </c>
      <c r="H1358" s="78">
        <v>0</v>
      </c>
    </row>
    <row r="1359" spans="6:8" ht="15.5">
      <c r="F1359" s="76">
        <v>315983</v>
      </c>
      <c r="G1359" s="77" t="s">
        <v>1791</v>
      </c>
      <c r="H1359" s="78">
        <v>0</v>
      </c>
    </row>
    <row r="1360" spans="6:8" ht="15.5">
      <c r="F1360" s="76">
        <v>316359</v>
      </c>
      <c r="G1360" s="77" t="s">
        <v>1792</v>
      </c>
      <c r="H1360" s="78">
        <v>0</v>
      </c>
    </row>
    <row r="1361" spans="6:8" ht="15.5">
      <c r="F1361" s="76">
        <v>316423</v>
      </c>
      <c r="G1361" s="77" t="s">
        <v>1793</v>
      </c>
      <c r="H1361" s="78">
        <v>0</v>
      </c>
    </row>
    <row r="1362" spans="6:8" ht="15.5">
      <c r="F1362" s="76">
        <v>314452</v>
      </c>
      <c r="G1362" s="77" t="s">
        <v>1794</v>
      </c>
      <c r="H1362" s="78">
        <v>0</v>
      </c>
    </row>
    <row r="1363" spans="6:8" ht="15.5">
      <c r="F1363" s="76">
        <v>316056</v>
      </c>
      <c r="G1363" s="77" t="s">
        <v>1795</v>
      </c>
      <c r="H1363" s="78">
        <v>0</v>
      </c>
    </row>
    <row r="1364" spans="6:8" ht="15.5">
      <c r="F1364" s="76">
        <v>313594</v>
      </c>
      <c r="G1364" s="77" t="s">
        <v>1796</v>
      </c>
      <c r="H1364" s="78">
        <v>0</v>
      </c>
    </row>
    <row r="1365" spans="6:8" ht="15.5">
      <c r="F1365" s="76">
        <v>307279</v>
      </c>
      <c r="G1365" s="77" t="s">
        <v>1797</v>
      </c>
      <c r="H1365" s="78">
        <v>0</v>
      </c>
    </row>
    <row r="1366" spans="6:8" ht="15.5">
      <c r="F1366" s="76">
        <v>90029257</v>
      </c>
      <c r="G1366" s="77" t="s">
        <v>1798</v>
      </c>
      <c r="H1366" s="78">
        <v>0</v>
      </c>
    </row>
    <row r="1367" spans="6:8" ht="15.5">
      <c r="F1367" s="76">
        <v>315455</v>
      </c>
      <c r="G1367" s="77" t="s">
        <v>1799</v>
      </c>
      <c r="H1367" s="78">
        <v>0</v>
      </c>
    </row>
    <row r="1368" spans="6:8" ht="15.5">
      <c r="F1368" s="76">
        <v>90039013</v>
      </c>
      <c r="G1368" s="77" t="s">
        <v>1800</v>
      </c>
      <c r="H1368" s="78">
        <v>0</v>
      </c>
    </row>
    <row r="1369" spans="6:8" ht="15.5">
      <c r="F1369" s="76">
        <v>312318</v>
      </c>
      <c r="G1369" s="77" t="s">
        <v>1801</v>
      </c>
      <c r="H1369" s="78">
        <v>0</v>
      </c>
    </row>
    <row r="1370" spans="6:8" ht="15.5">
      <c r="F1370" s="76">
        <v>314669</v>
      </c>
      <c r="G1370" s="77" t="s">
        <v>1802</v>
      </c>
      <c r="H1370" s="78">
        <v>0</v>
      </c>
    </row>
    <row r="1371" spans="6:8" ht="15.5">
      <c r="F1371" s="76">
        <v>315231</v>
      </c>
      <c r="G1371" s="77" t="s">
        <v>1803</v>
      </c>
      <c r="H1371" s="78">
        <v>0</v>
      </c>
    </row>
    <row r="1372" spans="6:8" ht="15.5">
      <c r="F1372" s="76">
        <v>311223</v>
      </c>
      <c r="G1372" s="77" t="s">
        <v>1804</v>
      </c>
      <c r="H1372" s="78">
        <v>0</v>
      </c>
    </row>
    <row r="1373" spans="6:8" ht="15.5">
      <c r="F1373" s="76">
        <v>313343</v>
      </c>
      <c r="G1373" s="77" t="s">
        <v>1805</v>
      </c>
      <c r="H1373" s="78">
        <v>0</v>
      </c>
    </row>
    <row r="1374" spans="6:8" ht="15.5">
      <c r="F1374" s="76">
        <v>90046476</v>
      </c>
      <c r="G1374" s="77" t="s">
        <v>1806</v>
      </c>
      <c r="H1374" s="78">
        <v>0</v>
      </c>
    </row>
    <row r="1375" spans="6:8" ht="15.5">
      <c r="F1375" s="76">
        <v>300401</v>
      </c>
      <c r="G1375" s="77" t="s">
        <v>1807</v>
      </c>
      <c r="H1375" s="78">
        <v>0</v>
      </c>
    </row>
    <row r="1376" spans="6:8" ht="15.5">
      <c r="F1376" s="76">
        <v>314039</v>
      </c>
      <c r="G1376" s="77" t="s">
        <v>1808</v>
      </c>
      <c r="H1376" s="78">
        <v>0</v>
      </c>
    </row>
    <row r="1377" spans="6:8" ht="15.5">
      <c r="F1377" s="76">
        <v>312848</v>
      </c>
      <c r="G1377" s="77" t="s">
        <v>1809</v>
      </c>
      <c r="H1377" s="78">
        <v>0</v>
      </c>
    </row>
    <row r="1378" spans="6:8" ht="15.5">
      <c r="F1378" s="76">
        <v>315598</v>
      </c>
      <c r="G1378" s="77" t="s">
        <v>1810</v>
      </c>
      <c r="H1378" s="78">
        <v>0</v>
      </c>
    </row>
    <row r="1379" spans="6:8" ht="15.5">
      <c r="F1379" s="76">
        <v>313617</v>
      </c>
      <c r="G1379" s="77" t="s">
        <v>1811</v>
      </c>
      <c r="H1379" s="78">
        <v>0</v>
      </c>
    </row>
    <row r="1380" spans="6:8" ht="15.5">
      <c r="F1380" s="76">
        <v>314961</v>
      </c>
      <c r="G1380" s="77" t="s">
        <v>1812</v>
      </c>
      <c r="H1380" s="78">
        <v>0</v>
      </c>
    </row>
    <row r="1381" spans="6:8" ht="15.5">
      <c r="F1381" s="76">
        <v>314663</v>
      </c>
      <c r="G1381" s="77" t="s">
        <v>1813</v>
      </c>
      <c r="H1381" s="78">
        <v>0</v>
      </c>
    </row>
    <row r="1382" spans="6:8" ht="15.5">
      <c r="F1382" s="76">
        <v>300919</v>
      </c>
      <c r="G1382" s="77" t="s">
        <v>1814</v>
      </c>
      <c r="H1382" s="78">
        <v>0</v>
      </c>
    </row>
    <row r="1383" spans="6:8" ht="15.5">
      <c r="F1383" s="76">
        <v>312615</v>
      </c>
      <c r="G1383" s="77" t="s">
        <v>1815</v>
      </c>
      <c r="H1383" s="78">
        <v>0</v>
      </c>
    </row>
    <row r="1384" spans="6:8" ht="15.5">
      <c r="F1384" s="76">
        <v>316278</v>
      </c>
      <c r="G1384" s="77" t="s">
        <v>1816</v>
      </c>
      <c r="H1384" s="78">
        <v>0</v>
      </c>
    </row>
    <row r="1385" spans="6:8" ht="15.5">
      <c r="F1385" s="76">
        <v>313044</v>
      </c>
      <c r="G1385" s="77" t="s">
        <v>1817</v>
      </c>
      <c r="H1385" s="78">
        <v>0</v>
      </c>
    </row>
    <row r="1386" spans="6:8" ht="15.5">
      <c r="F1386" s="76">
        <v>315586</v>
      </c>
      <c r="G1386" s="77" t="s">
        <v>1818</v>
      </c>
      <c r="H1386" s="78">
        <v>0</v>
      </c>
    </row>
    <row r="1387" spans="6:8" ht="15.5">
      <c r="F1387" s="76">
        <v>313262</v>
      </c>
      <c r="G1387" s="77" t="s">
        <v>1819</v>
      </c>
      <c r="H1387" s="78">
        <v>0</v>
      </c>
    </row>
    <row r="1388" spans="6:8" ht="15.5">
      <c r="F1388" s="76">
        <v>314756</v>
      </c>
      <c r="G1388" s="77" t="s">
        <v>1820</v>
      </c>
      <c r="H1388" s="78">
        <v>0</v>
      </c>
    </row>
    <row r="1389" spans="6:8" ht="15.5">
      <c r="F1389" s="76">
        <v>314665</v>
      </c>
      <c r="G1389" s="77" t="s">
        <v>1821</v>
      </c>
      <c r="H1389" s="78">
        <v>0</v>
      </c>
    </row>
    <row r="1390" spans="6:8" ht="15.5">
      <c r="F1390" s="76">
        <v>313540</v>
      </c>
      <c r="G1390" s="77" t="s">
        <v>1822</v>
      </c>
      <c r="H1390" s="78">
        <v>0</v>
      </c>
    </row>
    <row r="1391" spans="6:8" ht="15.5">
      <c r="F1391" s="76">
        <v>312858</v>
      </c>
      <c r="G1391" s="77" t="s">
        <v>1823</v>
      </c>
      <c r="H1391" s="78">
        <v>0</v>
      </c>
    </row>
    <row r="1392" spans="6:8" ht="15.5">
      <c r="F1392" s="76">
        <v>314906</v>
      </c>
      <c r="G1392" s="77" t="s">
        <v>1824</v>
      </c>
      <c r="H1392" s="78">
        <v>0</v>
      </c>
    </row>
    <row r="1393" spans="6:8" ht="15.5">
      <c r="F1393" s="76">
        <v>312485</v>
      </c>
      <c r="G1393" s="77" t="s">
        <v>1825</v>
      </c>
      <c r="H1393" s="78">
        <v>0</v>
      </c>
    </row>
    <row r="1394" spans="6:8" ht="15.5">
      <c r="F1394" s="76">
        <v>316120</v>
      </c>
      <c r="G1394" s="77" t="s">
        <v>1826</v>
      </c>
      <c r="H1394" s="78">
        <v>0</v>
      </c>
    </row>
    <row r="1395" spans="6:8" ht="15.5">
      <c r="F1395" s="76">
        <v>315275</v>
      </c>
      <c r="G1395" s="77" t="s">
        <v>1827</v>
      </c>
      <c r="H1395" s="78">
        <v>0</v>
      </c>
    </row>
    <row r="1396" spans="6:8" ht="15.5">
      <c r="F1396" s="76">
        <v>314557</v>
      </c>
      <c r="G1396" s="77" t="s">
        <v>1828</v>
      </c>
      <c r="H1396" s="78">
        <v>0</v>
      </c>
    </row>
    <row r="1397" spans="6:8" ht="15.5">
      <c r="F1397" s="76">
        <v>315575</v>
      </c>
      <c r="G1397" s="77" t="s">
        <v>1829</v>
      </c>
      <c r="H1397" s="78">
        <v>0</v>
      </c>
    </row>
    <row r="1398" spans="6:8" ht="15.5">
      <c r="F1398" s="76">
        <v>313604</v>
      </c>
      <c r="G1398" s="77" t="s">
        <v>1830</v>
      </c>
      <c r="H1398" s="78">
        <v>0</v>
      </c>
    </row>
    <row r="1399" spans="6:8" ht="15.5">
      <c r="F1399" s="76">
        <v>315600</v>
      </c>
      <c r="G1399" s="77" t="s">
        <v>1831</v>
      </c>
      <c r="H1399" s="78">
        <v>0</v>
      </c>
    </row>
    <row r="1400" spans="6:8" ht="15.5">
      <c r="F1400" s="76">
        <v>316092</v>
      </c>
      <c r="G1400" s="77" t="s">
        <v>1832</v>
      </c>
      <c r="H1400" s="78">
        <v>0</v>
      </c>
    </row>
    <row r="1401" spans="6:8" ht="15.5">
      <c r="F1401" s="76">
        <v>306242</v>
      </c>
      <c r="G1401" s="77" t="s">
        <v>1833</v>
      </c>
      <c r="H1401" s="78">
        <v>0</v>
      </c>
    </row>
    <row r="1402" spans="6:8" ht="15.5">
      <c r="F1402" s="76">
        <v>310693</v>
      </c>
      <c r="G1402" s="77" t="s">
        <v>1834</v>
      </c>
      <c r="H1402" s="78">
        <v>0</v>
      </c>
    </row>
    <row r="1403" spans="6:8" ht="15.5">
      <c r="F1403" s="76">
        <v>302559</v>
      </c>
      <c r="G1403" s="77" t="s">
        <v>1835</v>
      </c>
      <c r="H1403" s="78">
        <v>0</v>
      </c>
    </row>
    <row r="1404" spans="6:8" ht="15.5">
      <c r="F1404" s="76">
        <v>90048808</v>
      </c>
      <c r="G1404" s="77" t="s">
        <v>1836</v>
      </c>
      <c r="H1404" s="78">
        <v>0</v>
      </c>
    </row>
    <row r="1405" spans="6:8" ht="15.5">
      <c r="F1405" s="76">
        <v>314740</v>
      </c>
      <c r="G1405" s="77" t="s">
        <v>1837</v>
      </c>
      <c r="H1405" s="78">
        <v>0</v>
      </c>
    </row>
    <row r="1406" spans="6:8" ht="15.5">
      <c r="F1406" s="76">
        <v>308266</v>
      </c>
      <c r="G1406" s="77" t="s">
        <v>1838</v>
      </c>
      <c r="H1406" s="78">
        <v>0</v>
      </c>
    </row>
    <row r="1407" spans="6:8" ht="15.5">
      <c r="F1407" s="76">
        <v>90035163</v>
      </c>
      <c r="G1407" s="77" t="s">
        <v>1839</v>
      </c>
      <c r="H1407" s="78">
        <v>0</v>
      </c>
    </row>
    <row r="1408" spans="6:8" ht="15.5">
      <c r="F1408" s="76">
        <v>311388</v>
      </c>
      <c r="G1408" s="77" t="s">
        <v>1840</v>
      </c>
      <c r="H1408" s="78">
        <v>0</v>
      </c>
    </row>
    <row r="1409" spans="6:8" ht="15.5">
      <c r="F1409" s="76">
        <v>304232</v>
      </c>
      <c r="G1409" s="77" t="s">
        <v>1841</v>
      </c>
      <c r="H1409" s="78">
        <v>0</v>
      </c>
    </row>
    <row r="1410" spans="6:8" ht="15.5">
      <c r="F1410" s="76">
        <v>315192</v>
      </c>
      <c r="G1410" s="77" t="s">
        <v>1842</v>
      </c>
      <c r="H1410" s="78">
        <v>0</v>
      </c>
    </row>
    <row r="1411" spans="6:8" ht="15.5">
      <c r="F1411" s="76">
        <v>313493</v>
      </c>
      <c r="G1411" s="77" t="s">
        <v>1843</v>
      </c>
      <c r="H1411" s="78">
        <v>0</v>
      </c>
    </row>
    <row r="1412" spans="6:8" ht="15.5">
      <c r="F1412" s="76">
        <v>90038605</v>
      </c>
      <c r="G1412" s="77" t="s">
        <v>1844</v>
      </c>
      <c r="H1412" s="78">
        <v>0</v>
      </c>
    </row>
    <row r="1413" spans="6:8" ht="15.5">
      <c r="F1413" s="76">
        <v>90028292</v>
      </c>
      <c r="G1413" s="77" t="s">
        <v>1845</v>
      </c>
      <c r="H1413" s="78">
        <v>0</v>
      </c>
    </row>
    <row r="1414" spans="6:8" ht="15.5">
      <c r="F1414" s="76">
        <v>314194</v>
      </c>
      <c r="G1414" s="77" t="s">
        <v>1846</v>
      </c>
      <c r="H1414" s="78">
        <v>0</v>
      </c>
    </row>
    <row r="1415" spans="6:8" ht="15.5">
      <c r="F1415" s="76">
        <v>90016466</v>
      </c>
      <c r="G1415" s="77" t="s">
        <v>1847</v>
      </c>
      <c r="H1415" s="78">
        <v>0</v>
      </c>
    </row>
    <row r="1416" spans="6:8" ht="15.5">
      <c r="F1416" s="76">
        <v>308411</v>
      </c>
      <c r="G1416" s="77" t="s">
        <v>1848</v>
      </c>
      <c r="H1416" s="78">
        <v>0</v>
      </c>
    </row>
    <row r="1417" spans="6:8" ht="15.5">
      <c r="F1417" s="76">
        <v>315697</v>
      </c>
      <c r="G1417" s="77" t="s">
        <v>1849</v>
      </c>
      <c r="H1417" s="78">
        <v>0</v>
      </c>
    </row>
    <row r="1418" spans="6:8" ht="15.5">
      <c r="F1418" s="76">
        <v>313225</v>
      </c>
      <c r="G1418" s="77" t="s">
        <v>1850</v>
      </c>
      <c r="H1418" s="78">
        <v>0</v>
      </c>
    </row>
    <row r="1419" spans="6:8" ht="15.5">
      <c r="F1419" s="76">
        <v>311553</v>
      </c>
      <c r="G1419" s="77" t="s">
        <v>1851</v>
      </c>
      <c r="H1419" s="78">
        <v>0</v>
      </c>
    </row>
    <row r="1420" spans="6:8" ht="15.5">
      <c r="F1420" s="76">
        <v>302674</v>
      </c>
      <c r="G1420" s="77" t="s">
        <v>1852</v>
      </c>
      <c r="H1420" s="78">
        <v>0</v>
      </c>
    </row>
    <row r="1421" spans="6:8" ht="15.5">
      <c r="F1421" s="76">
        <v>312029</v>
      </c>
      <c r="G1421" s="77" t="s">
        <v>1853</v>
      </c>
      <c r="H1421" s="78">
        <v>0</v>
      </c>
    </row>
    <row r="1422" spans="6:8" ht="15.5">
      <c r="F1422" s="76">
        <v>311573</v>
      </c>
      <c r="G1422" s="77" t="s">
        <v>1854</v>
      </c>
      <c r="H1422" s="78">
        <v>0</v>
      </c>
    </row>
    <row r="1423" spans="6:8" ht="15.5">
      <c r="F1423" s="76">
        <v>315966</v>
      </c>
      <c r="G1423" s="77" t="s">
        <v>1855</v>
      </c>
      <c r="H1423" s="78">
        <v>0</v>
      </c>
    </row>
    <row r="1424" spans="6:8" ht="15.5">
      <c r="F1424" s="76">
        <v>313240</v>
      </c>
      <c r="G1424" s="77" t="s">
        <v>1856</v>
      </c>
      <c r="H1424" s="78">
        <v>0</v>
      </c>
    </row>
    <row r="1425" spans="6:8" ht="15.5">
      <c r="F1425" s="76">
        <v>90040102</v>
      </c>
      <c r="G1425" s="77" t="s">
        <v>1857</v>
      </c>
      <c r="H1425" s="78">
        <v>0</v>
      </c>
    </row>
    <row r="1426" spans="6:8" ht="15.5">
      <c r="F1426" s="76">
        <v>314954</v>
      </c>
      <c r="G1426" s="77" t="s">
        <v>1858</v>
      </c>
      <c r="H1426" s="78">
        <v>0</v>
      </c>
    </row>
    <row r="1427" spans="6:8" ht="15.5">
      <c r="F1427" s="76">
        <v>305618</v>
      </c>
      <c r="G1427" s="77" t="s">
        <v>1859</v>
      </c>
      <c r="H1427" s="78">
        <v>0</v>
      </c>
    </row>
    <row r="1428" spans="6:8" ht="15.5">
      <c r="F1428" s="76">
        <v>308561</v>
      </c>
      <c r="G1428" s="77" t="s">
        <v>1860</v>
      </c>
      <c r="H1428" s="78">
        <v>0</v>
      </c>
    </row>
    <row r="1429" spans="6:8" ht="15.5">
      <c r="F1429" s="76">
        <v>313722</v>
      </c>
      <c r="G1429" s="77" t="s">
        <v>1861</v>
      </c>
      <c r="H1429" s="78">
        <v>0</v>
      </c>
    </row>
    <row r="1430" spans="6:8" ht="15.5">
      <c r="F1430" s="76">
        <v>315110</v>
      </c>
      <c r="G1430" s="77" t="s">
        <v>1862</v>
      </c>
      <c r="H1430" s="78">
        <v>0</v>
      </c>
    </row>
    <row r="1431" spans="6:8" ht="15.5">
      <c r="F1431" s="76">
        <v>315306</v>
      </c>
      <c r="G1431" s="77" t="s">
        <v>1863</v>
      </c>
      <c r="H1431" s="78">
        <v>0</v>
      </c>
    </row>
    <row r="1432" spans="6:8" ht="15.5">
      <c r="F1432" s="76">
        <v>311616</v>
      </c>
      <c r="G1432" s="77" t="s">
        <v>1864</v>
      </c>
      <c r="H1432" s="78">
        <v>0</v>
      </c>
    </row>
    <row r="1433" spans="6:8" ht="15.5">
      <c r="F1433" s="76">
        <v>316198</v>
      </c>
      <c r="G1433" s="77" t="s">
        <v>1865</v>
      </c>
      <c r="H1433" s="78">
        <v>0</v>
      </c>
    </row>
    <row r="1434" spans="6:8" ht="15.5">
      <c r="F1434" s="76">
        <v>316312</v>
      </c>
      <c r="G1434" s="77" t="s">
        <v>1866</v>
      </c>
      <c r="H1434" s="78">
        <v>0</v>
      </c>
    </row>
    <row r="1435" spans="6:8" ht="15.5">
      <c r="F1435" s="76">
        <v>309014</v>
      </c>
      <c r="G1435" s="77" t="s">
        <v>1867</v>
      </c>
      <c r="H1435" s="78">
        <v>0</v>
      </c>
    </row>
    <row r="1436" spans="6:8" ht="15.5">
      <c r="F1436" s="76">
        <v>314217</v>
      </c>
      <c r="G1436" s="77" t="s">
        <v>1868</v>
      </c>
      <c r="H1436" s="78">
        <v>0</v>
      </c>
    </row>
    <row r="1437" spans="6:8" ht="15.5">
      <c r="F1437" s="76">
        <v>315274</v>
      </c>
      <c r="G1437" s="77" t="s">
        <v>1869</v>
      </c>
      <c r="H1437" s="78">
        <v>0</v>
      </c>
    </row>
    <row r="1438" spans="6:8" ht="15.5">
      <c r="F1438" s="76">
        <v>308426</v>
      </c>
      <c r="G1438" s="77" t="s">
        <v>1870</v>
      </c>
      <c r="H1438" s="78">
        <v>0</v>
      </c>
    </row>
    <row r="1439" spans="6:8" ht="15.5">
      <c r="F1439" s="76">
        <v>311722</v>
      </c>
      <c r="G1439" s="77" t="s">
        <v>1871</v>
      </c>
      <c r="H1439" s="78">
        <v>0</v>
      </c>
    </row>
    <row r="1440" spans="6:8" ht="15.5">
      <c r="F1440" s="76">
        <v>308244</v>
      </c>
      <c r="G1440" s="77" t="s">
        <v>1872</v>
      </c>
      <c r="H1440" s="78">
        <v>0</v>
      </c>
    </row>
    <row r="1441" spans="6:8" ht="15.5">
      <c r="F1441" s="76">
        <v>313022</v>
      </c>
      <c r="G1441" s="77" t="s">
        <v>1873</v>
      </c>
      <c r="H1441" s="78">
        <v>0</v>
      </c>
    </row>
    <row r="1442" spans="6:8" ht="15.5">
      <c r="F1442" s="76">
        <v>312215</v>
      </c>
      <c r="G1442" s="77" t="s">
        <v>1874</v>
      </c>
      <c r="H1442" s="78">
        <v>0</v>
      </c>
    </row>
    <row r="1443" spans="6:8" ht="15.5">
      <c r="F1443" s="76">
        <v>301583</v>
      </c>
      <c r="G1443" s="77" t="s">
        <v>1875</v>
      </c>
      <c r="H1443" s="78">
        <v>0</v>
      </c>
    </row>
    <row r="1444" spans="6:8" ht="15.5">
      <c r="F1444" s="76">
        <v>315147</v>
      </c>
      <c r="G1444" s="77" t="s">
        <v>1876</v>
      </c>
      <c r="H1444" s="78">
        <v>0</v>
      </c>
    </row>
    <row r="1445" spans="6:8" ht="15.5">
      <c r="F1445" s="76">
        <v>313918</v>
      </c>
      <c r="G1445" s="77" t="s">
        <v>1877</v>
      </c>
      <c r="H1445" s="78">
        <v>0</v>
      </c>
    </row>
    <row r="1446" spans="6:8" ht="15.5">
      <c r="F1446" s="76">
        <v>90009403</v>
      </c>
      <c r="G1446" s="77" t="s">
        <v>1878</v>
      </c>
      <c r="H1446" s="78">
        <v>0</v>
      </c>
    </row>
    <row r="1447" spans="6:8" ht="15.5">
      <c r="F1447" s="76">
        <v>316098</v>
      </c>
      <c r="G1447" s="77" t="s">
        <v>1879</v>
      </c>
      <c r="H1447" s="78">
        <v>0</v>
      </c>
    </row>
    <row r="1448" spans="6:8" ht="15.5">
      <c r="F1448" s="76">
        <v>315772</v>
      </c>
      <c r="G1448" s="77" t="s">
        <v>1880</v>
      </c>
      <c r="H1448" s="78">
        <v>0</v>
      </c>
    </row>
    <row r="1449" spans="6:8" ht="15.5">
      <c r="F1449" s="76">
        <v>312403</v>
      </c>
      <c r="G1449" s="77" t="s">
        <v>1881</v>
      </c>
      <c r="H1449" s="78">
        <v>0</v>
      </c>
    </row>
    <row r="1450" spans="6:8" ht="15.5">
      <c r="F1450" s="76">
        <v>304664</v>
      </c>
      <c r="G1450" s="77" t="s">
        <v>1882</v>
      </c>
      <c r="H1450" s="78">
        <v>0</v>
      </c>
    </row>
    <row r="1451" spans="6:8" ht="15.5">
      <c r="F1451" s="76">
        <v>90048506</v>
      </c>
      <c r="G1451" s="77" t="s">
        <v>1883</v>
      </c>
      <c r="H1451" s="78">
        <v>0</v>
      </c>
    </row>
    <row r="1452" spans="6:8" ht="15.5">
      <c r="F1452" s="76">
        <v>90029106</v>
      </c>
      <c r="G1452" s="77" t="s">
        <v>1884</v>
      </c>
      <c r="H1452" s="78">
        <v>0</v>
      </c>
    </row>
    <row r="1453" spans="6:8" ht="15.5">
      <c r="F1453" s="76">
        <v>315490</v>
      </c>
      <c r="G1453" s="77" t="s">
        <v>1885</v>
      </c>
      <c r="H1453" s="78">
        <v>0</v>
      </c>
    </row>
    <row r="1454" spans="6:8" ht="15.5">
      <c r="F1454" s="76">
        <v>315862</v>
      </c>
      <c r="G1454" s="77" t="s">
        <v>1886</v>
      </c>
      <c r="H1454" s="78">
        <v>0</v>
      </c>
    </row>
    <row r="1455" spans="6:8" ht="15.5">
      <c r="F1455" s="76">
        <v>314673</v>
      </c>
      <c r="G1455" s="77" t="s">
        <v>1887</v>
      </c>
      <c r="H1455" s="78">
        <v>0</v>
      </c>
    </row>
    <row r="1456" spans="6:8" ht="15.5">
      <c r="F1456" s="76">
        <v>313079</v>
      </c>
      <c r="G1456" s="77" t="s">
        <v>1888</v>
      </c>
      <c r="H1456" s="78">
        <v>0</v>
      </c>
    </row>
    <row r="1457" spans="6:8" ht="15.5">
      <c r="F1457" s="76">
        <v>314464</v>
      </c>
      <c r="G1457" s="77" t="s">
        <v>1889</v>
      </c>
      <c r="H1457" s="78">
        <v>0</v>
      </c>
    </row>
    <row r="1458" spans="6:8" ht="15.5">
      <c r="F1458" s="76">
        <v>314206</v>
      </c>
      <c r="G1458" s="77" t="s">
        <v>1890</v>
      </c>
      <c r="H1458" s="78">
        <v>0</v>
      </c>
    </row>
    <row r="1459" spans="6:8" ht="15.5">
      <c r="F1459" s="76">
        <v>301374</v>
      </c>
      <c r="G1459" s="77" t="s">
        <v>1891</v>
      </c>
      <c r="H1459" s="78">
        <v>0</v>
      </c>
    </row>
    <row r="1460" spans="6:8" ht="15.5">
      <c r="F1460" s="76">
        <v>314831</v>
      </c>
      <c r="G1460" s="77" t="s">
        <v>1892</v>
      </c>
      <c r="H1460" s="78">
        <v>0</v>
      </c>
    </row>
    <row r="1461" spans="6:8" ht="15.5">
      <c r="F1461" s="76">
        <v>309789</v>
      </c>
      <c r="G1461" s="77" t="s">
        <v>1893</v>
      </c>
      <c r="H1461" s="78">
        <v>0</v>
      </c>
    </row>
    <row r="1462" spans="6:8" ht="15.5">
      <c r="F1462" s="76">
        <v>90013944</v>
      </c>
      <c r="G1462" s="77" t="s">
        <v>1894</v>
      </c>
      <c r="H1462" s="78">
        <v>0</v>
      </c>
    </row>
    <row r="1463" spans="6:8" ht="15.5">
      <c r="F1463" s="76">
        <v>316291</v>
      </c>
      <c r="G1463" s="77" t="s">
        <v>1895</v>
      </c>
      <c r="H1463" s="78">
        <v>0</v>
      </c>
    </row>
    <row r="1464" spans="6:8" ht="15.5">
      <c r="F1464" s="76">
        <v>309957</v>
      </c>
      <c r="G1464" s="77" t="s">
        <v>1896</v>
      </c>
      <c r="H1464" s="78">
        <v>0</v>
      </c>
    </row>
    <row r="1465" spans="6:8" ht="15.5">
      <c r="F1465" s="76">
        <v>310487</v>
      </c>
      <c r="G1465" s="77" t="s">
        <v>1897</v>
      </c>
      <c r="H1465" s="78">
        <v>0</v>
      </c>
    </row>
    <row r="1466" spans="6:8" ht="15.5">
      <c r="F1466" s="76">
        <v>314444</v>
      </c>
      <c r="G1466" s="77" t="s">
        <v>1898</v>
      </c>
      <c r="H1466" s="78">
        <v>0</v>
      </c>
    </row>
    <row r="1467" spans="6:8" ht="15.5">
      <c r="F1467" s="76">
        <v>305608</v>
      </c>
      <c r="G1467" s="77" t="s">
        <v>1899</v>
      </c>
      <c r="H1467" s="78">
        <v>0</v>
      </c>
    </row>
    <row r="1468" spans="6:8" ht="15.5">
      <c r="F1468" s="76">
        <v>312982</v>
      </c>
      <c r="G1468" s="77" t="s">
        <v>1900</v>
      </c>
      <c r="H1468" s="78">
        <v>0</v>
      </c>
    </row>
    <row r="1469" spans="6:8" ht="15.5">
      <c r="F1469" s="76">
        <v>90040566</v>
      </c>
      <c r="G1469" s="77" t="s">
        <v>1901</v>
      </c>
      <c r="H1469" s="78">
        <v>0</v>
      </c>
    </row>
    <row r="1470" spans="6:8" ht="15.5">
      <c r="F1470" s="76">
        <v>314044</v>
      </c>
      <c r="G1470" s="77" t="s">
        <v>1902</v>
      </c>
      <c r="H1470" s="78">
        <v>0</v>
      </c>
    </row>
    <row r="1471" spans="6:8" ht="15.5">
      <c r="F1471" s="76">
        <v>90012196</v>
      </c>
      <c r="G1471" s="77" t="s">
        <v>1903</v>
      </c>
      <c r="H1471" s="78">
        <v>0</v>
      </c>
    </row>
    <row r="1472" spans="6:8" ht="15.5">
      <c r="F1472" s="76">
        <v>311039</v>
      </c>
      <c r="G1472" s="77" t="s">
        <v>1904</v>
      </c>
      <c r="H1472" s="78">
        <v>0</v>
      </c>
    </row>
    <row r="1473" spans="6:8" ht="15.5">
      <c r="F1473" s="76">
        <v>90040298</v>
      </c>
      <c r="G1473" s="77" t="s">
        <v>1905</v>
      </c>
      <c r="H1473" s="78">
        <v>0</v>
      </c>
    </row>
    <row r="1474" spans="6:8" ht="15.5">
      <c r="F1474" s="76">
        <v>309255</v>
      </c>
      <c r="G1474" s="77" t="s">
        <v>1906</v>
      </c>
      <c r="H1474" s="78">
        <v>0</v>
      </c>
    </row>
    <row r="1475" spans="6:8" ht="15.5">
      <c r="F1475" s="76">
        <v>308909</v>
      </c>
      <c r="G1475" s="77" t="s">
        <v>1907</v>
      </c>
      <c r="H1475" s="78">
        <v>0</v>
      </c>
    </row>
    <row r="1476" spans="6:8" ht="15.5">
      <c r="F1476" s="76">
        <v>90045960</v>
      </c>
      <c r="G1476" s="77" t="s">
        <v>1908</v>
      </c>
      <c r="H1476" s="78">
        <v>0</v>
      </c>
    </row>
    <row r="1477" spans="6:8" ht="15.5">
      <c r="F1477" s="76">
        <v>90046220</v>
      </c>
      <c r="G1477" s="77" t="s">
        <v>1909</v>
      </c>
      <c r="H1477" s="78">
        <v>0</v>
      </c>
    </row>
    <row r="1478" spans="6:8" ht="15.5">
      <c r="F1478" s="76">
        <v>314344</v>
      </c>
      <c r="G1478" s="77" t="s">
        <v>1910</v>
      </c>
      <c r="H1478" s="78">
        <v>0</v>
      </c>
    </row>
    <row r="1479" spans="6:8" ht="15.5">
      <c r="F1479" s="76">
        <v>316124</v>
      </c>
      <c r="G1479" s="77" t="s">
        <v>1911</v>
      </c>
      <c r="H1479" s="78">
        <v>0</v>
      </c>
    </row>
    <row r="1480" spans="6:8" ht="15.5">
      <c r="F1480" s="76">
        <v>308761</v>
      </c>
      <c r="G1480" s="77" t="s">
        <v>1912</v>
      </c>
      <c r="H1480" s="78">
        <v>0</v>
      </c>
    </row>
    <row r="1481" spans="6:8" ht="15.5">
      <c r="F1481" s="76">
        <v>311930</v>
      </c>
      <c r="G1481" s="77" t="s">
        <v>1913</v>
      </c>
      <c r="H1481" s="78">
        <v>0</v>
      </c>
    </row>
    <row r="1482" spans="6:8" ht="15.5">
      <c r="F1482" s="76">
        <v>314987</v>
      </c>
      <c r="G1482" s="77" t="s">
        <v>1914</v>
      </c>
      <c r="H1482" s="78">
        <v>0</v>
      </c>
    </row>
    <row r="1483" spans="6:8" ht="15.5">
      <c r="F1483" s="76">
        <v>313018</v>
      </c>
      <c r="G1483" s="77" t="s">
        <v>1915</v>
      </c>
      <c r="H1483" s="78">
        <v>0</v>
      </c>
    </row>
    <row r="1484" spans="6:8" ht="15.5">
      <c r="F1484" s="76">
        <v>312838</v>
      </c>
      <c r="G1484" s="77" t="s">
        <v>1916</v>
      </c>
      <c r="H1484" s="78">
        <v>0</v>
      </c>
    </row>
    <row r="1485" spans="6:8" ht="15.5">
      <c r="F1485" s="76">
        <v>315314</v>
      </c>
      <c r="G1485" s="77" t="s">
        <v>1917</v>
      </c>
      <c r="H1485" s="78">
        <v>0</v>
      </c>
    </row>
    <row r="1486" spans="6:8" ht="15.5">
      <c r="F1486" s="76">
        <v>305303</v>
      </c>
      <c r="G1486" s="77" t="s">
        <v>1918</v>
      </c>
      <c r="H1486" s="78">
        <v>0</v>
      </c>
    </row>
    <row r="1487" spans="6:8" ht="15.5">
      <c r="F1487" s="76">
        <v>90009513</v>
      </c>
      <c r="G1487" s="77" t="s">
        <v>1919</v>
      </c>
      <c r="H1487" s="78">
        <v>0</v>
      </c>
    </row>
    <row r="1488" spans="6:8" ht="15.5">
      <c r="F1488" s="76">
        <v>310764</v>
      </c>
      <c r="G1488" s="77" t="s">
        <v>1920</v>
      </c>
      <c r="H1488" s="78">
        <v>0</v>
      </c>
    </row>
    <row r="1489" spans="6:8" ht="15.5">
      <c r="F1489" s="76">
        <v>312313</v>
      </c>
      <c r="G1489" s="77" t="s">
        <v>1921</v>
      </c>
      <c r="H1489" s="78">
        <v>0</v>
      </c>
    </row>
    <row r="1490" spans="6:8" ht="15.5">
      <c r="F1490" s="76">
        <v>90046797</v>
      </c>
      <c r="G1490" s="77" t="s">
        <v>1922</v>
      </c>
      <c r="H1490" s="78">
        <v>0</v>
      </c>
    </row>
    <row r="1491" spans="6:8" ht="15.5">
      <c r="F1491" s="76">
        <v>90048444</v>
      </c>
      <c r="G1491" s="77" t="s">
        <v>1923</v>
      </c>
      <c r="H1491" s="78">
        <v>0</v>
      </c>
    </row>
    <row r="1492" spans="6:8" ht="15.5">
      <c r="F1492" s="76">
        <v>312966</v>
      </c>
      <c r="G1492" s="77" t="s">
        <v>1924</v>
      </c>
      <c r="H1492" s="78">
        <v>0</v>
      </c>
    </row>
    <row r="1493" spans="6:8" ht="15.5">
      <c r="F1493" s="76">
        <v>314949</v>
      </c>
      <c r="G1493" s="77" t="s">
        <v>1925</v>
      </c>
      <c r="H1493" s="78">
        <v>0</v>
      </c>
    </row>
    <row r="1494" spans="6:8" ht="15.5">
      <c r="F1494" s="76">
        <v>316192</v>
      </c>
      <c r="G1494" s="77" t="s">
        <v>1926</v>
      </c>
      <c r="H1494" s="78">
        <v>0</v>
      </c>
    </row>
    <row r="1495" spans="6:8" ht="15.5">
      <c r="F1495" s="76">
        <v>307014</v>
      </c>
      <c r="G1495" s="77" t="s">
        <v>1927</v>
      </c>
      <c r="H1495" s="78">
        <v>0</v>
      </c>
    </row>
    <row r="1496" spans="6:8" ht="15.5">
      <c r="F1496" s="76">
        <v>316427</v>
      </c>
      <c r="G1496" s="77" t="s">
        <v>1928</v>
      </c>
      <c r="H1496" s="78">
        <v>0</v>
      </c>
    </row>
    <row r="1497" spans="6:8" ht="15.5">
      <c r="F1497" s="76">
        <v>90040677</v>
      </c>
      <c r="G1497" s="77" t="s">
        <v>1929</v>
      </c>
      <c r="H1497" s="78">
        <v>0</v>
      </c>
    </row>
    <row r="1498" spans="6:8" ht="15.5">
      <c r="F1498" s="76">
        <v>315750</v>
      </c>
      <c r="G1498" s="77" t="s">
        <v>1930</v>
      </c>
      <c r="H1498" s="78">
        <v>0</v>
      </c>
    </row>
    <row r="1499" spans="6:8" ht="15.5">
      <c r="F1499" s="76">
        <v>90012192</v>
      </c>
      <c r="G1499" s="77" t="s">
        <v>1931</v>
      </c>
      <c r="H1499" s="78">
        <v>0</v>
      </c>
    </row>
    <row r="1500" spans="6:8" ht="15.5">
      <c r="F1500" s="76">
        <v>315062</v>
      </c>
      <c r="G1500" s="77" t="s">
        <v>1932</v>
      </c>
      <c r="H1500" s="78">
        <v>0</v>
      </c>
    </row>
    <row r="1501" spans="6:8" ht="15.5">
      <c r="F1501" s="76">
        <v>313013</v>
      </c>
      <c r="G1501" s="77" t="s">
        <v>1933</v>
      </c>
      <c r="H1501" s="78">
        <v>0</v>
      </c>
    </row>
    <row r="1502" spans="6:8" ht="15.5">
      <c r="F1502" s="76">
        <v>315177</v>
      </c>
      <c r="G1502" s="77" t="s">
        <v>1934</v>
      </c>
      <c r="H1502" s="78">
        <v>0</v>
      </c>
    </row>
    <row r="1503" spans="6:8" ht="15.5">
      <c r="F1503" s="76">
        <v>314165</v>
      </c>
      <c r="G1503" s="77" t="s">
        <v>1935</v>
      </c>
      <c r="H1503" s="78">
        <v>0</v>
      </c>
    </row>
    <row r="1504" spans="6:8" ht="15.5">
      <c r="F1504" s="76">
        <v>315986</v>
      </c>
      <c r="G1504" s="77" t="s">
        <v>1936</v>
      </c>
      <c r="H1504" s="78">
        <v>0</v>
      </c>
    </row>
    <row r="1505" spans="6:8" ht="15.5">
      <c r="F1505" s="76">
        <v>314804</v>
      </c>
      <c r="G1505" s="77" t="s">
        <v>1937</v>
      </c>
      <c r="H1505" s="78">
        <v>0</v>
      </c>
    </row>
    <row r="1506" spans="6:8" ht="15.5">
      <c r="F1506" s="76">
        <v>313433</v>
      </c>
      <c r="G1506" s="77" t="s">
        <v>1938</v>
      </c>
      <c r="H1506" s="78">
        <v>0</v>
      </c>
    </row>
    <row r="1507" spans="6:8" ht="15.5">
      <c r="F1507" s="76">
        <v>90020251</v>
      </c>
      <c r="G1507" s="77" t="s">
        <v>1939</v>
      </c>
      <c r="H1507" s="78">
        <v>0</v>
      </c>
    </row>
    <row r="1508" spans="6:8" ht="15.5">
      <c r="F1508" s="76">
        <v>314991</v>
      </c>
      <c r="G1508" s="77" t="s">
        <v>1940</v>
      </c>
      <c r="H1508" s="78">
        <v>0</v>
      </c>
    </row>
    <row r="1509" spans="6:8" ht="15.5">
      <c r="F1509" s="76">
        <v>314026</v>
      </c>
      <c r="G1509" s="77" t="s">
        <v>1941</v>
      </c>
      <c r="H1509" s="78">
        <v>0</v>
      </c>
    </row>
    <row r="1510" spans="6:8" ht="15.5">
      <c r="F1510" s="76">
        <v>315246</v>
      </c>
      <c r="G1510" s="77" t="s">
        <v>1942</v>
      </c>
      <c r="H1510" s="78">
        <v>0</v>
      </c>
    </row>
    <row r="1511" spans="6:8" ht="15.5">
      <c r="F1511" s="76">
        <v>312218</v>
      </c>
      <c r="G1511" s="77" t="s">
        <v>1943</v>
      </c>
      <c r="H1511" s="78">
        <v>0</v>
      </c>
    </row>
    <row r="1512" spans="6:8" ht="15.5">
      <c r="F1512" s="76">
        <v>316292</v>
      </c>
      <c r="G1512" s="77" t="s">
        <v>1944</v>
      </c>
      <c r="H1512" s="78">
        <v>0</v>
      </c>
    </row>
    <row r="1513" spans="6:8" ht="15.5">
      <c r="F1513" s="76">
        <v>311369</v>
      </c>
      <c r="G1513" s="77" t="s">
        <v>1945</v>
      </c>
      <c r="H1513" s="78">
        <v>0</v>
      </c>
    </row>
    <row r="1514" spans="6:8" ht="15.5">
      <c r="F1514" s="76">
        <v>314627</v>
      </c>
      <c r="G1514" s="77" t="s">
        <v>1946</v>
      </c>
      <c r="H1514" s="78">
        <v>0</v>
      </c>
    </row>
    <row r="1515" spans="6:8" ht="15.5">
      <c r="F1515" s="76">
        <v>316157</v>
      </c>
      <c r="G1515" s="77" t="s">
        <v>1947</v>
      </c>
      <c r="H1515" s="78">
        <v>0</v>
      </c>
    </row>
    <row r="1516" spans="6:8" ht="15.5">
      <c r="F1516" s="76">
        <v>311228</v>
      </c>
      <c r="G1516" s="77" t="s">
        <v>1948</v>
      </c>
      <c r="H1516" s="78">
        <v>0</v>
      </c>
    </row>
    <row r="1517" spans="6:8" ht="15.5">
      <c r="F1517" s="76">
        <v>90034293</v>
      </c>
      <c r="G1517" s="77" t="s">
        <v>1949</v>
      </c>
      <c r="H1517" s="78">
        <v>0</v>
      </c>
    </row>
    <row r="1518" spans="6:8" ht="15.5">
      <c r="F1518" s="76">
        <v>90051228</v>
      </c>
      <c r="G1518" s="77" t="s">
        <v>1950</v>
      </c>
      <c r="H1518" s="78">
        <v>0</v>
      </c>
    </row>
    <row r="1519" spans="6:8" ht="15.5">
      <c r="F1519" s="76">
        <v>90045671</v>
      </c>
      <c r="G1519" s="77" t="s">
        <v>1951</v>
      </c>
      <c r="H1519" s="78">
        <v>0</v>
      </c>
    </row>
    <row r="1520" spans="6:8" ht="15.5">
      <c r="F1520" s="76">
        <v>309148</v>
      </c>
      <c r="G1520" s="77" t="s">
        <v>1952</v>
      </c>
      <c r="H1520" s="78">
        <v>0</v>
      </c>
    </row>
    <row r="1521" spans="6:8" ht="15.5">
      <c r="F1521" s="76">
        <v>90033850</v>
      </c>
      <c r="G1521" s="77" t="s">
        <v>1953</v>
      </c>
      <c r="H1521" s="78">
        <v>0</v>
      </c>
    </row>
    <row r="1522" spans="6:8" ht="15.5">
      <c r="F1522" s="76">
        <v>303626</v>
      </c>
      <c r="G1522" s="77" t="s">
        <v>1954</v>
      </c>
      <c r="H1522" s="78">
        <v>0</v>
      </c>
    </row>
    <row r="1523" spans="6:8" ht="15.5">
      <c r="F1523" s="76">
        <v>311643</v>
      </c>
      <c r="G1523" s="77" t="s">
        <v>1955</v>
      </c>
      <c r="H1523" s="78">
        <v>0</v>
      </c>
    </row>
    <row r="1524" spans="6:8" ht="15.5">
      <c r="F1524" s="76">
        <v>311034</v>
      </c>
      <c r="G1524" s="77" t="s">
        <v>1956</v>
      </c>
      <c r="H1524" s="78">
        <v>0</v>
      </c>
    </row>
    <row r="1525" spans="6:8" ht="15.5">
      <c r="F1525" s="76">
        <v>314011</v>
      </c>
      <c r="G1525" s="77" t="s">
        <v>1957</v>
      </c>
      <c r="H1525" s="78">
        <v>0</v>
      </c>
    </row>
    <row r="1526" spans="6:8" ht="15.5">
      <c r="F1526" s="76">
        <v>307812</v>
      </c>
      <c r="G1526" s="77" t="s">
        <v>1958</v>
      </c>
      <c r="H1526" s="78">
        <v>0</v>
      </c>
    </row>
    <row r="1527" spans="6:8" ht="15.5">
      <c r="F1527" s="76">
        <v>314743</v>
      </c>
      <c r="G1527" s="77" t="s">
        <v>1959</v>
      </c>
      <c r="H1527" s="78">
        <v>0</v>
      </c>
    </row>
    <row r="1528" spans="6:8" ht="15.5">
      <c r="F1528" s="76">
        <v>316011</v>
      </c>
      <c r="G1528" s="77" t="s">
        <v>1960</v>
      </c>
      <c r="H1528" s="78">
        <v>0</v>
      </c>
    </row>
    <row r="1529" spans="6:8" ht="15.5">
      <c r="F1529" s="76">
        <v>311639</v>
      </c>
      <c r="G1529" s="77" t="s">
        <v>1961</v>
      </c>
      <c r="H1529" s="78">
        <v>0</v>
      </c>
    </row>
    <row r="1530" spans="6:8" ht="15.5">
      <c r="F1530" s="76">
        <v>310538</v>
      </c>
      <c r="G1530" s="77" t="s">
        <v>1962</v>
      </c>
      <c r="H1530" s="78">
        <v>0</v>
      </c>
    </row>
    <row r="1531" spans="6:8" ht="15.5">
      <c r="F1531" s="76">
        <v>311932</v>
      </c>
      <c r="G1531" s="77" t="s">
        <v>1963</v>
      </c>
      <c r="H1531" s="78">
        <v>0</v>
      </c>
    </row>
    <row r="1532" spans="6:8" ht="15.5">
      <c r="F1532" s="76">
        <v>308269</v>
      </c>
      <c r="G1532" s="77" t="s">
        <v>1964</v>
      </c>
      <c r="H1532" s="78">
        <v>0</v>
      </c>
    </row>
    <row r="1533" spans="6:8" ht="15.5">
      <c r="F1533" s="76">
        <v>314355</v>
      </c>
      <c r="G1533" s="77" t="s">
        <v>1965</v>
      </c>
      <c r="H1533" s="78">
        <v>0</v>
      </c>
    </row>
    <row r="1534" spans="6:8" ht="15.5">
      <c r="F1534" s="76">
        <v>313566</v>
      </c>
      <c r="G1534" s="77" t="s">
        <v>1966</v>
      </c>
      <c r="H1534" s="78">
        <v>0</v>
      </c>
    </row>
    <row r="1535" spans="6:8" ht="15.5">
      <c r="F1535" s="76">
        <v>316054</v>
      </c>
      <c r="G1535" s="77" t="s">
        <v>1967</v>
      </c>
      <c r="H1535" s="78">
        <v>0</v>
      </c>
    </row>
    <row r="1536" spans="6:8" ht="15.5">
      <c r="F1536" s="76">
        <v>313520</v>
      </c>
      <c r="G1536" s="77" t="s">
        <v>1968</v>
      </c>
      <c r="H1536" s="78">
        <v>0</v>
      </c>
    </row>
    <row r="1537" spans="6:8" ht="15.5">
      <c r="F1537" s="76">
        <v>312178</v>
      </c>
      <c r="G1537" s="77" t="s">
        <v>1969</v>
      </c>
      <c r="H1537" s="78">
        <v>0</v>
      </c>
    </row>
    <row r="1538" spans="6:8" ht="15.5">
      <c r="F1538" s="76">
        <v>90012312</v>
      </c>
      <c r="G1538" s="77" t="s">
        <v>1970</v>
      </c>
      <c r="H1538" s="78">
        <v>0</v>
      </c>
    </row>
    <row r="1539" spans="6:8" ht="15.5">
      <c r="F1539" s="76">
        <v>305666</v>
      </c>
      <c r="G1539" s="77" t="s">
        <v>1971</v>
      </c>
      <c r="H1539" s="78">
        <v>0</v>
      </c>
    </row>
    <row r="1540" spans="6:8" ht="15.5">
      <c r="F1540" s="76">
        <v>314754</v>
      </c>
      <c r="G1540" s="77" t="s">
        <v>1972</v>
      </c>
      <c r="H1540" s="78">
        <v>0</v>
      </c>
    </row>
    <row r="1541" spans="6:8" ht="15.5">
      <c r="F1541" s="76">
        <v>314051</v>
      </c>
      <c r="G1541" s="77" t="s">
        <v>1973</v>
      </c>
      <c r="H1541" s="78">
        <v>0</v>
      </c>
    </row>
    <row r="1542" spans="6:8" ht="15.5">
      <c r="F1542" s="76">
        <v>313302</v>
      </c>
      <c r="G1542" s="77" t="s">
        <v>1974</v>
      </c>
      <c r="H1542" s="78">
        <v>0</v>
      </c>
    </row>
    <row r="1543" spans="6:8" ht="15.5">
      <c r="F1543" s="76">
        <v>314218</v>
      </c>
      <c r="G1543" s="77" t="s">
        <v>1975</v>
      </c>
      <c r="H1543" s="78">
        <v>0</v>
      </c>
    </row>
    <row r="1544" spans="6:8" ht="15.5">
      <c r="F1544" s="76">
        <v>305285</v>
      </c>
      <c r="G1544" s="77" t="s">
        <v>1976</v>
      </c>
      <c r="H1544" s="78">
        <v>0</v>
      </c>
    </row>
    <row r="1545" spans="6:8" ht="15.5">
      <c r="F1545" s="76">
        <v>309753</v>
      </c>
      <c r="G1545" s="77" t="s">
        <v>1977</v>
      </c>
      <c r="H1545" s="78">
        <v>0</v>
      </c>
    </row>
    <row r="1546" spans="6:8" ht="15.5">
      <c r="F1546" s="76">
        <v>312174</v>
      </c>
      <c r="G1546" s="77" t="s">
        <v>1978</v>
      </c>
      <c r="H1546" s="78">
        <v>0</v>
      </c>
    </row>
    <row r="1547" spans="6:8" ht="15.5">
      <c r="F1547" s="76">
        <v>310926</v>
      </c>
      <c r="G1547" s="77" t="s">
        <v>1979</v>
      </c>
      <c r="H1547" s="78">
        <v>0</v>
      </c>
    </row>
    <row r="1548" spans="6:8" ht="15.5">
      <c r="F1548" s="76">
        <v>315095</v>
      </c>
      <c r="G1548" s="77" t="s">
        <v>1980</v>
      </c>
      <c r="H1548" s="78">
        <v>0</v>
      </c>
    </row>
    <row r="1549" spans="6:8" ht="15.5">
      <c r="F1549" s="76">
        <v>313601</v>
      </c>
      <c r="G1549" s="77" t="s">
        <v>1981</v>
      </c>
      <c r="H1549" s="78">
        <v>0</v>
      </c>
    </row>
    <row r="1550" spans="6:8" ht="15.5">
      <c r="F1550" s="76">
        <v>90041204</v>
      </c>
      <c r="G1550" s="77" t="s">
        <v>1982</v>
      </c>
      <c r="H1550" s="78">
        <v>0</v>
      </c>
    </row>
    <row r="1551" spans="6:8" ht="15.5">
      <c r="F1551" s="76">
        <v>315640</v>
      </c>
      <c r="G1551" s="77" t="s">
        <v>1983</v>
      </c>
      <c r="H1551" s="78">
        <v>0</v>
      </c>
    </row>
    <row r="1552" spans="6:8" ht="15.5">
      <c r="F1552" s="76">
        <v>90040594</v>
      </c>
      <c r="G1552" s="77" t="s">
        <v>1984</v>
      </c>
      <c r="H1552" s="78">
        <v>0</v>
      </c>
    </row>
    <row r="1553" spans="6:8" ht="15.5">
      <c r="F1553" s="76">
        <v>310820</v>
      </c>
      <c r="G1553" s="77" t="s">
        <v>1985</v>
      </c>
      <c r="H1553" s="78">
        <v>0</v>
      </c>
    </row>
    <row r="1554" spans="6:8" ht="15.5">
      <c r="F1554" s="76">
        <v>315345</v>
      </c>
      <c r="G1554" s="77" t="s">
        <v>1986</v>
      </c>
      <c r="H1554" s="78">
        <v>0</v>
      </c>
    </row>
    <row r="1555" spans="6:8" ht="15.5">
      <c r="F1555" s="76">
        <v>315369</v>
      </c>
      <c r="G1555" s="77" t="s">
        <v>1987</v>
      </c>
      <c r="H1555" s="78">
        <v>0</v>
      </c>
    </row>
    <row r="1556" spans="6:8" ht="15.5">
      <c r="F1556" s="76">
        <v>314417</v>
      </c>
      <c r="G1556" s="77" t="s">
        <v>1988</v>
      </c>
      <c r="H1556" s="78">
        <v>0</v>
      </c>
    </row>
    <row r="1557" spans="6:8" ht="15.5">
      <c r="F1557" s="76">
        <v>90034151</v>
      </c>
      <c r="G1557" s="77" t="s">
        <v>1989</v>
      </c>
      <c r="H1557" s="78">
        <v>0</v>
      </c>
    </row>
    <row r="1558" spans="6:8" ht="15.5">
      <c r="F1558" s="76">
        <v>313583</v>
      </c>
      <c r="G1558" s="77" t="s">
        <v>1990</v>
      </c>
      <c r="H1558" s="78">
        <v>0</v>
      </c>
    </row>
    <row r="1559" spans="6:8" ht="15.5">
      <c r="F1559" s="76">
        <v>311096</v>
      </c>
      <c r="G1559" s="77" t="s">
        <v>1991</v>
      </c>
      <c r="H1559" s="78">
        <v>0</v>
      </c>
    </row>
    <row r="1560" spans="6:8" ht="15.5">
      <c r="F1560" s="76">
        <v>90028606</v>
      </c>
      <c r="G1560" s="77" t="s">
        <v>1992</v>
      </c>
      <c r="H1560" s="78">
        <v>0</v>
      </c>
    </row>
    <row r="1561" spans="6:8" ht="15.5">
      <c r="F1561" s="76">
        <v>315400</v>
      </c>
      <c r="G1561" s="77" t="s">
        <v>1993</v>
      </c>
      <c r="H1561" s="78">
        <v>0</v>
      </c>
    </row>
    <row r="1562" spans="6:8" ht="15.5">
      <c r="F1562" s="76">
        <v>312722</v>
      </c>
      <c r="G1562" s="77" t="s">
        <v>1994</v>
      </c>
      <c r="H1562" s="78">
        <v>0</v>
      </c>
    </row>
    <row r="1563" spans="6:8" ht="15.5">
      <c r="F1563" s="76">
        <v>314274</v>
      </c>
      <c r="G1563" s="77" t="s">
        <v>1995</v>
      </c>
      <c r="H1563" s="78">
        <v>0</v>
      </c>
    </row>
    <row r="1564" spans="6:8" ht="15.5">
      <c r="F1564" s="76">
        <v>309643</v>
      </c>
      <c r="G1564" s="77" t="s">
        <v>1996</v>
      </c>
      <c r="H1564" s="78">
        <v>0</v>
      </c>
    </row>
    <row r="1565" spans="6:8" ht="15.5">
      <c r="F1565" s="76">
        <v>312253</v>
      </c>
      <c r="G1565" s="77" t="s">
        <v>1997</v>
      </c>
      <c r="H1565" s="78">
        <v>0</v>
      </c>
    </row>
    <row r="1566" spans="6:8" ht="15.5">
      <c r="F1566" s="76">
        <v>315183</v>
      </c>
      <c r="G1566" s="77" t="s">
        <v>1998</v>
      </c>
      <c r="H1566" s="78">
        <v>0</v>
      </c>
    </row>
    <row r="1567" spans="6:8" ht="15.5">
      <c r="F1567" s="76">
        <v>90009270</v>
      </c>
      <c r="G1567" s="77" t="s">
        <v>1999</v>
      </c>
      <c r="H1567" s="78">
        <v>0</v>
      </c>
    </row>
    <row r="1568" spans="6:8" ht="15.5">
      <c r="F1568" s="76">
        <v>315144</v>
      </c>
      <c r="G1568" s="77" t="s">
        <v>2000</v>
      </c>
      <c r="H1568" s="78">
        <v>0</v>
      </c>
    </row>
    <row r="1569" spans="6:8" ht="15.5">
      <c r="F1569" s="76">
        <v>314220</v>
      </c>
      <c r="G1569" s="77" t="s">
        <v>2001</v>
      </c>
      <c r="H1569" s="78">
        <v>0</v>
      </c>
    </row>
    <row r="1570" spans="6:8" ht="15.5">
      <c r="F1570" s="76">
        <v>303284</v>
      </c>
      <c r="G1570" s="77" t="s">
        <v>2002</v>
      </c>
      <c r="H1570" s="78">
        <v>0</v>
      </c>
    </row>
    <row r="1571" spans="6:8" ht="15.5">
      <c r="F1571" s="76">
        <v>304200</v>
      </c>
      <c r="G1571" s="77" t="s">
        <v>2003</v>
      </c>
      <c r="H1571" s="78">
        <v>0</v>
      </c>
    </row>
    <row r="1572" spans="6:8" ht="15.5">
      <c r="F1572" s="76">
        <v>310692</v>
      </c>
      <c r="G1572" s="77" t="s">
        <v>2004</v>
      </c>
      <c r="H1572" s="78">
        <v>0</v>
      </c>
    </row>
    <row r="1573" spans="6:8" ht="15.5">
      <c r="F1573" s="76">
        <v>303971</v>
      </c>
      <c r="G1573" s="77" t="s">
        <v>2005</v>
      </c>
      <c r="H1573" s="78">
        <v>0</v>
      </c>
    </row>
    <row r="1574" spans="6:8" ht="15.5">
      <c r="F1574" s="76">
        <v>312969</v>
      </c>
      <c r="G1574" s="77" t="s">
        <v>2006</v>
      </c>
      <c r="H1574" s="78">
        <v>0</v>
      </c>
    </row>
    <row r="1575" spans="6:8" ht="15.5">
      <c r="F1575" s="76">
        <v>315278</v>
      </c>
      <c r="G1575" s="77" t="s">
        <v>2007</v>
      </c>
      <c r="H1575" s="78">
        <v>0</v>
      </c>
    </row>
    <row r="1576" spans="6:8" ht="15.5">
      <c r="F1576" s="76">
        <v>306895</v>
      </c>
      <c r="G1576" s="77" t="s">
        <v>2008</v>
      </c>
      <c r="H1576" s="78">
        <v>0</v>
      </c>
    </row>
    <row r="1577" spans="6:8" ht="15.5">
      <c r="F1577" s="76">
        <v>315841</v>
      </c>
      <c r="G1577" s="77" t="s">
        <v>2009</v>
      </c>
      <c r="H1577" s="78">
        <v>0</v>
      </c>
    </row>
    <row r="1578" spans="6:8" ht="15.5">
      <c r="F1578" s="76">
        <v>315257</v>
      </c>
      <c r="G1578" s="77" t="s">
        <v>2010</v>
      </c>
      <c r="H1578" s="78">
        <v>0</v>
      </c>
    </row>
    <row r="1579" spans="6:8" ht="15.5">
      <c r="F1579" s="76">
        <v>310605</v>
      </c>
      <c r="G1579" s="77" t="s">
        <v>2011</v>
      </c>
      <c r="H1579" s="78">
        <v>0</v>
      </c>
    </row>
    <row r="1580" spans="6:8" ht="15.5">
      <c r="F1580" s="76">
        <v>307367</v>
      </c>
      <c r="G1580" s="77" t="s">
        <v>2012</v>
      </c>
      <c r="H1580" s="78">
        <v>0</v>
      </c>
    </row>
    <row r="1581" spans="6:8" ht="15.5">
      <c r="F1581" s="76">
        <v>314870</v>
      </c>
      <c r="G1581" s="77" t="s">
        <v>2013</v>
      </c>
      <c r="H1581" s="78">
        <v>0</v>
      </c>
    </row>
    <row r="1582" spans="6:8" ht="15.5">
      <c r="F1582" s="76">
        <v>316113</v>
      </c>
      <c r="G1582" s="77" t="s">
        <v>2014</v>
      </c>
      <c r="H1582" s="78">
        <v>0</v>
      </c>
    </row>
    <row r="1583" spans="6:8" ht="15.5">
      <c r="F1583" s="76">
        <v>314382</v>
      </c>
      <c r="G1583" s="77" t="s">
        <v>2015</v>
      </c>
      <c r="H1583" s="78">
        <v>0</v>
      </c>
    </row>
    <row r="1584" spans="6:8" ht="15.5">
      <c r="F1584" s="76">
        <v>310067</v>
      </c>
      <c r="G1584" s="77" t="s">
        <v>2016</v>
      </c>
      <c r="H1584" s="78">
        <v>0</v>
      </c>
    </row>
    <row r="1585" spans="6:8" ht="15.5">
      <c r="F1585" s="76">
        <v>90012428</v>
      </c>
      <c r="G1585" s="77" t="s">
        <v>2017</v>
      </c>
      <c r="H1585" s="78">
        <v>0</v>
      </c>
    </row>
    <row r="1586" spans="6:8" ht="15.5">
      <c r="F1586" s="76">
        <v>90038829</v>
      </c>
      <c r="G1586" s="77" t="s">
        <v>2018</v>
      </c>
      <c r="H1586" s="78">
        <v>0</v>
      </c>
    </row>
    <row r="1587" spans="6:8" ht="15.5">
      <c r="F1587" s="76">
        <v>307352</v>
      </c>
      <c r="G1587" s="77" t="s">
        <v>2019</v>
      </c>
      <c r="H1587" s="78">
        <v>0</v>
      </c>
    </row>
    <row r="1588" spans="6:8" ht="15.5">
      <c r="F1588" s="76">
        <v>312944</v>
      </c>
      <c r="G1588" s="77" t="s">
        <v>2020</v>
      </c>
      <c r="H1588" s="78">
        <v>0</v>
      </c>
    </row>
    <row r="1589" spans="6:8" ht="15.5">
      <c r="F1589" s="76">
        <v>310143</v>
      </c>
      <c r="G1589" s="77" t="s">
        <v>2021</v>
      </c>
      <c r="H1589" s="78">
        <v>0</v>
      </c>
    </row>
    <row r="1590" spans="6:8" ht="15.5">
      <c r="F1590" s="76">
        <v>312833</v>
      </c>
      <c r="G1590" s="77" t="s">
        <v>2022</v>
      </c>
      <c r="H1590" s="78">
        <v>0</v>
      </c>
    </row>
    <row r="1591" spans="6:8" ht="15.5">
      <c r="F1591" s="76">
        <v>90048221</v>
      </c>
      <c r="G1591" s="77" t="s">
        <v>2023</v>
      </c>
      <c r="H1591" s="78">
        <v>0</v>
      </c>
    </row>
    <row r="1592" spans="6:8" ht="15.5">
      <c r="F1592" s="76">
        <v>90034859</v>
      </c>
      <c r="G1592" s="77" t="s">
        <v>2024</v>
      </c>
      <c r="H1592" s="78">
        <v>0</v>
      </c>
    </row>
    <row r="1593" spans="6:8" ht="15.5">
      <c r="F1593" s="76">
        <v>900344859</v>
      </c>
      <c r="G1593" s="77" t="s">
        <v>2025</v>
      </c>
      <c r="H1593" s="78">
        <v>0</v>
      </c>
    </row>
    <row r="1594" spans="6:8" ht="15.5">
      <c r="F1594" s="76">
        <v>315132</v>
      </c>
      <c r="G1594" s="77" t="s">
        <v>2026</v>
      </c>
      <c r="H1594" s="78">
        <v>0</v>
      </c>
    </row>
    <row r="1595" spans="6:8" ht="15.5">
      <c r="F1595" s="76">
        <v>309366</v>
      </c>
      <c r="G1595" s="77" t="s">
        <v>2027</v>
      </c>
      <c r="H1595" s="78">
        <v>0</v>
      </c>
    </row>
    <row r="1596" spans="6:8" ht="15.5">
      <c r="F1596" s="76">
        <v>314328</v>
      </c>
      <c r="G1596" s="77" t="s">
        <v>2028</v>
      </c>
      <c r="H1596" s="78">
        <v>0</v>
      </c>
    </row>
    <row r="1597" spans="6:8" ht="15.5">
      <c r="F1597" s="76">
        <v>90028127</v>
      </c>
      <c r="G1597" s="77" t="s">
        <v>2029</v>
      </c>
      <c r="H1597" s="78">
        <v>0</v>
      </c>
    </row>
    <row r="1598" spans="6:8" ht="15.5">
      <c r="F1598" s="76">
        <v>315317</v>
      </c>
      <c r="G1598" s="77" t="s">
        <v>2030</v>
      </c>
      <c r="H1598" s="78">
        <v>0</v>
      </c>
    </row>
    <row r="1599" spans="6:8" ht="15.5">
      <c r="F1599" s="76">
        <v>313889</v>
      </c>
      <c r="G1599" s="77" t="s">
        <v>2031</v>
      </c>
      <c r="H1599" s="78">
        <v>0</v>
      </c>
    </row>
    <row r="1600" spans="6:8" ht="15.5">
      <c r="F1600" s="76">
        <v>304926</v>
      </c>
      <c r="G1600" s="77" t="s">
        <v>2032</v>
      </c>
      <c r="H1600" s="78">
        <v>0</v>
      </c>
    </row>
    <row r="1601" spans="6:8" ht="15.5">
      <c r="F1601" s="76">
        <v>310261</v>
      </c>
      <c r="G1601" s="77" t="s">
        <v>2033</v>
      </c>
      <c r="H1601" s="78">
        <v>0</v>
      </c>
    </row>
    <row r="1602" spans="6:8" ht="15.5">
      <c r="F1602" s="76">
        <v>313031</v>
      </c>
      <c r="G1602" s="77" t="s">
        <v>2034</v>
      </c>
      <c r="H1602" s="78">
        <v>0</v>
      </c>
    </row>
    <row r="1603" spans="6:8" ht="15.5">
      <c r="F1603" s="76">
        <v>311985</v>
      </c>
      <c r="G1603" s="77" t="s">
        <v>2035</v>
      </c>
      <c r="H1603" s="78">
        <v>0</v>
      </c>
    </row>
    <row r="1604" spans="6:8" ht="15.5">
      <c r="F1604" s="76">
        <v>307718</v>
      </c>
      <c r="G1604" s="77" t="s">
        <v>2036</v>
      </c>
      <c r="H1604" s="78">
        <v>0</v>
      </c>
    </row>
    <row r="1605" spans="6:8" ht="15.5">
      <c r="F1605" s="76">
        <v>90041342</v>
      </c>
      <c r="G1605" s="77" t="s">
        <v>2037</v>
      </c>
      <c r="H1605" s="78">
        <v>0</v>
      </c>
    </row>
    <row r="1606" spans="6:8" ht="15.5">
      <c r="F1606" s="76">
        <v>307269</v>
      </c>
      <c r="G1606" s="77" t="s">
        <v>2038</v>
      </c>
      <c r="H1606" s="78">
        <v>0</v>
      </c>
    </row>
    <row r="1607" spans="6:8" ht="15.5">
      <c r="F1607" s="76">
        <v>315599</v>
      </c>
      <c r="G1607" s="77" t="s">
        <v>2039</v>
      </c>
      <c r="H1607" s="78">
        <v>0</v>
      </c>
    </row>
    <row r="1608" spans="6:8" ht="15.5">
      <c r="F1608" s="76">
        <v>102070</v>
      </c>
      <c r="G1608" s="77" t="s">
        <v>2040</v>
      </c>
      <c r="H1608" s="78">
        <v>0</v>
      </c>
    </row>
    <row r="1609" spans="6:8" ht="15.5">
      <c r="F1609" s="76">
        <v>315322</v>
      </c>
      <c r="G1609" s="77" t="s">
        <v>2041</v>
      </c>
      <c r="H1609" s="78">
        <v>0</v>
      </c>
    </row>
    <row r="1610" spans="6:8" ht="15.5">
      <c r="F1610" s="76">
        <v>90009437</v>
      </c>
      <c r="G1610" s="77" t="s">
        <v>2042</v>
      </c>
      <c r="H1610" s="78">
        <v>0</v>
      </c>
    </row>
    <row r="1611" spans="6:8" ht="15.5">
      <c r="F1611" s="76">
        <v>315617</v>
      </c>
      <c r="G1611" s="77" t="s">
        <v>2043</v>
      </c>
      <c r="H1611" s="78">
        <v>0</v>
      </c>
    </row>
    <row r="1612" spans="6:8" ht="15.5">
      <c r="F1612" s="76">
        <v>313739</v>
      </c>
      <c r="G1612" s="77" t="s">
        <v>2044</v>
      </c>
      <c r="H1612" s="78">
        <v>0</v>
      </c>
    </row>
    <row r="1613" spans="6:8" ht="15.5">
      <c r="F1613" s="76">
        <v>313030</v>
      </c>
      <c r="G1613" s="77" t="s">
        <v>2045</v>
      </c>
      <c r="H1613" s="78">
        <v>0</v>
      </c>
    </row>
    <row r="1614" spans="6:8" ht="15.5">
      <c r="F1614" s="76">
        <v>316020</v>
      </c>
      <c r="G1614" s="77" t="s">
        <v>2045</v>
      </c>
      <c r="H1614" s="78">
        <v>0</v>
      </c>
    </row>
    <row r="1615" spans="6:8" ht="15.5">
      <c r="F1615" s="76">
        <v>314628</v>
      </c>
      <c r="G1615" s="77" t="s">
        <v>2046</v>
      </c>
      <c r="H1615" s="78">
        <v>0</v>
      </c>
    </row>
    <row r="1616" spans="6:8" ht="15.5">
      <c r="F1616" s="76">
        <v>316208</v>
      </c>
      <c r="G1616" s="77" t="s">
        <v>2047</v>
      </c>
      <c r="H1616" s="78">
        <v>0</v>
      </c>
    </row>
    <row r="1617" spans="6:8" ht="15.5">
      <c r="F1617" s="76">
        <v>90034379</v>
      </c>
      <c r="G1617" s="77" t="s">
        <v>2048</v>
      </c>
      <c r="H1617" s="78">
        <v>0</v>
      </c>
    </row>
    <row r="1618" spans="6:8" ht="15.5">
      <c r="F1618" s="76">
        <v>315184</v>
      </c>
      <c r="G1618" s="77" t="s">
        <v>2049</v>
      </c>
      <c r="H1618" s="78">
        <v>0</v>
      </c>
    </row>
    <row r="1619" spans="6:8" ht="15.5">
      <c r="F1619" s="76">
        <v>314652</v>
      </c>
      <c r="G1619" s="77" t="s">
        <v>2050</v>
      </c>
      <c r="H1619" s="78">
        <v>0</v>
      </c>
    </row>
    <row r="1620" spans="6:8" ht="15.5">
      <c r="F1620" s="76">
        <v>315074</v>
      </c>
      <c r="G1620" s="77" t="s">
        <v>2051</v>
      </c>
      <c r="H1620" s="78">
        <v>0</v>
      </c>
    </row>
    <row r="1621" spans="6:8" ht="15.5">
      <c r="F1621" s="76">
        <v>90039328</v>
      </c>
      <c r="G1621" s="77" t="s">
        <v>2052</v>
      </c>
      <c r="H1621" s="78">
        <v>0</v>
      </c>
    </row>
    <row r="1622" spans="6:8" ht="15.5">
      <c r="F1622" s="76">
        <v>310347</v>
      </c>
      <c r="G1622" s="77" t="s">
        <v>2053</v>
      </c>
      <c r="H1622" s="78">
        <v>0</v>
      </c>
    </row>
    <row r="1623" spans="6:8" ht="15.5">
      <c r="F1623" s="76">
        <v>309786</v>
      </c>
      <c r="G1623" s="77" t="s">
        <v>2054</v>
      </c>
      <c r="H1623" s="78">
        <v>0</v>
      </c>
    </row>
    <row r="1624" spans="6:8" ht="15.5">
      <c r="F1624" s="76">
        <v>313802</v>
      </c>
      <c r="G1624" s="77" t="s">
        <v>2055</v>
      </c>
      <c r="H1624" s="78">
        <v>0</v>
      </c>
    </row>
    <row r="1625" spans="6:8" ht="15.5">
      <c r="F1625" s="76">
        <v>303594</v>
      </c>
      <c r="G1625" s="77" t="s">
        <v>2056</v>
      </c>
      <c r="H1625" s="78">
        <v>0</v>
      </c>
    </row>
    <row r="1626" spans="6:8" ht="15.5">
      <c r="F1626" s="76">
        <v>311440</v>
      </c>
      <c r="G1626" s="77" t="s">
        <v>2057</v>
      </c>
      <c r="H1626" s="78">
        <v>0</v>
      </c>
    </row>
    <row r="1627" spans="6:8" ht="15.5">
      <c r="F1627" s="76">
        <v>303552</v>
      </c>
      <c r="G1627" s="77" t="s">
        <v>2058</v>
      </c>
      <c r="H1627" s="78">
        <v>0</v>
      </c>
    </row>
    <row r="1628" spans="6:8" ht="15.5">
      <c r="F1628" s="76">
        <v>310148</v>
      </c>
      <c r="G1628" s="77" t="s">
        <v>2059</v>
      </c>
      <c r="H1628" s="78">
        <v>0</v>
      </c>
    </row>
    <row r="1629" spans="6:8" ht="15.5">
      <c r="F1629" s="76">
        <v>300280</v>
      </c>
      <c r="G1629" s="77" t="s">
        <v>2060</v>
      </c>
      <c r="H1629" s="78">
        <v>0</v>
      </c>
    </row>
    <row r="1630" spans="6:8" ht="15.5">
      <c r="F1630" s="76">
        <v>306962</v>
      </c>
      <c r="G1630" s="77" t="s">
        <v>2061</v>
      </c>
      <c r="H1630" s="78">
        <v>0</v>
      </c>
    </row>
    <row r="1631" spans="6:8" ht="15.5">
      <c r="F1631" s="76">
        <v>314279</v>
      </c>
      <c r="G1631" s="77" t="s">
        <v>2062</v>
      </c>
      <c r="H1631" s="78">
        <v>0</v>
      </c>
    </row>
    <row r="1632" spans="6:8" ht="15.5">
      <c r="F1632" s="76">
        <v>305064</v>
      </c>
      <c r="G1632" s="77" t="s">
        <v>2063</v>
      </c>
      <c r="H1632" s="78">
        <v>0</v>
      </c>
    </row>
    <row r="1633" spans="6:8" ht="15.5">
      <c r="F1633" s="76">
        <v>90035281</v>
      </c>
      <c r="G1633" s="77" t="s">
        <v>2064</v>
      </c>
      <c r="H1633" s="78">
        <v>0</v>
      </c>
    </row>
    <row r="1634" spans="6:8" ht="15.5">
      <c r="F1634" s="76">
        <v>305035</v>
      </c>
      <c r="G1634" s="77" t="s">
        <v>2065</v>
      </c>
      <c r="H1634" s="78">
        <v>0</v>
      </c>
    </row>
    <row r="1635" spans="6:8" ht="15.5">
      <c r="F1635" s="76">
        <v>314899</v>
      </c>
      <c r="G1635" s="77" t="s">
        <v>2066</v>
      </c>
      <c r="H1635" s="78">
        <v>0</v>
      </c>
    </row>
    <row r="1636" spans="6:8" ht="15.5">
      <c r="F1636" s="76">
        <v>314728</v>
      </c>
      <c r="G1636" s="77" t="s">
        <v>2067</v>
      </c>
      <c r="H1636" s="78">
        <v>0</v>
      </c>
    </row>
    <row r="1637" spans="6:8" ht="15.5">
      <c r="F1637" s="76">
        <v>313768</v>
      </c>
      <c r="G1637" s="77" t="s">
        <v>2068</v>
      </c>
      <c r="H1637" s="78">
        <v>0</v>
      </c>
    </row>
    <row r="1638" spans="6:8" ht="15.5">
      <c r="F1638" s="76">
        <v>309495</v>
      </c>
      <c r="G1638" s="77" t="s">
        <v>2069</v>
      </c>
      <c r="H1638" s="78">
        <v>0</v>
      </c>
    </row>
    <row r="1639" spans="6:8" ht="15.5">
      <c r="F1639" s="76">
        <v>315498</v>
      </c>
      <c r="G1639" s="77" t="s">
        <v>2070</v>
      </c>
      <c r="H1639" s="78">
        <v>0</v>
      </c>
    </row>
    <row r="1640" spans="6:8" ht="15.5">
      <c r="F1640" s="76">
        <v>315573</v>
      </c>
      <c r="G1640" s="77" t="s">
        <v>2071</v>
      </c>
      <c r="H1640" s="78">
        <v>0</v>
      </c>
    </row>
    <row r="1641" spans="6:8" ht="15.5">
      <c r="F1641" s="76">
        <v>316385</v>
      </c>
      <c r="G1641" s="77" t="s">
        <v>2072</v>
      </c>
      <c r="H1641" s="78">
        <v>0</v>
      </c>
    </row>
    <row r="1642" spans="6:8" ht="15.5">
      <c r="F1642" s="76">
        <v>90045667</v>
      </c>
      <c r="G1642" s="77" t="s">
        <v>2073</v>
      </c>
      <c r="H1642" s="78">
        <v>0</v>
      </c>
    </row>
    <row r="1643" spans="6:8" ht="15.5">
      <c r="F1643" s="76">
        <v>316257</v>
      </c>
      <c r="G1643" s="77" t="s">
        <v>2074</v>
      </c>
      <c r="H1643" s="78">
        <v>0</v>
      </c>
    </row>
    <row r="1644" spans="6:8" ht="15.5">
      <c r="F1644" s="76">
        <v>315357</v>
      </c>
      <c r="G1644" s="77" t="s">
        <v>2075</v>
      </c>
      <c r="H1644" s="78">
        <v>0</v>
      </c>
    </row>
    <row r="1645" spans="6:8" ht="15.5">
      <c r="F1645" s="76">
        <v>314091</v>
      </c>
      <c r="G1645" s="77" t="s">
        <v>2076</v>
      </c>
      <c r="H1645" s="78">
        <v>0</v>
      </c>
    </row>
    <row r="1646" spans="6:8" ht="15.5">
      <c r="F1646" s="76">
        <v>315961</v>
      </c>
      <c r="G1646" s="77" t="s">
        <v>2077</v>
      </c>
      <c r="H1646" s="78">
        <v>0</v>
      </c>
    </row>
    <row r="1647" spans="6:8" ht="15.5">
      <c r="F1647" s="76">
        <v>310198</v>
      </c>
      <c r="G1647" s="77" t="s">
        <v>2078</v>
      </c>
      <c r="H1647" s="78">
        <v>0</v>
      </c>
    </row>
    <row r="1648" spans="6:8" ht="15.5">
      <c r="F1648" s="76">
        <v>90034703</v>
      </c>
      <c r="G1648" s="77" t="s">
        <v>2079</v>
      </c>
      <c r="H1648" s="78">
        <v>0</v>
      </c>
    </row>
    <row r="1649" spans="6:8" ht="15.5">
      <c r="F1649" s="76">
        <v>309262</v>
      </c>
      <c r="G1649" s="77" t="s">
        <v>2080</v>
      </c>
      <c r="H1649" s="78">
        <v>0</v>
      </c>
    </row>
    <row r="1650" spans="6:8" ht="15.5">
      <c r="F1650" s="76">
        <v>315486</v>
      </c>
      <c r="G1650" s="77" t="s">
        <v>2081</v>
      </c>
      <c r="H1650" s="78">
        <v>0</v>
      </c>
    </row>
    <row r="1651" spans="6:8" ht="15.5">
      <c r="F1651" s="76">
        <v>303704</v>
      </c>
      <c r="G1651" s="77" t="s">
        <v>2082</v>
      </c>
      <c r="H1651" s="78">
        <v>0</v>
      </c>
    </row>
    <row r="1652" spans="6:8" ht="15.5">
      <c r="F1652" s="76">
        <v>309417</v>
      </c>
      <c r="G1652" s="77" t="s">
        <v>2083</v>
      </c>
      <c r="H1652" s="78">
        <v>0</v>
      </c>
    </row>
    <row r="1653" spans="6:8" ht="15.5">
      <c r="F1653" s="76">
        <v>315992</v>
      </c>
      <c r="G1653" s="77" t="s">
        <v>2084</v>
      </c>
      <c r="H1653" s="78">
        <v>0</v>
      </c>
    </row>
    <row r="1654" spans="6:8" ht="15.5">
      <c r="F1654" s="76">
        <v>311492</v>
      </c>
      <c r="G1654" s="77" t="s">
        <v>2085</v>
      </c>
      <c r="H1654" s="78">
        <v>0</v>
      </c>
    </row>
    <row r="1655" spans="6:8" ht="15.5">
      <c r="F1655" s="76">
        <v>90034375</v>
      </c>
      <c r="G1655" s="77" t="s">
        <v>2086</v>
      </c>
      <c r="H1655" s="78">
        <v>0</v>
      </c>
    </row>
    <row r="1656" spans="6:8" ht="15.5">
      <c r="F1656" s="76">
        <v>315403</v>
      </c>
      <c r="G1656" s="77" t="s">
        <v>2087</v>
      </c>
      <c r="H1656" s="78">
        <v>0</v>
      </c>
    </row>
    <row r="1657" spans="6:8" ht="15.5">
      <c r="F1657" s="76">
        <v>312792</v>
      </c>
      <c r="G1657" s="77" t="s">
        <v>2088</v>
      </c>
      <c r="H1657" s="78">
        <v>0</v>
      </c>
    </row>
    <row r="1658" spans="6:8" ht="15.5">
      <c r="F1658" s="76">
        <v>314774</v>
      </c>
      <c r="G1658" s="77" t="s">
        <v>2089</v>
      </c>
      <c r="H1658" s="78">
        <v>0</v>
      </c>
    </row>
    <row r="1659" spans="6:8" ht="15.5">
      <c r="F1659" s="76">
        <v>310872</v>
      </c>
      <c r="G1659" s="77" t="s">
        <v>2090</v>
      </c>
      <c r="H1659" s="78">
        <v>0</v>
      </c>
    </row>
    <row r="1660" spans="6:8" ht="15.5">
      <c r="F1660" s="76">
        <v>312765</v>
      </c>
      <c r="G1660" s="77" t="s">
        <v>2091</v>
      </c>
      <c r="H1660" s="78">
        <v>0</v>
      </c>
    </row>
    <row r="1661" spans="6:8" ht="15.5">
      <c r="F1661" s="76">
        <v>314299</v>
      </c>
      <c r="G1661" s="77" t="s">
        <v>2092</v>
      </c>
      <c r="H1661" s="78">
        <v>0</v>
      </c>
    </row>
    <row r="1662" spans="6:8" ht="15.5">
      <c r="F1662" s="76">
        <v>303967</v>
      </c>
      <c r="G1662" s="77" t="s">
        <v>2093</v>
      </c>
      <c r="H1662" s="78">
        <v>0</v>
      </c>
    </row>
    <row r="1663" spans="6:8" ht="15.5">
      <c r="F1663" s="76">
        <v>311367</v>
      </c>
      <c r="G1663" s="77" t="s">
        <v>2094</v>
      </c>
      <c r="H1663" s="78">
        <v>0</v>
      </c>
    </row>
    <row r="1664" spans="6:8" ht="15.5">
      <c r="F1664" s="76">
        <v>90012315</v>
      </c>
      <c r="G1664" s="77" t="s">
        <v>2095</v>
      </c>
      <c r="H1664" s="78">
        <v>0</v>
      </c>
    </row>
    <row r="1665" spans="6:8" ht="15.5">
      <c r="F1665" s="76">
        <v>310502</v>
      </c>
      <c r="G1665" s="77" t="s">
        <v>2096</v>
      </c>
      <c r="H1665" s="78">
        <v>0</v>
      </c>
    </row>
    <row r="1666" spans="6:8" ht="15.5">
      <c r="F1666" s="76">
        <v>315124</v>
      </c>
      <c r="G1666" s="77" t="s">
        <v>2097</v>
      </c>
      <c r="H1666" s="78">
        <v>0</v>
      </c>
    </row>
    <row r="1667" spans="6:8" ht="15.5">
      <c r="F1667" s="76">
        <v>316379</v>
      </c>
      <c r="G1667" s="77" t="s">
        <v>2098</v>
      </c>
      <c r="H1667" s="78">
        <v>0</v>
      </c>
    </row>
    <row r="1668" spans="6:8" ht="15.5">
      <c r="F1668" s="76">
        <v>312039</v>
      </c>
      <c r="G1668" s="77" t="s">
        <v>2099</v>
      </c>
      <c r="H1668" s="78">
        <v>0</v>
      </c>
    </row>
    <row r="1669" spans="6:8" ht="15.5">
      <c r="F1669" s="76">
        <v>313529</v>
      </c>
      <c r="G1669" s="77" t="s">
        <v>2100</v>
      </c>
      <c r="H1669" s="78">
        <v>0</v>
      </c>
    </row>
    <row r="1670" spans="6:8" ht="15.5">
      <c r="F1670" s="76">
        <v>300644</v>
      </c>
      <c r="G1670" s="77" t="s">
        <v>2101</v>
      </c>
      <c r="H1670" s="78">
        <v>0</v>
      </c>
    </row>
    <row r="1671" spans="6:8" ht="15.5">
      <c r="F1671" s="76">
        <v>314022</v>
      </c>
      <c r="G1671" s="77" t="s">
        <v>2102</v>
      </c>
      <c r="H1671" s="78">
        <v>0</v>
      </c>
    </row>
    <row r="1672" spans="6:8" ht="15.5">
      <c r="F1672" s="76">
        <v>316293</v>
      </c>
      <c r="G1672" s="77" t="s">
        <v>2103</v>
      </c>
      <c r="H1672" s="78">
        <v>0</v>
      </c>
    </row>
    <row r="1673" spans="6:8" ht="15.5">
      <c r="F1673" s="76">
        <v>309348</v>
      </c>
      <c r="G1673" s="77" t="s">
        <v>2104</v>
      </c>
      <c r="H1673" s="78">
        <v>0</v>
      </c>
    </row>
    <row r="1674" spans="6:8" ht="15.5">
      <c r="F1674" s="76">
        <v>309747</v>
      </c>
      <c r="G1674" s="77" t="s">
        <v>2105</v>
      </c>
      <c r="H1674" s="78">
        <v>0</v>
      </c>
    </row>
    <row r="1675" spans="6:8" ht="15.5">
      <c r="F1675" s="76">
        <v>315328</v>
      </c>
      <c r="G1675" s="77" t="s">
        <v>2106</v>
      </c>
      <c r="H1675" s="78">
        <v>0</v>
      </c>
    </row>
    <row r="1676" spans="6:8" ht="15.5">
      <c r="F1676" s="76">
        <v>315489</v>
      </c>
      <c r="G1676" s="77" t="s">
        <v>2107</v>
      </c>
      <c r="H1676" s="78">
        <v>0</v>
      </c>
    </row>
    <row r="1677" spans="6:8" ht="15.5">
      <c r="F1677" s="76">
        <v>313595</v>
      </c>
      <c r="G1677" s="77" t="s">
        <v>2108</v>
      </c>
      <c r="H1677" s="78">
        <v>0</v>
      </c>
    </row>
    <row r="1678" spans="6:8" ht="15.5">
      <c r="F1678" s="76">
        <v>311207</v>
      </c>
      <c r="G1678" s="77" t="s">
        <v>2109</v>
      </c>
      <c r="H1678" s="78">
        <v>0</v>
      </c>
    </row>
    <row r="1679" spans="6:8" ht="15.5">
      <c r="F1679" s="76">
        <v>304473</v>
      </c>
      <c r="G1679" s="77" t="s">
        <v>2110</v>
      </c>
      <c r="H1679" s="78">
        <v>0</v>
      </c>
    </row>
    <row r="1680" spans="6:8" ht="15.5">
      <c r="F1680" s="76">
        <v>308754</v>
      </c>
      <c r="G1680" s="77" t="s">
        <v>2111</v>
      </c>
      <c r="H1680" s="78">
        <v>0</v>
      </c>
    </row>
    <row r="1681" spans="6:8" ht="15.5">
      <c r="F1681" s="76">
        <v>314440</v>
      </c>
      <c r="G1681" s="77" t="s">
        <v>2112</v>
      </c>
      <c r="H1681" s="78">
        <v>0</v>
      </c>
    </row>
    <row r="1682" spans="6:8" ht="15.5">
      <c r="F1682" s="76">
        <v>314083</v>
      </c>
      <c r="G1682" s="77" t="s">
        <v>2113</v>
      </c>
      <c r="H1682" s="78">
        <v>0</v>
      </c>
    </row>
    <row r="1683" spans="6:8" ht="15.5">
      <c r="F1683" s="76">
        <v>313825</v>
      </c>
      <c r="G1683" s="77" t="s">
        <v>2114</v>
      </c>
      <c r="H1683" s="78">
        <v>0</v>
      </c>
    </row>
    <row r="1684" spans="6:8" ht="15.5">
      <c r="F1684" s="76">
        <v>316488</v>
      </c>
      <c r="G1684" s="77" t="s">
        <v>2115</v>
      </c>
      <c r="H1684" s="78">
        <v>0</v>
      </c>
    </row>
    <row r="1685" spans="6:8" ht="15.5">
      <c r="F1685" s="76">
        <v>314202</v>
      </c>
      <c r="G1685" s="77" t="s">
        <v>2116</v>
      </c>
      <c r="H1685" s="78">
        <v>0</v>
      </c>
    </row>
    <row r="1686" spans="6:8" ht="15.5">
      <c r="F1686" s="76">
        <v>302484</v>
      </c>
      <c r="G1686" s="77" t="s">
        <v>2117</v>
      </c>
      <c r="H1686" s="78">
        <v>0</v>
      </c>
    </row>
    <row r="1687" spans="6:8" ht="15.5">
      <c r="F1687" s="76">
        <v>314752</v>
      </c>
      <c r="G1687" s="77" t="s">
        <v>2118</v>
      </c>
      <c r="H1687" s="78">
        <v>0</v>
      </c>
    </row>
    <row r="1688" spans="6:8" ht="15.5">
      <c r="F1688" s="76">
        <v>90028638</v>
      </c>
      <c r="G1688" s="77" t="s">
        <v>2119</v>
      </c>
      <c r="H1688" s="78">
        <v>0</v>
      </c>
    </row>
    <row r="1689" spans="6:8" ht="15.5">
      <c r="F1689" s="76">
        <v>308614</v>
      </c>
      <c r="G1689" s="77" t="s">
        <v>2120</v>
      </c>
      <c r="H1689" s="78">
        <v>0</v>
      </c>
    </row>
    <row r="1690" spans="6:8" ht="15.5">
      <c r="F1690" s="76">
        <v>315222</v>
      </c>
      <c r="G1690" s="77" t="s">
        <v>2121</v>
      </c>
      <c r="H1690" s="78">
        <v>0</v>
      </c>
    </row>
    <row r="1691" spans="6:8" ht="15.5">
      <c r="F1691" s="76">
        <v>315771</v>
      </c>
      <c r="G1691" s="77" t="s">
        <v>2122</v>
      </c>
      <c r="H1691" s="78">
        <v>0</v>
      </c>
    </row>
    <row r="1692" spans="6:8" ht="15.5">
      <c r="F1692" s="76">
        <v>306213</v>
      </c>
      <c r="G1692" s="77" t="s">
        <v>2123</v>
      </c>
      <c r="H1692" s="78">
        <v>0</v>
      </c>
    </row>
    <row r="1693" spans="6:8" ht="15.5">
      <c r="F1693" s="76">
        <v>315363</v>
      </c>
      <c r="G1693" s="77" t="s">
        <v>2124</v>
      </c>
      <c r="H1693" s="78">
        <v>0</v>
      </c>
    </row>
    <row r="1694" spans="6:8" ht="15.5">
      <c r="F1694" s="76">
        <v>314162</v>
      </c>
      <c r="G1694" s="77" t="s">
        <v>2125</v>
      </c>
      <c r="H1694" s="78">
        <v>0</v>
      </c>
    </row>
    <row r="1695" spans="6:8" ht="15.5">
      <c r="F1695" s="76">
        <v>311975</v>
      </c>
      <c r="G1695" s="77" t="s">
        <v>2126</v>
      </c>
      <c r="H1695" s="78">
        <v>0</v>
      </c>
    </row>
    <row r="1696" spans="6:8" ht="15.5">
      <c r="F1696" s="76">
        <v>315897</v>
      </c>
      <c r="G1696" s="77" t="s">
        <v>2127</v>
      </c>
      <c r="H1696" s="78">
        <v>0</v>
      </c>
    </row>
    <row r="1697" spans="6:8" ht="15.5">
      <c r="F1697" s="76">
        <v>300922</v>
      </c>
      <c r="G1697" s="77" t="s">
        <v>2128</v>
      </c>
      <c r="H1697" s="78">
        <v>0</v>
      </c>
    </row>
    <row r="1698" spans="6:8" ht="15.5">
      <c r="F1698" s="76">
        <v>308519</v>
      </c>
      <c r="G1698" s="77" t="s">
        <v>2129</v>
      </c>
      <c r="H1698" s="78">
        <v>0</v>
      </c>
    </row>
    <row r="1699" spans="6:8" ht="15.5">
      <c r="F1699" s="76">
        <v>314812</v>
      </c>
      <c r="G1699" s="77" t="s">
        <v>2130</v>
      </c>
      <c r="H1699" s="78">
        <v>0</v>
      </c>
    </row>
    <row r="1700" spans="6:8" ht="15.5">
      <c r="F1700" s="76">
        <v>313834</v>
      </c>
      <c r="G1700" s="77" t="s">
        <v>2131</v>
      </c>
      <c r="H1700" s="78">
        <v>0</v>
      </c>
    </row>
    <row r="1701" spans="6:8" ht="15.5">
      <c r="F1701" s="76">
        <v>90045743</v>
      </c>
      <c r="G1701" s="77" t="s">
        <v>2132</v>
      </c>
      <c r="H1701" s="78">
        <v>0</v>
      </c>
    </row>
    <row r="1702" spans="6:8" ht="15.5">
      <c r="F1702" s="76">
        <v>304509</v>
      </c>
      <c r="G1702" s="77" t="s">
        <v>2133</v>
      </c>
      <c r="H1702" s="78">
        <v>0</v>
      </c>
    </row>
    <row r="1703" spans="6:8" ht="15.5">
      <c r="F1703" s="76">
        <v>313479</v>
      </c>
      <c r="G1703" s="77" t="s">
        <v>2134</v>
      </c>
      <c r="H1703" s="78">
        <v>0</v>
      </c>
    </row>
    <row r="1704" spans="6:8" ht="15.5">
      <c r="F1704" s="76">
        <v>316263</v>
      </c>
      <c r="G1704" s="77" t="s">
        <v>2135</v>
      </c>
      <c r="H1704" s="78">
        <v>0</v>
      </c>
    </row>
    <row r="1705" spans="6:8" ht="15.5">
      <c r="F1705" s="76">
        <v>307904</v>
      </c>
      <c r="G1705" s="77" t="s">
        <v>2136</v>
      </c>
      <c r="H1705" s="78">
        <v>0</v>
      </c>
    </row>
    <row r="1706" spans="6:8" ht="15.5">
      <c r="F1706" s="76">
        <v>312303</v>
      </c>
      <c r="G1706" s="77" t="s">
        <v>2137</v>
      </c>
      <c r="H1706" s="78">
        <v>0</v>
      </c>
    </row>
    <row r="1707" spans="6:8" ht="15.5">
      <c r="F1707" s="76">
        <v>314124</v>
      </c>
      <c r="G1707" s="77" t="s">
        <v>2138</v>
      </c>
      <c r="H1707" s="78">
        <v>0</v>
      </c>
    </row>
    <row r="1708" spans="6:8" ht="15.5">
      <c r="F1708" s="76">
        <v>315187</v>
      </c>
      <c r="G1708" s="77" t="s">
        <v>2139</v>
      </c>
      <c r="H1708" s="78">
        <v>0</v>
      </c>
    </row>
    <row r="1709" spans="6:8" ht="15.5">
      <c r="F1709" s="76">
        <v>315361</v>
      </c>
      <c r="G1709" s="77" t="s">
        <v>2140</v>
      </c>
      <c r="H1709" s="78">
        <v>0</v>
      </c>
    </row>
    <row r="1710" spans="6:8" ht="15.5">
      <c r="F1710" s="76">
        <v>314527</v>
      </c>
      <c r="G1710" s="77" t="s">
        <v>2141</v>
      </c>
      <c r="H1710" s="78">
        <v>0</v>
      </c>
    </row>
    <row r="1711" spans="6:8" ht="15.5">
      <c r="F1711" s="76">
        <v>306713</v>
      </c>
      <c r="G1711" s="77" t="s">
        <v>2142</v>
      </c>
      <c r="H1711" s="78">
        <v>0</v>
      </c>
    </row>
    <row r="1712" spans="6:8" ht="15.5">
      <c r="F1712" s="76">
        <v>315342</v>
      </c>
      <c r="G1712" s="77" t="s">
        <v>2143</v>
      </c>
      <c r="H1712" s="78">
        <v>0</v>
      </c>
    </row>
    <row r="1713" spans="6:8" ht="15.5">
      <c r="F1713" s="76">
        <v>312257</v>
      </c>
      <c r="G1713" s="77" t="s">
        <v>2144</v>
      </c>
      <c r="H1713" s="78">
        <v>0</v>
      </c>
    </row>
    <row r="1714" spans="6:8" ht="15.5">
      <c r="F1714" s="76">
        <v>314043</v>
      </c>
      <c r="G1714" s="77" t="s">
        <v>2145</v>
      </c>
      <c r="H1714" s="78">
        <v>0</v>
      </c>
    </row>
    <row r="1715" spans="6:8" ht="15.5">
      <c r="F1715" s="76">
        <v>90028232</v>
      </c>
      <c r="G1715" s="77" t="s">
        <v>2146</v>
      </c>
      <c r="H1715" s="78">
        <v>0</v>
      </c>
    </row>
    <row r="1716" spans="6:8" ht="15.5">
      <c r="F1716" s="76">
        <v>307113</v>
      </c>
      <c r="G1716" s="77" t="s">
        <v>2147</v>
      </c>
      <c r="H1716" s="78">
        <v>0</v>
      </c>
    </row>
    <row r="1717" spans="6:8" ht="15.5">
      <c r="F1717" s="76">
        <v>303961</v>
      </c>
      <c r="G1717" s="77" t="s">
        <v>2148</v>
      </c>
      <c r="H1717" s="78">
        <v>0</v>
      </c>
    </row>
    <row r="1718" spans="6:8" ht="15.5">
      <c r="F1718" s="76">
        <v>315299</v>
      </c>
      <c r="G1718" s="77" t="s">
        <v>2149</v>
      </c>
      <c r="H1718" s="78">
        <v>0</v>
      </c>
    </row>
    <row r="1719" spans="6:8" ht="15.5">
      <c r="F1719" s="76">
        <v>308796</v>
      </c>
      <c r="G1719" s="77" t="s">
        <v>2150</v>
      </c>
      <c r="H1719" s="78">
        <v>0</v>
      </c>
    </row>
    <row r="1720" spans="6:8" ht="15.5">
      <c r="F1720" s="76">
        <v>307862</v>
      </c>
      <c r="G1720" s="77" t="s">
        <v>2151</v>
      </c>
      <c r="H1720" s="78">
        <v>0</v>
      </c>
    </row>
    <row r="1721" spans="6:8" ht="15.5">
      <c r="F1721" s="76">
        <v>314103</v>
      </c>
      <c r="G1721" s="77" t="s">
        <v>2152</v>
      </c>
      <c r="H1721" s="78">
        <v>0</v>
      </c>
    </row>
    <row r="1722" spans="6:8" ht="15.5">
      <c r="F1722" s="76">
        <v>310734</v>
      </c>
      <c r="G1722" s="77" t="s">
        <v>2153</v>
      </c>
      <c r="H1722" s="78">
        <v>0</v>
      </c>
    </row>
    <row r="1723" spans="6:8" ht="15.5">
      <c r="F1723" s="76">
        <v>309761</v>
      </c>
      <c r="G1723" s="77" t="s">
        <v>2154</v>
      </c>
      <c r="H1723" s="78">
        <v>0</v>
      </c>
    </row>
    <row r="1724" spans="6:8" ht="15.5">
      <c r="F1724" s="76">
        <v>90014269</v>
      </c>
      <c r="G1724" s="77" t="s">
        <v>2155</v>
      </c>
      <c r="H1724" s="78">
        <v>0</v>
      </c>
    </row>
    <row r="1725" spans="6:8" ht="15.5">
      <c r="F1725" s="76">
        <v>313396</v>
      </c>
      <c r="G1725" s="77" t="s">
        <v>2156</v>
      </c>
      <c r="H1725" s="78">
        <v>0</v>
      </c>
    </row>
    <row r="1726" spans="6:8" ht="15.5">
      <c r="F1726" s="76">
        <v>90023803</v>
      </c>
      <c r="G1726" s="77" t="s">
        <v>2157</v>
      </c>
      <c r="H1726" s="78">
        <v>0</v>
      </c>
    </row>
    <row r="1727" spans="6:8" ht="15.5">
      <c r="F1727" s="76">
        <v>90039514</v>
      </c>
      <c r="G1727" s="77" t="s">
        <v>2158</v>
      </c>
      <c r="H1727" s="78">
        <v>0</v>
      </c>
    </row>
    <row r="1728" spans="6:8" ht="15.5">
      <c r="F1728" s="76">
        <v>310867</v>
      </c>
      <c r="G1728" s="77" t="s">
        <v>2159</v>
      </c>
      <c r="H1728" s="78">
        <v>0</v>
      </c>
    </row>
    <row r="1729" spans="6:8" ht="15.5">
      <c r="F1729" s="76">
        <v>315760</v>
      </c>
      <c r="G1729" s="77" t="s">
        <v>2160</v>
      </c>
      <c r="H1729" s="78">
        <v>0</v>
      </c>
    </row>
    <row r="1730" spans="6:8" ht="15.5">
      <c r="F1730" s="76">
        <v>310796</v>
      </c>
      <c r="G1730" s="77" t="s">
        <v>2161</v>
      </c>
      <c r="H1730" s="78">
        <v>0</v>
      </c>
    </row>
    <row r="1731" spans="6:8" ht="15.5">
      <c r="F1731" s="76">
        <v>314563</v>
      </c>
      <c r="G1731" s="77" t="s">
        <v>2162</v>
      </c>
      <c r="H1731" s="78">
        <v>0</v>
      </c>
    </row>
    <row r="1732" spans="6:8" ht="15.5">
      <c r="F1732" s="76">
        <v>304658</v>
      </c>
      <c r="G1732" s="77" t="s">
        <v>2163</v>
      </c>
      <c r="H1732" s="78">
        <v>0</v>
      </c>
    </row>
    <row r="1733" spans="6:8" ht="15.5">
      <c r="F1733" s="76">
        <v>315181</v>
      </c>
      <c r="G1733" s="77" t="s">
        <v>2164</v>
      </c>
      <c r="H1733" s="78">
        <v>0</v>
      </c>
    </row>
    <row r="1734" spans="6:8" ht="15.5">
      <c r="F1734" s="76">
        <v>311615</v>
      </c>
      <c r="G1734" s="77" t="s">
        <v>2165</v>
      </c>
      <c r="H1734" s="78">
        <v>0</v>
      </c>
    </row>
    <row r="1735" spans="6:8" ht="15.5">
      <c r="F1735" s="76">
        <v>312044</v>
      </c>
      <c r="G1735" s="77" t="s">
        <v>2166</v>
      </c>
      <c r="H1735" s="78">
        <v>0</v>
      </c>
    </row>
    <row r="1736" spans="6:8" ht="15.5">
      <c r="F1736" s="76">
        <v>313342</v>
      </c>
      <c r="G1736" s="77" t="s">
        <v>2167</v>
      </c>
      <c r="H1736" s="78">
        <v>0</v>
      </c>
    </row>
    <row r="1737" spans="6:8" ht="15.5">
      <c r="F1737" s="76">
        <v>315810</v>
      </c>
      <c r="G1737" s="77" t="s">
        <v>2168</v>
      </c>
      <c r="H1737" s="78">
        <v>0</v>
      </c>
    </row>
    <row r="1738" spans="6:8" ht="15.5">
      <c r="F1738" s="76">
        <v>312481</v>
      </c>
      <c r="G1738" s="77" t="s">
        <v>2169</v>
      </c>
      <c r="H1738" s="78">
        <v>0</v>
      </c>
    </row>
    <row r="1739" spans="6:8" ht="15.5">
      <c r="F1739" s="76">
        <v>307582</v>
      </c>
      <c r="G1739" s="77" t="s">
        <v>2170</v>
      </c>
      <c r="H1739" s="78">
        <v>0</v>
      </c>
    </row>
    <row r="1740" spans="6:8" ht="15.5">
      <c r="F1740" s="76">
        <v>316125</v>
      </c>
      <c r="G1740" s="77" t="s">
        <v>2171</v>
      </c>
      <c r="H1740" s="78">
        <v>0</v>
      </c>
    </row>
    <row r="1741" spans="6:8" ht="15.5">
      <c r="F1741" s="76">
        <v>90024373</v>
      </c>
      <c r="G1741" s="77" t="s">
        <v>2172</v>
      </c>
      <c r="H1741" s="78">
        <v>0</v>
      </c>
    </row>
    <row r="1742" spans="6:8" ht="15.5">
      <c r="F1742" s="76">
        <v>301669</v>
      </c>
      <c r="G1742" s="77" t="s">
        <v>2173</v>
      </c>
      <c r="H1742" s="78">
        <v>0</v>
      </c>
    </row>
    <row r="1743" spans="6:8" ht="15.5">
      <c r="F1743" s="76">
        <v>309811</v>
      </c>
      <c r="G1743" s="77" t="s">
        <v>2174</v>
      </c>
      <c r="H1743" s="78">
        <v>0</v>
      </c>
    </row>
    <row r="1744" spans="6:8" ht="15.5">
      <c r="F1744" s="76">
        <v>314136</v>
      </c>
      <c r="G1744" s="77" t="s">
        <v>2175</v>
      </c>
      <c r="H1744" s="78">
        <v>0</v>
      </c>
    </row>
    <row r="1745" spans="6:8" ht="15.5">
      <c r="F1745" s="76">
        <v>315946</v>
      </c>
      <c r="G1745" s="77" t="s">
        <v>2176</v>
      </c>
      <c r="H1745" s="78">
        <v>0</v>
      </c>
    </row>
    <row r="1746" spans="6:8" ht="15.5">
      <c r="F1746" s="76">
        <v>314358</v>
      </c>
      <c r="G1746" s="77" t="s">
        <v>2177</v>
      </c>
      <c r="H1746" s="78">
        <v>0</v>
      </c>
    </row>
    <row r="1747" spans="6:8" ht="15.5">
      <c r="F1747" s="76">
        <v>315094</v>
      </c>
      <c r="G1747" s="77" t="s">
        <v>2178</v>
      </c>
      <c r="H1747" s="78">
        <v>0</v>
      </c>
    </row>
    <row r="1748" spans="6:8" ht="15.5">
      <c r="F1748" s="76">
        <v>312835</v>
      </c>
      <c r="G1748" s="77" t="s">
        <v>2179</v>
      </c>
      <c r="H1748" s="78">
        <v>0</v>
      </c>
    </row>
    <row r="1749" spans="6:8" ht="15.5">
      <c r="F1749" s="76">
        <v>90024021</v>
      </c>
      <c r="G1749" s="77" t="s">
        <v>2180</v>
      </c>
      <c r="H1749" s="78">
        <v>0</v>
      </c>
    </row>
    <row r="1750" spans="6:8" ht="15.5">
      <c r="F1750" s="76">
        <v>90040633</v>
      </c>
      <c r="G1750" s="77" t="s">
        <v>2181</v>
      </c>
      <c r="H1750" s="78">
        <v>0</v>
      </c>
    </row>
    <row r="1751" spans="6:8" ht="15.5">
      <c r="F1751" s="76">
        <v>314608</v>
      </c>
      <c r="G1751" s="77" t="s">
        <v>2182</v>
      </c>
      <c r="H1751" s="78">
        <v>0</v>
      </c>
    </row>
    <row r="1752" spans="6:8" ht="15.5">
      <c r="F1752" s="76">
        <v>314041</v>
      </c>
      <c r="G1752" s="77" t="s">
        <v>2183</v>
      </c>
      <c r="H1752" s="78">
        <v>0</v>
      </c>
    </row>
    <row r="1753" spans="6:8" ht="15.5">
      <c r="F1753" s="76">
        <v>90050230</v>
      </c>
      <c r="G1753" s="77" t="s">
        <v>2184</v>
      </c>
      <c r="H1753" s="78">
        <v>0</v>
      </c>
    </row>
    <row r="1754" spans="6:8" ht="15.5">
      <c r="F1754" s="76">
        <v>90039148</v>
      </c>
      <c r="G1754" s="77" t="s">
        <v>2185</v>
      </c>
      <c r="H1754" s="78">
        <v>0</v>
      </c>
    </row>
    <row r="1755" spans="6:8" ht="15.5">
      <c r="F1755" s="76">
        <v>313680</v>
      </c>
      <c r="G1755" s="77" t="s">
        <v>2186</v>
      </c>
      <c r="H1755" s="78">
        <v>0</v>
      </c>
    </row>
    <row r="1756" spans="6:8" ht="15.5">
      <c r="F1756" s="76">
        <v>308478</v>
      </c>
      <c r="G1756" s="77" t="s">
        <v>2187</v>
      </c>
      <c r="H1756" s="78">
        <v>0</v>
      </c>
    </row>
    <row r="1757" spans="6:8" ht="15.5">
      <c r="F1757" s="76">
        <v>90034745</v>
      </c>
      <c r="G1757" s="77" t="s">
        <v>2188</v>
      </c>
      <c r="H1757" s="78">
        <v>0</v>
      </c>
    </row>
    <row r="1758" spans="6:8" ht="15.5">
      <c r="F1758" s="76">
        <v>316256</v>
      </c>
      <c r="G1758" s="77" t="s">
        <v>2189</v>
      </c>
      <c r="H1758" s="78">
        <v>0</v>
      </c>
    </row>
    <row r="1759" spans="6:8" ht="15.5">
      <c r="F1759" s="76">
        <v>315216</v>
      </c>
      <c r="G1759" s="77" t="s">
        <v>2190</v>
      </c>
      <c r="H1759" s="78">
        <v>0</v>
      </c>
    </row>
    <row r="1760" spans="6:8" ht="15.5">
      <c r="F1760" s="76">
        <v>312919</v>
      </c>
      <c r="G1760" s="77" t="s">
        <v>2191</v>
      </c>
      <c r="H1760" s="78">
        <v>0</v>
      </c>
    </row>
    <row r="1761" spans="6:8" ht="15.5">
      <c r="F1761" s="76">
        <v>90012221</v>
      </c>
      <c r="G1761" s="77" t="s">
        <v>2192</v>
      </c>
      <c r="H1761" s="78">
        <v>0</v>
      </c>
    </row>
    <row r="1762" spans="6:8" ht="15.5">
      <c r="F1762" s="76">
        <v>306192</v>
      </c>
      <c r="G1762" s="77" t="s">
        <v>2193</v>
      </c>
      <c r="H1762" s="78">
        <v>0</v>
      </c>
    </row>
    <row r="1763" spans="6:8" ht="15.5">
      <c r="F1763" s="76">
        <v>311597</v>
      </c>
      <c r="G1763" s="77" t="s">
        <v>2194</v>
      </c>
      <c r="H1763" s="78">
        <v>0</v>
      </c>
    </row>
    <row r="1764" spans="6:8" ht="15.5">
      <c r="F1764" s="76">
        <v>315916</v>
      </c>
      <c r="G1764" s="77" t="s">
        <v>2195</v>
      </c>
      <c r="H1764" s="78">
        <v>0</v>
      </c>
    </row>
    <row r="1765" spans="6:8" ht="15.5">
      <c r="F1765" s="76">
        <v>315488</v>
      </c>
      <c r="G1765" s="77" t="s">
        <v>2196</v>
      </c>
      <c r="H1765" s="78">
        <v>0</v>
      </c>
    </row>
    <row r="1766" spans="6:8" ht="15.5">
      <c r="F1766" s="76">
        <v>315464</v>
      </c>
      <c r="G1766" s="77" t="s">
        <v>2197</v>
      </c>
      <c r="H1766" s="78">
        <v>0</v>
      </c>
    </row>
    <row r="1767" spans="6:8" ht="15.5">
      <c r="F1767" s="76">
        <v>315414</v>
      </c>
      <c r="G1767" s="77" t="s">
        <v>2198</v>
      </c>
      <c r="H1767" s="78">
        <v>0</v>
      </c>
    </row>
    <row r="1768" spans="6:8" ht="15.5">
      <c r="F1768" s="76">
        <v>308315</v>
      </c>
      <c r="G1768" s="77" t="s">
        <v>2199</v>
      </c>
      <c r="H1768" s="78">
        <v>0</v>
      </c>
    </row>
    <row r="1769" spans="6:8" ht="15.5">
      <c r="F1769" s="76">
        <v>306330</v>
      </c>
      <c r="G1769" s="77" t="s">
        <v>2200</v>
      </c>
      <c r="H1769" s="78">
        <v>0</v>
      </c>
    </row>
    <row r="1770" spans="6:8" ht="15.5">
      <c r="F1770" s="76">
        <v>316023</v>
      </c>
      <c r="G1770" s="77" t="s">
        <v>2201</v>
      </c>
      <c r="H1770" s="78">
        <v>0</v>
      </c>
    </row>
    <row r="1771" spans="6:8" ht="15.5">
      <c r="F1771" s="76">
        <v>90046433</v>
      </c>
      <c r="G1771" s="77" t="s">
        <v>2202</v>
      </c>
      <c r="H1771" s="78">
        <v>0</v>
      </c>
    </row>
    <row r="1772" spans="6:8" ht="15.5">
      <c r="F1772" s="76">
        <v>90024787</v>
      </c>
      <c r="G1772" s="77" t="s">
        <v>2203</v>
      </c>
      <c r="H1772" s="78">
        <v>0</v>
      </c>
    </row>
    <row r="1773" spans="6:8" ht="15.5">
      <c r="F1773" s="76">
        <v>315046</v>
      </c>
      <c r="G1773" s="77" t="s">
        <v>2204</v>
      </c>
      <c r="H1773" s="78">
        <v>0</v>
      </c>
    </row>
    <row r="1774" spans="6:8" ht="15.5">
      <c r="F1774" s="76">
        <v>314383</v>
      </c>
      <c r="G1774" s="77" t="s">
        <v>2205</v>
      </c>
      <c r="H1774" s="78">
        <v>0</v>
      </c>
    </row>
    <row r="1775" spans="6:8" ht="15.5">
      <c r="F1775" s="76">
        <v>90050463</v>
      </c>
      <c r="G1775" s="77" t="s">
        <v>2206</v>
      </c>
      <c r="H1775" s="78">
        <v>0</v>
      </c>
    </row>
    <row r="1776" spans="6:8" ht="15.5">
      <c r="F1776" s="76">
        <v>314419</v>
      </c>
      <c r="G1776" s="77" t="s">
        <v>2207</v>
      </c>
      <c r="H1776" s="78">
        <v>0</v>
      </c>
    </row>
    <row r="1777" spans="6:8" ht="15.5">
      <c r="F1777" s="76">
        <v>315833</v>
      </c>
      <c r="G1777" s="77" t="s">
        <v>2208</v>
      </c>
      <c r="H1777" s="78">
        <v>0</v>
      </c>
    </row>
    <row r="1778" spans="6:8" ht="15.5">
      <c r="F1778" s="76">
        <v>316193</v>
      </c>
      <c r="G1778" s="77" t="s">
        <v>2209</v>
      </c>
      <c r="H1778" s="78">
        <v>0</v>
      </c>
    </row>
    <row r="1779" spans="6:8" ht="15.5">
      <c r="F1779" s="76">
        <v>90050627</v>
      </c>
      <c r="G1779" s="77" t="s">
        <v>2210</v>
      </c>
      <c r="H1779" s="78">
        <v>0</v>
      </c>
    </row>
    <row r="1780" spans="6:8" ht="15.5">
      <c r="F1780" s="76">
        <v>90028367</v>
      </c>
      <c r="G1780" s="77" t="s">
        <v>2211</v>
      </c>
      <c r="H1780" s="78">
        <v>0</v>
      </c>
    </row>
    <row r="1781" spans="6:8" ht="15.5">
      <c r="F1781" s="76">
        <v>90023915</v>
      </c>
      <c r="G1781" s="77" t="s">
        <v>2212</v>
      </c>
      <c r="H1781" s="78">
        <v>0</v>
      </c>
    </row>
    <row r="1782" spans="6:8" ht="15.5">
      <c r="F1782" s="76">
        <v>309455</v>
      </c>
      <c r="G1782" s="77" t="s">
        <v>2213</v>
      </c>
      <c r="H1782" s="78">
        <v>0</v>
      </c>
    </row>
    <row r="1783" spans="6:8" ht="15.5">
      <c r="F1783" s="76">
        <v>316237</v>
      </c>
      <c r="G1783" s="77" t="s">
        <v>2214</v>
      </c>
      <c r="H1783" s="78">
        <v>0</v>
      </c>
    </row>
    <row r="1784" spans="6:8" ht="15.5">
      <c r="F1784" s="76">
        <v>310240</v>
      </c>
      <c r="G1784" s="77" t="s">
        <v>2215</v>
      </c>
      <c r="H1784" s="78">
        <v>0</v>
      </c>
    </row>
    <row r="1785" spans="6:8" ht="15.5">
      <c r="F1785" s="76">
        <v>309792</v>
      </c>
      <c r="G1785" s="77" t="s">
        <v>2216</v>
      </c>
      <c r="H1785" s="78">
        <v>0</v>
      </c>
    </row>
    <row r="1786" spans="6:8" ht="15.5">
      <c r="F1786" s="76">
        <v>311583</v>
      </c>
      <c r="G1786" s="77" t="s">
        <v>2217</v>
      </c>
      <c r="H1786" s="78">
        <v>0</v>
      </c>
    </row>
    <row r="1787" spans="6:8" ht="15.5">
      <c r="F1787" s="76">
        <v>315128</v>
      </c>
      <c r="G1787" s="77" t="s">
        <v>2218</v>
      </c>
      <c r="H1787" s="78">
        <v>0</v>
      </c>
    </row>
    <row r="1788" spans="6:8" ht="15.5">
      <c r="F1788" s="76">
        <v>315944</v>
      </c>
      <c r="G1788" s="77" t="s">
        <v>2219</v>
      </c>
      <c r="H1788" s="78">
        <v>0</v>
      </c>
    </row>
    <row r="1789" spans="6:8" ht="15.5">
      <c r="F1789" s="76">
        <v>309571</v>
      </c>
      <c r="G1789" s="77" t="s">
        <v>2220</v>
      </c>
      <c r="H1789" s="78">
        <v>0</v>
      </c>
    </row>
    <row r="1790" spans="6:8" ht="15.5">
      <c r="F1790" s="76">
        <v>314990</v>
      </c>
      <c r="G1790" s="77" t="s">
        <v>2221</v>
      </c>
      <c r="H1790" s="78">
        <v>0</v>
      </c>
    </row>
    <row r="1791" spans="6:8" ht="15.5">
      <c r="F1791" s="76">
        <v>90019623</v>
      </c>
      <c r="G1791" s="77" t="s">
        <v>2222</v>
      </c>
      <c r="H1791" s="78">
        <v>0</v>
      </c>
    </row>
    <row r="1792" spans="6:8" ht="15.5">
      <c r="F1792" s="76">
        <v>90049041</v>
      </c>
      <c r="G1792" s="77" t="s">
        <v>2223</v>
      </c>
      <c r="H1792" s="78">
        <v>0</v>
      </c>
    </row>
    <row r="1793" spans="6:8" ht="15.5">
      <c r="F1793" s="76">
        <v>311233</v>
      </c>
      <c r="G1793" s="77" t="s">
        <v>2224</v>
      </c>
      <c r="H1793" s="78">
        <v>0</v>
      </c>
    </row>
    <row r="1794" spans="6:8" ht="15.5">
      <c r="F1794" s="76">
        <v>305630</v>
      </c>
      <c r="G1794" s="77" t="s">
        <v>2225</v>
      </c>
      <c r="H1794" s="78">
        <v>0</v>
      </c>
    </row>
    <row r="1795" spans="6:8" ht="15.5">
      <c r="F1795" s="76">
        <v>315848</v>
      </c>
      <c r="G1795" s="77" t="s">
        <v>2226</v>
      </c>
      <c r="H1795" s="78">
        <v>0</v>
      </c>
    </row>
    <row r="1796" spans="6:8" ht="15.5">
      <c r="F1796" s="76">
        <v>315325</v>
      </c>
      <c r="G1796" s="77" t="s">
        <v>2227</v>
      </c>
      <c r="H1796" s="78">
        <v>0</v>
      </c>
    </row>
    <row r="1797" spans="6:8" ht="15.5">
      <c r="F1797" s="76">
        <v>316306</v>
      </c>
      <c r="G1797" s="77" t="s">
        <v>2228</v>
      </c>
      <c r="H1797" s="78">
        <v>0</v>
      </c>
    </row>
    <row r="1798" spans="6:8" ht="15.5">
      <c r="F1798" s="76">
        <v>313196</v>
      </c>
      <c r="G1798" s="77" t="s">
        <v>2229</v>
      </c>
      <c r="H1798" s="78">
        <v>0</v>
      </c>
    </row>
    <row r="1799" spans="6:8" ht="15.5">
      <c r="F1799" s="76">
        <v>315310</v>
      </c>
      <c r="G1799" s="77" t="s">
        <v>2230</v>
      </c>
      <c r="H1799" s="78">
        <v>0</v>
      </c>
    </row>
    <row r="1800" spans="6:8" ht="15.5">
      <c r="F1800" s="76">
        <v>314265</v>
      </c>
      <c r="G1800" s="77" t="s">
        <v>2231</v>
      </c>
      <c r="H1800" s="78">
        <v>0</v>
      </c>
    </row>
    <row r="1801" spans="6:8" ht="15.5">
      <c r="F1801" s="76">
        <v>313724</v>
      </c>
      <c r="G1801" s="77" t="s">
        <v>2232</v>
      </c>
      <c r="H1801" s="78">
        <v>0</v>
      </c>
    </row>
    <row r="1802" spans="6:8" ht="15.5">
      <c r="F1802" s="76">
        <v>315406</v>
      </c>
      <c r="G1802" s="77" t="s">
        <v>2233</v>
      </c>
      <c r="H1802" s="78">
        <v>0</v>
      </c>
    </row>
    <row r="1803" spans="6:8" ht="15.5">
      <c r="F1803" s="76">
        <v>307198</v>
      </c>
      <c r="G1803" s="77" t="s">
        <v>2234</v>
      </c>
      <c r="H1803" s="78">
        <v>0</v>
      </c>
    </row>
    <row r="1804" spans="6:8" ht="15.5">
      <c r="F1804" s="76">
        <v>315252</v>
      </c>
      <c r="G1804" s="77" t="s">
        <v>2235</v>
      </c>
      <c r="H1804" s="78">
        <v>0</v>
      </c>
    </row>
    <row r="1805" spans="6:8" ht="15.5">
      <c r="F1805" s="76">
        <v>313732</v>
      </c>
      <c r="G1805" s="77" t="s">
        <v>2236</v>
      </c>
      <c r="H1805" s="78">
        <v>0</v>
      </c>
    </row>
    <row r="1806" spans="6:8" ht="15.5">
      <c r="F1806" s="76">
        <v>314027</v>
      </c>
      <c r="G1806" s="77" t="s">
        <v>2237</v>
      </c>
      <c r="H1806" s="78">
        <v>0</v>
      </c>
    </row>
    <row r="1807" spans="6:8" ht="15.5">
      <c r="F1807" s="76">
        <v>90009508</v>
      </c>
      <c r="G1807" s="77" t="s">
        <v>2238</v>
      </c>
      <c r="H1807" s="78">
        <v>0</v>
      </c>
    </row>
    <row r="1808" spans="6:8" ht="15.5">
      <c r="F1808" s="76">
        <v>301129</v>
      </c>
      <c r="G1808" s="77" t="s">
        <v>2239</v>
      </c>
      <c r="H1808" s="78">
        <v>0</v>
      </c>
    </row>
    <row r="1809" spans="6:8" ht="15.5">
      <c r="F1809" s="76">
        <v>90040610</v>
      </c>
      <c r="G1809" s="77" t="s">
        <v>2240</v>
      </c>
      <c r="H1809" s="78">
        <v>0</v>
      </c>
    </row>
    <row r="1810" spans="6:8" ht="15.5">
      <c r="F1810" s="76">
        <v>311474</v>
      </c>
      <c r="G1810" s="77" t="s">
        <v>2241</v>
      </c>
      <c r="H1810" s="78">
        <v>0</v>
      </c>
    </row>
    <row r="1811" spans="6:8" ht="15.5">
      <c r="F1811" s="76">
        <v>300296</v>
      </c>
      <c r="G1811" s="77" t="s">
        <v>2242</v>
      </c>
      <c r="H1811" s="78">
        <v>0</v>
      </c>
    </row>
    <row r="1812" spans="6:8" ht="15.5">
      <c r="F1812" s="76">
        <v>90012077</v>
      </c>
      <c r="G1812" s="77" t="s">
        <v>2243</v>
      </c>
      <c r="H1812" s="78">
        <v>0</v>
      </c>
    </row>
    <row r="1813" spans="6:8" ht="15.5">
      <c r="F1813" s="76">
        <v>312356</v>
      </c>
      <c r="G1813" s="77" t="s">
        <v>2244</v>
      </c>
      <c r="H1813" s="78">
        <v>0</v>
      </c>
    </row>
    <row r="1814" spans="6:8" ht="15.5">
      <c r="F1814" s="76">
        <v>313800</v>
      </c>
      <c r="G1814" s="77" t="s">
        <v>2245</v>
      </c>
      <c r="H1814" s="78">
        <v>0</v>
      </c>
    </row>
    <row r="1815" spans="6:8" ht="15.5">
      <c r="F1815" s="76">
        <v>311569</v>
      </c>
      <c r="G1815" s="77" t="s">
        <v>2246</v>
      </c>
      <c r="H1815" s="78">
        <v>0</v>
      </c>
    </row>
    <row r="1816" spans="6:8" ht="15.5">
      <c r="F1816" s="76">
        <v>313095</v>
      </c>
      <c r="G1816" s="77" t="s">
        <v>2247</v>
      </c>
      <c r="H1816" s="78">
        <v>0</v>
      </c>
    </row>
    <row r="1817" spans="6:8" ht="15.5">
      <c r="F1817" s="76">
        <v>300191</v>
      </c>
      <c r="G1817" s="77" t="s">
        <v>2248</v>
      </c>
      <c r="H1817" s="78">
        <v>0</v>
      </c>
    </row>
    <row r="1818" spans="6:8" ht="15.5">
      <c r="F1818" s="76">
        <v>314226</v>
      </c>
      <c r="G1818" s="77" t="s">
        <v>2249</v>
      </c>
      <c r="H1818" s="78">
        <v>0</v>
      </c>
    </row>
    <row r="1819" spans="6:8" ht="15.5">
      <c r="F1819" s="76">
        <v>90020674</v>
      </c>
      <c r="G1819" s="77" t="s">
        <v>2250</v>
      </c>
      <c r="H1819" s="78">
        <v>0</v>
      </c>
    </row>
    <row r="1820" spans="6:8" ht="15.5">
      <c r="F1820" s="76">
        <v>315362</v>
      </c>
      <c r="G1820" s="77" t="s">
        <v>2251</v>
      </c>
      <c r="H1820" s="78">
        <v>0</v>
      </c>
    </row>
    <row r="1821" spans="6:8" ht="15.5">
      <c r="F1821" s="76">
        <v>306697</v>
      </c>
      <c r="G1821" s="77" t="s">
        <v>2252</v>
      </c>
      <c r="H1821" s="78">
        <v>0</v>
      </c>
    </row>
    <row r="1822" spans="6:8" ht="15.5">
      <c r="F1822" s="76">
        <v>302866</v>
      </c>
      <c r="G1822" s="77" t="s">
        <v>2253</v>
      </c>
      <c r="H1822" s="78">
        <v>0</v>
      </c>
    </row>
    <row r="1823" spans="6:8" ht="15.5">
      <c r="F1823" s="76">
        <v>309515</v>
      </c>
      <c r="G1823" s="77" t="s">
        <v>2254</v>
      </c>
      <c r="H1823" s="78">
        <v>0</v>
      </c>
    </row>
    <row r="1824" spans="6:8" ht="15.5">
      <c r="F1824" s="76">
        <v>314180</v>
      </c>
      <c r="G1824" s="77" t="s">
        <v>2255</v>
      </c>
      <c r="H1824" s="78">
        <v>0</v>
      </c>
    </row>
    <row r="1825" spans="6:10" ht="15.5">
      <c r="F1825" s="76">
        <v>314734</v>
      </c>
      <c r="G1825" s="77" t="s">
        <v>2256</v>
      </c>
      <c r="H1825" s="78">
        <v>0</v>
      </c>
    </row>
    <row r="1826" spans="6:10" ht="15.5">
      <c r="F1826" s="76">
        <v>309750</v>
      </c>
      <c r="G1826" s="77" t="s">
        <v>2257</v>
      </c>
      <c r="H1826" s="78">
        <v>0</v>
      </c>
    </row>
    <row r="1827" spans="6:10" ht="15.5">
      <c r="F1827" s="76">
        <v>311686</v>
      </c>
      <c r="G1827" s="77" t="s">
        <v>2258</v>
      </c>
      <c r="H1827" s="78">
        <v>0</v>
      </c>
    </row>
    <row r="1828" spans="6:10" ht="15.5">
      <c r="F1828" s="76">
        <v>315351</v>
      </c>
      <c r="G1828" s="77" t="s">
        <v>2259</v>
      </c>
      <c r="H1828" s="78">
        <v>0</v>
      </c>
      <c r="I1828" s="83"/>
      <c r="J1828" s="83"/>
    </row>
    <row r="1829" spans="6:10" ht="15.5">
      <c r="F1829" s="76">
        <v>90034563</v>
      </c>
      <c r="G1829" s="77" t="s">
        <v>2260</v>
      </c>
      <c r="H1829" s="78">
        <v>0</v>
      </c>
      <c r="I1829" s="83"/>
      <c r="J1829" s="83"/>
    </row>
    <row r="1830" spans="6:10" ht="15.5">
      <c r="F1830" s="76">
        <v>90029079</v>
      </c>
      <c r="G1830" s="77" t="s">
        <v>2261</v>
      </c>
      <c r="H1830" s="78">
        <v>0</v>
      </c>
    </row>
    <row r="1831" spans="6:10" ht="15.5">
      <c r="F1831" s="76">
        <v>311755</v>
      </c>
      <c r="G1831" s="77" t="s">
        <v>2262</v>
      </c>
      <c r="H1831" s="78">
        <v>0</v>
      </c>
    </row>
    <row r="1832" spans="6:10" ht="15.5">
      <c r="F1832" s="76">
        <v>313660</v>
      </c>
      <c r="G1832" s="77" t="s">
        <v>2263</v>
      </c>
      <c r="H1832" s="78">
        <v>0</v>
      </c>
    </row>
    <row r="1833" spans="6:10" ht="15.5">
      <c r="F1833" s="76">
        <v>314169</v>
      </c>
      <c r="G1833" s="77" t="s">
        <v>2264</v>
      </c>
      <c r="H1833" s="78">
        <v>0</v>
      </c>
    </row>
    <row r="1834" spans="6:10" ht="15.5">
      <c r="F1834" s="76">
        <v>314341</v>
      </c>
      <c r="G1834" s="77" t="s">
        <v>2265</v>
      </c>
      <c r="H1834" s="78">
        <v>0</v>
      </c>
    </row>
    <row r="1835" spans="6:10" ht="15.5">
      <c r="F1835" s="76">
        <v>90040424</v>
      </c>
      <c r="G1835" s="77" t="s">
        <v>2266</v>
      </c>
      <c r="H1835" s="78">
        <v>0</v>
      </c>
    </row>
    <row r="1836" spans="6:10" ht="15.5">
      <c r="F1836" s="76">
        <v>314050</v>
      </c>
      <c r="G1836" s="77" t="s">
        <v>2267</v>
      </c>
      <c r="H1836" s="78">
        <v>0</v>
      </c>
    </row>
    <row r="1837" spans="6:10" ht="15.5">
      <c r="F1837" s="76">
        <v>90034450</v>
      </c>
      <c r="G1837" s="77" t="s">
        <v>2268</v>
      </c>
      <c r="H1837" s="78">
        <v>0</v>
      </c>
    </row>
    <row r="1838" spans="6:10" ht="15.5">
      <c r="F1838" s="76">
        <v>311273</v>
      </c>
      <c r="G1838" s="77" t="s">
        <v>2269</v>
      </c>
      <c r="H1838" s="78">
        <v>0</v>
      </c>
    </row>
    <row r="1839" spans="6:10" ht="15.5">
      <c r="F1839" s="76">
        <v>90028724</v>
      </c>
      <c r="G1839" s="77" t="s">
        <v>2270</v>
      </c>
      <c r="H1839" s="78">
        <v>0</v>
      </c>
    </row>
    <row r="1840" spans="6:10" ht="15.5">
      <c r="F1840" s="76">
        <v>312576</v>
      </c>
      <c r="G1840" s="77" t="s">
        <v>2271</v>
      </c>
      <c r="H1840" s="78">
        <v>0</v>
      </c>
    </row>
    <row r="1841" spans="6:8" ht="15.5">
      <c r="F1841" s="76">
        <v>90024370</v>
      </c>
      <c r="G1841" s="77" t="s">
        <v>2272</v>
      </c>
      <c r="H1841" s="78">
        <v>0</v>
      </c>
    </row>
    <row r="1842" spans="6:8" ht="15.5">
      <c r="F1842" s="76">
        <v>314530</v>
      </c>
      <c r="G1842" s="77" t="s">
        <v>2273</v>
      </c>
      <c r="H1842" s="78">
        <v>0</v>
      </c>
    </row>
    <row r="1843" spans="6:8" ht="15.5">
      <c r="F1843" s="76">
        <v>90034868</v>
      </c>
      <c r="G1843" s="77" t="s">
        <v>2274</v>
      </c>
      <c r="H1843" s="78">
        <v>0</v>
      </c>
    </row>
    <row r="1844" spans="6:8" ht="15.5">
      <c r="F1844" s="76">
        <v>315099</v>
      </c>
      <c r="G1844" s="77" t="s">
        <v>2275</v>
      </c>
      <c r="H1844" s="78">
        <v>0</v>
      </c>
    </row>
    <row r="1845" spans="6:8" ht="15.5">
      <c r="F1845" s="76">
        <v>311405</v>
      </c>
      <c r="G1845" s="77" t="s">
        <v>2276</v>
      </c>
      <c r="H1845" s="78">
        <v>0</v>
      </c>
    </row>
    <row r="1846" spans="6:8" ht="15.5">
      <c r="F1846" s="76">
        <v>314803</v>
      </c>
      <c r="G1846" s="77" t="s">
        <v>2277</v>
      </c>
      <c r="H1846" s="78">
        <v>0</v>
      </c>
    </row>
    <row r="1847" spans="6:8" ht="15.5">
      <c r="F1847" s="76">
        <v>315370</v>
      </c>
      <c r="G1847" s="77" t="s">
        <v>2278</v>
      </c>
      <c r="H1847" s="78">
        <v>0</v>
      </c>
    </row>
    <row r="1848" spans="6:8" ht="15.5">
      <c r="F1848" s="76">
        <v>90014281</v>
      </c>
      <c r="G1848" s="77" t="s">
        <v>2279</v>
      </c>
      <c r="H1848" s="78">
        <v>0</v>
      </c>
    </row>
    <row r="1849" spans="6:8" ht="15.5">
      <c r="F1849" s="76">
        <v>315366</v>
      </c>
      <c r="G1849" s="77" t="s">
        <v>2280</v>
      </c>
      <c r="H1849" s="78">
        <v>0</v>
      </c>
    </row>
    <row r="1850" spans="6:8" ht="15.5">
      <c r="F1850" s="76">
        <v>314762</v>
      </c>
      <c r="G1850" s="77" t="s">
        <v>2281</v>
      </c>
      <c r="H1850" s="78">
        <v>0</v>
      </c>
    </row>
    <row r="1851" spans="6:8" ht="15.5">
      <c r="F1851" s="76">
        <v>306487</v>
      </c>
      <c r="G1851" s="77" t="s">
        <v>2282</v>
      </c>
      <c r="H1851" s="78">
        <v>0</v>
      </c>
    </row>
    <row r="1852" spans="6:8" ht="15.5">
      <c r="F1852" s="76">
        <v>315445</v>
      </c>
      <c r="G1852" s="77" t="s">
        <v>2283</v>
      </c>
      <c r="H1852" s="78">
        <v>0</v>
      </c>
    </row>
    <row r="1853" spans="6:8" ht="15.5">
      <c r="F1853" s="76">
        <v>312708</v>
      </c>
      <c r="G1853" s="77" t="s">
        <v>2284</v>
      </c>
      <c r="H1853" s="78">
        <v>0</v>
      </c>
    </row>
    <row r="1854" spans="6:8" ht="15.5">
      <c r="F1854" s="76">
        <v>313661</v>
      </c>
      <c r="G1854" s="77" t="s">
        <v>2285</v>
      </c>
      <c r="H1854" s="78">
        <v>0</v>
      </c>
    </row>
    <row r="1855" spans="6:8" ht="15.5">
      <c r="F1855" s="76">
        <v>313107</v>
      </c>
      <c r="G1855" s="77" t="s">
        <v>2286</v>
      </c>
      <c r="H1855" s="78">
        <v>0</v>
      </c>
    </row>
    <row r="1856" spans="6:8" ht="15.5">
      <c r="F1856" s="76">
        <v>311902</v>
      </c>
      <c r="G1856" s="77" t="s">
        <v>2287</v>
      </c>
      <c r="H1856" s="78">
        <v>0</v>
      </c>
    </row>
    <row r="1857" spans="6:8" ht="15.5">
      <c r="F1857" s="76">
        <v>314302</v>
      </c>
      <c r="G1857" s="77" t="s">
        <v>2288</v>
      </c>
      <c r="H1857" s="78">
        <v>0</v>
      </c>
    </row>
    <row r="1858" spans="6:8" ht="15.5">
      <c r="F1858" s="76">
        <v>314737</v>
      </c>
      <c r="G1858" s="77" t="s">
        <v>2289</v>
      </c>
      <c r="H1858" s="78">
        <v>0</v>
      </c>
    </row>
    <row r="1859" spans="6:8" ht="15.5">
      <c r="F1859" s="76">
        <v>313251</v>
      </c>
      <c r="G1859" s="77" t="s">
        <v>2290</v>
      </c>
      <c r="H1859" s="78">
        <v>0</v>
      </c>
    </row>
    <row r="1860" spans="6:8" ht="15.5">
      <c r="F1860" s="76">
        <v>90024489</v>
      </c>
      <c r="G1860" s="77" t="s">
        <v>2291</v>
      </c>
      <c r="H1860" s="78">
        <v>0</v>
      </c>
    </row>
    <row r="1861" spans="6:8" ht="15.5">
      <c r="F1861" s="76">
        <v>102171</v>
      </c>
      <c r="G1861" s="77" t="s">
        <v>2292</v>
      </c>
      <c r="H1861" s="78">
        <v>0</v>
      </c>
    </row>
    <row r="1862" spans="6:8" ht="15.5">
      <c r="F1862" s="76">
        <v>309842</v>
      </c>
      <c r="G1862" s="77" t="s">
        <v>2293</v>
      </c>
      <c r="H1862" s="78">
        <v>0</v>
      </c>
    </row>
    <row r="1863" spans="6:8" ht="15.5">
      <c r="F1863" s="76">
        <v>312996</v>
      </c>
      <c r="G1863" s="77" t="s">
        <v>2294</v>
      </c>
      <c r="H1863" s="78">
        <v>0</v>
      </c>
    </row>
    <row r="1864" spans="6:8" ht="15.5">
      <c r="F1864" s="76">
        <v>310203</v>
      </c>
      <c r="G1864" s="77" t="s">
        <v>2295</v>
      </c>
      <c r="H1864" s="78">
        <v>0</v>
      </c>
    </row>
    <row r="1865" spans="6:8" ht="15.5">
      <c r="F1865" s="76">
        <v>316083</v>
      </c>
      <c r="G1865" s="77" t="s">
        <v>2296</v>
      </c>
      <c r="H1865" s="78">
        <v>0</v>
      </c>
    </row>
    <row r="1866" spans="6:8" ht="15.5">
      <c r="F1866" s="76">
        <v>90039140</v>
      </c>
      <c r="G1866" s="77" t="s">
        <v>2297</v>
      </c>
      <c r="H1866" s="78">
        <v>0</v>
      </c>
    </row>
    <row r="1867" spans="6:8" ht="15.5">
      <c r="F1867" s="76">
        <v>90033335</v>
      </c>
      <c r="G1867" s="77" t="s">
        <v>2298</v>
      </c>
      <c r="H1867" s="78">
        <v>0</v>
      </c>
    </row>
    <row r="1868" spans="6:8" ht="15.5">
      <c r="F1868" s="76">
        <v>314966</v>
      </c>
      <c r="G1868" s="77" t="s">
        <v>2299</v>
      </c>
      <c r="H1868" s="78">
        <v>0</v>
      </c>
    </row>
    <row r="1869" spans="6:8" ht="15.5">
      <c r="F1869" s="76">
        <v>314089</v>
      </c>
      <c r="G1869" s="77" t="s">
        <v>2300</v>
      </c>
      <c r="H1869" s="78">
        <v>0</v>
      </c>
    </row>
    <row r="1870" spans="6:8" ht="15.5">
      <c r="F1870" s="76">
        <v>312489</v>
      </c>
      <c r="G1870" s="77" t="s">
        <v>2301</v>
      </c>
      <c r="H1870" s="78">
        <v>0</v>
      </c>
    </row>
    <row r="1871" spans="6:8" ht="15.5">
      <c r="F1871" s="76">
        <v>314054</v>
      </c>
      <c r="G1871" s="77" t="s">
        <v>2302</v>
      </c>
      <c r="H1871" s="78">
        <v>0</v>
      </c>
    </row>
    <row r="1872" spans="6:8" ht="15.5">
      <c r="F1872" s="76">
        <v>315505</v>
      </c>
      <c r="G1872" s="77" t="s">
        <v>2303</v>
      </c>
      <c r="H1872" s="78">
        <v>0</v>
      </c>
    </row>
    <row r="1873" spans="6:8" ht="15.5">
      <c r="F1873" s="76">
        <v>315368</v>
      </c>
      <c r="G1873" s="77" t="s">
        <v>2304</v>
      </c>
      <c r="H1873" s="78">
        <v>0</v>
      </c>
    </row>
    <row r="1874" spans="6:8" ht="15.5">
      <c r="F1874" s="76">
        <v>314811</v>
      </c>
      <c r="G1874" s="77" t="s">
        <v>2305</v>
      </c>
      <c r="H1874" s="78">
        <v>0</v>
      </c>
    </row>
    <row r="1875" spans="6:8" ht="15.5">
      <c r="F1875" s="76">
        <v>310727</v>
      </c>
      <c r="G1875" s="77" t="s">
        <v>2306</v>
      </c>
      <c r="H1875" s="78">
        <v>0</v>
      </c>
    </row>
    <row r="1876" spans="6:8" ht="15.5">
      <c r="F1876" s="76">
        <v>315341</v>
      </c>
      <c r="G1876" s="77" t="s">
        <v>2307</v>
      </c>
      <c r="H1876" s="78">
        <v>0</v>
      </c>
    </row>
    <row r="1877" spans="6:8" ht="15.5">
      <c r="F1877" s="76">
        <v>316000</v>
      </c>
      <c r="G1877" s="77" t="s">
        <v>2308</v>
      </c>
      <c r="H1877" s="78">
        <v>0</v>
      </c>
    </row>
    <row r="1878" spans="6:8" ht="15.5">
      <c r="F1878" s="76">
        <v>312564</v>
      </c>
      <c r="G1878" s="77" t="s">
        <v>2309</v>
      </c>
      <c r="H1878" s="78">
        <v>0</v>
      </c>
    </row>
    <row r="1879" spans="6:8" ht="15.5">
      <c r="F1879" s="76">
        <v>90040172</v>
      </c>
      <c r="G1879" s="77" t="s">
        <v>2310</v>
      </c>
      <c r="H1879" s="78">
        <v>0</v>
      </c>
    </row>
    <row r="1880" spans="6:8" ht="15.5">
      <c r="F1880" s="76">
        <v>311604</v>
      </c>
      <c r="G1880" s="77" t="s">
        <v>2311</v>
      </c>
      <c r="H1880" s="78">
        <v>0</v>
      </c>
    </row>
    <row r="1881" spans="6:8" ht="15.5">
      <c r="F1881" s="76">
        <v>310466</v>
      </c>
      <c r="G1881" s="77" t="s">
        <v>2312</v>
      </c>
      <c r="H1881" s="78">
        <v>0</v>
      </c>
    </row>
    <row r="1882" spans="6:8" ht="15.5">
      <c r="F1882" s="76">
        <v>90035084</v>
      </c>
      <c r="G1882" s="77" t="s">
        <v>2313</v>
      </c>
      <c r="H1882" s="78">
        <v>0</v>
      </c>
    </row>
    <row r="1883" spans="6:8" ht="15.5">
      <c r="F1883" s="76">
        <v>314611</v>
      </c>
      <c r="G1883" s="77" t="s">
        <v>2314</v>
      </c>
      <c r="H1883" s="78">
        <v>0</v>
      </c>
    </row>
    <row r="1884" spans="6:8" ht="15.5">
      <c r="F1884" s="76">
        <v>312359</v>
      </c>
      <c r="G1884" s="77" t="s">
        <v>2315</v>
      </c>
      <c r="H1884" s="78">
        <v>0</v>
      </c>
    </row>
    <row r="1885" spans="6:8" ht="15.5">
      <c r="F1885" s="76">
        <v>312109</v>
      </c>
      <c r="G1885" s="77" t="s">
        <v>2316</v>
      </c>
      <c r="H1885" s="78">
        <v>0</v>
      </c>
    </row>
    <row r="1886" spans="6:8" ht="15.5">
      <c r="F1886" s="76">
        <v>315103</v>
      </c>
      <c r="G1886" s="77" t="s">
        <v>2317</v>
      </c>
      <c r="H1886" s="78">
        <v>0</v>
      </c>
    </row>
    <row r="1887" spans="6:8" ht="15.5">
      <c r="F1887" s="76">
        <v>90018946</v>
      </c>
      <c r="G1887" s="77" t="s">
        <v>2318</v>
      </c>
      <c r="H1887" s="78">
        <v>0</v>
      </c>
    </row>
    <row r="1888" spans="6:8" ht="15.5">
      <c r="F1888" s="76">
        <v>313203</v>
      </c>
      <c r="G1888" s="77" t="s">
        <v>2319</v>
      </c>
      <c r="H1888" s="78">
        <v>0</v>
      </c>
    </row>
    <row r="1889" spans="6:8" ht="15.5">
      <c r="F1889" s="76">
        <v>315481</v>
      </c>
      <c r="G1889" s="77" t="s">
        <v>2320</v>
      </c>
      <c r="H1889" s="78">
        <v>0</v>
      </c>
    </row>
    <row r="1890" spans="6:8" ht="15.5">
      <c r="F1890" s="76">
        <v>306655</v>
      </c>
      <c r="G1890" s="77" t="s">
        <v>2321</v>
      </c>
      <c r="H1890" s="78">
        <v>0</v>
      </c>
    </row>
    <row r="1891" spans="6:8" ht="15.5">
      <c r="F1891" s="76">
        <v>307786</v>
      </c>
      <c r="G1891" s="77" t="s">
        <v>2322</v>
      </c>
      <c r="H1891" s="78">
        <v>0</v>
      </c>
    </row>
    <row r="1892" spans="6:8" ht="15.5">
      <c r="F1892" s="76">
        <v>311176</v>
      </c>
      <c r="G1892" s="77" t="s">
        <v>2323</v>
      </c>
      <c r="H1892" s="78">
        <v>0</v>
      </c>
    </row>
    <row r="1893" spans="6:8" ht="15.5">
      <c r="F1893" s="76">
        <v>90033260</v>
      </c>
      <c r="G1893" s="77" t="s">
        <v>2324</v>
      </c>
      <c r="H1893" s="78">
        <v>0</v>
      </c>
    </row>
    <row r="1894" spans="6:8" ht="15.5">
      <c r="F1894" s="76">
        <v>315475</v>
      </c>
      <c r="G1894" s="77" t="s">
        <v>2325</v>
      </c>
      <c r="H1894" s="78">
        <v>0</v>
      </c>
    </row>
    <row r="1895" spans="6:8" ht="15.5">
      <c r="F1895" s="76">
        <v>312374</v>
      </c>
      <c r="G1895" s="77" t="s">
        <v>2326</v>
      </c>
      <c r="H1895" s="78">
        <v>0</v>
      </c>
    </row>
    <row r="1896" spans="6:8" ht="15.5">
      <c r="F1896" s="76">
        <v>90045954</v>
      </c>
      <c r="G1896" s="77" t="s">
        <v>2327</v>
      </c>
      <c r="H1896" s="78">
        <v>0</v>
      </c>
    </row>
    <row r="1897" spans="6:8" ht="15.5">
      <c r="F1897" s="76">
        <v>310680</v>
      </c>
      <c r="G1897" s="77" t="s">
        <v>2328</v>
      </c>
      <c r="H1897" s="78">
        <v>0</v>
      </c>
    </row>
    <row r="1898" spans="6:8" ht="15.5">
      <c r="F1898" s="76">
        <v>315460</v>
      </c>
      <c r="G1898" s="77" t="s">
        <v>2329</v>
      </c>
      <c r="H1898" s="78">
        <v>0</v>
      </c>
    </row>
    <row r="1899" spans="6:8" ht="15.5">
      <c r="F1899" s="76">
        <v>307409</v>
      </c>
      <c r="G1899" s="77" t="s">
        <v>2330</v>
      </c>
      <c r="H1899" s="78">
        <v>0</v>
      </c>
    </row>
    <row r="1900" spans="6:8" ht="15.5">
      <c r="F1900" s="76">
        <v>90049421</v>
      </c>
      <c r="G1900" s="77" t="s">
        <v>2331</v>
      </c>
      <c r="H1900" s="78">
        <v>0</v>
      </c>
    </row>
    <row r="1901" spans="6:8" ht="15.5">
      <c r="F1901" s="76">
        <v>313194</v>
      </c>
      <c r="G1901" s="77" t="s">
        <v>2332</v>
      </c>
      <c r="H1901" s="78">
        <v>0</v>
      </c>
    </row>
    <row r="1902" spans="6:8" ht="15.5">
      <c r="F1902" s="76">
        <v>90040149</v>
      </c>
      <c r="G1902" s="77" t="s">
        <v>2333</v>
      </c>
      <c r="H1902" s="78">
        <v>0</v>
      </c>
    </row>
    <row r="1903" spans="6:8" ht="15.5">
      <c r="F1903" s="76">
        <v>314092</v>
      </c>
      <c r="G1903" s="77" t="s">
        <v>2334</v>
      </c>
      <c r="H1903" s="78">
        <v>0</v>
      </c>
    </row>
    <row r="1904" spans="6:8" ht="15.5">
      <c r="F1904" s="76">
        <v>315574</v>
      </c>
      <c r="G1904" s="77" t="s">
        <v>2335</v>
      </c>
      <c r="H1904" s="78">
        <v>0</v>
      </c>
    </row>
    <row r="1905" spans="6:8" ht="15.5">
      <c r="F1905" s="76">
        <v>314207</v>
      </c>
      <c r="G1905" s="77" t="s">
        <v>2336</v>
      </c>
      <c r="H1905" s="78">
        <v>0</v>
      </c>
    </row>
    <row r="1906" spans="6:8" ht="15.5">
      <c r="F1906" s="76">
        <v>90015630</v>
      </c>
      <c r="G1906" s="77" t="s">
        <v>2337</v>
      </c>
      <c r="H1906" s="78">
        <v>0</v>
      </c>
    </row>
    <row r="1907" spans="6:8" ht="15.5">
      <c r="F1907" s="76">
        <v>314618</v>
      </c>
      <c r="G1907" s="77" t="s">
        <v>2338</v>
      </c>
      <c r="H1907" s="78">
        <v>0</v>
      </c>
    </row>
    <row r="1908" spans="6:8" ht="15.5">
      <c r="F1908" s="76">
        <v>304166</v>
      </c>
      <c r="G1908" s="77" t="s">
        <v>2339</v>
      </c>
      <c r="H1908" s="78">
        <v>0</v>
      </c>
    </row>
    <row r="1909" spans="6:8" ht="15.5">
      <c r="F1909" s="76">
        <v>309285</v>
      </c>
      <c r="G1909" s="77" t="s">
        <v>2340</v>
      </c>
      <c r="H1909" s="78">
        <v>0</v>
      </c>
    </row>
    <row r="1910" spans="6:8" ht="15.5">
      <c r="F1910" s="76">
        <v>314430</v>
      </c>
      <c r="G1910" s="77" t="s">
        <v>2341</v>
      </c>
      <c r="H1910" s="78">
        <v>0</v>
      </c>
    </row>
    <row r="1911" spans="6:8" ht="15.5">
      <c r="F1911" s="76">
        <v>315881</v>
      </c>
      <c r="G1911" s="77" t="s">
        <v>2342</v>
      </c>
      <c r="H1911" s="78">
        <v>0</v>
      </c>
    </row>
    <row r="1912" spans="6:8" ht="15.5">
      <c r="F1912" s="76">
        <v>315042</v>
      </c>
      <c r="G1912" s="77" t="s">
        <v>2343</v>
      </c>
      <c r="H1912" s="78">
        <v>0</v>
      </c>
    </row>
    <row r="1913" spans="6:8" ht="15.5">
      <c r="F1913" s="76">
        <v>314691</v>
      </c>
      <c r="G1913" s="77" t="s">
        <v>2344</v>
      </c>
      <c r="H1913" s="78">
        <v>0</v>
      </c>
    </row>
    <row r="1914" spans="6:8" ht="15.5">
      <c r="F1914" s="76">
        <v>90033665</v>
      </c>
      <c r="G1914" s="77" t="s">
        <v>2345</v>
      </c>
      <c r="H1914" s="78">
        <v>0</v>
      </c>
    </row>
    <row r="1915" spans="6:8" ht="15.5">
      <c r="F1915" s="76">
        <v>314857</v>
      </c>
      <c r="G1915" s="77" t="s">
        <v>2346</v>
      </c>
      <c r="H1915" s="78">
        <v>0</v>
      </c>
    </row>
    <row r="1916" spans="6:8" ht="15.5">
      <c r="F1916" s="76">
        <v>314359</v>
      </c>
      <c r="G1916" s="77" t="s">
        <v>2347</v>
      </c>
      <c r="H1916" s="78">
        <v>0</v>
      </c>
    </row>
    <row r="1917" spans="6:8" ht="15.5">
      <c r="F1917" s="76">
        <v>315320</v>
      </c>
      <c r="G1917" s="77" t="s">
        <v>2348</v>
      </c>
      <c r="H1917" s="78">
        <v>0</v>
      </c>
    </row>
    <row r="1918" spans="6:8" ht="15.5">
      <c r="F1918" s="76">
        <v>90033072</v>
      </c>
      <c r="G1918" s="77" t="s">
        <v>2349</v>
      </c>
      <c r="H1918" s="78">
        <v>0</v>
      </c>
    </row>
    <row r="1919" spans="6:8" ht="15.5">
      <c r="F1919" s="76">
        <v>90039908</v>
      </c>
      <c r="G1919" s="77" t="s">
        <v>2350</v>
      </c>
      <c r="H1919" s="78">
        <v>0</v>
      </c>
    </row>
    <row r="1920" spans="6:8" ht="15.5">
      <c r="F1920" s="76">
        <v>314784</v>
      </c>
      <c r="G1920" s="77" t="s">
        <v>2351</v>
      </c>
      <c r="H1920" s="78">
        <v>0</v>
      </c>
    </row>
    <row r="1921" spans="6:8" ht="15.5">
      <c r="F1921" s="76">
        <v>314747</v>
      </c>
      <c r="G1921" s="77" t="s">
        <v>2352</v>
      </c>
      <c r="H1921" s="78">
        <v>0</v>
      </c>
    </row>
    <row r="1922" spans="6:8" ht="15.5">
      <c r="F1922" s="76">
        <v>307616</v>
      </c>
      <c r="G1922" s="77" t="s">
        <v>2353</v>
      </c>
    </row>
    <row r="1923" spans="6:8" ht="15.5">
      <c r="F1923" s="76">
        <v>304234</v>
      </c>
      <c r="G1923" s="77" t="s">
        <v>2354</v>
      </c>
    </row>
    <row r="1924" spans="6:8" ht="15.5">
      <c r="F1924" s="76">
        <v>314324</v>
      </c>
      <c r="G1924" s="77" t="s">
        <v>2355</v>
      </c>
    </row>
    <row r="1925" spans="6:8" ht="15.5">
      <c r="F1925" s="76">
        <v>313516</v>
      </c>
      <c r="G1925" s="77" t="s">
        <v>2356</v>
      </c>
    </row>
    <row r="1926" spans="6:8" ht="15.5">
      <c r="F1926" s="76">
        <v>313096</v>
      </c>
      <c r="G1926" s="77" t="s">
        <v>2357</v>
      </c>
    </row>
    <row r="1927" spans="6:8" ht="15.5">
      <c r="F1927" s="76">
        <v>90050501</v>
      </c>
      <c r="G1927" s="77" t="s">
        <v>2358</v>
      </c>
    </row>
    <row r="1928" spans="6:8" ht="15.5">
      <c r="F1928" s="76">
        <v>315251</v>
      </c>
      <c r="G1928" s="77" t="s">
        <v>2359</v>
      </c>
    </row>
    <row r="1929" spans="6:8" ht="15.5">
      <c r="F1929" s="76">
        <v>90046771</v>
      </c>
      <c r="G1929" s="77" t="s">
        <v>2360</v>
      </c>
    </row>
    <row r="1930" spans="6:8" ht="15.5">
      <c r="F1930" s="76">
        <v>90013833</v>
      </c>
      <c r="G1930" s="77" t="s">
        <v>2361</v>
      </c>
    </row>
    <row r="1931" spans="6:8" ht="15.5">
      <c r="F1931" s="76">
        <v>313758</v>
      </c>
      <c r="G1931" s="77" t="s">
        <v>2362</v>
      </c>
    </row>
    <row r="1932" spans="6:8" ht="15.5">
      <c r="F1932" s="76">
        <v>309332</v>
      </c>
      <c r="G1932" s="77" t="s">
        <v>2363</v>
      </c>
    </row>
    <row r="1933" spans="6:8" ht="15.5">
      <c r="F1933" s="76">
        <v>315528</v>
      </c>
      <c r="G1933" s="77" t="s">
        <v>2364</v>
      </c>
    </row>
    <row r="1934" spans="6:8" ht="15.5">
      <c r="F1934" s="76">
        <v>309903</v>
      </c>
      <c r="G1934" s="77" t="s">
        <v>2365</v>
      </c>
    </row>
    <row r="1935" spans="6:8" ht="15.5">
      <c r="F1935" s="76">
        <v>90033071</v>
      </c>
      <c r="G1935" s="77" t="s">
        <v>2366</v>
      </c>
    </row>
    <row r="1936" spans="6:8" ht="15.5">
      <c r="F1936" s="76">
        <v>90045956</v>
      </c>
      <c r="G1936" s="77" t="s">
        <v>2367</v>
      </c>
    </row>
    <row r="1937" spans="6:7" ht="15.5">
      <c r="F1937" s="76">
        <v>315178</v>
      </c>
      <c r="G1937" s="77" t="s">
        <v>2368</v>
      </c>
    </row>
    <row r="1938" spans="6:7" ht="15.5">
      <c r="F1938" s="76">
        <v>90040423</v>
      </c>
      <c r="G1938" s="77" t="s">
        <v>2369</v>
      </c>
    </row>
    <row r="1939" spans="6:7" ht="15.5">
      <c r="F1939" s="76">
        <v>316151</v>
      </c>
      <c r="G1939" s="77" t="s">
        <v>2370</v>
      </c>
    </row>
    <row r="1940" spans="6:7" ht="15.5">
      <c r="F1940" s="76">
        <v>301165</v>
      </c>
      <c r="G1940" s="77" t="s">
        <v>2371</v>
      </c>
    </row>
    <row r="1941" spans="6:7" ht="15.5">
      <c r="F1941" s="76">
        <v>314782</v>
      </c>
      <c r="G1941" s="77" t="s">
        <v>2372</v>
      </c>
    </row>
    <row r="1942" spans="6:7" ht="15.5">
      <c r="F1942" s="76">
        <v>314053</v>
      </c>
      <c r="G1942" s="77" t="s">
        <v>2373</v>
      </c>
    </row>
    <row r="1943" spans="6:7" ht="15.5">
      <c r="F1943" s="76">
        <v>90045955</v>
      </c>
      <c r="G1943" s="77" t="s">
        <v>2374</v>
      </c>
    </row>
    <row r="1944" spans="6:7" ht="15.5">
      <c r="F1944" s="76">
        <v>314777</v>
      </c>
      <c r="G1944" s="77" t="s">
        <v>2375</v>
      </c>
    </row>
    <row r="1945" spans="6:7" ht="15.5">
      <c r="F1945" s="76">
        <v>315508</v>
      </c>
      <c r="G1945" s="77" t="s">
        <v>2376</v>
      </c>
    </row>
    <row r="1946" spans="6:7" ht="15.5">
      <c r="F1946" s="76">
        <v>315107</v>
      </c>
      <c r="G1946" s="77" t="s">
        <v>2377</v>
      </c>
    </row>
    <row r="1947" spans="6:7" ht="15.5">
      <c r="F1947" s="76">
        <v>304528</v>
      </c>
      <c r="G1947" s="77" t="s">
        <v>2378</v>
      </c>
    </row>
    <row r="1948" spans="6:7" ht="15.5">
      <c r="F1948" s="76">
        <v>311310</v>
      </c>
      <c r="G1948" s="77" t="s">
        <v>2379</v>
      </c>
    </row>
    <row r="1949" spans="6:7" ht="15.5">
      <c r="F1949" s="76">
        <v>314447</v>
      </c>
      <c r="G1949" s="77" t="s">
        <v>2380</v>
      </c>
    </row>
    <row r="1950" spans="6:7" ht="15.5">
      <c r="F1950" s="76">
        <v>90027821</v>
      </c>
      <c r="G1950" s="77" t="s">
        <v>2381</v>
      </c>
    </row>
    <row r="1951" spans="6:7" ht="15.5">
      <c r="F1951" s="76">
        <v>314610</v>
      </c>
      <c r="G1951" s="77" t="s">
        <v>2382</v>
      </c>
    </row>
    <row r="1952" spans="6:7" ht="15.5">
      <c r="F1952" s="76">
        <v>315172</v>
      </c>
      <c r="G1952" s="77" t="s">
        <v>2383</v>
      </c>
    </row>
    <row r="1953" spans="6:7" ht="15.5">
      <c r="F1953" s="76">
        <v>90045663</v>
      </c>
      <c r="G1953" s="77" t="s">
        <v>2384</v>
      </c>
    </row>
    <row r="1954" spans="6:7" ht="15.5">
      <c r="F1954" s="76">
        <v>90034564</v>
      </c>
      <c r="G1954" s="77" t="s">
        <v>2385</v>
      </c>
    </row>
    <row r="1955" spans="6:7" ht="15.5">
      <c r="F1955" s="76">
        <v>90040570</v>
      </c>
      <c r="G1955" s="77" t="s">
        <v>2386</v>
      </c>
    </row>
    <row r="1956" spans="6:7" ht="15.5">
      <c r="F1956" s="76">
        <v>90021483</v>
      </c>
      <c r="G1956" s="77" t="s">
        <v>2387</v>
      </c>
    </row>
    <row r="1957" spans="6:7" ht="15.5">
      <c r="F1957" s="76">
        <v>315661</v>
      </c>
      <c r="G1957" s="77" t="s">
        <v>2388</v>
      </c>
    </row>
    <row r="1958" spans="6:7" ht="15.5">
      <c r="F1958" s="76">
        <v>302368</v>
      </c>
      <c r="G1958" s="77" t="s">
        <v>2389</v>
      </c>
    </row>
    <row r="1959" spans="6:7" ht="15.5">
      <c r="F1959" s="76">
        <v>307315</v>
      </c>
      <c r="G1959" s="77" t="s">
        <v>2390</v>
      </c>
    </row>
    <row r="1960" spans="6:7" ht="15.5">
      <c r="F1960" s="76">
        <v>313011</v>
      </c>
      <c r="G1960" s="77" t="s">
        <v>2391</v>
      </c>
    </row>
    <row r="1961" spans="6:7" ht="15.5">
      <c r="F1961" s="76">
        <v>314904</v>
      </c>
      <c r="G1961" s="77" t="s">
        <v>2392</v>
      </c>
    </row>
    <row r="1962" spans="6:7" ht="15.5">
      <c r="F1962" s="76">
        <v>90014168</v>
      </c>
      <c r="G1962" s="77" t="s">
        <v>2393</v>
      </c>
    </row>
    <row r="1963" spans="6:7" ht="15.5">
      <c r="F1963" s="76">
        <v>307063</v>
      </c>
      <c r="G1963" s="77" t="s">
        <v>2394</v>
      </c>
    </row>
    <row r="1964" spans="6:7" ht="15.5">
      <c r="F1964" s="76">
        <v>311165</v>
      </c>
      <c r="G1964" s="77" t="s">
        <v>2395</v>
      </c>
    </row>
    <row r="1965" spans="6:7" ht="15.5">
      <c r="F1965" s="76">
        <v>316486</v>
      </c>
      <c r="G1965" s="77" t="s">
        <v>2396</v>
      </c>
    </row>
    <row r="1966" spans="6:7" ht="15.5">
      <c r="F1966" s="76">
        <v>315292</v>
      </c>
      <c r="G1966" s="77" t="s">
        <v>2397</v>
      </c>
    </row>
    <row r="1967" spans="6:7" ht="15.5">
      <c r="F1967" s="76">
        <v>315392</v>
      </c>
      <c r="G1967" s="77" t="s">
        <v>2398</v>
      </c>
    </row>
    <row r="1968" spans="6:7" ht="15.5">
      <c r="F1968" s="76">
        <v>310954</v>
      </c>
      <c r="G1968" s="77" t="s">
        <v>2399</v>
      </c>
    </row>
    <row r="1969" spans="6:7" ht="15.5">
      <c r="F1969" s="76">
        <v>313750</v>
      </c>
      <c r="G1969" s="77" t="s">
        <v>2400</v>
      </c>
    </row>
    <row r="1970" spans="6:7" ht="15.5">
      <c r="F1970" s="76">
        <v>90027838</v>
      </c>
      <c r="G1970" s="77" t="s">
        <v>2401</v>
      </c>
    </row>
    <row r="1971" spans="6:7" ht="15.5">
      <c r="F1971" s="76">
        <v>312482</v>
      </c>
      <c r="G1971" s="77" t="s">
        <v>2402</v>
      </c>
    </row>
    <row r="1972" spans="6:7" ht="15.5">
      <c r="F1972" s="76">
        <v>315346</v>
      </c>
      <c r="G1972" s="77" t="s">
        <v>2403</v>
      </c>
    </row>
    <row r="1973" spans="6:7" ht="15.5">
      <c r="F1973" s="76">
        <v>314330</v>
      </c>
      <c r="G1973" s="77" t="s">
        <v>2404</v>
      </c>
    </row>
    <row r="1974" spans="6:7" ht="15.5">
      <c r="F1974" s="76">
        <v>314985</v>
      </c>
      <c r="G1974" s="77" t="s">
        <v>2405</v>
      </c>
    </row>
    <row r="1975" spans="6:7" ht="15.5">
      <c r="F1975" s="76">
        <v>313823</v>
      </c>
      <c r="G1975" s="77" t="s">
        <v>2406</v>
      </c>
    </row>
    <row r="1976" spans="6:7" ht="15.5">
      <c r="F1976" s="76">
        <v>309503</v>
      </c>
      <c r="G1976" s="77" t="s">
        <v>2407</v>
      </c>
    </row>
    <row r="1977" spans="6:7" ht="15.5">
      <c r="F1977" s="76">
        <v>301826</v>
      </c>
      <c r="G1977" s="77" t="s">
        <v>2408</v>
      </c>
    </row>
    <row r="1978" spans="6:7" ht="15.5">
      <c r="F1978" s="76">
        <v>313864</v>
      </c>
      <c r="G1978" s="77" t="s">
        <v>2409</v>
      </c>
    </row>
    <row r="1979" spans="6:7" ht="15.5">
      <c r="F1979" s="76">
        <v>303878</v>
      </c>
      <c r="G1979" s="77" t="s">
        <v>2410</v>
      </c>
    </row>
    <row r="1980" spans="6:7" ht="15.5">
      <c r="F1980" s="76">
        <v>315189</v>
      </c>
      <c r="G1980" s="77" t="s">
        <v>2411</v>
      </c>
    </row>
    <row r="1981" spans="6:7" ht="15.5">
      <c r="F1981" s="76">
        <v>90016461</v>
      </c>
      <c r="G1981" s="77" t="s">
        <v>2412</v>
      </c>
    </row>
    <row r="1982" spans="6:7" ht="15.5">
      <c r="F1982" s="76">
        <v>314919</v>
      </c>
      <c r="G1982" s="77" t="s">
        <v>2413</v>
      </c>
    </row>
    <row r="1983" spans="6:7" ht="15.5">
      <c r="F1983" s="76">
        <v>313572</v>
      </c>
      <c r="G1983" s="77" t="s">
        <v>2414</v>
      </c>
    </row>
    <row r="1984" spans="6:7" ht="15.5">
      <c r="F1984" s="76">
        <v>312699</v>
      </c>
      <c r="G1984" s="77" t="s">
        <v>2415</v>
      </c>
    </row>
    <row r="1985" spans="6:7" ht="15.5">
      <c r="F1985" s="76">
        <v>310468</v>
      </c>
      <c r="G1985" s="77" t="s">
        <v>2416</v>
      </c>
    </row>
    <row r="1986" spans="6:7" ht="15.5">
      <c r="F1986" s="76">
        <v>313796</v>
      </c>
      <c r="G1986" s="77" t="s">
        <v>2417</v>
      </c>
    </row>
    <row r="1987" spans="6:7" ht="15.5">
      <c r="F1987" s="76">
        <v>313534</v>
      </c>
      <c r="G1987" s="77" t="s">
        <v>2418</v>
      </c>
    </row>
    <row r="1988" spans="6:7" ht="15.5">
      <c r="F1988" s="76">
        <v>313745</v>
      </c>
      <c r="G1988" s="77" t="s">
        <v>2419</v>
      </c>
    </row>
    <row r="1989" spans="6:7" ht="15.5">
      <c r="F1989" s="76">
        <v>315469</v>
      </c>
      <c r="G1989" s="77" t="s">
        <v>2420</v>
      </c>
    </row>
    <row r="1990" spans="6:7" ht="15.5">
      <c r="F1990" s="76">
        <v>314555</v>
      </c>
      <c r="G1990" s="77" t="s">
        <v>2421</v>
      </c>
    </row>
    <row r="1991" spans="6:7" ht="15.5">
      <c r="F1991" s="76">
        <v>90028187</v>
      </c>
      <c r="G1991" s="77" t="s">
        <v>2422</v>
      </c>
    </row>
    <row r="1992" spans="6:7" ht="15.5">
      <c r="F1992" s="76">
        <v>301347</v>
      </c>
      <c r="G1992" s="77" t="s">
        <v>2423</v>
      </c>
    </row>
    <row r="1993" spans="6:7" ht="15.5">
      <c r="F1993" s="76">
        <v>313439</v>
      </c>
      <c r="G1993" s="77" t="s">
        <v>2424</v>
      </c>
    </row>
    <row r="1994" spans="6:7" ht="15.5">
      <c r="F1994" s="76">
        <v>315093</v>
      </c>
      <c r="G1994" s="77" t="s">
        <v>2425</v>
      </c>
    </row>
    <row r="1995" spans="6:7" ht="15.5">
      <c r="F1995" s="76">
        <v>307748</v>
      </c>
      <c r="G1995" s="77" t="s">
        <v>2426</v>
      </c>
    </row>
    <row r="1996" spans="6:7" ht="15.5">
      <c r="F1996" s="76">
        <v>307005</v>
      </c>
      <c r="G1996" s="77" t="s">
        <v>2427</v>
      </c>
    </row>
    <row r="1997" spans="6:7" ht="15.5">
      <c r="F1997" s="76">
        <v>312288</v>
      </c>
      <c r="G1997" s="77" t="s">
        <v>2428</v>
      </c>
    </row>
    <row r="1998" spans="6:7" ht="15.5">
      <c r="F1998" s="76">
        <v>313772</v>
      </c>
      <c r="G1998" s="77" t="s">
        <v>2429</v>
      </c>
    </row>
    <row r="1999" spans="6:7" ht="15.5">
      <c r="F1999" s="76">
        <v>90048458</v>
      </c>
      <c r="G1999" s="77" t="s">
        <v>2430</v>
      </c>
    </row>
    <row r="2000" spans="6:7" ht="15.5">
      <c r="F2000" s="76">
        <v>306649</v>
      </c>
      <c r="G2000" s="77" t="s">
        <v>2431</v>
      </c>
    </row>
    <row r="2001" spans="6:7" ht="15.5">
      <c r="F2001" s="76">
        <v>201909</v>
      </c>
      <c r="G2001" s="77" t="s">
        <v>2432</v>
      </c>
    </row>
    <row r="2002" spans="6:7" ht="15.5">
      <c r="F2002" s="76">
        <v>314023</v>
      </c>
      <c r="G2002" s="77" t="s">
        <v>2433</v>
      </c>
    </row>
    <row r="2003" spans="6:7" ht="15.5">
      <c r="F2003" s="76">
        <v>315506</v>
      </c>
      <c r="G2003" s="77" t="s">
        <v>2434</v>
      </c>
    </row>
    <row r="2004" spans="6:7" ht="15.5">
      <c r="F2004" s="76">
        <v>314227</v>
      </c>
      <c r="G2004" s="77" t="s">
        <v>2435</v>
      </c>
    </row>
    <row r="2005" spans="6:7" ht="15.5">
      <c r="F2005" s="76">
        <v>313541</v>
      </c>
      <c r="G2005" s="77" t="s">
        <v>2436</v>
      </c>
    </row>
    <row r="2006" spans="6:7" ht="15.5">
      <c r="F2006" s="76">
        <v>90046229</v>
      </c>
      <c r="G2006" s="77" t="s">
        <v>2437</v>
      </c>
    </row>
    <row r="2007" spans="6:7" ht="15.5">
      <c r="F2007" s="76">
        <v>101866</v>
      </c>
      <c r="G2007" s="77" t="s">
        <v>2438</v>
      </c>
    </row>
    <row r="2008" spans="6:7" ht="15.5">
      <c r="F2008" s="76">
        <v>310687</v>
      </c>
      <c r="G2008" s="77" t="s">
        <v>2439</v>
      </c>
    </row>
    <row r="2009" spans="6:7" ht="15.5">
      <c r="F2009" s="76">
        <v>313842</v>
      </c>
      <c r="G2009" s="77" t="s">
        <v>2440</v>
      </c>
    </row>
    <row r="2010" spans="6:7" ht="15.5">
      <c r="F2010" s="76">
        <v>90040813</v>
      </c>
      <c r="G2010" s="77" t="s">
        <v>2441</v>
      </c>
    </row>
    <row r="2011" spans="6:7" ht="15.5">
      <c r="F2011" s="76">
        <v>313441</v>
      </c>
      <c r="G2011" s="77" t="s">
        <v>2442</v>
      </c>
    </row>
    <row r="2012" spans="6:7" ht="15.5">
      <c r="F2012" s="76">
        <v>90041207</v>
      </c>
      <c r="G2012" s="77" t="s">
        <v>2443</v>
      </c>
    </row>
    <row r="2013" spans="6:7" ht="15.5">
      <c r="F2013" s="76">
        <v>90025237</v>
      </c>
      <c r="G2013" s="77" t="s">
        <v>2444</v>
      </c>
    </row>
    <row r="2014" spans="6:7" ht="15.5">
      <c r="F2014" s="76">
        <v>90013719</v>
      </c>
      <c r="G2014" s="77" t="s">
        <v>2445</v>
      </c>
    </row>
    <row r="2015" spans="6:7" ht="15.5">
      <c r="F2015" s="76">
        <v>300268</v>
      </c>
      <c r="G2015" s="77" t="s">
        <v>2446</v>
      </c>
    </row>
    <row r="2016" spans="6:7" ht="15.5">
      <c r="F2016" s="76">
        <v>313480</v>
      </c>
      <c r="G2016" s="77" t="s">
        <v>2447</v>
      </c>
    </row>
    <row r="2017" spans="6:7" ht="15.5">
      <c r="F2017" s="76">
        <v>313674</v>
      </c>
      <c r="G2017" s="77" t="s">
        <v>2448</v>
      </c>
    </row>
    <row r="2018" spans="6:7" ht="15.5">
      <c r="F2018" s="76">
        <v>301552</v>
      </c>
      <c r="G2018" s="77" t="s">
        <v>2449</v>
      </c>
    </row>
    <row r="2019" spans="6:7" ht="15.5">
      <c r="F2019" s="76">
        <v>307706</v>
      </c>
      <c r="G2019" s="77" t="s">
        <v>2450</v>
      </c>
    </row>
    <row r="2020" spans="6:7" ht="15.5">
      <c r="F2020" s="76">
        <v>90019660</v>
      </c>
      <c r="G2020" s="77" t="s">
        <v>2451</v>
      </c>
    </row>
    <row r="2021" spans="6:7" ht="15.5">
      <c r="F2021" s="76">
        <v>314918</v>
      </c>
      <c r="G2021" s="77" t="s">
        <v>2452</v>
      </c>
    </row>
    <row r="2022" spans="6:7" ht="15.5">
      <c r="F2022" s="76">
        <v>308910</v>
      </c>
      <c r="G2022" s="77" t="s">
        <v>2453</v>
      </c>
    </row>
    <row r="2023" spans="6:7" ht="15.5">
      <c r="F2023" s="76">
        <v>302232</v>
      </c>
      <c r="G2023" s="77" t="s">
        <v>2454</v>
      </c>
    </row>
    <row r="2024" spans="6:7" ht="15.5">
      <c r="F2024" s="76">
        <v>311945</v>
      </c>
      <c r="G2024" s="77" t="s">
        <v>2455</v>
      </c>
    </row>
    <row r="2025" spans="6:7" ht="15.5">
      <c r="F2025" s="76">
        <v>315559</v>
      </c>
      <c r="G2025" s="77" t="s">
        <v>2456</v>
      </c>
    </row>
    <row r="2026" spans="6:7" ht="15.5">
      <c r="F2026" s="76">
        <v>313346</v>
      </c>
      <c r="G2026" s="77" t="s">
        <v>2457</v>
      </c>
    </row>
    <row r="2027" spans="6:7" ht="15.5">
      <c r="F2027" s="76">
        <v>90040130</v>
      </c>
      <c r="G2027" s="77" t="s">
        <v>2458</v>
      </c>
    </row>
    <row r="2028" spans="6:7" ht="15.5">
      <c r="F2028" s="76">
        <v>314616</v>
      </c>
      <c r="G2028" s="77" t="s">
        <v>2459</v>
      </c>
    </row>
    <row r="2029" spans="6:7" ht="15.5">
      <c r="F2029" s="76">
        <v>90034811</v>
      </c>
      <c r="G2029" s="77" t="s">
        <v>2460</v>
      </c>
    </row>
    <row r="2030" spans="6:7" ht="15.5">
      <c r="F2030" s="76">
        <v>314653</v>
      </c>
      <c r="G2030" s="77" t="s">
        <v>2461</v>
      </c>
    </row>
    <row r="2031" spans="6:7" ht="15.5">
      <c r="F2031" s="76">
        <v>311311</v>
      </c>
      <c r="G2031" s="77" t="s">
        <v>2462</v>
      </c>
    </row>
    <row r="2032" spans="6:7" ht="15.5">
      <c r="F2032" s="76">
        <v>315438</v>
      </c>
      <c r="G2032" s="77" t="s">
        <v>2463</v>
      </c>
    </row>
    <row r="2033" spans="6:7" ht="15.5">
      <c r="F2033" s="76">
        <v>315500</v>
      </c>
      <c r="G2033" s="77" t="s">
        <v>2464</v>
      </c>
    </row>
    <row r="2034" spans="6:7" ht="15.5">
      <c r="F2034" s="76">
        <v>315452</v>
      </c>
      <c r="G2034" s="77" t="s">
        <v>2465</v>
      </c>
    </row>
    <row r="2035" spans="6:7" ht="15.5">
      <c r="F2035" s="76">
        <v>90033871</v>
      </c>
      <c r="G2035" s="77" t="s">
        <v>2466</v>
      </c>
    </row>
    <row r="2036" spans="6:7" ht="15.5">
      <c r="F2036" s="76">
        <v>90025617</v>
      </c>
      <c r="G2036" s="77" t="s">
        <v>2467</v>
      </c>
    </row>
    <row r="2037" spans="6:7" ht="15.5">
      <c r="F2037" s="76">
        <v>313111</v>
      </c>
      <c r="G2037" s="77" t="s">
        <v>2468</v>
      </c>
    </row>
    <row r="2038" spans="6:7" ht="15.5">
      <c r="F2038" s="76">
        <v>90040484</v>
      </c>
      <c r="G2038" s="77" t="s">
        <v>2469</v>
      </c>
    </row>
    <row r="2039" spans="6:7" ht="15.5">
      <c r="F2039" s="76">
        <v>313427</v>
      </c>
      <c r="G2039" s="77" t="s">
        <v>2470</v>
      </c>
    </row>
    <row r="2040" spans="6:7" ht="15.5">
      <c r="F2040" s="76">
        <v>201518</v>
      </c>
      <c r="G2040" s="77" t="s">
        <v>2471</v>
      </c>
    </row>
    <row r="2041" spans="6:7" ht="15.5">
      <c r="F2041" s="76">
        <v>315266</v>
      </c>
      <c r="G2041" s="77" t="s">
        <v>2472</v>
      </c>
    </row>
    <row r="2042" spans="6:7" ht="15.5">
      <c r="F2042" s="76">
        <v>309793</v>
      </c>
      <c r="G2042" s="77" t="s">
        <v>2473</v>
      </c>
    </row>
    <row r="2043" spans="6:7" ht="15.5">
      <c r="F2043" s="76">
        <v>300893</v>
      </c>
      <c r="G2043" s="77" t="s">
        <v>2474</v>
      </c>
    </row>
    <row r="2044" spans="6:7" ht="15.5">
      <c r="F2044" s="76">
        <v>314223</v>
      </c>
      <c r="G2044" s="77" t="s">
        <v>2475</v>
      </c>
    </row>
    <row r="2045" spans="6:7" ht="15.5">
      <c r="F2045" s="76">
        <v>314959</v>
      </c>
      <c r="G2045" s="77" t="s">
        <v>2476</v>
      </c>
    </row>
    <row r="2046" spans="6:7" ht="15.5">
      <c r="F2046" s="76">
        <v>302592</v>
      </c>
      <c r="G2046" s="77" t="s">
        <v>2477</v>
      </c>
    </row>
    <row r="2047" spans="6:7" ht="15.5">
      <c r="F2047" s="76">
        <v>301700</v>
      </c>
      <c r="G2047" s="77" t="s">
        <v>2478</v>
      </c>
    </row>
    <row r="2048" spans="6:7" ht="15.5">
      <c r="F2048" s="76">
        <v>90049609</v>
      </c>
      <c r="G2048" s="77" t="s">
        <v>2479</v>
      </c>
    </row>
    <row r="2049" spans="6:7" ht="15.5">
      <c r="F2049" s="76">
        <v>312111</v>
      </c>
      <c r="G2049" s="77" t="s">
        <v>2480</v>
      </c>
    </row>
    <row r="2050" spans="6:7" ht="15.5">
      <c r="F2050" s="76">
        <v>314547</v>
      </c>
      <c r="G2050" s="77" t="s">
        <v>2481</v>
      </c>
    </row>
    <row r="2051" spans="6:7" ht="15.5">
      <c r="F2051" s="76">
        <v>314656</v>
      </c>
      <c r="G2051" s="77" t="s">
        <v>2482</v>
      </c>
    </row>
    <row r="2052" spans="6:7" ht="15.5">
      <c r="F2052" s="76">
        <v>90040299</v>
      </c>
      <c r="G2052" s="77" t="s">
        <v>2483</v>
      </c>
    </row>
    <row r="2053" spans="6:7" ht="15.5">
      <c r="F2053" s="76">
        <v>90040335</v>
      </c>
      <c r="G2053" s="77" t="s">
        <v>2484</v>
      </c>
    </row>
    <row r="2054" spans="6:7" ht="15.5">
      <c r="F2054" s="76">
        <v>303538</v>
      </c>
      <c r="G2054" s="77" t="s">
        <v>2485</v>
      </c>
    </row>
    <row r="2055" spans="6:7" ht="15.5">
      <c r="F2055" s="76">
        <v>314843</v>
      </c>
      <c r="G2055" s="77" t="s">
        <v>2486</v>
      </c>
    </row>
    <row r="2056" spans="6:7" ht="15.5">
      <c r="F2056" s="76">
        <v>305223</v>
      </c>
      <c r="G2056" s="77" t="s">
        <v>2487</v>
      </c>
    </row>
    <row r="2057" spans="6:7" ht="15.5">
      <c r="F2057" s="76">
        <v>90025664</v>
      </c>
      <c r="G2057" s="77" t="s">
        <v>2488</v>
      </c>
    </row>
    <row r="2058" spans="6:7" ht="15.5">
      <c r="F2058" s="76">
        <v>311423</v>
      </c>
      <c r="G2058" s="77" t="s">
        <v>2489</v>
      </c>
    </row>
    <row r="2059" spans="6:7" ht="15.5">
      <c r="F2059" s="76">
        <v>310510</v>
      </c>
      <c r="G2059" s="77" t="s">
        <v>2490</v>
      </c>
    </row>
    <row r="2060" spans="6:7" ht="15.5">
      <c r="F2060" s="76">
        <v>312474</v>
      </c>
      <c r="G2060" s="77" t="s">
        <v>2491</v>
      </c>
    </row>
    <row r="2061" spans="6:7" ht="15.5">
      <c r="F2061" s="76">
        <v>315157</v>
      </c>
      <c r="G2061" s="77" t="s">
        <v>2492</v>
      </c>
    </row>
    <row r="2062" spans="6:7" ht="15.5">
      <c r="F2062" s="76">
        <v>312587</v>
      </c>
      <c r="G2062" s="77" t="s">
        <v>2493</v>
      </c>
    </row>
    <row r="2063" spans="6:7" ht="15.5">
      <c r="F2063" s="76">
        <v>314745</v>
      </c>
      <c r="G2063" s="77" t="s">
        <v>2494</v>
      </c>
    </row>
    <row r="2064" spans="6:7" ht="15.5">
      <c r="F2064" s="76">
        <v>309809</v>
      </c>
      <c r="G2064" s="77" t="s">
        <v>2495</v>
      </c>
    </row>
    <row r="2065" spans="6:7" ht="15.5">
      <c r="F2065" s="76">
        <v>311261</v>
      </c>
      <c r="G2065" s="77" t="s">
        <v>2496</v>
      </c>
    </row>
    <row r="2066" spans="6:7" ht="15.5">
      <c r="F2066" s="76">
        <v>315450</v>
      </c>
      <c r="G2066" s="77" t="s">
        <v>2497</v>
      </c>
    </row>
    <row r="2067" spans="6:7" ht="15.5">
      <c r="F2067" s="76">
        <v>312545</v>
      </c>
      <c r="G2067" s="77" t="s">
        <v>2498</v>
      </c>
    </row>
    <row r="2068" spans="6:7" ht="15.5">
      <c r="F2068" s="76">
        <v>90016528</v>
      </c>
      <c r="G2068" s="77" t="s">
        <v>2499</v>
      </c>
    </row>
    <row r="2069" spans="6:7" ht="15.5">
      <c r="F2069" s="76">
        <v>314192</v>
      </c>
      <c r="G2069" s="77" t="s">
        <v>2500</v>
      </c>
    </row>
    <row r="2070" spans="6:7" ht="15.5">
      <c r="F2070" s="76">
        <v>314024</v>
      </c>
      <c r="G2070" s="77" t="s">
        <v>2501</v>
      </c>
    </row>
    <row r="2071" spans="6:7" ht="15.5">
      <c r="F2071" s="76">
        <v>314913</v>
      </c>
      <c r="G2071" s="77" t="s">
        <v>2502</v>
      </c>
    </row>
    <row r="2072" spans="6:7" ht="15.5">
      <c r="F2072" s="76">
        <v>314631</v>
      </c>
      <c r="G2072" s="77" t="s">
        <v>2503</v>
      </c>
    </row>
    <row r="2073" spans="6:7" ht="15.5">
      <c r="F2073" s="76">
        <v>309216</v>
      </c>
      <c r="G2073" s="77" t="s">
        <v>2504</v>
      </c>
    </row>
    <row r="2074" spans="6:7" ht="15.5">
      <c r="F2074" s="76">
        <v>313499</v>
      </c>
      <c r="G2074" s="77" t="s">
        <v>2505</v>
      </c>
    </row>
    <row r="2075" spans="6:7" ht="15.5">
      <c r="F2075" s="76">
        <v>312176</v>
      </c>
      <c r="G2075" s="77" t="s">
        <v>2506</v>
      </c>
    </row>
    <row r="2076" spans="6:7" ht="15.5">
      <c r="F2076" s="76">
        <v>309178</v>
      </c>
      <c r="G2076" s="77" t="s">
        <v>2507</v>
      </c>
    </row>
    <row r="2077" spans="6:7" ht="15.5">
      <c r="F2077" s="76">
        <v>313878</v>
      </c>
      <c r="G2077" s="77" t="s">
        <v>2508</v>
      </c>
    </row>
    <row r="2078" spans="6:7" ht="15.5">
      <c r="F2078" s="76">
        <v>90038979</v>
      </c>
      <c r="G2078" s="77" t="s">
        <v>2509</v>
      </c>
    </row>
    <row r="2079" spans="6:7" ht="15.5">
      <c r="F2079" s="76">
        <v>90032910</v>
      </c>
      <c r="G2079" s="77" t="s">
        <v>2510</v>
      </c>
    </row>
    <row r="2080" spans="6:7" ht="15.5">
      <c r="F2080" s="76">
        <v>305532</v>
      </c>
      <c r="G2080" s="77" t="s">
        <v>2511</v>
      </c>
    </row>
    <row r="2081" spans="6:7" ht="15.5">
      <c r="F2081" s="76">
        <v>90039021</v>
      </c>
      <c r="G2081" s="77" t="s">
        <v>2512</v>
      </c>
    </row>
    <row r="2082" spans="6:7" ht="15.5">
      <c r="F2082" s="76">
        <v>312763</v>
      </c>
      <c r="G2082" s="77" t="s">
        <v>2513</v>
      </c>
    </row>
    <row r="2083" spans="6:7" ht="15.5">
      <c r="F2083" s="76">
        <v>315413</v>
      </c>
      <c r="G2083" s="77" t="s">
        <v>2514</v>
      </c>
    </row>
    <row r="2084" spans="6:7" ht="15.5">
      <c r="F2084" s="76">
        <v>310907</v>
      </c>
      <c r="G2084" s="77" t="s">
        <v>2515</v>
      </c>
    </row>
    <row r="2085" spans="6:7" ht="15.5">
      <c r="F2085" s="76">
        <v>314818</v>
      </c>
      <c r="G2085" s="77" t="s">
        <v>2516</v>
      </c>
    </row>
    <row r="2086" spans="6:7" ht="15.5">
      <c r="F2086" s="76">
        <v>301486</v>
      </c>
      <c r="G2086" s="77" t="s">
        <v>2517</v>
      </c>
    </row>
    <row r="2087" spans="6:7" ht="15.5">
      <c r="F2087" s="76">
        <v>90009244</v>
      </c>
      <c r="G2087" s="77" t="s">
        <v>2518</v>
      </c>
    </row>
    <row r="2088" spans="6:7" ht="15.5">
      <c r="F2088" s="76">
        <v>306850</v>
      </c>
      <c r="G2088" s="77" t="s">
        <v>2519</v>
      </c>
    </row>
    <row r="2089" spans="6:7" ht="15.5">
      <c r="F2089" s="76">
        <v>315905</v>
      </c>
      <c r="G2089" s="77" t="s">
        <v>2520</v>
      </c>
    </row>
    <row r="2090" spans="6:7" ht="15.5">
      <c r="F2090" s="76">
        <v>311624</v>
      </c>
      <c r="G2090" s="77" t="s">
        <v>2521</v>
      </c>
    </row>
    <row r="2091" spans="6:7" ht="15.5">
      <c r="F2091" s="76">
        <v>315319</v>
      </c>
      <c r="G2091" s="77" t="s">
        <v>2522</v>
      </c>
    </row>
    <row r="2092" spans="6:7" ht="15.5">
      <c r="F2092" s="76">
        <v>309912</v>
      </c>
      <c r="G2092" s="77" t="s">
        <v>2523</v>
      </c>
    </row>
    <row r="2093" spans="6:7" ht="15.5">
      <c r="F2093" s="76">
        <v>90046374</v>
      </c>
      <c r="G2093" s="77" t="s">
        <v>2524</v>
      </c>
    </row>
    <row r="2094" spans="6:7" ht="15.5">
      <c r="F2094" s="76">
        <v>102045</v>
      </c>
      <c r="G2094" s="77" t="s">
        <v>2525</v>
      </c>
    </row>
    <row r="2095" spans="6:7" ht="15.5">
      <c r="F2095" s="76">
        <v>310375</v>
      </c>
      <c r="G2095" s="77" t="s">
        <v>2526</v>
      </c>
    </row>
    <row r="2096" spans="6:7" ht="15.5">
      <c r="F2096" s="76">
        <v>313429</v>
      </c>
      <c r="G2096" s="77" t="s">
        <v>2527</v>
      </c>
    </row>
    <row r="2097" spans="6:7" ht="15.5">
      <c r="F2097" s="76">
        <v>303394</v>
      </c>
      <c r="G2097" s="77" t="s">
        <v>2528</v>
      </c>
    </row>
    <row r="2098" spans="6:7" ht="15.5">
      <c r="F2098" s="76">
        <v>314791</v>
      </c>
      <c r="G2098" s="77" t="s">
        <v>2529</v>
      </c>
    </row>
    <row r="2099" spans="6:7" ht="15.5">
      <c r="F2099" s="76">
        <v>90013720</v>
      </c>
      <c r="G2099" s="77" t="s">
        <v>2530</v>
      </c>
    </row>
    <row r="2100" spans="6:7" ht="15.5">
      <c r="F2100" s="76">
        <v>309744</v>
      </c>
      <c r="G2100" s="77" t="s">
        <v>2531</v>
      </c>
    </row>
    <row r="2101" spans="6:7" ht="15.5">
      <c r="F2101" s="76">
        <v>90048443</v>
      </c>
      <c r="G2101" s="77" t="s">
        <v>2532</v>
      </c>
    </row>
    <row r="2102" spans="6:7" ht="15.5">
      <c r="F2102" s="76">
        <v>315554</v>
      </c>
      <c r="G2102" s="77" t="s">
        <v>2533</v>
      </c>
    </row>
    <row r="2103" spans="6:7" ht="15.5">
      <c r="F2103" s="76">
        <v>90023811</v>
      </c>
      <c r="G2103" s="77" t="s">
        <v>2534</v>
      </c>
    </row>
    <row r="2104" spans="6:7" ht="15.5">
      <c r="F2104" s="76">
        <v>315037</v>
      </c>
      <c r="G2104" s="77" t="s">
        <v>2535</v>
      </c>
    </row>
    <row r="2105" spans="6:7" ht="15.5">
      <c r="F2105" s="76">
        <v>307511</v>
      </c>
      <c r="G2105" s="77" t="s">
        <v>2536</v>
      </c>
    </row>
    <row r="2106" spans="6:7" ht="15.5">
      <c r="F2106" s="76">
        <v>90027919</v>
      </c>
      <c r="G2106" s="77" t="s">
        <v>2537</v>
      </c>
    </row>
    <row r="2107" spans="6:7" ht="15.5">
      <c r="F2107" s="76">
        <v>310763</v>
      </c>
      <c r="G2107" s="77" t="s">
        <v>2538</v>
      </c>
    </row>
    <row r="2108" spans="6:7" ht="15.5">
      <c r="F2108" s="76">
        <v>309989</v>
      </c>
      <c r="G2108" s="77" t="s">
        <v>2539</v>
      </c>
    </row>
    <row r="2109" spans="6:7" ht="15.5">
      <c r="F2109" s="76">
        <v>314370</v>
      </c>
      <c r="G2109" s="77" t="s">
        <v>2540</v>
      </c>
    </row>
    <row r="2110" spans="6:7" ht="15.5">
      <c r="F2110" s="76">
        <v>315281</v>
      </c>
      <c r="G2110" s="77" t="s">
        <v>2541</v>
      </c>
    </row>
    <row r="2111" spans="6:7" ht="15.5">
      <c r="F2111" s="76">
        <v>90012222</v>
      </c>
      <c r="G2111" s="77" t="s">
        <v>2542</v>
      </c>
    </row>
    <row r="2112" spans="6:7" ht="15.5">
      <c r="F2112" s="76">
        <v>312972</v>
      </c>
      <c r="G2112" s="77" t="s">
        <v>2543</v>
      </c>
    </row>
    <row r="2113" spans="6:7" ht="15.5">
      <c r="F2113" s="76">
        <v>302263</v>
      </c>
      <c r="G2113" s="77" t="s">
        <v>2544</v>
      </c>
    </row>
    <row r="2114" spans="6:7" ht="15.5">
      <c r="F2114" s="76">
        <v>90024122</v>
      </c>
      <c r="G2114" s="77" t="s">
        <v>2545</v>
      </c>
    </row>
    <row r="2115" spans="6:7" ht="15.5">
      <c r="F2115" s="76">
        <v>313289</v>
      </c>
      <c r="G2115" s="77" t="s">
        <v>2546</v>
      </c>
    </row>
    <row r="2116" spans="6:7" ht="15.5">
      <c r="F2116" s="76">
        <v>315564</v>
      </c>
      <c r="G2116" s="77" t="s">
        <v>2547</v>
      </c>
    </row>
    <row r="2117" spans="6:7" ht="15.5">
      <c r="F2117" s="76">
        <v>311341</v>
      </c>
      <c r="G2117" s="77" t="s">
        <v>2548</v>
      </c>
    </row>
    <row r="2118" spans="6:7" ht="15.5">
      <c r="F2118" s="76">
        <v>308263</v>
      </c>
      <c r="G2118" s="77" t="s">
        <v>2549</v>
      </c>
    </row>
    <row r="2119" spans="6:7" ht="15.5">
      <c r="F2119" s="76">
        <v>314104</v>
      </c>
      <c r="G2119" s="77" t="s">
        <v>2550</v>
      </c>
    </row>
    <row r="2120" spans="6:7" ht="15.5">
      <c r="F2120" s="76">
        <v>314270</v>
      </c>
      <c r="G2120" s="77" t="s">
        <v>2551</v>
      </c>
    </row>
    <row r="2121" spans="6:7" ht="15.5">
      <c r="F2121" s="76">
        <v>315507</v>
      </c>
      <c r="G2121" s="77" t="s">
        <v>2552</v>
      </c>
    </row>
    <row r="2122" spans="6:7" ht="15.5">
      <c r="F2122" s="76">
        <v>314914</v>
      </c>
      <c r="G2122" s="77" t="s">
        <v>2553</v>
      </c>
    </row>
    <row r="2123" spans="6:7" ht="15.5">
      <c r="F2123" s="76">
        <v>90039840</v>
      </c>
      <c r="G2123" s="77" t="s">
        <v>2554</v>
      </c>
    </row>
    <row r="2124" spans="6:7" ht="15.5">
      <c r="F2124" s="76">
        <v>308805</v>
      </c>
      <c r="G2124" s="77" t="s">
        <v>2555</v>
      </c>
    </row>
    <row r="2125" spans="6:7" ht="15.5">
      <c r="F2125" s="76">
        <v>314693</v>
      </c>
      <c r="G2125" s="77" t="s">
        <v>2556</v>
      </c>
    </row>
    <row r="2126" spans="6:7" ht="15.5">
      <c r="F2126" s="76">
        <v>312476</v>
      </c>
      <c r="G2126" s="77" t="s">
        <v>2557</v>
      </c>
    </row>
    <row r="2127" spans="6:7" ht="15.5">
      <c r="F2127" s="76">
        <v>308137</v>
      </c>
      <c r="G2127" s="77" t="s">
        <v>2558</v>
      </c>
    </row>
    <row r="2128" spans="6:7" ht="15.5">
      <c r="F2128" s="76">
        <v>315115</v>
      </c>
      <c r="G2128" s="77" t="s">
        <v>2559</v>
      </c>
    </row>
    <row r="2129" spans="6:7" ht="15.5">
      <c r="F2129" s="76">
        <v>312448</v>
      </c>
      <c r="G2129" s="77" t="s">
        <v>2560</v>
      </c>
    </row>
    <row r="2130" spans="6:7" ht="15.5">
      <c r="F2130" s="76">
        <v>90034561</v>
      </c>
      <c r="G2130" s="77" t="s">
        <v>2561</v>
      </c>
    </row>
    <row r="2131" spans="6:7" ht="15.5">
      <c r="F2131" s="76">
        <v>90034140</v>
      </c>
      <c r="G2131" s="77" t="s">
        <v>2562</v>
      </c>
    </row>
    <row r="2132" spans="6:7" ht="15.5">
      <c r="F2132" s="76">
        <v>310031</v>
      </c>
      <c r="G2132" s="77" t="s">
        <v>2563</v>
      </c>
    </row>
    <row r="2133" spans="6:7" ht="15.5">
      <c r="F2133" s="76">
        <v>307209</v>
      </c>
      <c r="G2133" s="77" t="s">
        <v>2564</v>
      </c>
    </row>
    <row r="2134" spans="6:7" ht="15.5">
      <c r="F2134" s="76">
        <v>309656</v>
      </c>
      <c r="G2134" s="77" t="s">
        <v>2565</v>
      </c>
    </row>
    <row r="2135" spans="6:7" ht="15.5">
      <c r="F2135" s="76">
        <v>309658</v>
      </c>
      <c r="G2135" s="77" t="s">
        <v>2566</v>
      </c>
    </row>
    <row r="2136" spans="6:7" ht="15.5">
      <c r="F2136" s="76">
        <v>312335</v>
      </c>
      <c r="G2136" s="77" t="s">
        <v>2567</v>
      </c>
    </row>
    <row r="2137" spans="6:7" ht="15.5">
      <c r="F2137" s="76">
        <v>314894</v>
      </c>
      <c r="G2137" s="77" t="s">
        <v>2568</v>
      </c>
    </row>
    <row r="2138" spans="6:7" ht="15.5">
      <c r="F2138" s="76">
        <v>315122</v>
      </c>
      <c r="G2138" s="77" t="s">
        <v>2569</v>
      </c>
    </row>
    <row r="2139" spans="6:7" ht="15.5">
      <c r="F2139" s="76">
        <v>90023695</v>
      </c>
      <c r="G2139" s="77" t="s">
        <v>2570</v>
      </c>
    </row>
    <row r="2140" spans="6:7" ht="15.5">
      <c r="F2140" s="76">
        <v>90024507</v>
      </c>
      <c r="G2140" s="77" t="s">
        <v>2571</v>
      </c>
    </row>
    <row r="2141" spans="6:7" ht="15.5">
      <c r="F2141" s="76">
        <v>313636</v>
      </c>
      <c r="G2141" s="77" t="s">
        <v>2572</v>
      </c>
    </row>
    <row r="2142" spans="6:7" ht="15.5">
      <c r="F2142" s="76">
        <v>316211</v>
      </c>
      <c r="G2142" s="77" t="s">
        <v>2573</v>
      </c>
    </row>
    <row r="2143" spans="6:7" ht="15.5">
      <c r="F2143" s="76">
        <v>90039124</v>
      </c>
      <c r="G2143" s="77" t="s">
        <v>2574</v>
      </c>
    </row>
    <row r="2144" spans="6:7" ht="15.5">
      <c r="F2144" s="76">
        <v>90019702</v>
      </c>
      <c r="G2144" s="77" t="s">
        <v>2575</v>
      </c>
    </row>
    <row r="2145" spans="6:7" ht="15.5">
      <c r="F2145" s="76">
        <v>314010</v>
      </c>
      <c r="G2145" s="77" t="s">
        <v>2576</v>
      </c>
    </row>
    <row r="2146" spans="6:7" ht="15.5">
      <c r="F2146" s="76">
        <v>90035128</v>
      </c>
      <c r="G2146" s="77" t="s">
        <v>2577</v>
      </c>
    </row>
    <row r="2147" spans="6:7" ht="15.5">
      <c r="F2147" s="76">
        <v>90034447</v>
      </c>
      <c r="G2147" s="77" t="s">
        <v>2578</v>
      </c>
    </row>
    <row r="2148" spans="6:7" ht="15.5">
      <c r="F2148" s="76">
        <v>313530</v>
      </c>
      <c r="G2148" s="77" t="s">
        <v>2579</v>
      </c>
    </row>
    <row r="2149" spans="6:7" ht="15.5">
      <c r="F2149" s="76">
        <v>90033849</v>
      </c>
      <c r="G2149" s="77" t="s">
        <v>2580</v>
      </c>
    </row>
    <row r="2150" spans="6:7" ht="15.5">
      <c r="F2150" s="76">
        <v>311880</v>
      </c>
      <c r="G2150" s="77" t="s">
        <v>2581</v>
      </c>
    </row>
    <row r="2151" spans="6:7" ht="15.5">
      <c r="F2151" s="76">
        <v>307373</v>
      </c>
      <c r="G2151" s="77" t="s">
        <v>2582</v>
      </c>
    </row>
    <row r="2152" spans="6:7" ht="15.5">
      <c r="F2152" s="76">
        <v>90019035</v>
      </c>
      <c r="G2152" s="77" t="s">
        <v>2583</v>
      </c>
    </row>
    <row r="2153" spans="6:7" ht="15.5">
      <c r="F2153" s="76">
        <v>314884</v>
      </c>
      <c r="G2153" s="77" t="s">
        <v>2584</v>
      </c>
    </row>
    <row r="2154" spans="6:7" ht="15.5">
      <c r="F2154" s="76">
        <v>90029069</v>
      </c>
      <c r="G2154" s="77" t="s">
        <v>2585</v>
      </c>
    </row>
    <row r="2155" spans="6:7" ht="15.5">
      <c r="F2155" s="76">
        <v>90029440</v>
      </c>
      <c r="G2155" s="77" t="s">
        <v>2586</v>
      </c>
    </row>
    <row r="2156" spans="6:7" ht="15.5">
      <c r="F2156" s="76">
        <v>90041272</v>
      </c>
      <c r="G2156" s="77" t="s">
        <v>2587</v>
      </c>
    </row>
    <row r="2157" spans="6:7" ht="15.5">
      <c r="F2157" s="76">
        <v>90025666</v>
      </c>
      <c r="G2157" s="77" t="s">
        <v>2588</v>
      </c>
    </row>
    <row r="2158" spans="6:7" ht="15.5">
      <c r="F2158" s="76">
        <v>309035</v>
      </c>
      <c r="G2158" s="77" t="s">
        <v>2589</v>
      </c>
    </row>
    <row r="2159" spans="6:7" ht="15.5">
      <c r="F2159" s="76">
        <v>308158</v>
      </c>
      <c r="G2159" s="77" t="s">
        <v>2590</v>
      </c>
    </row>
    <row r="2160" spans="6:7" ht="15.5">
      <c r="F2160" s="76">
        <v>315587</v>
      </c>
      <c r="G2160" s="77" t="s">
        <v>2591</v>
      </c>
    </row>
    <row r="2161" spans="6:7" ht="15.5">
      <c r="F2161" s="76">
        <v>314694</v>
      </c>
      <c r="G2161" s="77" t="s">
        <v>2592</v>
      </c>
    </row>
    <row r="2162" spans="6:7" ht="15.5">
      <c r="F2162" s="76">
        <v>311221</v>
      </c>
      <c r="G2162" s="77" t="s">
        <v>2593</v>
      </c>
    </row>
    <row r="2163" spans="6:7" ht="15.5">
      <c r="F2163" s="76">
        <v>314951</v>
      </c>
      <c r="G2163" s="77" t="s">
        <v>2594</v>
      </c>
    </row>
    <row r="2164" spans="6:7" ht="15.5">
      <c r="F2164" s="76">
        <v>315535</v>
      </c>
      <c r="G2164" s="77" t="s">
        <v>2595</v>
      </c>
    </row>
    <row r="2165" spans="6:7" ht="15.5">
      <c r="F2165" s="76">
        <v>90040540</v>
      </c>
      <c r="G2165" s="77" t="s">
        <v>2596</v>
      </c>
    </row>
    <row r="2166" spans="6:7" ht="15.5">
      <c r="F2166" s="76">
        <v>90018838</v>
      </c>
      <c r="G2166" s="77" t="s">
        <v>2597</v>
      </c>
    </row>
    <row r="2167" spans="6:7" ht="15.5">
      <c r="F2167" s="76">
        <v>306911</v>
      </c>
      <c r="G2167" s="77" t="s">
        <v>2598</v>
      </c>
    </row>
    <row r="2168" spans="6:7" ht="15.5">
      <c r="F2168" s="76">
        <v>303664</v>
      </c>
      <c r="G2168" s="77" t="s">
        <v>2599</v>
      </c>
    </row>
    <row r="2169" spans="6:7" ht="15.5">
      <c r="F2169" s="76">
        <v>314450</v>
      </c>
      <c r="G2169" s="77" t="s">
        <v>2600</v>
      </c>
    </row>
    <row r="2170" spans="6:7" ht="15.5">
      <c r="F2170" s="76">
        <v>315942</v>
      </c>
      <c r="G2170" s="77" t="s">
        <v>2601</v>
      </c>
    </row>
    <row r="2171" spans="6:7" ht="15.5">
      <c r="F2171" s="76">
        <v>313835</v>
      </c>
      <c r="G2171" s="77" t="s">
        <v>2602</v>
      </c>
    </row>
    <row r="2172" spans="6:7" ht="15.5">
      <c r="F2172" s="76">
        <v>315402</v>
      </c>
      <c r="G2172" s="77" t="s">
        <v>2603</v>
      </c>
    </row>
    <row r="2173" spans="6:7" ht="15.5">
      <c r="F2173" s="76">
        <v>315816</v>
      </c>
      <c r="G2173" s="77" t="s">
        <v>2604</v>
      </c>
    </row>
    <row r="2174" spans="6:7" ht="15.5">
      <c r="F2174" s="76">
        <v>90009264</v>
      </c>
      <c r="G2174" s="77" t="s">
        <v>2605</v>
      </c>
    </row>
    <row r="2175" spans="6:7" ht="15.5">
      <c r="F2175" s="76">
        <v>315367</v>
      </c>
      <c r="G2175" s="77" t="s">
        <v>2606</v>
      </c>
    </row>
    <row r="2176" spans="6:7" ht="15.5">
      <c r="F2176" s="76">
        <v>311720</v>
      </c>
      <c r="G2176" s="77" t="s">
        <v>2607</v>
      </c>
    </row>
    <row r="2177" spans="6:7" ht="15.5">
      <c r="F2177" s="76">
        <v>313341</v>
      </c>
      <c r="G2177" s="77" t="s">
        <v>2608</v>
      </c>
    </row>
    <row r="2178" spans="6:7" ht="15.5">
      <c r="F2178" s="76">
        <v>309191</v>
      </c>
      <c r="G2178" s="77" t="s">
        <v>2609</v>
      </c>
    </row>
    <row r="2179" spans="6:7" ht="15.5">
      <c r="F2179" s="76">
        <v>90016460</v>
      </c>
      <c r="G2179" s="77" t="s">
        <v>2610</v>
      </c>
    </row>
    <row r="2180" spans="6:7" ht="15.5">
      <c r="F2180" s="76">
        <v>315825</v>
      </c>
      <c r="G2180" s="77" t="s">
        <v>2611</v>
      </c>
    </row>
    <row r="2181" spans="6:7" ht="15.5">
      <c r="F2181" s="76">
        <v>304628</v>
      </c>
      <c r="G2181" s="77" t="s">
        <v>2612</v>
      </c>
    </row>
    <row r="2182" spans="6:7" ht="15.5">
      <c r="F2182" s="76">
        <v>315321</v>
      </c>
      <c r="G2182" s="77" t="s">
        <v>2613</v>
      </c>
    </row>
    <row r="2183" spans="6:7" ht="15.5">
      <c r="F2183" s="76">
        <v>315686</v>
      </c>
      <c r="G2183" s="77" t="s">
        <v>2614</v>
      </c>
    </row>
    <row r="2184" spans="6:7" ht="15.5">
      <c r="F2184" s="76">
        <v>312312</v>
      </c>
      <c r="G2184" s="77" t="s">
        <v>2615</v>
      </c>
    </row>
    <row r="2185" spans="6:7" ht="15.5">
      <c r="F2185" s="76">
        <v>315040</v>
      </c>
      <c r="G2185" s="77" t="s">
        <v>2616</v>
      </c>
    </row>
    <row r="2186" spans="6:7" ht="15.5">
      <c r="F2186" s="76">
        <v>316184</v>
      </c>
      <c r="G2186" s="77" t="s">
        <v>2617</v>
      </c>
    </row>
    <row r="2187" spans="6:7" ht="15.5">
      <c r="F2187" s="76">
        <v>306619</v>
      </c>
      <c r="G2187" s="77" t="s">
        <v>2618</v>
      </c>
    </row>
    <row r="2188" spans="6:7" ht="15.5">
      <c r="F2188" s="76">
        <v>314502</v>
      </c>
      <c r="G2188" s="77" t="s">
        <v>2619</v>
      </c>
    </row>
    <row r="2189" spans="6:7" ht="15.5">
      <c r="F2189" s="76">
        <v>315347</v>
      </c>
      <c r="G2189" s="77" t="s">
        <v>2620</v>
      </c>
    </row>
    <row r="2190" spans="6:7" ht="15.5">
      <c r="F2190" s="76">
        <v>314960</v>
      </c>
      <c r="G2190" s="77" t="s">
        <v>2621</v>
      </c>
    </row>
    <row r="2191" spans="6:7" ht="15.5">
      <c r="F2191" s="76">
        <v>315170</v>
      </c>
      <c r="G2191" s="77" t="s">
        <v>2622</v>
      </c>
    </row>
    <row r="2192" spans="6:7" ht="15.5">
      <c r="F2192" s="76">
        <v>315179</v>
      </c>
      <c r="G2192" s="77" t="s">
        <v>2623</v>
      </c>
    </row>
    <row r="2193" spans="6:7" ht="15.5">
      <c r="F2193" s="76">
        <v>314796</v>
      </c>
      <c r="G2193" s="77" t="s">
        <v>2624</v>
      </c>
    </row>
    <row r="2194" spans="6:7" ht="15.5">
      <c r="F2194" s="76">
        <v>311846</v>
      </c>
      <c r="G2194" s="77" t="s">
        <v>2625</v>
      </c>
    </row>
    <row r="2195" spans="6:7" ht="15.5">
      <c r="F2195" s="76">
        <v>314666</v>
      </c>
      <c r="G2195" s="77" t="s">
        <v>2626</v>
      </c>
    </row>
    <row r="2196" spans="6:7" ht="15.5">
      <c r="F2196" s="76">
        <v>310610</v>
      </c>
      <c r="G2196" s="77" t="s">
        <v>2627</v>
      </c>
    </row>
    <row r="2197" spans="6:7" ht="15.5">
      <c r="F2197" s="76">
        <v>314902</v>
      </c>
      <c r="G2197" s="77" t="s">
        <v>2628</v>
      </c>
    </row>
    <row r="2198" spans="6:7" ht="15.5">
      <c r="F2198" s="76">
        <v>314813</v>
      </c>
      <c r="G2198" s="77" t="s">
        <v>2629</v>
      </c>
    </row>
    <row r="2199" spans="6:7" ht="15.5">
      <c r="F2199" s="76">
        <v>312901</v>
      </c>
      <c r="G2199" s="77" t="s">
        <v>2630</v>
      </c>
    </row>
    <row r="2200" spans="6:7" ht="15.5">
      <c r="F2200" s="76">
        <v>308852</v>
      </c>
      <c r="G2200" s="77" t="s">
        <v>2631</v>
      </c>
    </row>
    <row r="2201" spans="6:7" ht="15.5">
      <c r="F2201" s="76">
        <v>313913</v>
      </c>
      <c r="G2201" s="77" t="s">
        <v>2632</v>
      </c>
    </row>
    <row r="2202" spans="6:7" ht="15.5">
      <c r="F2202" s="76">
        <v>315709</v>
      </c>
      <c r="G2202" s="77" t="s">
        <v>2633</v>
      </c>
    </row>
    <row r="2203" spans="6:7" ht="15.5">
      <c r="F2203" s="76">
        <v>306098</v>
      </c>
      <c r="G2203" s="77" t="s">
        <v>2634</v>
      </c>
    </row>
    <row r="2204" spans="6:7" ht="15.5">
      <c r="F2204" s="76">
        <v>90015498</v>
      </c>
      <c r="G2204" s="77" t="s">
        <v>2635</v>
      </c>
    </row>
    <row r="2205" spans="6:7" ht="15.5">
      <c r="F2205" s="76">
        <v>316371</v>
      </c>
      <c r="G2205" s="77" t="s">
        <v>2636</v>
      </c>
    </row>
    <row r="2206" spans="6:7" ht="15.5">
      <c r="F2206" s="76">
        <v>90028245</v>
      </c>
      <c r="G2206" s="77" t="s">
        <v>2637</v>
      </c>
    </row>
    <row r="2207" spans="6:7" ht="15.5">
      <c r="F2207" s="76">
        <v>314134</v>
      </c>
      <c r="G2207" s="77" t="s">
        <v>2638</v>
      </c>
    </row>
    <row r="2208" spans="6:7" ht="15.5">
      <c r="F2208" s="76">
        <v>316057</v>
      </c>
      <c r="G2208" s="77" t="s">
        <v>2639</v>
      </c>
    </row>
    <row r="2209" spans="6:7" ht="15.5">
      <c r="F2209" s="76">
        <v>313517</v>
      </c>
      <c r="G2209" s="77" t="s">
        <v>2640</v>
      </c>
    </row>
    <row r="2210" spans="6:7" ht="15.5">
      <c r="F2210" s="76">
        <v>314945</v>
      </c>
      <c r="G2210" s="77" t="s">
        <v>2641</v>
      </c>
    </row>
    <row r="2211" spans="6:7" ht="15.5">
      <c r="F2211" s="76">
        <v>90040240</v>
      </c>
      <c r="G2211" s="77" t="s">
        <v>2642</v>
      </c>
    </row>
    <row r="2212" spans="6:7" ht="15.5">
      <c r="F2212" s="76">
        <v>313403</v>
      </c>
      <c r="G2212" s="77" t="s">
        <v>2643</v>
      </c>
    </row>
    <row r="2213" spans="6:7" ht="15.5">
      <c r="F2213" s="76">
        <v>314776</v>
      </c>
      <c r="G2213" s="77" t="s">
        <v>2644</v>
      </c>
    </row>
    <row r="2214" spans="6:7" ht="15.5">
      <c r="F2214" s="76">
        <v>90048486</v>
      </c>
      <c r="G2214" s="77" t="s">
        <v>2645</v>
      </c>
    </row>
    <row r="2215" spans="6:7" ht="15.5">
      <c r="F2215" s="76">
        <v>315539</v>
      </c>
      <c r="G2215" s="77" t="s">
        <v>2646</v>
      </c>
    </row>
    <row r="2216" spans="6:7" ht="15.5">
      <c r="F2216" s="76">
        <v>314096</v>
      </c>
      <c r="G2216" s="77" t="s">
        <v>2647</v>
      </c>
    </row>
    <row r="2217" spans="6:7" ht="15.5">
      <c r="F2217" s="76">
        <v>307943</v>
      </c>
      <c r="G2217" s="77" t="s">
        <v>2648</v>
      </c>
    </row>
    <row r="2218" spans="6:7" ht="15.5">
      <c r="F2218" s="76">
        <v>90014454</v>
      </c>
      <c r="G2218" s="77" t="s">
        <v>2649</v>
      </c>
    </row>
    <row r="2219" spans="6:7" ht="15.5">
      <c r="F2219" s="76">
        <v>315118</v>
      </c>
      <c r="G2219" s="77" t="s">
        <v>2650</v>
      </c>
    </row>
    <row r="2220" spans="6:7" ht="15.5">
      <c r="F2220" s="76">
        <v>315165</v>
      </c>
      <c r="G2220" s="77" t="s">
        <v>2651</v>
      </c>
    </row>
    <row r="2221" spans="6:7" ht="15.5">
      <c r="F2221" s="76">
        <v>312877</v>
      </c>
      <c r="G2221" s="77" t="s">
        <v>2652</v>
      </c>
    </row>
    <row r="2222" spans="6:7" ht="15.5">
      <c r="F2222" s="76">
        <v>310267</v>
      </c>
      <c r="G2222" s="77" t="s">
        <v>2653</v>
      </c>
    </row>
    <row r="2223" spans="6:7" ht="15.5">
      <c r="F2223" s="76">
        <v>314930</v>
      </c>
      <c r="G2223" s="77" t="s">
        <v>2654</v>
      </c>
    </row>
    <row r="2224" spans="6:7" ht="15.5">
      <c r="F2224" s="76">
        <v>316176</v>
      </c>
      <c r="G2224" s="77" t="s">
        <v>2655</v>
      </c>
    </row>
    <row r="2225" spans="6:7" ht="15.5">
      <c r="F2225" s="76">
        <v>90038946</v>
      </c>
      <c r="G2225" s="77" t="s">
        <v>2656</v>
      </c>
    </row>
    <row r="2226" spans="6:7" ht="15.5">
      <c r="F2226" s="76">
        <v>315305</v>
      </c>
      <c r="G2226" s="77" t="s">
        <v>2657</v>
      </c>
    </row>
    <row r="2227" spans="6:7" ht="15.5">
      <c r="F2227" s="76">
        <v>305255</v>
      </c>
      <c r="G2227" s="77" t="s">
        <v>2658</v>
      </c>
    </row>
    <row r="2228" spans="6:7" ht="15.5">
      <c r="F2228" s="76">
        <v>313771</v>
      </c>
      <c r="G2228" s="77" t="s">
        <v>2659</v>
      </c>
    </row>
    <row r="2229" spans="6:7" ht="15.5">
      <c r="F2229" s="76">
        <v>315353</v>
      </c>
      <c r="G2229" s="77" t="s">
        <v>2660</v>
      </c>
    </row>
    <row r="2230" spans="6:7" ht="15.5">
      <c r="F2230" s="76">
        <v>301835</v>
      </c>
      <c r="G2230" s="77" t="s">
        <v>2661</v>
      </c>
    </row>
    <row r="2231" spans="6:7" ht="15.5">
      <c r="F2231" s="76">
        <v>315389</v>
      </c>
      <c r="G2231" s="77" t="s">
        <v>2662</v>
      </c>
    </row>
    <row r="2232" spans="6:7" ht="15.5">
      <c r="F2232" s="76">
        <v>312729</v>
      </c>
      <c r="G2232" s="77" t="s">
        <v>2663</v>
      </c>
    </row>
    <row r="2233" spans="6:7" ht="15.5">
      <c r="F2233" s="76">
        <v>90020505</v>
      </c>
      <c r="G2233" s="77" t="s">
        <v>2664</v>
      </c>
    </row>
    <row r="2234" spans="6:7" ht="15.5">
      <c r="F2234" s="76">
        <v>300594</v>
      </c>
      <c r="G2234" s="77" t="s">
        <v>2665</v>
      </c>
    </row>
    <row r="2235" spans="6:7" ht="15.5">
      <c r="F2235" s="76">
        <v>307702</v>
      </c>
      <c r="G2235" s="77" t="s">
        <v>2666</v>
      </c>
    </row>
    <row r="2236" spans="6:7" ht="15.5">
      <c r="F2236" s="76">
        <v>303901</v>
      </c>
      <c r="G2236" s="77" t="s">
        <v>2667</v>
      </c>
    </row>
    <row r="2237" spans="6:7" ht="15.5">
      <c r="F2237" s="76">
        <v>312040</v>
      </c>
      <c r="G2237" s="77" t="s">
        <v>2668</v>
      </c>
    </row>
    <row r="2238" spans="6:7" ht="15.5">
      <c r="F2238" s="76">
        <v>313606</v>
      </c>
      <c r="G2238" s="77" t="s">
        <v>2669</v>
      </c>
    </row>
    <row r="2239" spans="6:7" ht="15.5">
      <c r="F2239" s="76">
        <v>310534</v>
      </c>
      <c r="G2239" s="77" t="s">
        <v>2670</v>
      </c>
    </row>
    <row r="2240" spans="6:7" ht="15.5">
      <c r="F2240" s="76">
        <v>311353</v>
      </c>
      <c r="G2240" s="77" t="s">
        <v>2671</v>
      </c>
    </row>
    <row r="2241" spans="6:7" ht="15.5">
      <c r="F2241" s="76">
        <v>316017</v>
      </c>
      <c r="G2241" s="77" t="s">
        <v>2672</v>
      </c>
    </row>
    <row r="2242" spans="6:7" ht="15.5">
      <c r="F2242" s="76">
        <v>315045</v>
      </c>
      <c r="G2242" s="77" t="s">
        <v>2673</v>
      </c>
    </row>
    <row r="2243" spans="6:7" ht="15.5">
      <c r="F2243" s="76">
        <v>90040768</v>
      </c>
      <c r="G2243" s="77" t="s">
        <v>2674</v>
      </c>
    </row>
    <row r="2244" spans="6:7" ht="15.5">
      <c r="F2244" s="76">
        <v>315419</v>
      </c>
      <c r="G2244" s="77" t="s">
        <v>2675</v>
      </c>
    </row>
    <row r="2245" spans="6:7" ht="15.5">
      <c r="F2245" s="76">
        <v>314308</v>
      </c>
      <c r="G2245" s="77" t="s">
        <v>2676</v>
      </c>
    </row>
    <row r="2246" spans="6:7" ht="15.5">
      <c r="F2246" s="76">
        <v>90038408</v>
      </c>
      <c r="G2246" s="77" t="s">
        <v>2677</v>
      </c>
    </row>
    <row r="2247" spans="6:7" ht="15.5">
      <c r="F2247" s="76">
        <v>311511</v>
      </c>
      <c r="G2247" s="77" t="s">
        <v>2678</v>
      </c>
    </row>
    <row r="2248" spans="6:7" ht="15.5">
      <c r="F2248" s="76">
        <v>315629</v>
      </c>
      <c r="G2248" s="77" t="s">
        <v>2679</v>
      </c>
    </row>
    <row r="2249" spans="6:7" ht="15.5">
      <c r="F2249" s="76">
        <v>312888</v>
      </c>
      <c r="G2249" s="77" t="s">
        <v>2680</v>
      </c>
    </row>
    <row r="2250" spans="6:7" ht="15.5">
      <c r="F2250" s="76">
        <v>314814</v>
      </c>
      <c r="G2250" s="77" t="s">
        <v>2681</v>
      </c>
    </row>
    <row r="2251" spans="6:7" ht="15.5">
      <c r="F2251" s="76">
        <v>316331</v>
      </c>
      <c r="G2251" s="77" t="s">
        <v>2682</v>
      </c>
    </row>
    <row r="2252" spans="6:7" ht="15.5">
      <c r="F2252" s="76">
        <v>315607</v>
      </c>
      <c r="G2252" s="77" t="s">
        <v>2683</v>
      </c>
    </row>
    <row r="2253" spans="6:7" ht="15.5">
      <c r="F2253" s="76">
        <v>314799</v>
      </c>
      <c r="G2253" s="77" t="s">
        <v>2684</v>
      </c>
    </row>
    <row r="2254" spans="6:7" ht="15.5">
      <c r="F2254" s="76">
        <v>315882</v>
      </c>
      <c r="G2254" s="77" t="s">
        <v>2685</v>
      </c>
    </row>
    <row r="2255" spans="6:7" ht="15.5">
      <c r="F2255" s="76">
        <v>311551</v>
      </c>
      <c r="G2255" s="77" t="s">
        <v>2686</v>
      </c>
    </row>
    <row r="2256" spans="6:7" ht="15.5">
      <c r="F2256" s="76">
        <v>315824</v>
      </c>
      <c r="G2256" s="77" t="s">
        <v>2687</v>
      </c>
    </row>
    <row r="2257" spans="6:7" ht="15.5">
      <c r="F2257" s="76">
        <v>312546</v>
      </c>
      <c r="G2257" s="77" t="s">
        <v>2688</v>
      </c>
    </row>
    <row r="2258" spans="6:7" ht="15.5">
      <c r="F2258" s="76">
        <v>315365</v>
      </c>
      <c r="G2258" s="77" t="s">
        <v>2689</v>
      </c>
    </row>
    <row r="2259" spans="6:7" ht="15.5">
      <c r="F2259" s="76">
        <v>313599</v>
      </c>
      <c r="G2259" s="77" t="s">
        <v>2690</v>
      </c>
    </row>
    <row r="2260" spans="6:7" ht="15.5">
      <c r="F2260" s="76">
        <v>301658</v>
      </c>
      <c r="G2260" s="77" t="s">
        <v>2691</v>
      </c>
    </row>
    <row r="2261" spans="6:7" ht="15.5">
      <c r="F2261" s="76">
        <v>301786</v>
      </c>
      <c r="G2261" s="77" t="s">
        <v>2692</v>
      </c>
    </row>
    <row r="2262" spans="6:7" ht="15.5">
      <c r="F2262" s="76">
        <v>314606</v>
      </c>
      <c r="G2262" s="77" t="s">
        <v>2693</v>
      </c>
    </row>
    <row r="2263" spans="6:7" ht="15.5">
      <c r="F2263" s="76">
        <v>90048449</v>
      </c>
      <c r="G2263" s="77" t="s">
        <v>2694</v>
      </c>
    </row>
    <row r="2264" spans="6:7" ht="15.5">
      <c r="F2264" s="76">
        <v>315008</v>
      </c>
      <c r="G2264" s="77" t="s">
        <v>2695</v>
      </c>
    </row>
    <row r="2265" spans="6:7" ht="15.5">
      <c r="F2265" s="76">
        <v>312383</v>
      </c>
      <c r="G2265" s="77" t="s">
        <v>2696</v>
      </c>
    </row>
    <row r="2266" spans="6:7" ht="15.5">
      <c r="F2266" s="76">
        <v>313592</v>
      </c>
      <c r="G2266" s="77" t="s">
        <v>2697</v>
      </c>
    </row>
    <row r="2267" spans="6:7" ht="15.5">
      <c r="F2267" s="76">
        <v>305099</v>
      </c>
      <c r="G2267" s="77" t="s">
        <v>2698</v>
      </c>
    </row>
    <row r="2268" spans="6:7" ht="15.5">
      <c r="F2268" s="76">
        <v>90012228</v>
      </c>
      <c r="G2268" s="77" t="s">
        <v>2699</v>
      </c>
    </row>
    <row r="2269" spans="6:7" ht="15.5">
      <c r="F2269" s="76">
        <v>312923</v>
      </c>
      <c r="G2269" s="77" t="s">
        <v>2700</v>
      </c>
    </row>
    <row r="2270" spans="6:7" ht="15.5">
      <c r="F2270" s="76">
        <v>314420</v>
      </c>
      <c r="G2270" s="77" t="s">
        <v>2701</v>
      </c>
    </row>
    <row r="2271" spans="6:7" ht="15.5">
      <c r="F2271" s="76">
        <v>301460</v>
      </c>
      <c r="G2271" s="77" t="s">
        <v>2702</v>
      </c>
    </row>
    <row r="2272" spans="6:7" ht="15.5">
      <c r="F2272" s="76">
        <v>312012</v>
      </c>
      <c r="G2272" s="77" t="s">
        <v>2703</v>
      </c>
    </row>
    <row r="2273" spans="6:7" ht="15.5">
      <c r="F2273" s="76">
        <v>90021357</v>
      </c>
      <c r="G2273" s="77" t="s">
        <v>2704</v>
      </c>
    </row>
    <row r="2274" spans="6:7" ht="15.5">
      <c r="F2274" s="76">
        <v>90025093</v>
      </c>
      <c r="G2274" s="77" t="s">
        <v>2705</v>
      </c>
    </row>
    <row r="2275" spans="6:7" ht="15.5">
      <c r="F2275" s="76">
        <v>90019588</v>
      </c>
      <c r="G2275" s="77" t="s">
        <v>2706</v>
      </c>
    </row>
    <row r="2276" spans="6:7" ht="15.5">
      <c r="F2276" s="76">
        <v>90034941</v>
      </c>
      <c r="G2276" s="77" t="s">
        <v>2707</v>
      </c>
    </row>
    <row r="2277" spans="6:7" ht="15.5">
      <c r="F2277" s="76">
        <v>313392</v>
      </c>
      <c r="G2277" s="77" t="s">
        <v>2708</v>
      </c>
    </row>
    <row r="2278" spans="6:7" ht="15.5">
      <c r="F2278" s="76">
        <v>200872</v>
      </c>
      <c r="G2278" s="77" t="s">
        <v>2709</v>
      </c>
    </row>
    <row r="2279" spans="6:7" ht="15.5">
      <c r="F2279" s="76">
        <v>314820</v>
      </c>
      <c r="G2279" s="77" t="s">
        <v>2710</v>
      </c>
    </row>
    <row r="2280" spans="6:7" ht="15.5">
      <c r="F2280" s="76">
        <v>90027882</v>
      </c>
      <c r="G2280" s="77" t="s">
        <v>2711</v>
      </c>
    </row>
    <row r="2281" spans="6:7" ht="15.5">
      <c r="F2281" s="76">
        <v>90040129</v>
      </c>
      <c r="G2281" s="77" t="s">
        <v>2712</v>
      </c>
    </row>
    <row r="2282" spans="6:7" ht="15.5">
      <c r="F2282" s="76">
        <v>90023863</v>
      </c>
      <c r="G2282" s="77" t="s">
        <v>2713</v>
      </c>
    </row>
    <row r="2283" spans="6:7" ht="15.5">
      <c r="F2283" s="76">
        <v>313875</v>
      </c>
      <c r="G2283" s="77" t="s">
        <v>2714</v>
      </c>
    </row>
    <row r="2284" spans="6:7" ht="15.5">
      <c r="F2284" s="76">
        <v>311092</v>
      </c>
      <c r="G2284" s="77" t="s">
        <v>2715</v>
      </c>
    </row>
    <row r="2285" spans="6:7" ht="15.5">
      <c r="F2285" s="76">
        <v>306416</v>
      </c>
      <c r="G2285" s="77" t="s">
        <v>2716</v>
      </c>
    </row>
    <row r="2286" spans="6:7" ht="15.5">
      <c r="F2286" s="76">
        <v>315024</v>
      </c>
      <c r="G2286" s="77" t="s">
        <v>2717</v>
      </c>
    </row>
    <row r="2287" spans="6:7" ht="15.5">
      <c r="F2287" s="76">
        <v>315476</v>
      </c>
      <c r="G2287" s="77" t="s">
        <v>2718</v>
      </c>
    </row>
    <row r="2288" spans="6:7" ht="15.5">
      <c r="F2288" s="76">
        <v>312908</v>
      </c>
      <c r="G2288" s="77" t="s">
        <v>2719</v>
      </c>
    </row>
    <row r="2289" spans="6:7" ht="15.5">
      <c r="F2289" s="76">
        <v>313078</v>
      </c>
      <c r="G2289" s="77" t="s">
        <v>2720</v>
      </c>
    </row>
    <row r="2290" spans="6:7" ht="15.5">
      <c r="F2290" s="76">
        <v>301438</v>
      </c>
      <c r="G2290" s="77" t="s">
        <v>2721</v>
      </c>
    </row>
    <row r="2291" spans="6:7" ht="15.5">
      <c r="F2291" s="76">
        <v>313622</v>
      </c>
      <c r="G2291" s="77" t="s">
        <v>2722</v>
      </c>
    </row>
    <row r="2292" spans="6:7" ht="15.5">
      <c r="F2292" s="76">
        <v>316029</v>
      </c>
      <c r="G2292" s="77" t="s">
        <v>2723</v>
      </c>
    </row>
    <row r="2293" spans="6:7" ht="15.5">
      <c r="F2293" s="76">
        <v>90034141</v>
      </c>
      <c r="G2293" s="77" t="s">
        <v>2724</v>
      </c>
    </row>
    <row r="2294" spans="6:7" ht="15.5">
      <c r="F2294" s="76">
        <v>315408</v>
      </c>
      <c r="G2294" s="77" t="s">
        <v>2725</v>
      </c>
    </row>
    <row r="2295" spans="6:7" ht="15.5">
      <c r="F2295" s="76">
        <v>307105</v>
      </c>
      <c r="G2295" s="77" t="s">
        <v>2726</v>
      </c>
    </row>
    <row r="2296" spans="6:7" ht="15.5">
      <c r="F2296" s="76">
        <v>315254</v>
      </c>
      <c r="G2296" s="77" t="s">
        <v>2727</v>
      </c>
    </row>
    <row r="2297" spans="6:7" ht="15.5">
      <c r="F2297" s="76">
        <v>316268</v>
      </c>
      <c r="G2297" s="77" t="s">
        <v>2728</v>
      </c>
    </row>
    <row r="2298" spans="6:7" ht="15.5">
      <c r="F2298" s="76">
        <v>313402</v>
      </c>
      <c r="G2298" s="77" t="s">
        <v>2729</v>
      </c>
    </row>
    <row r="2299" spans="6:7" ht="15.5">
      <c r="F2299" s="76">
        <v>90039566</v>
      </c>
      <c r="G2299" s="77" t="s">
        <v>2730</v>
      </c>
    </row>
    <row r="2300" spans="6:7" ht="15.5">
      <c r="F2300" s="76">
        <v>312501</v>
      </c>
      <c r="G2300" s="77" t="s">
        <v>2731</v>
      </c>
    </row>
    <row r="2301" spans="6:7" ht="15.5">
      <c r="F2301" s="76">
        <v>313492</v>
      </c>
      <c r="G2301" s="77" t="s">
        <v>2732</v>
      </c>
    </row>
    <row r="2302" spans="6:7" ht="15.5">
      <c r="F2302" s="76">
        <v>313043</v>
      </c>
      <c r="G2302" s="77" t="s">
        <v>2733</v>
      </c>
    </row>
    <row r="2303" spans="6:7" ht="15.5">
      <c r="F2303" s="76">
        <v>314950</v>
      </c>
      <c r="G2303" s="77" t="s">
        <v>2734</v>
      </c>
    </row>
    <row r="2304" spans="6:7" ht="15.5">
      <c r="F2304" s="76">
        <v>315621</v>
      </c>
      <c r="G2304" s="77" t="s">
        <v>2735</v>
      </c>
    </row>
    <row r="2305" spans="6:7" ht="15.5">
      <c r="F2305" s="76">
        <v>309816</v>
      </c>
      <c r="G2305" s="77" t="s">
        <v>2736</v>
      </c>
    </row>
    <row r="2306" spans="6:7" ht="15.5">
      <c r="F2306" s="76">
        <v>314690</v>
      </c>
      <c r="G2306" s="77" t="s">
        <v>2737</v>
      </c>
    </row>
    <row r="2307" spans="6:7" ht="15.5">
      <c r="F2307" s="76">
        <v>314956</v>
      </c>
      <c r="G2307" s="77" t="s">
        <v>2738</v>
      </c>
    </row>
    <row r="2308" spans="6:7" ht="15.5">
      <c r="F2308" s="76">
        <v>313284</v>
      </c>
      <c r="G2308" s="77" t="s">
        <v>2739</v>
      </c>
    </row>
    <row r="2309" spans="6:7" ht="15.5">
      <c r="F2309" s="76">
        <v>314855</v>
      </c>
      <c r="G2309" s="77" t="s">
        <v>2740</v>
      </c>
    </row>
    <row r="2310" spans="6:7" ht="15.5">
      <c r="F2310" s="76">
        <v>312294</v>
      </c>
      <c r="G2310" s="77" t="s">
        <v>2741</v>
      </c>
    </row>
    <row r="2311" spans="6:7" ht="15.5">
      <c r="F2311" s="76">
        <v>302278</v>
      </c>
      <c r="G2311" s="77" t="s">
        <v>2742</v>
      </c>
    </row>
    <row r="2312" spans="6:7" ht="15.5">
      <c r="F2312" s="76">
        <v>314266</v>
      </c>
      <c r="G2312" s="77" t="s">
        <v>2743</v>
      </c>
    </row>
    <row r="2313" spans="6:7" ht="15.5">
      <c r="F2313" s="76">
        <v>301308</v>
      </c>
      <c r="G2313" s="77" t="s">
        <v>2744</v>
      </c>
    </row>
    <row r="2314" spans="6:7" ht="15.5">
      <c r="F2314" s="76">
        <v>90047663</v>
      </c>
      <c r="G2314" s="77" t="s">
        <v>2745</v>
      </c>
    </row>
    <row r="2315" spans="6:7" ht="15.5">
      <c r="F2315" s="76">
        <v>90009271</v>
      </c>
      <c r="G2315" s="77" t="s">
        <v>2746</v>
      </c>
    </row>
    <row r="2316" spans="6:7" ht="15.5">
      <c r="F2316" s="76">
        <v>312346</v>
      </c>
      <c r="G2316" s="77" t="s">
        <v>2747</v>
      </c>
    </row>
    <row r="2317" spans="6:7" ht="15.5">
      <c r="F2317" s="76">
        <v>314559</v>
      </c>
      <c r="G2317" s="77" t="s">
        <v>2748</v>
      </c>
    </row>
    <row r="2318" spans="6:7" ht="15.5">
      <c r="F2318" s="76">
        <v>314758</v>
      </c>
      <c r="G2318" s="77" t="s">
        <v>2749</v>
      </c>
    </row>
    <row r="2319" spans="6:7" ht="15.5">
      <c r="F2319" s="76">
        <v>314923</v>
      </c>
      <c r="G2319" s="77" t="s">
        <v>2750</v>
      </c>
    </row>
    <row r="2320" spans="6:7" ht="15.5">
      <c r="F2320" s="76">
        <v>90040254</v>
      </c>
      <c r="G2320" s="77" t="s">
        <v>2751</v>
      </c>
    </row>
    <row r="2321" spans="6:7" ht="15.5">
      <c r="F2321" s="76">
        <v>316080</v>
      </c>
      <c r="G2321" s="77" t="s">
        <v>2752</v>
      </c>
    </row>
    <row r="2322" spans="6:7" ht="15.5">
      <c r="F2322" s="76">
        <v>314755</v>
      </c>
      <c r="G2322" s="77" t="s">
        <v>2753</v>
      </c>
    </row>
    <row r="2323" spans="6:7" ht="15.5">
      <c r="F2323" s="76">
        <v>90028146</v>
      </c>
      <c r="G2323" s="77" t="s">
        <v>2754</v>
      </c>
    </row>
    <row r="2324" spans="6:7" ht="15.5">
      <c r="F2324" s="76">
        <v>101896</v>
      </c>
      <c r="G2324" s="77" t="s">
        <v>2755</v>
      </c>
    </row>
    <row r="2325" spans="6:7" ht="15.5">
      <c r="F2325" s="76">
        <v>314967</v>
      </c>
      <c r="G2325" s="77" t="s">
        <v>2756</v>
      </c>
    </row>
    <row r="2326" spans="6:7" ht="15.5">
      <c r="F2326" s="76">
        <v>315294</v>
      </c>
      <c r="G2326" s="77" t="s">
        <v>2757</v>
      </c>
    </row>
    <row r="2327" spans="6:7" ht="15.5">
      <c r="F2327" s="76">
        <v>314648</v>
      </c>
      <c r="G2327" s="77" t="s">
        <v>2758</v>
      </c>
    </row>
    <row r="2328" spans="6:7" ht="15.5">
      <c r="F2328" s="76">
        <v>90039432</v>
      </c>
      <c r="G2328" s="77" t="s">
        <v>2759</v>
      </c>
    </row>
    <row r="2329" spans="6:7" ht="15.5">
      <c r="F2329" s="76">
        <v>315742</v>
      </c>
      <c r="G2329" s="77" t="s">
        <v>2760</v>
      </c>
    </row>
    <row r="2330" spans="6:7" ht="15.5">
      <c r="F2330" s="76">
        <v>314968</v>
      </c>
      <c r="G2330" s="77" t="s">
        <v>2761</v>
      </c>
    </row>
    <row r="2331" spans="6:7" ht="15.5">
      <c r="F2331" s="76">
        <v>314079</v>
      </c>
      <c r="G2331" s="77" t="s">
        <v>2762</v>
      </c>
    </row>
    <row r="2332" spans="6:7" ht="15.5">
      <c r="F2332" s="76">
        <v>90033065</v>
      </c>
      <c r="G2332" s="77" t="s">
        <v>2763</v>
      </c>
    </row>
    <row r="2333" spans="6:7" ht="15.5">
      <c r="F2333" s="76">
        <v>311147</v>
      </c>
      <c r="G2333" s="77" t="s">
        <v>2764</v>
      </c>
    </row>
    <row r="2334" spans="6:7" ht="15.5">
      <c r="F2334" s="76">
        <v>301706</v>
      </c>
      <c r="G2334" s="77" t="s">
        <v>2765</v>
      </c>
    </row>
    <row r="2335" spans="6:7" ht="15.5">
      <c r="F2335" s="76">
        <v>90040678</v>
      </c>
      <c r="G2335" s="77" t="s">
        <v>2766</v>
      </c>
    </row>
    <row r="2336" spans="6:7" ht="15.5">
      <c r="F2336" s="76">
        <v>310599</v>
      </c>
      <c r="G2336" s="77" t="s">
        <v>2767</v>
      </c>
    </row>
    <row r="2337" spans="6:7" ht="15.5">
      <c r="F2337" s="76">
        <v>315541</v>
      </c>
      <c r="G2337" s="77" t="s">
        <v>2768</v>
      </c>
    </row>
    <row r="2338" spans="6:7" ht="15.5">
      <c r="F2338" s="76">
        <v>304805</v>
      </c>
      <c r="G2338" s="77" t="s">
        <v>2769</v>
      </c>
    </row>
    <row r="2339" spans="6:7" ht="15.5">
      <c r="F2339" s="76">
        <v>90040709</v>
      </c>
      <c r="G2339" s="77" t="s">
        <v>2770</v>
      </c>
    </row>
    <row r="2340" spans="6:7" ht="15.5">
      <c r="F2340" s="76">
        <v>312357</v>
      </c>
      <c r="G2340" s="77" t="s">
        <v>2771</v>
      </c>
    </row>
    <row r="2341" spans="6:7" ht="15.5">
      <c r="F2341" s="76">
        <v>90027845</v>
      </c>
      <c r="G2341" s="77" t="s">
        <v>2772</v>
      </c>
    </row>
    <row r="2342" spans="6:7" ht="15.5">
      <c r="F2342" s="76">
        <v>315315</v>
      </c>
      <c r="G2342" s="77" t="s">
        <v>2773</v>
      </c>
    </row>
    <row r="2343" spans="6:7" ht="15.5">
      <c r="F2343" s="76">
        <v>311646</v>
      </c>
      <c r="G2343" s="77" t="s">
        <v>2774</v>
      </c>
    </row>
    <row r="2344" spans="6:7" ht="15.5">
      <c r="F2344" s="76">
        <v>313212</v>
      </c>
      <c r="G2344" s="77" t="s">
        <v>2775</v>
      </c>
    </row>
    <row r="2345" spans="6:7" ht="15.5">
      <c r="F2345" s="76">
        <v>90028143</v>
      </c>
      <c r="G2345" s="77" t="s">
        <v>2776</v>
      </c>
    </row>
    <row r="2346" spans="6:7" ht="15.5">
      <c r="F2346" s="76">
        <v>90040329</v>
      </c>
      <c r="G2346" s="77" t="s">
        <v>2777</v>
      </c>
    </row>
    <row r="2347" spans="6:7" ht="15.5">
      <c r="F2347" s="76">
        <v>312096</v>
      </c>
      <c r="G2347" s="77" t="s">
        <v>2778</v>
      </c>
    </row>
    <row r="2348" spans="6:7" ht="15.5">
      <c r="F2348" s="76">
        <v>301371</v>
      </c>
      <c r="G2348" s="77" t="s">
        <v>2779</v>
      </c>
    </row>
    <row r="2349" spans="6:7" ht="15.5">
      <c r="F2349" s="76">
        <v>313328</v>
      </c>
      <c r="G2349" s="77" t="s">
        <v>2780</v>
      </c>
    </row>
    <row r="2350" spans="6:7" ht="15.5">
      <c r="F2350" s="76">
        <v>90014276</v>
      </c>
      <c r="G2350" s="77" t="s">
        <v>2781</v>
      </c>
    </row>
    <row r="2351" spans="6:7" ht="15.5">
      <c r="F2351" s="76">
        <v>309948</v>
      </c>
      <c r="G2351" s="77" t="s">
        <v>2782</v>
      </c>
    </row>
    <row r="2352" spans="6:7" ht="15.5">
      <c r="F2352" s="76">
        <v>305230</v>
      </c>
      <c r="G2352" s="77" t="s">
        <v>2783</v>
      </c>
    </row>
    <row r="2353" spans="6:7" ht="15.5">
      <c r="F2353" s="76">
        <v>305427</v>
      </c>
      <c r="G2353" s="77" t="s">
        <v>2784</v>
      </c>
    </row>
    <row r="2354" spans="6:7" ht="15.5">
      <c r="F2354" s="76">
        <v>306034</v>
      </c>
      <c r="G2354" s="77" t="s">
        <v>2785</v>
      </c>
    </row>
    <row r="2355" spans="6:7" ht="15.5">
      <c r="F2355" s="76">
        <v>90034373</v>
      </c>
      <c r="G2355" s="77" t="s">
        <v>2786</v>
      </c>
    </row>
    <row r="2356" spans="6:7" ht="15.5">
      <c r="F2356" s="76">
        <v>310558</v>
      </c>
      <c r="G2356" s="77" t="s">
        <v>2787</v>
      </c>
    </row>
    <row r="2357" spans="6:7" ht="15.5">
      <c r="F2357" s="76">
        <v>310105</v>
      </c>
      <c r="G2357" s="77" t="s">
        <v>2788</v>
      </c>
    </row>
    <row r="2358" spans="6:7" ht="15.5">
      <c r="F2358" s="76">
        <v>315666</v>
      </c>
      <c r="G2358" s="77" t="s">
        <v>2789</v>
      </c>
    </row>
    <row r="2359" spans="6:7" ht="15.5">
      <c r="F2359" s="76">
        <v>316111</v>
      </c>
      <c r="G2359" s="77" t="s">
        <v>2790</v>
      </c>
    </row>
    <row r="2360" spans="6:7" ht="15.5">
      <c r="F2360" s="76">
        <v>313981</v>
      </c>
      <c r="G2360" s="77" t="s">
        <v>2791</v>
      </c>
    </row>
    <row r="2361" spans="6:7" ht="15.5">
      <c r="F2361" s="76">
        <v>314976</v>
      </c>
      <c r="G2361" s="77" t="s">
        <v>2792</v>
      </c>
    </row>
    <row r="2362" spans="6:7" ht="15.5">
      <c r="F2362" s="76">
        <v>309567</v>
      </c>
      <c r="G2362" s="77" t="s">
        <v>2793</v>
      </c>
    </row>
    <row r="2363" spans="6:7" ht="15.5">
      <c r="F2363" s="76">
        <v>90025188</v>
      </c>
      <c r="G2363" s="77" t="s">
        <v>2794</v>
      </c>
    </row>
    <row r="2364" spans="6:7" ht="15.5">
      <c r="F2364" s="76">
        <v>312881</v>
      </c>
      <c r="G2364" s="77" t="s">
        <v>2795</v>
      </c>
    </row>
    <row r="2365" spans="6:7" ht="15.5">
      <c r="F2365" s="76">
        <v>315997</v>
      </c>
      <c r="G2365" s="77" t="s">
        <v>2796</v>
      </c>
    </row>
    <row r="2366" spans="6:7" ht="15.5">
      <c r="F2366" s="76">
        <v>310066</v>
      </c>
      <c r="G2366" s="77" t="s">
        <v>2797</v>
      </c>
    </row>
    <row r="2367" spans="6:7" ht="15.5">
      <c r="F2367" s="76">
        <v>90045668</v>
      </c>
      <c r="G2367" s="77" t="s">
        <v>2798</v>
      </c>
    </row>
    <row r="2368" spans="6:7" ht="15.5">
      <c r="F2368" s="76">
        <v>90033288</v>
      </c>
      <c r="G2368" s="77" t="s">
        <v>2799</v>
      </c>
    </row>
    <row r="2369" spans="6:7" ht="15.5">
      <c r="F2369" s="76">
        <v>315466</v>
      </c>
      <c r="G2369" s="77" t="s">
        <v>2800</v>
      </c>
    </row>
    <row r="2370" spans="6:7" ht="15.5">
      <c r="F2370" s="76">
        <v>313593</v>
      </c>
      <c r="G2370" s="77" t="s">
        <v>2801</v>
      </c>
    </row>
    <row r="2371" spans="6:7" ht="15.5">
      <c r="F2371" s="76">
        <v>315439</v>
      </c>
      <c r="G2371" s="77" t="s">
        <v>2802</v>
      </c>
    </row>
    <row r="2372" spans="6:7" ht="15.5">
      <c r="F2372" s="76">
        <v>310731</v>
      </c>
      <c r="G2372" s="77" t="s">
        <v>2803</v>
      </c>
    </row>
    <row r="2373" spans="6:7" ht="15.5">
      <c r="F2373" s="76">
        <v>314735</v>
      </c>
      <c r="G2373" s="77" t="s">
        <v>2804</v>
      </c>
    </row>
    <row r="2374" spans="6:7" ht="15.5">
      <c r="F2374" s="76">
        <v>90028496</v>
      </c>
      <c r="G2374" s="77" t="s">
        <v>2805</v>
      </c>
    </row>
    <row r="2375" spans="6:7" ht="15.5">
      <c r="F2375" s="76">
        <v>90040904</v>
      </c>
      <c r="G2375" s="77" t="s">
        <v>2806</v>
      </c>
    </row>
    <row r="2376" spans="6:7" ht="15.5">
      <c r="F2376" s="76">
        <v>90039988</v>
      </c>
      <c r="G2376" s="77" t="s">
        <v>2807</v>
      </c>
    </row>
    <row r="2377" spans="6:7" ht="15.5">
      <c r="F2377" s="76">
        <v>315340</v>
      </c>
      <c r="G2377" s="77" t="s">
        <v>2808</v>
      </c>
    </row>
    <row r="2378" spans="6:7" ht="15.5">
      <c r="F2378" s="76">
        <v>90040608</v>
      </c>
      <c r="G2378" s="77" t="s">
        <v>2809</v>
      </c>
    </row>
    <row r="2379" spans="6:7" ht="15.5">
      <c r="F2379" s="76">
        <v>90049246</v>
      </c>
      <c r="G2379" s="77" t="s">
        <v>2810</v>
      </c>
    </row>
    <row r="2380" spans="6:7" ht="15.5">
      <c r="F2380" s="76">
        <v>308054</v>
      </c>
      <c r="G2380" s="77" t="s">
        <v>2811</v>
      </c>
    </row>
    <row r="2381" spans="6:7" ht="15.5">
      <c r="F2381" s="76">
        <v>313056</v>
      </c>
      <c r="G2381" s="77" t="s">
        <v>2812</v>
      </c>
    </row>
    <row r="2382" spans="6:7" ht="15.5">
      <c r="F2382" s="76">
        <v>303382</v>
      </c>
      <c r="G2382" s="77" t="s">
        <v>2813</v>
      </c>
    </row>
    <row r="2383" spans="6:7" ht="15.5">
      <c r="F2383" s="76">
        <v>314787</v>
      </c>
      <c r="G2383" s="77" t="s">
        <v>2814</v>
      </c>
    </row>
    <row r="2384" spans="6:7" ht="15.5">
      <c r="F2384" s="76">
        <v>90046204</v>
      </c>
      <c r="G2384" s="77" t="s">
        <v>2815</v>
      </c>
    </row>
    <row r="2385" spans="6:7" ht="15.5">
      <c r="F2385" s="76">
        <v>310671</v>
      </c>
      <c r="G2385" s="77" t="s">
        <v>2816</v>
      </c>
    </row>
    <row r="2386" spans="6:7" ht="15.5">
      <c r="F2386" s="76">
        <v>312575</v>
      </c>
      <c r="G2386" s="77" t="s">
        <v>2817</v>
      </c>
    </row>
    <row r="2387" spans="6:7" ht="15.5">
      <c r="F2387" s="76">
        <v>315386</v>
      </c>
      <c r="G2387" s="77" t="s">
        <v>2818</v>
      </c>
    </row>
    <row r="2388" spans="6:7" ht="15.5">
      <c r="F2388" s="76">
        <v>314347</v>
      </c>
      <c r="G2388" s="77" t="s">
        <v>2819</v>
      </c>
    </row>
    <row r="2389" spans="6:7" ht="15.5">
      <c r="F2389" s="76">
        <v>304128</v>
      </c>
      <c r="G2389" s="77" t="s">
        <v>2820</v>
      </c>
    </row>
    <row r="2390" spans="6:7" ht="15.5">
      <c r="F2390" s="76">
        <v>313630</v>
      </c>
      <c r="G2390" s="77" t="s">
        <v>2821</v>
      </c>
    </row>
    <row r="2391" spans="6:7" ht="15.5">
      <c r="F2391" s="76">
        <v>313395</v>
      </c>
      <c r="G2391" s="77" t="s">
        <v>2822</v>
      </c>
    </row>
    <row r="2392" spans="6:7" ht="15.5">
      <c r="F2392" s="76">
        <v>309883</v>
      </c>
      <c r="G2392" s="77" t="s">
        <v>2823</v>
      </c>
    </row>
    <row r="2393" spans="6:7" ht="15.5">
      <c r="F2393" s="76">
        <v>307664</v>
      </c>
      <c r="G2393" s="77" t="s">
        <v>2824</v>
      </c>
    </row>
    <row r="2394" spans="6:7" ht="15.5">
      <c r="F2394" s="76">
        <v>90039690</v>
      </c>
      <c r="G2394" s="77" t="s">
        <v>2825</v>
      </c>
    </row>
    <row r="2395" spans="6:7" ht="15.5">
      <c r="F2395" s="76">
        <v>90039611</v>
      </c>
      <c r="G2395" s="77" t="s">
        <v>2826</v>
      </c>
    </row>
    <row r="2396" spans="6:7" ht="15.5">
      <c r="F2396" s="76">
        <v>90034211</v>
      </c>
      <c r="G2396" s="77" t="s">
        <v>2827</v>
      </c>
    </row>
    <row r="2397" spans="6:7" ht="15.5">
      <c r="F2397" s="76">
        <v>315313</v>
      </c>
      <c r="G2397" s="77" t="s">
        <v>2828</v>
      </c>
    </row>
    <row r="2398" spans="6:7" ht="15.5">
      <c r="F2398" s="76">
        <v>314575</v>
      </c>
      <c r="G2398" s="77" t="s">
        <v>2829</v>
      </c>
    </row>
    <row r="2399" spans="6:7" ht="15.5">
      <c r="F2399" s="76">
        <v>302658</v>
      </c>
      <c r="G2399" s="77" t="s">
        <v>2830</v>
      </c>
    </row>
    <row r="2400" spans="6:7" ht="15.5">
      <c r="F2400" s="76">
        <v>315856</v>
      </c>
      <c r="G2400" s="77" t="s">
        <v>2831</v>
      </c>
    </row>
    <row r="2401" spans="6:7" ht="15.5">
      <c r="F2401" s="76">
        <v>315461</v>
      </c>
      <c r="G2401" s="77" t="s">
        <v>2832</v>
      </c>
    </row>
    <row r="2402" spans="6:7" ht="15.5">
      <c r="F2402" s="76">
        <v>315834</v>
      </c>
      <c r="G2402" s="77" t="s">
        <v>2833</v>
      </c>
    </row>
    <row r="2403" spans="6:7" ht="15.5">
      <c r="F2403" s="76">
        <v>315048</v>
      </c>
      <c r="G2403" s="77" t="s">
        <v>2834</v>
      </c>
    </row>
    <row r="2404" spans="6:7" ht="15.5">
      <c r="F2404" s="76">
        <v>302332</v>
      </c>
      <c r="G2404" s="77" t="s">
        <v>2835</v>
      </c>
    </row>
    <row r="2405" spans="6:7" ht="15.5">
      <c r="F2405" s="76">
        <v>314108</v>
      </c>
      <c r="G2405" s="77" t="s">
        <v>2836</v>
      </c>
    </row>
    <row r="2406" spans="6:7" ht="15.5">
      <c r="F2406" s="76">
        <v>315503</v>
      </c>
      <c r="G2406" s="77" t="s">
        <v>2837</v>
      </c>
    </row>
    <row r="2407" spans="6:7" ht="15.5">
      <c r="F2407" s="76">
        <v>315049</v>
      </c>
      <c r="G2407" s="77" t="s">
        <v>2838</v>
      </c>
    </row>
    <row r="2408" spans="6:7" ht="15.5">
      <c r="F2408" s="76">
        <v>315373</v>
      </c>
      <c r="G2408" s="77" t="s">
        <v>2839</v>
      </c>
    </row>
    <row r="2409" spans="6:7" ht="15.5">
      <c r="F2409" s="76">
        <v>311866</v>
      </c>
      <c r="G2409" s="77" t="s">
        <v>2840</v>
      </c>
    </row>
    <row r="2410" spans="6:7" ht="15.5">
      <c r="F2410" s="76">
        <v>310220</v>
      </c>
      <c r="G2410" s="77" t="s">
        <v>2841</v>
      </c>
    </row>
    <row r="2411" spans="6:7" ht="15.5">
      <c r="F2411" s="76">
        <v>315769</v>
      </c>
      <c r="G2411" s="77" t="s">
        <v>2842</v>
      </c>
    </row>
    <row r="2412" spans="6:7" ht="15.5">
      <c r="F2412" s="76">
        <v>313446</v>
      </c>
      <c r="G2412" s="77" t="s">
        <v>2843</v>
      </c>
    </row>
    <row r="2413" spans="6:7" ht="15.5">
      <c r="F2413" s="76">
        <v>90035174</v>
      </c>
      <c r="G2413" s="77" t="s">
        <v>2844</v>
      </c>
    </row>
    <row r="2414" spans="6:7" ht="15.5">
      <c r="F2414" s="76">
        <v>311322</v>
      </c>
      <c r="G2414" s="77" t="s">
        <v>2845</v>
      </c>
    </row>
    <row r="2415" spans="6:7" ht="15.5">
      <c r="F2415" s="76">
        <v>305903</v>
      </c>
      <c r="G2415" s="77" t="s">
        <v>2846</v>
      </c>
    </row>
    <row r="2416" spans="6:7" ht="15.5">
      <c r="F2416" s="76">
        <v>90038417</v>
      </c>
      <c r="G2416" s="77" t="s">
        <v>2847</v>
      </c>
    </row>
    <row r="2417" spans="6:7" ht="15.5">
      <c r="F2417" s="76">
        <v>90039184</v>
      </c>
      <c r="G2417" s="77" t="s">
        <v>2848</v>
      </c>
    </row>
    <row r="2418" spans="6:7" ht="15.5">
      <c r="F2418" s="76">
        <v>314544</v>
      </c>
      <c r="G2418" s="77" t="s">
        <v>2849</v>
      </c>
    </row>
    <row r="2419" spans="6:7" ht="15.5">
      <c r="F2419" s="76">
        <v>315602</v>
      </c>
      <c r="G2419" s="77" t="s">
        <v>2850</v>
      </c>
    </row>
    <row r="2420" spans="6:7" ht="15.5">
      <c r="F2420" s="76">
        <v>314405</v>
      </c>
      <c r="G2420" s="77" t="s">
        <v>2851</v>
      </c>
    </row>
    <row r="2421" spans="6:7" ht="15.5">
      <c r="F2421" s="76">
        <v>311048</v>
      </c>
      <c r="G2421" s="77" t="s">
        <v>2852</v>
      </c>
    </row>
    <row r="2422" spans="6:7" ht="15.5">
      <c r="F2422" s="76">
        <v>311005</v>
      </c>
      <c r="G2422" s="77" t="s">
        <v>2853</v>
      </c>
    </row>
    <row r="2423" spans="6:7" ht="15.5">
      <c r="F2423" s="76">
        <v>304024</v>
      </c>
      <c r="G2423" s="77" t="s">
        <v>2854</v>
      </c>
    </row>
    <row r="2424" spans="6:7" ht="15.5">
      <c r="F2424" s="76">
        <v>308474</v>
      </c>
      <c r="G2424" s="77" t="s">
        <v>2855</v>
      </c>
    </row>
    <row r="2425" spans="6:7" ht="15.5">
      <c r="F2425" s="76">
        <v>300999</v>
      </c>
      <c r="G2425" s="77" t="s">
        <v>2856</v>
      </c>
    </row>
    <row r="2426" spans="6:7" ht="15.5">
      <c r="F2426" s="76">
        <v>302596</v>
      </c>
      <c r="G2426" s="77" t="s">
        <v>2857</v>
      </c>
    </row>
    <row r="2427" spans="6:7" ht="15.5">
      <c r="F2427" s="76">
        <v>315884</v>
      </c>
      <c r="G2427" s="77" t="s">
        <v>2858</v>
      </c>
    </row>
    <row r="2428" spans="6:7" ht="15.5">
      <c r="F2428" s="76">
        <v>309689</v>
      </c>
      <c r="G2428" s="77" t="s">
        <v>2859</v>
      </c>
    </row>
    <row r="2429" spans="6:7" ht="15.5">
      <c r="F2429" s="76">
        <v>90046255</v>
      </c>
      <c r="G2429" s="77" t="s">
        <v>2860</v>
      </c>
    </row>
    <row r="2430" spans="6:7" ht="15.5">
      <c r="F2430" s="76">
        <v>313649</v>
      </c>
      <c r="G2430" s="77" t="s">
        <v>2861</v>
      </c>
    </row>
    <row r="2431" spans="6:7" ht="15.5">
      <c r="F2431" s="76">
        <v>90038303</v>
      </c>
      <c r="G2431" s="77" t="s">
        <v>2862</v>
      </c>
    </row>
    <row r="2432" spans="6:7" ht="15.5">
      <c r="F2432" s="76">
        <v>311258</v>
      </c>
      <c r="G2432" s="77" t="s">
        <v>2863</v>
      </c>
    </row>
    <row r="2433" spans="6:7" ht="15.5">
      <c r="F2433" s="76">
        <v>314367</v>
      </c>
      <c r="G2433" s="77" t="s">
        <v>2864</v>
      </c>
    </row>
    <row r="2434" spans="6:7" ht="15.5">
      <c r="F2434" s="76">
        <v>90039521</v>
      </c>
      <c r="G2434" s="77" t="s">
        <v>2865</v>
      </c>
    </row>
    <row r="2435" spans="6:7" ht="15.5">
      <c r="F2435" s="76">
        <v>311202</v>
      </c>
      <c r="G2435" s="77" t="s">
        <v>2866</v>
      </c>
    </row>
    <row r="2436" spans="6:7" ht="15.5">
      <c r="F2436" s="76">
        <v>315399</v>
      </c>
      <c r="G2436" s="77" t="s">
        <v>2867</v>
      </c>
    </row>
    <row r="2437" spans="6:7" ht="15.5">
      <c r="F2437" s="76">
        <v>312875</v>
      </c>
      <c r="G2437" s="77" t="s">
        <v>2868</v>
      </c>
    </row>
    <row r="2438" spans="6:7" ht="15.5">
      <c r="F2438" s="76">
        <v>313671</v>
      </c>
      <c r="G2438" s="77" t="s">
        <v>2869</v>
      </c>
    </row>
    <row r="2439" spans="6:7" ht="15.5">
      <c r="F2439" s="76">
        <v>90049224</v>
      </c>
      <c r="G2439" s="77" t="s">
        <v>2870</v>
      </c>
    </row>
    <row r="2440" spans="6:7" ht="15.5">
      <c r="F2440" s="76">
        <v>315529</v>
      </c>
      <c r="G2440" s="77" t="s">
        <v>2871</v>
      </c>
    </row>
    <row r="2441" spans="6:7" ht="15.5">
      <c r="F2441" s="76">
        <v>315619</v>
      </c>
      <c r="G2441" s="77" t="s">
        <v>2872</v>
      </c>
    </row>
    <row r="2442" spans="6:7" ht="15.5">
      <c r="F2442" s="76">
        <v>310009</v>
      </c>
      <c r="G2442" s="77" t="s">
        <v>2873</v>
      </c>
    </row>
    <row r="2443" spans="6:7" ht="15.5">
      <c r="F2443" s="76">
        <v>308693</v>
      </c>
      <c r="G2443" s="77" t="s">
        <v>2874</v>
      </c>
    </row>
    <row r="2444" spans="6:7" ht="15.5">
      <c r="F2444" s="76">
        <v>316415</v>
      </c>
      <c r="G2444" s="77" t="s">
        <v>2875</v>
      </c>
    </row>
    <row r="2445" spans="6:7" ht="15.5">
      <c r="F2445" s="76">
        <v>90047927</v>
      </c>
      <c r="G2445" s="77" t="s">
        <v>2876</v>
      </c>
    </row>
    <row r="2446" spans="6:7" ht="15.5">
      <c r="F2446" s="76">
        <v>300347</v>
      </c>
      <c r="G2446" s="77" t="s">
        <v>2877</v>
      </c>
    </row>
    <row r="2447" spans="6:7" ht="15.5">
      <c r="F2447" s="76">
        <v>306597</v>
      </c>
      <c r="G2447" s="77" t="s">
        <v>2878</v>
      </c>
    </row>
    <row r="2448" spans="6:7" ht="15.5">
      <c r="F2448" s="76">
        <v>312772</v>
      </c>
      <c r="G2448" s="77" t="s">
        <v>2879</v>
      </c>
    </row>
    <row r="2449" spans="6:7" ht="15.5">
      <c r="F2449" s="76">
        <v>313261</v>
      </c>
      <c r="G2449" s="77" t="s">
        <v>2880</v>
      </c>
    </row>
    <row r="2450" spans="6:7" ht="15.5">
      <c r="F2450" s="76">
        <v>314636</v>
      </c>
      <c r="G2450" s="77" t="s">
        <v>2881</v>
      </c>
    </row>
    <row r="2451" spans="6:7" ht="15.5">
      <c r="F2451" s="76">
        <v>90046206</v>
      </c>
      <c r="G2451" s="77" t="s">
        <v>2882</v>
      </c>
    </row>
    <row r="2452" spans="6:7" ht="15.5">
      <c r="F2452" s="76">
        <v>90040567</v>
      </c>
      <c r="G2452" s="77" t="s">
        <v>2883</v>
      </c>
    </row>
    <row r="2453" spans="6:7" ht="15.5">
      <c r="F2453" s="76">
        <v>301033</v>
      </c>
      <c r="G2453" s="77" t="s">
        <v>2884</v>
      </c>
    </row>
    <row r="2454" spans="6:7" ht="15.5">
      <c r="F2454" s="76">
        <v>305935</v>
      </c>
      <c r="G2454" s="77" t="s">
        <v>2885</v>
      </c>
    </row>
    <row r="2455" spans="6:7" ht="15.5">
      <c r="F2455" s="76">
        <v>315651</v>
      </c>
      <c r="G2455" s="77" t="s">
        <v>2886</v>
      </c>
    </row>
    <row r="2456" spans="6:7" ht="15.5">
      <c r="F2456" s="76">
        <v>315324</v>
      </c>
      <c r="G2456" s="77" t="s">
        <v>2887</v>
      </c>
    </row>
    <row r="2457" spans="6:7" ht="15.5">
      <c r="F2457" s="76">
        <v>310994</v>
      </c>
      <c r="G2457" s="77" t="s">
        <v>2888</v>
      </c>
    </row>
    <row r="2458" spans="6:7" ht="15.5">
      <c r="F2458" s="76">
        <v>312478</v>
      </c>
      <c r="G2458" s="77" t="s">
        <v>2889</v>
      </c>
    </row>
    <row r="2459" spans="6:7" ht="15.5">
      <c r="F2459" s="76">
        <v>313756</v>
      </c>
      <c r="G2459" s="77" t="s">
        <v>2890</v>
      </c>
    </row>
    <row r="2460" spans="6:7" ht="15.5">
      <c r="F2460" s="76">
        <v>315577</v>
      </c>
      <c r="G2460" s="77" t="s">
        <v>2891</v>
      </c>
    </row>
    <row r="2461" spans="6:7" ht="15.5">
      <c r="F2461" s="76">
        <v>312305</v>
      </c>
      <c r="G2461" s="77" t="s">
        <v>2892</v>
      </c>
    </row>
    <row r="2462" spans="6:7" ht="15.5">
      <c r="F2462" s="76">
        <v>313388</v>
      </c>
      <c r="G2462" s="77" t="s">
        <v>2893</v>
      </c>
    </row>
    <row r="2463" spans="6:7" ht="15.5">
      <c r="F2463" s="76">
        <v>312738</v>
      </c>
      <c r="G2463" s="77" t="s">
        <v>2894</v>
      </c>
    </row>
    <row r="2464" spans="6:7" ht="15.5">
      <c r="F2464" s="76">
        <v>316081</v>
      </c>
      <c r="G2464" s="77" t="s">
        <v>2895</v>
      </c>
    </row>
    <row r="2465" spans="6:7" ht="15.5">
      <c r="F2465" s="76">
        <v>304802</v>
      </c>
      <c r="G2465" s="77" t="s">
        <v>2896</v>
      </c>
    </row>
    <row r="2466" spans="6:7" ht="15.5">
      <c r="F2466" s="76">
        <v>90050146</v>
      </c>
      <c r="G2466" s="77" t="s">
        <v>2897</v>
      </c>
    </row>
    <row r="2467" spans="6:7" ht="15.5">
      <c r="F2467" s="76">
        <v>309177</v>
      </c>
      <c r="G2467" s="77" t="s">
        <v>2898</v>
      </c>
    </row>
    <row r="2468" spans="6:7" ht="15.5">
      <c r="F2468" s="76">
        <v>315364</v>
      </c>
      <c r="G2468" s="77" t="s">
        <v>2899</v>
      </c>
    </row>
    <row r="2469" spans="6:7" ht="15.5">
      <c r="F2469" s="76">
        <v>316001</v>
      </c>
      <c r="G2469" s="77" t="s">
        <v>2900</v>
      </c>
    </row>
    <row r="2470" spans="6:7" ht="15.5">
      <c r="F2470" s="76">
        <v>90034296</v>
      </c>
      <c r="G2470" s="77" t="s">
        <v>2901</v>
      </c>
    </row>
    <row r="2471" spans="6:7" ht="15.5">
      <c r="F2471" s="76">
        <v>308431</v>
      </c>
      <c r="G2471" s="77" t="s">
        <v>2902</v>
      </c>
    </row>
    <row r="2472" spans="6:7" ht="15.5">
      <c r="F2472" s="76">
        <v>315096</v>
      </c>
      <c r="G2472" s="77" t="s">
        <v>2903</v>
      </c>
    </row>
    <row r="2473" spans="6:7" ht="15.5">
      <c r="F2473" s="76">
        <v>314551</v>
      </c>
      <c r="G2473" s="77" t="s">
        <v>2904</v>
      </c>
    </row>
    <row r="2474" spans="6:7" ht="15.5">
      <c r="F2474" s="76">
        <v>312886</v>
      </c>
      <c r="G2474" s="77" t="s">
        <v>2905</v>
      </c>
    </row>
    <row r="2475" spans="6:7" ht="15.5">
      <c r="F2475" s="76">
        <v>306851</v>
      </c>
      <c r="G2475" s="77" t="s">
        <v>2906</v>
      </c>
    </row>
    <row r="2476" spans="6:7" ht="15.5">
      <c r="F2476" s="76">
        <v>313707</v>
      </c>
      <c r="G2476" s="77" t="s">
        <v>2907</v>
      </c>
    </row>
    <row r="2477" spans="6:7" ht="15.5">
      <c r="F2477" s="76">
        <v>316041</v>
      </c>
      <c r="G2477" s="77" t="s">
        <v>2908</v>
      </c>
    </row>
    <row r="2478" spans="6:7" ht="15.5">
      <c r="F2478" s="76">
        <v>314055</v>
      </c>
      <c r="G2478" s="77" t="s">
        <v>2909</v>
      </c>
    </row>
    <row r="2479" spans="6:7" ht="15.5">
      <c r="F2479" s="76">
        <v>310388</v>
      </c>
      <c r="G2479" s="77" t="s">
        <v>2910</v>
      </c>
    </row>
    <row r="2480" spans="6:7" ht="15.5">
      <c r="F2480" s="76">
        <v>315106</v>
      </c>
      <c r="G2480" s="77" t="s">
        <v>2911</v>
      </c>
    </row>
    <row r="2481" spans="6:7" ht="15.5">
      <c r="F2481" s="76">
        <v>314063</v>
      </c>
      <c r="G2481" s="77" t="s">
        <v>2912</v>
      </c>
    </row>
    <row r="2482" spans="6:7" ht="15.5">
      <c r="F2482" s="76">
        <v>308069</v>
      </c>
      <c r="G2482" s="77" t="s">
        <v>2913</v>
      </c>
    </row>
    <row r="2483" spans="6:7" ht="15.5">
      <c r="F2483" s="76">
        <v>313300</v>
      </c>
      <c r="G2483" s="77" t="s">
        <v>2914</v>
      </c>
    </row>
    <row r="2484" spans="6:7" ht="15.5">
      <c r="F2484" s="76">
        <v>309284</v>
      </c>
      <c r="G2484" s="77" t="s">
        <v>2915</v>
      </c>
    </row>
    <row r="2485" spans="6:7" ht="15.5">
      <c r="F2485" s="76">
        <v>314284</v>
      </c>
      <c r="G2485" s="77" t="s">
        <v>2916</v>
      </c>
    </row>
    <row r="2486" spans="6:7" ht="15.5">
      <c r="F2486" s="76">
        <v>314821</v>
      </c>
      <c r="G2486" s="77" t="s">
        <v>2917</v>
      </c>
    </row>
    <row r="2487" spans="6:7" ht="15.5">
      <c r="F2487" s="76">
        <v>314881</v>
      </c>
      <c r="G2487" s="77" t="s">
        <v>2918</v>
      </c>
    </row>
    <row r="2488" spans="6:7" ht="15.5">
      <c r="F2488" s="76">
        <v>313027</v>
      </c>
      <c r="G2488" s="77" t="s">
        <v>2919</v>
      </c>
    </row>
    <row r="2489" spans="6:7" ht="15.5">
      <c r="F2489" s="76">
        <v>90013782</v>
      </c>
      <c r="G2489" s="77" t="s">
        <v>2920</v>
      </c>
    </row>
    <row r="2490" spans="6:7" ht="15.5">
      <c r="F2490" s="76">
        <v>314221</v>
      </c>
      <c r="G2490" s="77" t="s">
        <v>2921</v>
      </c>
    </row>
    <row r="2491" spans="6:7" ht="15.5">
      <c r="F2491" s="76">
        <v>90045665</v>
      </c>
      <c r="G2491" s="77" t="s">
        <v>2922</v>
      </c>
    </row>
    <row r="2492" spans="6:7" ht="15.5">
      <c r="F2492" s="76">
        <v>90034878</v>
      </c>
      <c r="G2492" s="77" t="s">
        <v>2923</v>
      </c>
    </row>
    <row r="2493" spans="6:7" ht="15.5">
      <c r="F2493" s="76">
        <v>314947</v>
      </c>
      <c r="G2493" s="77" t="s">
        <v>2924</v>
      </c>
    </row>
    <row r="2494" spans="6:7" ht="15.5">
      <c r="F2494" s="76">
        <v>306656</v>
      </c>
      <c r="G2494" s="77" t="s">
        <v>2925</v>
      </c>
    </row>
    <row r="2495" spans="6:7" ht="15.5">
      <c r="F2495" s="76">
        <v>314391</v>
      </c>
      <c r="G2495" s="77" t="s">
        <v>2926</v>
      </c>
    </row>
    <row r="2496" spans="6:7" ht="15.5">
      <c r="F2496" s="76">
        <v>308506</v>
      </c>
      <c r="G2496" s="77" t="s">
        <v>2927</v>
      </c>
    </row>
    <row r="2497" spans="6:7" ht="15.5">
      <c r="F2497" s="76">
        <v>316240</v>
      </c>
      <c r="G2497" s="77" t="s">
        <v>2928</v>
      </c>
    </row>
    <row r="2498" spans="6:7" ht="15.5">
      <c r="F2498" s="76">
        <v>313106</v>
      </c>
      <c r="G2498" s="77" t="s">
        <v>2929</v>
      </c>
    </row>
    <row r="2499" spans="6:7" ht="15.5">
      <c r="F2499" s="76">
        <v>316393</v>
      </c>
      <c r="G2499" s="77" t="s">
        <v>2930</v>
      </c>
    </row>
    <row r="2500" spans="6:7" ht="15.5">
      <c r="F2500" s="76">
        <v>90028488</v>
      </c>
      <c r="G2500" s="77" t="s">
        <v>2931</v>
      </c>
    </row>
    <row r="2501" spans="6:7" ht="15.5">
      <c r="F2501" s="76">
        <v>316487</v>
      </c>
      <c r="G2501" s="77" t="s">
        <v>2932</v>
      </c>
    </row>
    <row r="2502" spans="6:7" ht="15.5">
      <c r="F2502" s="76">
        <v>90035173</v>
      </c>
      <c r="G2502" s="77" t="s">
        <v>2933</v>
      </c>
    </row>
    <row r="2503" spans="6:7" ht="15.5">
      <c r="F2503" s="76">
        <v>308686</v>
      </c>
      <c r="G2503" s="77" t="s">
        <v>2934</v>
      </c>
    </row>
    <row r="2504" spans="6:7" ht="15.5">
      <c r="F2504" s="76">
        <v>312859</v>
      </c>
      <c r="G2504" s="77" t="s">
        <v>2935</v>
      </c>
    </row>
    <row r="2505" spans="6:7" ht="15.5">
      <c r="F2505" s="76">
        <v>308753</v>
      </c>
      <c r="G2505" s="77" t="s">
        <v>2936</v>
      </c>
    </row>
    <row r="2506" spans="6:7" ht="15.5">
      <c r="F2506" s="76">
        <v>312770</v>
      </c>
      <c r="G2506" s="77" t="s">
        <v>2937</v>
      </c>
    </row>
    <row r="2507" spans="6:7" ht="15.5">
      <c r="F2507" s="76">
        <v>312480</v>
      </c>
      <c r="G2507" s="77" t="s">
        <v>2938</v>
      </c>
    </row>
    <row r="2508" spans="6:7" ht="15.5">
      <c r="F2508" s="76">
        <v>300978</v>
      </c>
      <c r="G2508" s="77" t="s">
        <v>2939</v>
      </c>
    </row>
    <row r="2509" spans="6:7" ht="15.5">
      <c r="F2509" s="76">
        <v>305989</v>
      </c>
      <c r="G2509" s="77" t="s">
        <v>2940</v>
      </c>
    </row>
    <row r="2510" spans="6:7" ht="15.5">
      <c r="F2510" s="76">
        <v>90028732</v>
      </c>
      <c r="G2510" s="77" t="s">
        <v>2941</v>
      </c>
    </row>
    <row r="2511" spans="6:7" ht="15.5">
      <c r="F2511" s="76">
        <v>314819</v>
      </c>
      <c r="G2511" s="77" t="s">
        <v>2942</v>
      </c>
    </row>
    <row r="2512" spans="6:7" ht="15.5">
      <c r="F2512" s="76">
        <v>315385</v>
      </c>
      <c r="G2512" s="77" t="s">
        <v>2943</v>
      </c>
    </row>
    <row r="2513" spans="6:7" ht="15.5">
      <c r="F2513" s="76">
        <v>306493</v>
      </c>
      <c r="G2513" s="77" t="s">
        <v>2944</v>
      </c>
    </row>
    <row r="2514" spans="6:7" ht="15.5">
      <c r="F2514" s="76">
        <v>315416</v>
      </c>
      <c r="G2514" s="77" t="s">
        <v>2945</v>
      </c>
    </row>
    <row r="2515" spans="6:7" ht="15.5">
      <c r="F2515" s="76">
        <v>309963</v>
      </c>
      <c r="G2515" s="77" t="s">
        <v>2946</v>
      </c>
    </row>
    <row r="2516" spans="6:7" ht="15.5">
      <c r="F2516" s="76">
        <v>312248</v>
      </c>
      <c r="G2516" s="77" t="s">
        <v>2947</v>
      </c>
    </row>
    <row r="2517" spans="6:7" ht="15.5">
      <c r="F2517" s="76">
        <v>90024274</v>
      </c>
      <c r="G2517" s="77" t="s">
        <v>2948</v>
      </c>
    </row>
    <row r="2518" spans="6:7" ht="15.5">
      <c r="F2518" s="76">
        <v>90041206</v>
      </c>
      <c r="G2518" s="77" t="s">
        <v>2949</v>
      </c>
    </row>
    <row r="2519" spans="6:7" ht="15.5">
      <c r="F2519" s="76">
        <v>310159</v>
      </c>
      <c r="G2519" s="77" t="s">
        <v>2950</v>
      </c>
    </row>
    <row r="2520" spans="6:7" ht="15.5">
      <c r="F2520" s="76">
        <v>309920</v>
      </c>
      <c r="G2520" s="77" t="s">
        <v>2951</v>
      </c>
    </row>
    <row r="2521" spans="6:7" ht="15.5">
      <c r="F2521" s="76">
        <v>90028299</v>
      </c>
      <c r="G2521" s="77" t="s">
        <v>2952</v>
      </c>
    </row>
    <row r="2522" spans="6:7" ht="15.5">
      <c r="F2522" s="76">
        <v>312505</v>
      </c>
      <c r="G2522" s="77" t="s">
        <v>2953</v>
      </c>
    </row>
    <row r="2523" spans="6:7" ht="15.5">
      <c r="F2523" s="76">
        <v>309463</v>
      </c>
      <c r="G2523" s="77" t="s">
        <v>2954</v>
      </c>
    </row>
    <row r="2524" spans="6:7" ht="15.5">
      <c r="F2524" s="76">
        <v>313857</v>
      </c>
      <c r="G2524" s="77" t="s">
        <v>2955</v>
      </c>
    </row>
    <row r="2525" spans="6:7" ht="15.5">
      <c r="F2525" s="76">
        <v>90048557</v>
      </c>
      <c r="G2525" s="77" t="s">
        <v>2956</v>
      </c>
    </row>
    <row r="2526" spans="6:7" ht="15.5">
      <c r="F2526" s="76">
        <v>315847</v>
      </c>
      <c r="G2526" s="77" t="s">
        <v>2957</v>
      </c>
    </row>
    <row r="2527" spans="6:7" ht="15.5">
      <c r="F2527" s="76">
        <v>313628</v>
      </c>
      <c r="G2527" s="77" t="s">
        <v>2958</v>
      </c>
    </row>
    <row r="2528" spans="6:7" ht="15.5">
      <c r="F2528" s="76">
        <v>310318</v>
      </c>
      <c r="G2528" s="77" t="s">
        <v>2959</v>
      </c>
    </row>
    <row r="2529" spans="6:7" ht="15.5">
      <c r="F2529" s="76">
        <v>315207</v>
      </c>
      <c r="G2529" s="77" t="s">
        <v>2960</v>
      </c>
    </row>
    <row r="2530" spans="6:7" ht="15.5">
      <c r="F2530" s="76">
        <v>313558</v>
      </c>
      <c r="G2530" s="77" t="s">
        <v>2961</v>
      </c>
    </row>
    <row r="2531" spans="6:7" ht="15.5">
      <c r="F2531" s="76">
        <v>315200</v>
      </c>
      <c r="G2531" s="77" t="s">
        <v>2962</v>
      </c>
    </row>
    <row r="2532" spans="6:7" ht="15.5">
      <c r="F2532" s="76">
        <v>303083</v>
      </c>
      <c r="G2532" s="77" t="s">
        <v>2963</v>
      </c>
    </row>
    <row r="2533" spans="6:7" ht="15.5">
      <c r="F2533" s="76">
        <v>313221</v>
      </c>
      <c r="G2533" s="77" t="s">
        <v>2964</v>
      </c>
    </row>
    <row r="2534" spans="6:7" ht="15.5">
      <c r="F2534" s="76">
        <v>315374</v>
      </c>
      <c r="G2534" s="77" t="s">
        <v>2965</v>
      </c>
    </row>
    <row r="2535" spans="6:7" ht="15.5">
      <c r="F2535" s="76">
        <v>316152</v>
      </c>
      <c r="G2535" s="77" t="s">
        <v>2966</v>
      </c>
    </row>
    <row r="2536" spans="6:7" ht="15.5">
      <c r="F2536" s="76">
        <v>314613</v>
      </c>
      <c r="G2536" s="77" t="s">
        <v>2967</v>
      </c>
    </row>
    <row r="2537" spans="6:7" ht="15.5">
      <c r="F2537" s="76">
        <v>308434</v>
      </c>
      <c r="G2537" s="77" t="s">
        <v>2968</v>
      </c>
    </row>
    <row r="2538" spans="6:7" ht="15.5">
      <c r="F2538" s="76">
        <v>316096</v>
      </c>
      <c r="G2538" s="77" t="s">
        <v>2969</v>
      </c>
    </row>
    <row r="2539" spans="6:7" ht="15.5">
      <c r="F2539" s="76">
        <v>312219</v>
      </c>
      <c r="G2539" s="77" t="s">
        <v>2970</v>
      </c>
    </row>
    <row r="2540" spans="6:7" ht="15.5">
      <c r="F2540" s="76">
        <v>315801</v>
      </c>
      <c r="G2540" s="77" t="s">
        <v>2971</v>
      </c>
    </row>
    <row r="2541" spans="6:7" ht="15.5">
      <c r="F2541" s="76">
        <v>313725</v>
      </c>
      <c r="G2541" s="77" t="s">
        <v>2972</v>
      </c>
    </row>
    <row r="2542" spans="6:7" ht="15.5">
      <c r="F2542" s="76">
        <v>90020699</v>
      </c>
      <c r="G2542" s="77" t="s">
        <v>2973</v>
      </c>
    </row>
    <row r="2543" spans="6:7" ht="15.5">
      <c r="F2543" s="76">
        <v>315477</v>
      </c>
      <c r="G2543" s="77" t="s">
        <v>2974</v>
      </c>
    </row>
    <row r="2544" spans="6:7" ht="15.5">
      <c r="F2544" s="76">
        <v>314069</v>
      </c>
      <c r="G2544" s="77" t="s">
        <v>2975</v>
      </c>
    </row>
    <row r="2545" spans="6:7" ht="15.5">
      <c r="F2545" s="76">
        <v>314562</v>
      </c>
      <c r="G2545" s="77" t="s">
        <v>2976</v>
      </c>
    </row>
    <row r="2546" spans="6:7" ht="15.5">
      <c r="F2546" s="76">
        <v>311581</v>
      </c>
      <c r="G2546" s="77" t="s">
        <v>2977</v>
      </c>
    </row>
    <row r="2547" spans="6:7" ht="15.5">
      <c r="F2547" s="76">
        <v>312579</v>
      </c>
      <c r="G2547" s="77" t="s">
        <v>2978</v>
      </c>
    </row>
    <row r="2548" spans="6:7" ht="15.5">
      <c r="F2548" s="76">
        <v>316327</v>
      </c>
      <c r="G2548" s="77" t="s">
        <v>2979</v>
      </c>
    </row>
    <row r="2549" spans="6:7" ht="15.5">
      <c r="F2549" s="76">
        <v>315433</v>
      </c>
      <c r="G2549" s="77" t="s">
        <v>2980</v>
      </c>
    </row>
    <row r="2550" spans="6:7" ht="15.5">
      <c r="F2550" s="76">
        <v>316112</v>
      </c>
      <c r="G2550" s="77" t="s">
        <v>2981</v>
      </c>
    </row>
    <row r="2551" spans="6:7" ht="15.5">
      <c r="F2551" s="76">
        <v>316261</v>
      </c>
      <c r="G2551" s="77" t="s">
        <v>2982</v>
      </c>
    </row>
    <row r="2552" spans="6:7" ht="15.5">
      <c r="F2552" s="76">
        <v>314282</v>
      </c>
      <c r="G2552" s="77" t="s">
        <v>2983</v>
      </c>
    </row>
    <row r="2553" spans="6:7" ht="15.5">
      <c r="F2553" s="76">
        <v>311486</v>
      </c>
      <c r="G2553" s="77" t="s">
        <v>2984</v>
      </c>
    </row>
    <row r="2554" spans="6:7" ht="15.5">
      <c r="F2554" s="76">
        <v>315060</v>
      </c>
      <c r="G2554" s="77" t="s">
        <v>2985</v>
      </c>
    </row>
    <row r="2555" spans="6:7" ht="15.5">
      <c r="F2555" s="76">
        <v>312632</v>
      </c>
      <c r="G2555" s="77" t="s">
        <v>2986</v>
      </c>
    </row>
    <row r="2556" spans="6:7" ht="15.5">
      <c r="F2556" s="76">
        <v>312988</v>
      </c>
      <c r="G2556" s="77" t="s">
        <v>2987</v>
      </c>
    </row>
    <row r="2557" spans="6:7" ht="15.5">
      <c r="F2557" s="76">
        <v>305872</v>
      </c>
      <c r="G2557" s="77" t="s">
        <v>2988</v>
      </c>
    </row>
    <row r="2558" spans="6:7" ht="15.5">
      <c r="F2558" s="76">
        <v>312087</v>
      </c>
      <c r="G2558" s="77" t="s">
        <v>2989</v>
      </c>
    </row>
    <row r="2559" spans="6:7" ht="15.5">
      <c r="F2559" s="76">
        <v>312317</v>
      </c>
      <c r="G2559" s="77" t="s">
        <v>2990</v>
      </c>
    </row>
    <row r="2560" spans="6:7" ht="15.5">
      <c r="F2560" s="76">
        <v>313057</v>
      </c>
      <c r="G2560" s="77" t="s">
        <v>2991</v>
      </c>
    </row>
    <row r="2561" spans="6:7" ht="15.5">
      <c r="F2561" s="76">
        <v>314700</v>
      </c>
      <c r="G2561" s="77" t="s">
        <v>2992</v>
      </c>
    </row>
    <row r="2562" spans="6:7" ht="15.5">
      <c r="F2562" s="76">
        <v>314280</v>
      </c>
      <c r="G2562" s="77" t="s">
        <v>2993</v>
      </c>
    </row>
    <row r="2563" spans="6:7" ht="15.5">
      <c r="F2563" s="76">
        <v>315799</v>
      </c>
      <c r="G2563" s="77" t="s">
        <v>2994</v>
      </c>
    </row>
    <row r="2564" spans="6:7" ht="15.5">
      <c r="F2564" s="76">
        <v>90009250</v>
      </c>
      <c r="G2564" s="77" t="s">
        <v>2995</v>
      </c>
    </row>
    <row r="2565" spans="6:7" ht="15.5">
      <c r="F2565" s="76">
        <v>90021120</v>
      </c>
      <c r="G2565" s="77" t="s">
        <v>2996</v>
      </c>
    </row>
    <row r="2566" spans="6:7" ht="15.5">
      <c r="F2566" s="76">
        <v>90009268</v>
      </c>
      <c r="G2566" s="77" t="s">
        <v>2997</v>
      </c>
    </row>
    <row r="2567" spans="6:7" ht="15.5">
      <c r="F2567" s="76">
        <v>314388</v>
      </c>
      <c r="G2567" s="77" t="s">
        <v>2998</v>
      </c>
    </row>
    <row r="2568" spans="6:7" ht="15.5">
      <c r="F2568" s="76">
        <v>310717</v>
      </c>
      <c r="G2568" s="77" t="s">
        <v>2999</v>
      </c>
    </row>
    <row r="2569" spans="6:7" ht="15.5">
      <c r="F2569" s="76">
        <v>90033492</v>
      </c>
      <c r="G2569" s="77" t="s">
        <v>3000</v>
      </c>
    </row>
    <row r="2570" spans="6:7" ht="15.5">
      <c r="F2570" s="76">
        <v>314472</v>
      </c>
      <c r="G2570" s="77" t="s">
        <v>3001</v>
      </c>
    </row>
    <row r="2571" spans="6:7" ht="15.5">
      <c r="F2571" s="76">
        <v>310871</v>
      </c>
      <c r="G2571" s="77" t="s">
        <v>3002</v>
      </c>
    </row>
    <row r="2572" spans="6:7" ht="15.5">
      <c r="F2572" s="76">
        <v>302802</v>
      </c>
      <c r="G2572" s="77" t="s">
        <v>3003</v>
      </c>
    </row>
    <row r="2573" spans="6:7" ht="15.5">
      <c r="F2573" s="76">
        <v>316489</v>
      </c>
      <c r="G2573" s="77" t="s">
        <v>3004</v>
      </c>
    </row>
    <row r="2574" spans="6:7" ht="15.5">
      <c r="F2574" s="76">
        <v>310778</v>
      </c>
      <c r="G2574" s="77" t="s">
        <v>3005</v>
      </c>
    </row>
    <row r="2575" spans="6:7" ht="15.5">
      <c r="F2575" s="76">
        <v>309651</v>
      </c>
      <c r="G2575" s="77" t="s">
        <v>3006</v>
      </c>
    </row>
    <row r="2576" spans="6:7" ht="15.5">
      <c r="F2576" s="76">
        <v>315308</v>
      </c>
      <c r="G2576" s="77" t="s">
        <v>3007</v>
      </c>
    </row>
    <row r="2577" spans="6:7" ht="15.5">
      <c r="F2577" s="76">
        <v>315630</v>
      </c>
      <c r="G2577" s="77" t="s">
        <v>3008</v>
      </c>
    </row>
    <row r="2578" spans="6:7" ht="15.5">
      <c r="F2578" s="76">
        <v>315570</v>
      </c>
      <c r="G2578" s="77" t="s">
        <v>3009</v>
      </c>
    </row>
    <row r="2579" spans="6:7" ht="15.5">
      <c r="F2579" s="76">
        <v>312551</v>
      </c>
      <c r="G2579" s="77" t="s">
        <v>3010</v>
      </c>
    </row>
    <row r="2580" spans="6:7" ht="15.5">
      <c r="F2580" s="76">
        <v>315188</v>
      </c>
      <c r="G2580" s="77" t="s">
        <v>3011</v>
      </c>
    </row>
    <row r="2581" spans="6:7" ht="15.5">
      <c r="F2581" s="76">
        <v>90034374</v>
      </c>
      <c r="G2581" s="77" t="s">
        <v>3012</v>
      </c>
    </row>
    <row r="2582" spans="6:7" ht="15.5">
      <c r="F2582" s="76">
        <v>306856</v>
      </c>
      <c r="G2582" s="77" t="s">
        <v>3013</v>
      </c>
    </row>
    <row r="2583" spans="6:7" ht="15.5">
      <c r="F2583" s="76">
        <v>313411</v>
      </c>
      <c r="G2583" s="77" t="s">
        <v>3014</v>
      </c>
    </row>
    <row r="2584" spans="6:7" ht="15.5">
      <c r="F2584" s="76">
        <v>312665</v>
      </c>
      <c r="G2584" s="77" t="s">
        <v>3015</v>
      </c>
    </row>
    <row r="2585" spans="6:7" ht="15.5">
      <c r="F2585" s="76">
        <v>314042</v>
      </c>
      <c r="G2585" s="77" t="s">
        <v>3016</v>
      </c>
    </row>
    <row r="2586" spans="6:7" ht="15.5">
      <c r="F2586" s="76">
        <v>313161</v>
      </c>
      <c r="G2586" s="77" t="s">
        <v>3017</v>
      </c>
    </row>
    <row r="2587" spans="6:7" ht="15.5">
      <c r="F2587" s="76">
        <v>314662</v>
      </c>
      <c r="G2587" s="77" t="s">
        <v>3018</v>
      </c>
    </row>
    <row r="2588" spans="6:7">
      <c r="F2588" s="84">
        <v>90040467</v>
      </c>
      <c r="G2588" s="84" t="s">
        <v>3019</v>
      </c>
    </row>
    <row r="2589" spans="6:7">
      <c r="F2589" s="84">
        <v>90049245</v>
      </c>
      <c r="G2589" s="84" t="s">
        <v>3020</v>
      </c>
    </row>
    <row r="2590" spans="6:7" ht="15.5">
      <c r="F2590" s="85">
        <v>90049187</v>
      </c>
      <c r="G2590" s="84" t="s">
        <v>3021</v>
      </c>
    </row>
    <row r="2591" spans="6:7">
      <c r="F2591" s="84">
        <v>90047789</v>
      </c>
      <c r="G2591" s="84" t="s">
        <v>3022</v>
      </c>
    </row>
    <row r="2592" spans="6:7">
      <c r="F2592" s="84">
        <v>90059851</v>
      </c>
      <c r="G2592" s="84" t="s">
        <v>3023</v>
      </c>
    </row>
    <row r="2593" spans="6:7">
      <c r="F2593">
        <v>90048588</v>
      </c>
      <c r="G2593" s="86" t="s">
        <v>3024</v>
      </c>
    </row>
    <row r="2594" spans="6:7">
      <c r="F2594">
        <v>90051401</v>
      </c>
      <c r="G2594" s="86" t="s">
        <v>3025</v>
      </c>
    </row>
    <row r="2595" spans="6:7">
      <c r="F2595">
        <v>90049216</v>
      </c>
      <c r="G2595" s="86" t="s">
        <v>3026</v>
      </c>
    </row>
    <row r="2596" spans="6:7">
      <c r="F2596">
        <v>90048454</v>
      </c>
      <c r="G2596" s="86" t="s">
        <v>3027</v>
      </c>
    </row>
    <row r="2597" spans="6:7">
      <c r="F2597">
        <v>90048806</v>
      </c>
      <c r="G2597" s="86" t="s">
        <v>3028</v>
      </c>
    </row>
    <row r="2598" spans="6:7">
      <c r="F2598">
        <v>90061561</v>
      </c>
      <c r="G2598" s="86" t="s">
        <v>3029</v>
      </c>
    </row>
    <row r="2599" spans="6:7">
      <c r="F2599" s="84">
        <v>90061646</v>
      </c>
      <c r="G2599" s="84" t="s">
        <v>3030</v>
      </c>
    </row>
    <row r="2600" spans="6:7">
      <c r="F2600" s="84">
        <v>90063386</v>
      </c>
      <c r="G2600" s="84" t="s">
        <v>3031</v>
      </c>
    </row>
    <row r="2601" spans="6:7">
      <c r="F2601" s="84">
        <v>90062493</v>
      </c>
      <c r="G2601" s="84" t="s">
        <v>3032</v>
      </c>
    </row>
    <row r="2602" spans="6:7">
      <c r="F2602" s="84">
        <v>90065411</v>
      </c>
      <c r="G2602" s="84" t="s">
        <v>3033</v>
      </c>
    </row>
    <row r="2603" spans="6:7">
      <c r="F2603" s="84">
        <v>90063654</v>
      </c>
      <c r="G2603" s="84" t="s">
        <v>3034</v>
      </c>
    </row>
    <row r="2604" spans="6:7">
      <c r="F2604" s="84">
        <v>90065483</v>
      </c>
      <c r="G2604" s="84" t="s">
        <v>3035</v>
      </c>
    </row>
    <row r="2605" spans="6:7">
      <c r="F2605" s="84">
        <v>90064162</v>
      </c>
      <c r="G2605" s="84" t="s">
        <v>3036</v>
      </c>
    </row>
    <row r="2606" spans="6:7">
      <c r="F2606" s="84">
        <v>90065922</v>
      </c>
      <c r="G2606" s="84" t="s">
        <v>3037</v>
      </c>
    </row>
    <row r="2607" spans="6:7">
      <c r="F2607" s="84">
        <v>90066516</v>
      </c>
      <c r="G2607" s="84" t="s">
        <v>3038</v>
      </c>
    </row>
    <row r="2608" spans="6:7">
      <c r="F2608" s="84">
        <v>90051505</v>
      </c>
      <c r="G2608" s="84" t="s">
        <v>3039</v>
      </c>
    </row>
    <row r="2609" spans="6:7">
      <c r="F2609" s="84">
        <v>90061480</v>
      </c>
      <c r="G2609" s="84" t="s">
        <v>3040</v>
      </c>
    </row>
    <row r="2610" spans="6:7">
      <c r="F2610" s="84">
        <v>90062682</v>
      </c>
      <c r="G2610" s="84" t="s">
        <v>3041</v>
      </c>
    </row>
    <row r="2611" spans="6:7">
      <c r="F2611" s="84">
        <v>90064229</v>
      </c>
      <c r="G2611" s="84" t="s">
        <v>3042</v>
      </c>
    </row>
    <row r="2612" spans="6:7" ht="16.5">
      <c r="F2612" s="87">
        <v>90061646</v>
      </c>
      <c r="G2612" s="84" t="s">
        <v>3030</v>
      </c>
    </row>
    <row r="2613" spans="6:7">
      <c r="F2613" s="84">
        <v>90063414</v>
      </c>
      <c r="G2613" s="84" t="s">
        <v>3043</v>
      </c>
    </row>
    <row r="2614" spans="6:7">
      <c r="F2614" s="84">
        <v>90061599</v>
      </c>
      <c r="G2614" s="84" t="s">
        <v>3044</v>
      </c>
    </row>
    <row r="2615" spans="6:7">
      <c r="F2615" s="84">
        <v>90061486</v>
      </c>
      <c r="G2615" s="84" t="s">
        <v>3045</v>
      </c>
    </row>
    <row r="2616" spans="6:7">
      <c r="F2616" s="84">
        <v>90066031</v>
      </c>
      <c r="G2616" s="84" t="s">
        <v>3046</v>
      </c>
    </row>
    <row r="2617" spans="6:7">
      <c r="F2617">
        <v>90070101</v>
      </c>
      <c r="G2617" t="s">
        <v>3047</v>
      </c>
    </row>
    <row r="2618" spans="6:7">
      <c r="F2618">
        <v>90066199</v>
      </c>
      <c r="G2618" t="s">
        <v>3048</v>
      </c>
    </row>
    <row r="2619" spans="6:7">
      <c r="F2619">
        <v>90068081</v>
      </c>
      <c r="G2619" t="s">
        <v>3049</v>
      </c>
    </row>
    <row r="2620" spans="6:7">
      <c r="F2620">
        <v>90080234</v>
      </c>
      <c r="G2620" t="s">
        <v>3050</v>
      </c>
    </row>
    <row r="2621" spans="6:7">
      <c r="F2621">
        <v>90081179</v>
      </c>
      <c r="G2621" t="s">
        <v>3051</v>
      </c>
    </row>
    <row r="2622" spans="6:7">
      <c r="F2622">
        <v>90082179</v>
      </c>
      <c r="G2622" t="s">
        <v>3052</v>
      </c>
    </row>
    <row r="2623" spans="6:7">
      <c r="F2623">
        <v>90080725</v>
      </c>
      <c r="G2623" t="s">
        <v>3053</v>
      </c>
    </row>
    <row r="2624" spans="6:7">
      <c r="F2624">
        <v>90081741</v>
      </c>
      <c r="G2624" t="s">
        <v>3054</v>
      </c>
    </row>
    <row r="2625" spans="6:7">
      <c r="F2625">
        <v>90083159</v>
      </c>
      <c r="G2625" t="s">
        <v>3055</v>
      </c>
    </row>
    <row r="2626" spans="6:7">
      <c r="F2626">
        <v>90082959</v>
      </c>
      <c r="G2626" t="s">
        <v>3056</v>
      </c>
    </row>
    <row r="2627" spans="6:7">
      <c r="F2627">
        <v>90068230</v>
      </c>
      <c r="G2627" t="s">
        <v>3057</v>
      </c>
    </row>
    <row r="2628" spans="6:7">
      <c r="F2628">
        <v>90081177</v>
      </c>
      <c r="G2628" t="s">
        <v>3058</v>
      </c>
    </row>
    <row r="2629" spans="6:7">
      <c r="F2629">
        <v>90066498</v>
      </c>
      <c r="G2629" t="s">
        <v>2922</v>
      </c>
    </row>
    <row r="2630" spans="6:7">
      <c r="F2630">
        <v>90082479</v>
      </c>
      <c r="G2630" t="s">
        <v>3059</v>
      </c>
    </row>
    <row r="2631" spans="6:7">
      <c r="F2631">
        <v>90081010</v>
      </c>
      <c r="G2631" t="s">
        <v>3060</v>
      </c>
    </row>
    <row r="2632" spans="6:7">
      <c r="F2632">
        <v>90083743</v>
      </c>
      <c r="G2632" t="s">
        <v>3061</v>
      </c>
    </row>
    <row r="2633" spans="6:7">
      <c r="F2633">
        <v>90067295</v>
      </c>
      <c r="G2633" t="s">
        <v>3062</v>
      </c>
    </row>
    <row r="2634" spans="6:7">
      <c r="F2634">
        <v>90070015</v>
      </c>
      <c r="G2634" t="s">
        <v>3063</v>
      </c>
    </row>
    <row r="2635" spans="6:7">
      <c r="F2635">
        <v>90084636</v>
      </c>
      <c r="G2635" t="s">
        <v>3064</v>
      </c>
    </row>
    <row r="2636" spans="6:7">
      <c r="F2636">
        <v>90082333</v>
      </c>
      <c r="G2636" t="s">
        <v>3065</v>
      </c>
    </row>
    <row r="2637" spans="6:7">
      <c r="F2637">
        <v>90082305</v>
      </c>
      <c r="G2637" t="s">
        <v>3066</v>
      </c>
    </row>
    <row r="2638" spans="6:7">
      <c r="F2638">
        <v>90082641</v>
      </c>
      <c r="G2638" t="s">
        <v>3067</v>
      </c>
    </row>
    <row r="2639" spans="6:7">
      <c r="F2639">
        <v>90082643</v>
      </c>
      <c r="G2639" t="s">
        <v>3068</v>
      </c>
    </row>
    <row r="2640" spans="6:7">
      <c r="F2640">
        <v>90083587</v>
      </c>
      <c r="G2640" t="s">
        <v>3069</v>
      </c>
    </row>
    <row r="2641" spans="6:7">
      <c r="F2641">
        <v>90066624</v>
      </c>
      <c r="G2641" t="s">
        <v>3070</v>
      </c>
    </row>
    <row r="2642" spans="6:7">
      <c r="F2642">
        <v>90085227</v>
      </c>
      <c r="G2642" t="s">
        <v>3071</v>
      </c>
    </row>
    <row r="2643" spans="6:7">
      <c r="F2643">
        <v>90082018</v>
      </c>
      <c r="G2643" t="s">
        <v>3072</v>
      </c>
    </row>
    <row r="2644" spans="6:7">
      <c r="F2644">
        <v>90063417</v>
      </c>
      <c r="G2644" t="s">
        <v>3073</v>
      </c>
    </row>
    <row r="2645" spans="6:7">
      <c r="F2645">
        <v>90066250</v>
      </c>
      <c r="G2645" t="s">
        <v>3074</v>
      </c>
    </row>
    <row r="2646" spans="6:7">
      <c r="F2646">
        <v>90068822</v>
      </c>
      <c r="G2646" t="s">
        <v>3075</v>
      </c>
    </row>
    <row r="2647" spans="6:7">
      <c r="F2647">
        <v>90048645</v>
      </c>
      <c r="G2647" t="s">
        <v>3076</v>
      </c>
    </row>
    <row r="2648" spans="6:7">
      <c r="F2648">
        <v>90063727</v>
      </c>
      <c r="G2648" t="s">
        <v>3077</v>
      </c>
    </row>
    <row r="2649" spans="6:7">
      <c r="F2649">
        <v>90084526</v>
      </c>
      <c r="G2649" t="s">
        <v>3078</v>
      </c>
    </row>
    <row r="2650" spans="6:7">
      <c r="F2650">
        <v>90080262</v>
      </c>
      <c r="G2650" t="s">
        <v>3079</v>
      </c>
    </row>
    <row r="2651" spans="6:7">
      <c r="F2651">
        <v>90084299</v>
      </c>
      <c r="G2651" t="s">
        <v>3080</v>
      </c>
    </row>
    <row r="2652" spans="6:7">
      <c r="F2652" s="88">
        <v>90063527</v>
      </c>
      <c r="G2652" s="88" t="s">
        <v>3081</v>
      </c>
    </row>
    <row r="2653" spans="6:7">
      <c r="F2653">
        <v>90060071</v>
      </c>
      <c r="G2653" t="s">
        <v>3082</v>
      </c>
    </row>
    <row r="2654" spans="6:7">
      <c r="F2654">
        <v>90080572</v>
      </c>
      <c r="G2654" t="s">
        <v>3083</v>
      </c>
    </row>
    <row r="2655" spans="6:7">
      <c r="F2655" s="89">
        <v>90068775</v>
      </c>
      <c r="G2655" s="90" t="s">
        <v>3084</v>
      </c>
    </row>
    <row r="2656" spans="6:7">
      <c r="F2656">
        <v>90065408</v>
      </c>
      <c r="G2656" s="91" t="s">
        <v>3085</v>
      </c>
    </row>
    <row r="2657" spans="6:7">
      <c r="F2657" s="11">
        <v>90083461</v>
      </c>
      <c r="G2657" s="22" t="s">
        <v>3086</v>
      </c>
    </row>
    <row r="2658" spans="6:7">
      <c r="F2658" s="89">
        <v>90066231</v>
      </c>
      <c r="G2658" s="91" t="s">
        <v>3087</v>
      </c>
    </row>
    <row r="2659" spans="6:7">
      <c r="F2659" s="22">
        <v>90084931</v>
      </c>
      <c r="G2659" s="22" t="s">
        <v>3088</v>
      </c>
    </row>
    <row r="2660" spans="6:7">
      <c r="F2660" s="15">
        <v>90050052</v>
      </c>
      <c r="G2660" s="92" t="s">
        <v>3089</v>
      </c>
    </row>
    <row r="2661" spans="6:7" ht="16">
      <c r="F2661">
        <v>90065518</v>
      </c>
      <c r="G2661" s="93" t="s">
        <v>3090</v>
      </c>
    </row>
    <row r="2662" spans="6:7">
      <c r="F2662" s="89">
        <v>90066558</v>
      </c>
      <c r="G2662" s="91" t="s">
        <v>3091</v>
      </c>
    </row>
    <row r="2663" spans="6:7">
      <c r="F2663" s="94">
        <v>90082649</v>
      </c>
      <c r="G2663" s="95" t="s">
        <v>3092</v>
      </c>
    </row>
    <row r="2664" spans="6:7">
      <c r="F2664" s="22">
        <v>90085860</v>
      </c>
      <c r="G2664" s="22" t="s">
        <v>3093</v>
      </c>
    </row>
    <row r="2665" spans="6:7">
      <c r="F2665" s="96">
        <v>900666250</v>
      </c>
      <c r="G2665" s="96" t="s">
        <v>3074</v>
      </c>
    </row>
    <row r="2666" spans="6:7">
      <c r="F2666" s="15">
        <v>90068816</v>
      </c>
      <c r="G2666" t="s">
        <v>3094</v>
      </c>
    </row>
    <row r="2667" spans="6:7">
      <c r="F2667" s="89">
        <v>90066863</v>
      </c>
      <c r="G2667" s="90" t="s">
        <v>3095</v>
      </c>
    </row>
    <row r="2668" spans="6:7">
      <c r="F2668" s="97">
        <v>90082796</v>
      </c>
      <c r="G2668" t="s">
        <v>3096</v>
      </c>
    </row>
    <row r="2669" spans="6:7">
      <c r="F2669" s="98">
        <v>90084545</v>
      </c>
      <c r="G2669" s="91" t="s">
        <v>3097</v>
      </c>
    </row>
    <row r="2670" spans="6:7">
      <c r="F2670" s="15">
        <v>90063535</v>
      </c>
      <c r="G2670" s="15" t="s">
        <v>3098</v>
      </c>
    </row>
    <row r="2671" spans="6:7">
      <c r="F2671" s="22">
        <v>90048712</v>
      </c>
      <c r="G2671" s="22" t="s">
        <v>3099</v>
      </c>
    </row>
    <row r="2672" spans="6:7">
      <c r="F2672" s="22">
        <v>90080714</v>
      </c>
      <c r="G2672" s="22" t="s">
        <v>3100</v>
      </c>
    </row>
    <row r="2673" spans="6:7">
      <c r="F2673" s="22">
        <v>90084037</v>
      </c>
      <c r="G2673" s="22" t="s">
        <v>3101</v>
      </c>
    </row>
    <row r="2674" spans="6:7">
      <c r="F2674" s="89">
        <v>90085539</v>
      </c>
      <c r="G2674" s="91" t="s">
        <v>3102</v>
      </c>
    </row>
    <row r="2675" spans="6:7">
      <c r="F2675" s="22">
        <v>900012092</v>
      </c>
      <c r="G2675" s="22" t="s">
        <v>3103</v>
      </c>
    </row>
    <row r="2676" spans="6:7">
      <c r="F2676" s="22">
        <v>90046426</v>
      </c>
      <c r="G2676" t="s">
        <v>3104</v>
      </c>
    </row>
    <row r="2677" spans="6:7">
      <c r="F2677" s="99">
        <v>90049146</v>
      </c>
      <c r="G2677" s="91" t="s">
        <v>3105</v>
      </c>
    </row>
    <row r="2678" spans="6:7">
      <c r="F2678">
        <v>90084682</v>
      </c>
      <c r="G2678" t="s">
        <v>3106</v>
      </c>
    </row>
    <row r="2679" spans="6:7">
      <c r="F2679">
        <v>90064272</v>
      </c>
      <c r="G2679" s="91" t="s">
        <v>3107</v>
      </c>
    </row>
    <row r="2680" spans="6:7">
      <c r="F2680" s="89">
        <v>90086932</v>
      </c>
      <c r="G2680" s="91" t="s">
        <v>3108</v>
      </c>
    </row>
    <row r="2681" spans="6:7">
      <c r="F2681" s="22">
        <v>90086022</v>
      </c>
      <c r="G2681" s="22" t="s">
        <v>3109</v>
      </c>
    </row>
    <row r="2682" spans="6:7">
      <c r="F2682" s="15">
        <v>90085258</v>
      </c>
      <c r="G2682" s="15" t="s">
        <v>3110</v>
      </c>
    </row>
    <row r="2683" spans="6:7">
      <c r="F2683" s="89">
        <v>90085033</v>
      </c>
      <c r="G2683" t="s">
        <v>3111</v>
      </c>
    </row>
    <row r="2684" spans="6:7">
      <c r="F2684" s="99">
        <v>90084541</v>
      </c>
      <c r="G2684" s="91" t="s">
        <v>3112</v>
      </c>
    </row>
    <row r="2685" spans="6:7">
      <c r="F2685" s="22">
        <v>90047614</v>
      </c>
      <c r="G2685" s="22" t="s">
        <v>3113</v>
      </c>
    </row>
    <row r="2686" spans="6:7">
      <c r="F2686" s="100">
        <v>90087014</v>
      </c>
      <c r="G2686" s="100" t="s">
        <v>3114</v>
      </c>
    </row>
    <row r="2687" spans="6:7">
      <c r="F2687" s="22">
        <v>90048013</v>
      </c>
      <c r="G2687" s="22" t="s">
        <v>3115</v>
      </c>
    </row>
    <row r="2688" spans="6:7">
      <c r="F2688" s="22">
        <v>90064633</v>
      </c>
      <c r="G2688" s="22" t="s">
        <v>3116</v>
      </c>
    </row>
    <row r="2689" spans="6:7">
      <c r="F2689" s="22">
        <v>90087185</v>
      </c>
      <c r="G2689" s="22" t="s">
        <v>3117</v>
      </c>
    </row>
    <row r="2690" spans="6:7">
      <c r="F2690" s="58">
        <v>90061732</v>
      </c>
      <c r="G2690" s="58" t="s">
        <v>3118</v>
      </c>
    </row>
    <row r="2691" spans="6:7">
      <c r="F2691" s="15">
        <v>90087628</v>
      </c>
      <c r="G2691" s="92" t="s">
        <v>3119</v>
      </c>
    </row>
    <row r="2692" spans="6:7">
      <c r="F2692">
        <v>90086483</v>
      </c>
      <c r="G2692" t="s">
        <v>3120</v>
      </c>
    </row>
    <row r="2693" spans="6:7">
      <c r="F2693" s="22">
        <v>90086725</v>
      </c>
      <c r="G2693" s="22" t="s">
        <v>3121</v>
      </c>
    </row>
    <row r="2694" spans="6:7">
      <c r="F2694" s="99">
        <v>90084043</v>
      </c>
      <c r="G2694" s="91" t="s">
        <v>3122</v>
      </c>
    </row>
    <row r="2695" spans="6:7" ht="16">
      <c r="F2695" s="36">
        <v>90084011</v>
      </c>
      <c r="G2695" t="s">
        <v>3123</v>
      </c>
    </row>
    <row r="2696" spans="6:7">
      <c r="F2696" s="89">
        <v>90087767</v>
      </c>
      <c r="G2696" s="91" t="s">
        <v>3124</v>
      </c>
    </row>
    <row r="2697" spans="6:7">
      <c r="F2697" s="22">
        <v>90064625</v>
      </c>
      <c r="G2697" t="s">
        <v>3125</v>
      </c>
    </row>
  </sheetData>
  <conditionalFormatting sqref="F2:F2587">
    <cfRule type="duplicateValues" dxfId="95" priority="95"/>
  </conditionalFormatting>
  <conditionalFormatting sqref="F697">
    <cfRule type="duplicateValues" dxfId="94" priority="63"/>
  </conditionalFormatting>
  <conditionalFormatting sqref="F698:F980">
    <cfRule type="duplicateValues" dxfId="93" priority="42"/>
  </conditionalFormatting>
  <conditionalFormatting sqref="F2:G2587">
    <cfRule type="duplicateValues" dxfId="92" priority="96"/>
  </conditionalFormatting>
  <conditionalFormatting sqref="F594:G614">
    <cfRule type="duplicateValues" dxfId="91" priority="44"/>
  </conditionalFormatting>
  <conditionalFormatting sqref="F615:G615">
    <cfRule type="duplicateValues" dxfId="90" priority="45"/>
  </conditionalFormatting>
  <conditionalFormatting sqref="F616:G617">
    <cfRule type="duplicateValues" dxfId="89" priority="46"/>
  </conditionalFormatting>
  <conditionalFormatting sqref="F618:G618">
    <cfRule type="duplicateValues" dxfId="88" priority="89"/>
  </conditionalFormatting>
  <conditionalFormatting sqref="F619:G619">
    <cfRule type="duplicateValues" dxfId="87" priority="88"/>
  </conditionalFormatting>
  <conditionalFormatting sqref="F620:G621">
    <cfRule type="duplicateValues" dxfId="86" priority="47"/>
  </conditionalFormatting>
  <conditionalFormatting sqref="F622:G622">
    <cfRule type="duplicateValues" dxfId="85" priority="87"/>
  </conditionalFormatting>
  <conditionalFormatting sqref="F623:G623">
    <cfRule type="duplicateValues" dxfId="84" priority="86"/>
  </conditionalFormatting>
  <conditionalFormatting sqref="F624:G624">
    <cfRule type="duplicateValues" dxfId="83" priority="59"/>
  </conditionalFormatting>
  <conditionalFormatting sqref="F625:G625">
    <cfRule type="duplicateValues" dxfId="82" priority="85"/>
  </conditionalFormatting>
  <conditionalFormatting sqref="F626:G626">
    <cfRule type="duplicateValues" dxfId="81" priority="60"/>
  </conditionalFormatting>
  <conditionalFormatting sqref="F627:G627">
    <cfRule type="duplicateValues" dxfId="80" priority="84"/>
  </conditionalFormatting>
  <conditionalFormatting sqref="F628:G628">
    <cfRule type="duplicateValues" dxfId="79" priority="83"/>
  </conditionalFormatting>
  <conditionalFormatting sqref="F629:G631">
    <cfRule type="duplicateValues" dxfId="78" priority="82"/>
  </conditionalFormatting>
  <conditionalFormatting sqref="F632:G632">
    <cfRule type="duplicateValues" dxfId="77" priority="81"/>
  </conditionalFormatting>
  <conditionalFormatting sqref="F633:G633">
    <cfRule type="duplicateValues" dxfId="76" priority="61"/>
  </conditionalFormatting>
  <conditionalFormatting sqref="F634:G635">
    <cfRule type="duplicateValues" dxfId="75" priority="48"/>
  </conditionalFormatting>
  <conditionalFormatting sqref="F636:G636">
    <cfRule type="duplicateValues" dxfId="74" priority="49"/>
  </conditionalFormatting>
  <conditionalFormatting sqref="F637:G637">
    <cfRule type="duplicateValues" dxfId="73" priority="80"/>
  </conditionalFormatting>
  <conditionalFormatting sqref="F638:G638">
    <cfRule type="duplicateValues" dxfId="72" priority="79"/>
  </conditionalFormatting>
  <conditionalFormatting sqref="F639:G648">
    <cfRule type="duplicateValues" dxfId="71" priority="50"/>
  </conditionalFormatting>
  <conditionalFormatting sqref="F649:G649">
    <cfRule type="duplicateValues" dxfId="70" priority="78"/>
  </conditionalFormatting>
  <conditionalFormatting sqref="F650:G651">
    <cfRule type="duplicateValues" dxfId="69" priority="77"/>
  </conditionalFormatting>
  <conditionalFormatting sqref="F652:G652">
    <cfRule type="duplicateValues" dxfId="68" priority="76"/>
  </conditionalFormatting>
  <conditionalFormatting sqref="F653:G653">
    <cfRule type="duplicateValues" dxfId="67" priority="75"/>
  </conditionalFormatting>
  <conditionalFormatting sqref="F654:G655">
    <cfRule type="duplicateValues" dxfId="66" priority="74"/>
  </conditionalFormatting>
  <conditionalFormatting sqref="F656:G657">
    <cfRule type="duplicateValues" dxfId="65" priority="73"/>
  </conditionalFormatting>
  <conditionalFormatting sqref="F658:G658">
    <cfRule type="duplicateValues" dxfId="64" priority="72"/>
  </conditionalFormatting>
  <conditionalFormatting sqref="F659:G659">
    <cfRule type="duplicateValues" dxfId="63" priority="57"/>
  </conditionalFormatting>
  <conditionalFormatting sqref="F660:G660">
    <cfRule type="duplicateValues" dxfId="62" priority="71"/>
  </conditionalFormatting>
  <conditionalFormatting sqref="F661:G661">
    <cfRule type="duplicateValues" dxfId="61" priority="70"/>
  </conditionalFormatting>
  <conditionalFormatting sqref="F662:G663">
    <cfRule type="duplicateValues" dxfId="60" priority="69"/>
  </conditionalFormatting>
  <conditionalFormatting sqref="F664:G665">
    <cfRule type="duplicateValues" dxfId="59" priority="68"/>
  </conditionalFormatting>
  <conditionalFormatting sqref="F666:G666">
    <cfRule type="duplicateValues" dxfId="58" priority="67"/>
  </conditionalFormatting>
  <conditionalFormatting sqref="F667:G668">
    <cfRule type="duplicateValues" dxfId="57" priority="66"/>
  </conditionalFormatting>
  <conditionalFormatting sqref="F669:G670">
    <cfRule type="duplicateValues" dxfId="56" priority="62"/>
  </conditionalFormatting>
  <conditionalFormatting sqref="F671:G681">
    <cfRule type="duplicateValues" dxfId="55" priority="51"/>
  </conditionalFormatting>
  <conditionalFormatting sqref="F682:G682">
    <cfRule type="duplicateValues" dxfId="54" priority="58"/>
  </conditionalFormatting>
  <conditionalFormatting sqref="F683:G683">
    <cfRule type="duplicateValues" dxfId="53" priority="65"/>
  </conditionalFormatting>
  <conditionalFormatting sqref="F684:G684">
    <cfRule type="duplicateValues" dxfId="52" priority="52"/>
  </conditionalFormatting>
  <conditionalFormatting sqref="F685:G685">
    <cfRule type="duplicateValues" dxfId="51" priority="53"/>
  </conditionalFormatting>
  <conditionalFormatting sqref="F686:G688">
    <cfRule type="duplicateValues" dxfId="50" priority="54"/>
  </conditionalFormatting>
  <conditionalFormatting sqref="F689:G690">
    <cfRule type="duplicateValues" dxfId="49" priority="55"/>
  </conditionalFormatting>
  <conditionalFormatting sqref="F691:G692">
    <cfRule type="duplicateValues" dxfId="48" priority="64"/>
  </conditionalFormatting>
  <conditionalFormatting sqref="F693:G693">
    <cfRule type="duplicateValues" dxfId="47" priority="56"/>
  </conditionalFormatting>
  <conditionalFormatting sqref="F694:G696 G697:G980">
    <cfRule type="duplicateValues" dxfId="46" priority="43"/>
  </conditionalFormatting>
  <conditionalFormatting sqref="F1005:G1005">
    <cfRule type="duplicateValues" dxfId="45" priority="40"/>
  </conditionalFormatting>
  <conditionalFormatting sqref="F1005:G1130">
    <cfRule type="duplicateValues" dxfId="44" priority="3"/>
  </conditionalFormatting>
  <conditionalFormatting sqref="F1005:G1131">
    <cfRule type="duplicateValues" dxfId="42" priority="38"/>
    <cfRule type="duplicateValues" dxfId="43" priority="39"/>
  </conditionalFormatting>
  <conditionalFormatting sqref="F1006:G1130">
    <cfRule type="duplicateValues" dxfId="41" priority="2"/>
  </conditionalFormatting>
  <conditionalFormatting sqref="F1131:G1131">
    <cfRule type="duplicateValues" dxfId="39" priority="36"/>
    <cfRule type="duplicateValues" dxfId="40" priority="37"/>
  </conditionalFormatting>
  <conditionalFormatting sqref="F1132:G1132">
    <cfRule type="duplicateValues" dxfId="37" priority="32"/>
    <cfRule type="duplicateValues" dxfId="35" priority="33"/>
    <cfRule type="duplicateValues" dxfId="36" priority="34"/>
    <cfRule type="duplicateValues" dxfId="38" priority="35"/>
  </conditionalFormatting>
  <conditionalFormatting sqref="F1133:G1133">
    <cfRule type="duplicateValues" dxfId="33" priority="28"/>
    <cfRule type="duplicateValues" dxfId="34" priority="29"/>
    <cfRule type="duplicateValues" dxfId="31" priority="30"/>
    <cfRule type="duplicateValues" dxfId="32" priority="31"/>
  </conditionalFormatting>
  <conditionalFormatting sqref="F1134:G1135">
    <cfRule type="duplicateValues" dxfId="30" priority="27"/>
  </conditionalFormatting>
  <conditionalFormatting sqref="F1136:G1136">
    <cfRule type="duplicateValues" dxfId="29" priority="26"/>
  </conditionalFormatting>
  <conditionalFormatting sqref="F1137:G1137">
    <cfRule type="duplicateValues" dxfId="28" priority="25"/>
  </conditionalFormatting>
  <conditionalFormatting sqref="F1138:G1139">
    <cfRule type="duplicateValues" dxfId="27" priority="18"/>
  </conditionalFormatting>
  <conditionalFormatting sqref="F1140:G1141">
    <cfRule type="duplicateValues" dxfId="26" priority="24"/>
  </conditionalFormatting>
  <conditionalFormatting sqref="F1142:G1142">
    <cfRule type="duplicateValues" dxfId="25" priority="23"/>
  </conditionalFormatting>
  <conditionalFormatting sqref="F1143:G1143">
    <cfRule type="duplicateValues" dxfId="24" priority="22"/>
  </conditionalFormatting>
  <conditionalFormatting sqref="F1144:G1144">
    <cfRule type="duplicateValues" dxfId="23" priority="4"/>
  </conditionalFormatting>
  <conditionalFormatting sqref="F1145:G1146">
    <cfRule type="duplicateValues" dxfId="22" priority="21"/>
  </conditionalFormatting>
  <conditionalFormatting sqref="F1147:G1148">
    <cfRule type="duplicateValues" dxfId="21" priority="20"/>
  </conditionalFormatting>
  <conditionalFormatting sqref="F1149:G1149">
    <cfRule type="duplicateValues" dxfId="20" priority="19"/>
  </conditionalFormatting>
  <conditionalFormatting sqref="F1150:G1150">
    <cfRule type="duplicateValues" dxfId="19" priority="17"/>
  </conditionalFormatting>
  <conditionalFormatting sqref="F1151:G1153">
    <cfRule type="duplicateValues" dxfId="18" priority="16"/>
  </conditionalFormatting>
  <conditionalFormatting sqref="F1154:G1154">
    <cfRule type="duplicateValues" dxfId="17" priority="15"/>
  </conditionalFormatting>
  <conditionalFormatting sqref="F1155:G1156">
    <cfRule type="duplicateValues" dxfId="16" priority="14"/>
  </conditionalFormatting>
  <conditionalFormatting sqref="F1157:G1172">
    <cfRule type="duplicateValues" dxfId="15" priority="13"/>
  </conditionalFormatting>
  <conditionalFormatting sqref="F1173:G1173">
    <cfRule type="duplicateValues" dxfId="14" priority="12"/>
  </conditionalFormatting>
  <conditionalFormatting sqref="F1174:G1179">
    <cfRule type="duplicateValues" dxfId="13" priority="5"/>
  </conditionalFormatting>
  <conditionalFormatting sqref="F1180:G1180">
    <cfRule type="duplicateValues" dxfId="12" priority="11"/>
  </conditionalFormatting>
  <conditionalFormatting sqref="F1181:G1183">
    <cfRule type="duplicateValues" dxfId="11" priority="10"/>
  </conditionalFormatting>
  <conditionalFormatting sqref="F1184:G1184">
    <cfRule type="duplicateValues" dxfId="10" priority="9"/>
  </conditionalFormatting>
  <conditionalFormatting sqref="F1185:G1186">
    <cfRule type="duplicateValues" dxfId="9" priority="8"/>
  </conditionalFormatting>
  <conditionalFormatting sqref="F1187:G1187">
    <cfRule type="duplicateValues" dxfId="8" priority="7"/>
  </conditionalFormatting>
  <conditionalFormatting sqref="F1188:G1189">
    <cfRule type="duplicateValues" dxfId="7" priority="6"/>
  </conditionalFormatting>
  <conditionalFormatting sqref="F1190:G1194">
    <cfRule type="duplicateValues" dxfId="6" priority="1"/>
  </conditionalFormatting>
  <conditionalFormatting sqref="G2:G2587">
    <cfRule type="duplicateValues" dxfId="5" priority="94"/>
  </conditionalFormatting>
  <conditionalFormatting sqref="G996:G998">
    <cfRule type="duplicateValues" dxfId="4" priority="41"/>
  </conditionalFormatting>
  <conditionalFormatting sqref="H1556 H1562 H1564 H1567 H1593:H1594 H1597:H1598 H1600 H1606:H1607 H1609 H1611 H1614 H1617 H1623 H1626 H1652:H1655 H1663:H1664 H1667:H1668 H1677:H1678 H1683 H1770:H1771 H1774:H1775 H1779 H1781 H1783 H1786 H1789 H1794 H1796:H1798 H1802">
    <cfRule type="duplicateValues" dxfId="0" priority="90"/>
    <cfRule type="duplicateValues" dxfId="3" priority="91"/>
    <cfRule type="duplicateValues" dxfId="2" priority="92"/>
    <cfRule type="duplicateValues" dxfId="1" priority="93"/>
  </conditionalFormatting>
  <dataValidations count="1">
    <dataValidation type="whole" allowBlank="1" showInputMessage="1" showErrorMessage="1" sqref="F1837 F1853:F1854 F1875 F1892 F1895 F1897" xr:uid="{8D872FF6-ACEF-42AF-A390-56123A64E03F}">
      <formula1>111111</formula1>
      <formula2>999999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sep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2026-09-21T01:16:12Z</dcterms:created>
  <dcterms:modified xsi:type="dcterms:W3CDTF">2026-09-21T01:17:48Z</dcterms:modified>
</cp:coreProperties>
</file>