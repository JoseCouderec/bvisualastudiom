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oudere\Desktop\Informes_Mensuales_CD\Reportes de Ejecución\"/>
    </mc:Choice>
  </mc:AlternateContent>
  <xr:revisionPtr revIDLastSave="0" documentId="8_{FF7A2B95-A9C3-4CD5-A595-3D78E109E2A5}" xr6:coauthVersionLast="47" xr6:coauthVersionMax="47" xr10:uidLastSave="{00000000-0000-0000-0000-000000000000}"/>
  <bookViews>
    <workbookView xWindow="-110" yWindow="-110" windowWidth="19420" windowHeight="11500" xr2:uid="{492E2A82-8FF7-42ED-A150-6684D4D4B7AF}"/>
  </bookViews>
  <sheets>
    <sheet name="Sep 26" sheetId="2" r:id="rId1"/>
    <sheet name="Datos" sheetId="4" r:id="rId2"/>
  </sheets>
  <externalReferences>
    <externalReference r:id="rId3"/>
    <externalReference r:id="rId4"/>
  </externalReferences>
  <definedNames>
    <definedName name="_xlnm._FilterDatabase" localSheetId="1" hidden="1">Datos!$F$1:$H$1</definedName>
    <definedName name="_xlnm._FilterDatabase" localSheetId="0" hidden="1">'Sep 26'!$A$1:$T$678</definedName>
    <definedName name="A" localSheetId="1">#REF!</definedName>
    <definedName name="A">#REF!</definedName>
    <definedName name="alex" localSheetId="1">[2]AGENCIA!#REF!</definedName>
    <definedName name="alex">[2]AGENCIA!#REF!</definedName>
    <definedName name="asdf" localSheetId="1">#REF!</definedName>
    <definedName name="asdf">#REF!</definedName>
    <definedName name="EV__EVCOM_OPTIONS__" hidden="1">8</definedName>
    <definedName name="EV__EXPOPTIONS__" hidden="1">0</definedName>
    <definedName name="EV__LASTREFTIME__" hidden="1">40843.760787037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134217732</definedName>
    <definedName name="EV__WBVERSION__" hidden="1">0</definedName>
    <definedName name="MEWarning" hidden="1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3" i="4" l="1"/>
  <c r="M13" i="4"/>
  <c r="L13" i="4"/>
  <c r="T678" i="2"/>
  <c r="Q678" i="2"/>
  <c r="O678" i="2"/>
  <c r="N678" i="2"/>
  <c r="L678" i="2"/>
  <c r="J678" i="2"/>
  <c r="T677" i="2"/>
  <c r="Q677" i="2"/>
  <c r="O677" i="2"/>
  <c r="N677" i="2"/>
  <c r="L677" i="2"/>
  <c r="J677" i="2"/>
  <c r="T676" i="2"/>
  <c r="Q676" i="2"/>
  <c r="O676" i="2"/>
  <c r="N676" i="2"/>
  <c r="L676" i="2"/>
  <c r="J676" i="2"/>
  <c r="T675" i="2"/>
  <c r="Q675" i="2"/>
  <c r="O675" i="2"/>
  <c r="N675" i="2"/>
  <c r="L675" i="2"/>
  <c r="J675" i="2"/>
  <c r="T674" i="2"/>
  <c r="Q674" i="2"/>
  <c r="O674" i="2"/>
  <c r="N674" i="2"/>
  <c r="L674" i="2"/>
  <c r="J674" i="2"/>
  <c r="T673" i="2"/>
  <c r="Q673" i="2"/>
  <c r="O673" i="2"/>
  <c r="N673" i="2"/>
  <c r="L673" i="2"/>
  <c r="J673" i="2"/>
  <c r="T672" i="2"/>
  <c r="Q672" i="2"/>
  <c r="O672" i="2"/>
  <c r="N672" i="2"/>
  <c r="L672" i="2"/>
  <c r="J672" i="2"/>
  <c r="T671" i="2"/>
  <c r="Q671" i="2"/>
  <c r="O671" i="2"/>
  <c r="N671" i="2"/>
  <c r="L671" i="2"/>
  <c r="J671" i="2"/>
  <c r="T670" i="2"/>
  <c r="Q670" i="2"/>
  <c r="O670" i="2"/>
  <c r="N670" i="2"/>
  <c r="L670" i="2"/>
  <c r="J670" i="2"/>
  <c r="T669" i="2"/>
  <c r="Q669" i="2"/>
  <c r="O669" i="2"/>
  <c r="N669" i="2"/>
  <c r="L669" i="2"/>
  <c r="J669" i="2"/>
  <c r="T668" i="2"/>
  <c r="Q668" i="2"/>
  <c r="O668" i="2"/>
  <c r="N668" i="2"/>
  <c r="L668" i="2"/>
  <c r="J668" i="2"/>
  <c r="T667" i="2"/>
  <c r="Q667" i="2"/>
  <c r="O667" i="2"/>
  <c r="N667" i="2"/>
  <c r="L667" i="2"/>
  <c r="J667" i="2"/>
  <c r="T666" i="2"/>
  <c r="Q666" i="2"/>
  <c r="O666" i="2"/>
  <c r="N666" i="2"/>
  <c r="L666" i="2"/>
  <c r="J666" i="2"/>
  <c r="T665" i="2"/>
  <c r="Q665" i="2"/>
  <c r="O665" i="2"/>
  <c r="N665" i="2"/>
  <c r="L665" i="2"/>
  <c r="J665" i="2"/>
  <c r="T664" i="2"/>
  <c r="Q664" i="2"/>
  <c r="O664" i="2"/>
  <c r="N664" i="2"/>
  <c r="L664" i="2"/>
  <c r="J664" i="2"/>
  <c r="T663" i="2"/>
  <c r="Q663" i="2"/>
  <c r="O663" i="2"/>
  <c r="N663" i="2"/>
  <c r="L663" i="2"/>
  <c r="J663" i="2"/>
  <c r="T662" i="2"/>
  <c r="Q662" i="2"/>
  <c r="O662" i="2"/>
  <c r="N662" i="2"/>
  <c r="L662" i="2"/>
  <c r="J662" i="2"/>
  <c r="T661" i="2"/>
  <c r="Q661" i="2"/>
  <c r="O661" i="2"/>
  <c r="N661" i="2"/>
  <c r="L661" i="2"/>
  <c r="J661" i="2"/>
  <c r="T660" i="2"/>
  <c r="Q660" i="2"/>
  <c r="O660" i="2"/>
  <c r="N660" i="2"/>
  <c r="L660" i="2"/>
  <c r="J660" i="2"/>
  <c r="T659" i="2"/>
  <c r="Q659" i="2"/>
  <c r="O659" i="2"/>
  <c r="N659" i="2"/>
  <c r="L659" i="2"/>
  <c r="J659" i="2"/>
  <c r="T658" i="2"/>
  <c r="Q658" i="2"/>
  <c r="O658" i="2"/>
  <c r="N658" i="2"/>
  <c r="L658" i="2"/>
  <c r="J658" i="2"/>
  <c r="T657" i="2"/>
  <c r="Q657" i="2"/>
  <c r="O657" i="2"/>
  <c r="N657" i="2"/>
  <c r="L657" i="2"/>
  <c r="J657" i="2"/>
  <c r="T656" i="2"/>
  <c r="Q656" i="2"/>
  <c r="O656" i="2"/>
  <c r="N656" i="2"/>
  <c r="L656" i="2"/>
  <c r="J656" i="2"/>
  <c r="T655" i="2"/>
  <c r="Q655" i="2"/>
  <c r="O655" i="2"/>
  <c r="N655" i="2"/>
  <c r="L655" i="2"/>
  <c r="J655" i="2"/>
  <c r="T654" i="2"/>
  <c r="Q654" i="2"/>
  <c r="O654" i="2"/>
  <c r="N654" i="2"/>
  <c r="L654" i="2"/>
  <c r="J654" i="2"/>
  <c r="T653" i="2"/>
  <c r="Q653" i="2"/>
  <c r="O653" i="2"/>
  <c r="N653" i="2"/>
  <c r="L653" i="2"/>
  <c r="J653" i="2"/>
  <c r="T652" i="2"/>
  <c r="Q652" i="2"/>
  <c r="O652" i="2"/>
  <c r="N652" i="2"/>
  <c r="L652" i="2"/>
  <c r="J652" i="2"/>
  <c r="T651" i="2"/>
  <c r="Q651" i="2"/>
  <c r="O651" i="2"/>
  <c r="N651" i="2"/>
  <c r="L651" i="2"/>
  <c r="J651" i="2"/>
  <c r="T650" i="2"/>
  <c r="Q650" i="2"/>
  <c r="O650" i="2"/>
  <c r="N650" i="2"/>
  <c r="L650" i="2"/>
  <c r="J650" i="2"/>
  <c r="T649" i="2"/>
  <c r="Q649" i="2"/>
  <c r="O649" i="2"/>
  <c r="N649" i="2"/>
  <c r="L649" i="2"/>
  <c r="J649" i="2"/>
  <c r="T648" i="2"/>
  <c r="Q648" i="2"/>
  <c r="O648" i="2"/>
  <c r="N648" i="2"/>
  <c r="L648" i="2"/>
  <c r="J648" i="2"/>
  <c r="T647" i="2"/>
  <c r="Q647" i="2"/>
  <c r="O647" i="2"/>
  <c r="N647" i="2"/>
  <c r="L647" i="2"/>
  <c r="J647" i="2"/>
  <c r="T646" i="2"/>
  <c r="Q646" i="2"/>
  <c r="O646" i="2"/>
  <c r="N646" i="2"/>
  <c r="L646" i="2"/>
  <c r="J646" i="2"/>
  <c r="T645" i="2"/>
  <c r="Q645" i="2"/>
  <c r="O645" i="2"/>
  <c r="N645" i="2"/>
  <c r="L645" i="2"/>
  <c r="J645" i="2"/>
  <c r="T644" i="2"/>
  <c r="Q644" i="2"/>
  <c r="O644" i="2"/>
  <c r="N644" i="2"/>
  <c r="L644" i="2"/>
  <c r="J644" i="2"/>
  <c r="T643" i="2"/>
  <c r="Q643" i="2"/>
  <c r="O643" i="2"/>
  <c r="N643" i="2"/>
  <c r="L643" i="2"/>
  <c r="J643" i="2"/>
  <c r="T642" i="2"/>
  <c r="Q642" i="2"/>
  <c r="O642" i="2"/>
  <c r="N642" i="2"/>
  <c r="L642" i="2"/>
  <c r="J642" i="2"/>
  <c r="T641" i="2"/>
  <c r="Q641" i="2"/>
  <c r="O641" i="2"/>
  <c r="N641" i="2"/>
  <c r="L641" i="2"/>
  <c r="J641" i="2"/>
  <c r="T640" i="2"/>
  <c r="Q640" i="2"/>
  <c r="O640" i="2"/>
  <c r="N640" i="2"/>
  <c r="L640" i="2"/>
  <c r="J640" i="2"/>
  <c r="T639" i="2"/>
  <c r="Q639" i="2"/>
  <c r="O639" i="2"/>
  <c r="N639" i="2"/>
  <c r="L639" i="2"/>
  <c r="J639" i="2"/>
  <c r="T638" i="2"/>
  <c r="Q638" i="2"/>
  <c r="O638" i="2"/>
  <c r="N638" i="2"/>
  <c r="L638" i="2"/>
  <c r="J638" i="2"/>
  <c r="T637" i="2"/>
  <c r="Q637" i="2"/>
  <c r="O637" i="2"/>
  <c r="N637" i="2"/>
  <c r="L637" i="2"/>
  <c r="J637" i="2"/>
  <c r="T636" i="2"/>
  <c r="Q636" i="2"/>
  <c r="O636" i="2"/>
  <c r="N636" i="2"/>
  <c r="L636" i="2"/>
  <c r="J636" i="2"/>
  <c r="T635" i="2"/>
  <c r="Q635" i="2"/>
  <c r="O635" i="2"/>
  <c r="N635" i="2"/>
  <c r="L635" i="2"/>
  <c r="J635" i="2"/>
  <c r="T634" i="2"/>
  <c r="Q634" i="2"/>
  <c r="O634" i="2"/>
  <c r="N634" i="2"/>
  <c r="L634" i="2"/>
  <c r="J634" i="2"/>
  <c r="T633" i="2"/>
  <c r="Q633" i="2"/>
  <c r="O633" i="2"/>
  <c r="N633" i="2"/>
  <c r="L633" i="2"/>
  <c r="J633" i="2"/>
  <c r="T632" i="2"/>
  <c r="Q632" i="2"/>
  <c r="O632" i="2"/>
  <c r="N632" i="2"/>
  <c r="L632" i="2"/>
  <c r="J632" i="2"/>
  <c r="T631" i="2"/>
  <c r="Q631" i="2"/>
  <c r="O631" i="2"/>
  <c r="N631" i="2"/>
  <c r="L631" i="2"/>
  <c r="J631" i="2"/>
  <c r="T630" i="2"/>
  <c r="Q630" i="2"/>
  <c r="O630" i="2"/>
  <c r="N630" i="2"/>
  <c r="L630" i="2"/>
  <c r="J630" i="2"/>
  <c r="T629" i="2"/>
  <c r="Q629" i="2"/>
  <c r="O629" i="2"/>
  <c r="N629" i="2"/>
  <c r="L629" i="2"/>
  <c r="J629" i="2"/>
  <c r="T628" i="2"/>
  <c r="Q628" i="2"/>
  <c r="O628" i="2"/>
  <c r="N628" i="2"/>
  <c r="L628" i="2"/>
  <c r="J628" i="2"/>
  <c r="T627" i="2"/>
  <c r="Q627" i="2"/>
  <c r="O627" i="2"/>
  <c r="N627" i="2"/>
  <c r="L627" i="2"/>
  <c r="J627" i="2"/>
  <c r="T626" i="2"/>
  <c r="Q626" i="2"/>
  <c r="O626" i="2"/>
  <c r="N626" i="2"/>
  <c r="L626" i="2"/>
  <c r="J626" i="2"/>
  <c r="T625" i="2"/>
  <c r="Q625" i="2"/>
  <c r="O625" i="2"/>
  <c r="N625" i="2"/>
  <c r="L625" i="2"/>
  <c r="J625" i="2"/>
  <c r="T624" i="2"/>
  <c r="Q624" i="2"/>
  <c r="O624" i="2"/>
  <c r="N624" i="2"/>
  <c r="L624" i="2"/>
  <c r="J624" i="2"/>
  <c r="T623" i="2"/>
  <c r="Q623" i="2"/>
  <c r="O623" i="2"/>
  <c r="N623" i="2"/>
  <c r="L623" i="2"/>
  <c r="J623" i="2"/>
  <c r="T622" i="2"/>
  <c r="Q622" i="2"/>
  <c r="O622" i="2"/>
  <c r="N622" i="2"/>
  <c r="L622" i="2"/>
  <c r="J622" i="2"/>
  <c r="T621" i="2"/>
  <c r="Q621" i="2"/>
  <c r="O621" i="2"/>
  <c r="N621" i="2"/>
  <c r="L621" i="2"/>
  <c r="J621" i="2"/>
  <c r="T620" i="2"/>
  <c r="Q620" i="2"/>
  <c r="O620" i="2"/>
  <c r="N620" i="2"/>
  <c r="L620" i="2"/>
  <c r="J620" i="2"/>
  <c r="T619" i="2"/>
  <c r="Q619" i="2"/>
  <c r="O619" i="2"/>
  <c r="N619" i="2"/>
  <c r="L619" i="2"/>
  <c r="J619" i="2"/>
  <c r="T618" i="2"/>
  <c r="Q618" i="2"/>
  <c r="O618" i="2"/>
  <c r="N618" i="2"/>
  <c r="L618" i="2"/>
  <c r="J618" i="2"/>
  <c r="T617" i="2"/>
  <c r="Q617" i="2"/>
  <c r="O617" i="2"/>
  <c r="N617" i="2"/>
  <c r="L617" i="2"/>
  <c r="J617" i="2"/>
  <c r="T616" i="2"/>
  <c r="Q616" i="2"/>
  <c r="O616" i="2"/>
  <c r="N616" i="2"/>
  <c r="L616" i="2"/>
  <c r="J616" i="2"/>
  <c r="T615" i="2"/>
  <c r="Q615" i="2"/>
  <c r="O615" i="2"/>
  <c r="N615" i="2"/>
  <c r="L615" i="2"/>
  <c r="J615" i="2"/>
  <c r="T614" i="2"/>
  <c r="Q614" i="2"/>
  <c r="O614" i="2"/>
  <c r="N614" i="2"/>
  <c r="L614" i="2"/>
  <c r="J614" i="2"/>
  <c r="T613" i="2"/>
  <c r="Q613" i="2"/>
  <c r="O613" i="2"/>
  <c r="N613" i="2"/>
  <c r="L613" i="2"/>
  <c r="J613" i="2"/>
  <c r="T612" i="2"/>
  <c r="Q612" i="2"/>
  <c r="O612" i="2"/>
  <c r="N612" i="2"/>
  <c r="L612" i="2"/>
  <c r="J612" i="2"/>
  <c r="T611" i="2"/>
  <c r="Q611" i="2"/>
  <c r="O611" i="2"/>
  <c r="N611" i="2"/>
  <c r="L611" i="2"/>
  <c r="J611" i="2"/>
  <c r="T610" i="2"/>
  <c r="Q610" i="2"/>
  <c r="O610" i="2"/>
  <c r="N610" i="2"/>
  <c r="L610" i="2"/>
  <c r="J610" i="2"/>
  <c r="T609" i="2"/>
  <c r="Q609" i="2"/>
  <c r="O609" i="2"/>
  <c r="N609" i="2"/>
  <c r="L609" i="2"/>
  <c r="J609" i="2"/>
  <c r="T608" i="2"/>
  <c r="Q608" i="2"/>
  <c r="O608" i="2"/>
  <c r="N608" i="2"/>
  <c r="L608" i="2"/>
  <c r="J608" i="2"/>
  <c r="T607" i="2"/>
  <c r="Q607" i="2"/>
  <c r="O607" i="2"/>
  <c r="N607" i="2"/>
  <c r="L607" i="2"/>
  <c r="J607" i="2"/>
  <c r="T606" i="2"/>
  <c r="Q606" i="2"/>
  <c r="O606" i="2"/>
  <c r="N606" i="2"/>
  <c r="L606" i="2"/>
  <c r="J606" i="2"/>
  <c r="T605" i="2"/>
  <c r="Q605" i="2"/>
  <c r="O605" i="2"/>
  <c r="N605" i="2"/>
  <c r="L605" i="2"/>
  <c r="J605" i="2"/>
  <c r="T604" i="2"/>
  <c r="Q604" i="2"/>
  <c r="O604" i="2"/>
  <c r="N604" i="2"/>
  <c r="L604" i="2"/>
  <c r="J604" i="2"/>
  <c r="T603" i="2"/>
  <c r="Q603" i="2"/>
  <c r="O603" i="2"/>
  <c r="N603" i="2"/>
  <c r="L603" i="2"/>
  <c r="J603" i="2"/>
  <c r="T602" i="2"/>
  <c r="Q602" i="2"/>
  <c r="O602" i="2"/>
  <c r="N602" i="2"/>
  <c r="L602" i="2"/>
  <c r="J602" i="2"/>
  <c r="T601" i="2"/>
  <c r="Q601" i="2"/>
  <c r="O601" i="2"/>
  <c r="N601" i="2"/>
  <c r="L601" i="2"/>
  <c r="J601" i="2"/>
  <c r="T600" i="2"/>
  <c r="Q600" i="2"/>
  <c r="O600" i="2"/>
  <c r="N600" i="2"/>
  <c r="L600" i="2"/>
  <c r="J600" i="2"/>
  <c r="T599" i="2"/>
  <c r="Q599" i="2"/>
  <c r="O599" i="2"/>
  <c r="N599" i="2"/>
  <c r="L599" i="2"/>
  <c r="J599" i="2"/>
  <c r="T598" i="2"/>
  <c r="Q598" i="2"/>
  <c r="O598" i="2"/>
  <c r="N598" i="2"/>
  <c r="L598" i="2"/>
  <c r="J598" i="2"/>
  <c r="T597" i="2"/>
  <c r="Q597" i="2"/>
  <c r="O597" i="2"/>
  <c r="N597" i="2"/>
  <c r="L597" i="2"/>
  <c r="J597" i="2"/>
  <c r="T596" i="2"/>
  <c r="Q596" i="2"/>
  <c r="O596" i="2"/>
  <c r="N596" i="2"/>
  <c r="L596" i="2"/>
  <c r="J596" i="2"/>
  <c r="T595" i="2"/>
  <c r="Q595" i="2"/>
  <c r="O595" i="2"/>
  <c r="N595" i="2"/>
  <c r="L595" i="2"/>
  <c r="J595" i="2"/>
  <c r="T594" i="2"/>
  <c r="Q594" i="2"/>
  <c r="O594" i="2"/>
  <c r="N594" i="2"/>
  <c r="L594" i="2"/>
  <c r="J594" i="2"/>
  <c r="T593" i="2"/>
  <c r="Q593" i="2"/>
  <c r="O593" i="2"/>
  <c r="N593" i="2"/>
  <c r="L593" i="2"/>
  <c r="J593" i="2"/>
  <c r="T592" i="2"/>
  <c r="Q592" i="2"/>
  <c r="O592" i="2"/>
  <c r="N592" i="2"/>
  <c r="L592" i="2"/>
  <c r="J592" i="2"/>
  <c r="T591" i="2"/>
  <c r="Q591" i="2"/>
  <c r="O591" i="2"/>
  <c r="N591" i="2"/>
  <c r="L591" i="2"/>
  <c r="J591" i="2"/>
  <c r="T590" i="2"/>
  <c r="Q590" i="2"/>
  <c r="O590" i="2"/>
  <c r="N590" i="2"/>
  <c r="L590" i="2"/>
  <c r="J590" i="2"/>
  <c r="T589" i="2"/>
  <c r="Q589" i="2"/>
  <c r="O589" i="2"/>
  <c r="N589" i="2"/>
  <c r="L589" i="2"/>
  <c r="J589" i="2"/>
  <c r="T588" i="2"/>
  <c r="Q588" i="2"/>
  <c r="O588" i="2"/>
  <c r="N588" i="2"/>
  <c r="L588" i="2"/>
  <c r="J588" i="2"/>
  <c r="T587" i="2"/>
  <c r="Q587" i="2"/>
  <c r="O587" i="2"/>
  <c r="N587" i="2"/>
  <c r="L587" i="2"/>
  <c r="J587" i="2"/>
  <c r="T586" i="2"/>
  <c r="Q586" i="2"/>
  <c r="O586" i="2"/>
  <c r="N586" i="2"/>
  <c r="L586" i="2"/>
  <c r="J586" i="2"/>
  <c r="T585" i="2"/>
  <c r="Q585" i="2"/>
  <c r="O585" i="2"/>
  <c r="N585" i="2"/>
  <c r="L585" i="2"/>
  <c r="J585" i="2"/>
  <c r="T584" i="2"/>
  <c r="Q584" i="2"/>
  <c r="O584" i="2"/>
  <c r="N584" i="2"/>
  <c r="L584" i="2"/>
  <c r="J584" i="2"/>
  <c r="T583" i="2"/>
  <c r="Q583" i="2"/>
  <c r="O583" i="2"/>
  <c r="N583" i="2"/>
  <c r="L583" i="2"/>
  <c r="J583" i="2"/>
  <c r="T582" i="2"/>
  <c r="Q582" i="2"/>
  <c r="O582" i="2"/>
  <c r="N582" i="2"/>
  <c r="L582" i="2"/>
  <c r="J582" i="2"/>
  <c r="T581" i="2"/>
  <c r="Q581" i="2"/>
  <c r="O581" i="2"/>
  <c r="N581" i="2"/>
  <c r="L581" i="2"/>
  <c r="J581" i="2"/>
  <c r="T580" i="2"/>
  <c r="Q580" i="2"/>
  <c r="O580" i="2"/>
  <c r="N580" i="2"/>
  <c r="L580" i="2"/>
  <c r="J580" i="2"/>
  <c r="T579" i="2"/>
  <c r="Q579" i="2"/>
  <c r="O579" i="2"/>
  <c r="N579" i="2"/>
  <c r="L579" i="2"/>
  <c r="J579" i="2"/>
  <c r="T578" i="2"/>
  <c r="Q578" i="2"/>
  <c r="O578" i="2"/>
  <c r="N578" i="2"/>
  <c r="L578" i="2"/>
  <c r="J578" i="2"/>
  <c r="T577" i="2"/>
  <c r="Q577" i="2"/>
  <c r="O577" i="2"/>
  <c r="N577" i="2"/>
  <c r="L577" i="2"/>
  <c r="J577" i="2"/>
  <c r="T576" i="2"/>
  <c r="Q576" i="2"/>
  <c r="O576" i="2"/>
  <c r="N576" i="2"/>
  <c r="L576" i="2"/>
  <c r="J576" i="2"/>
  <c r="T575" i="2"/>
  <c r="Q575" i="2"/>
  <c r="O575" i="2"/>
  <c r="N575" i="2"/>
  <c r="L575" i="2"/>
  <c r="J575" i="2"/>
  <c r="T574" i="2"/>
  <c r="Q574" i="2"/>
  <c r="O574" i="2"/>
  <c r="N574" i="2"/>
  <c r="L574" i="2"/>
  <c r="J574" i="2"/>
  <c r="T573" i="2"/>
  <c r="Q573" i="2"/>
  <c r="O573" i="2"/>
  <c r="N573" i="2"/>
  <c r="L573" i="2"/>
  <c r="J573" i="2"/>
  <c r="T572" i="2"/>
  <c r="Q572" i="2"/>
  <c r="O572" i="2"/>
  <c r="N572" i="2"/>
  <c r="L572" i="2"/>
  <c r="J572" i="2"/>
  <c r="T571" i="2"/>
  <c r="Q571" i="2"/>
  <c r="O571" i="2"/>
  <c r="N571" i="2"/>
  <c r="L571" i="2"/>
  <c r="J571" i="2"/>
  <c r="T570" i="2"/>
  <c r="Q570" i="2"/>
  <c r="O570" i="2"/>
  <c r="N570" i="2"/>
  <c r="L570" i="2"/>
  <c r="J570" i="2"/>
  <c r="T569" i="2"/>
  <c r="Q569" i="2"/>
  <c r="O569" i="2"/>
  <c r="N569" i="2"/>
  <c r="L569" i="2"/>
  <c r="J569" i="2"/>
  <c r="T568" i="2"/>
  <c r="Q568" i="2"/>
  <c r="O568" i="2"/>
  <c r="N568" i="2"/>
  <c r="L568" i="2"/>
  <c r="J568" i="2"/>
  <c r="T567" i="2"/>
  <c r="Q567" i="2"/>
  <c r="O567" i="2"/>
  <c r="N567" i="2"/>
  <c r="L567" i="2"/>
  <c r="J567" i="2"/>
  <c r="T566" i="2"/>
  <c r="Q566" i="2"/>
  <c r="O566" i="2"/>
  <c r="N566" i="2"/>
  <c r="L566" i="2"/>
  <c r="J566" i="2"/>
  <c r="T565" i="2"/>
  <c r="Q565" i="2"/>
  <c r="O565" i="2"/>
  <c r="N565" i="2"/>
  <c r="L565" i="2"/>
  <c r="J565" i="2"/>
  <c r="T564" i="2"/>
  <c r="Q564" i="2"/>
  <c r="O564" i="2"/>
  <c r="N564" i="2"/>
  <c r="L564" i="2"/>
  <c r="J564" i="2"/>
  <c r="T563" i="2"/>
  <c r="Q563" i="2"/>
  <c r="O563" i="2"/>
  <c r="N563" i="2"/>
  <c r="L563" i="2"/>
  <c r="J563" i="2"/>
  <c r="T562" i="2"/>
  <c r="Q562" i="2"/>
  <c r="O562" i="2"/>
  <c r="N562" i="2"/>
  <c r="L562" i="2"/>
  <c r="J562" i="2"/>
  <c r="T561" i="2"/>
  <c r="Q561" i="2"/>
  <c r="O561" i="2"/>
  <c r="N561" i="2"/>
  <c r="L561" i="2"/>
  <c r="J561" i="2"/>
  <c r="T560" i="2"/>
  <c r="Q560" i="2"/>
  <c r="O560" i="2"/>
  <c r="N560" i="2"/>
  <c r="L560" i="2"/>
  <c r="J560" i="2"/>
  <c r="T559" i="2"/>
  <c r="Q559" i="2"/>
  <c r="O559" i="2"/>
  <c r="N559" i="2"/>
  <c r="L559" i="2"/>
  <c r="J559" i="2"/>
  <c r="T558" i="2"/>
  <c r="Q558" i="2"/>
  <c r="O558" i="2"/>
  <c r="N558" i="2"/>
  <c r="L558" i="2"/>
  <c r="J558" i="2"/>
  <c r="T557" i="2"/>
  <c r="Q557" i="2"/>
  <c r="O557" i="2"/>
  <c r="N557" i="2"/>
  <c r="L557" i="2"/>
  <c r="J557" i="2"/>
  <c r="T556" i="2"/>
  <c r="Q556" i="2"/>
  <c r="O556" i="2"/>
  <c r="N556" i="2"/>
  <c r="L556" i="2"/>
  <c r="J556" i="2"/>
  <c r="T555" i="2"/>
  <c r="Q555" i="2"/>
  <c r="O555" i="2"/>
  <c r="N555" i="2"/>
  <c r="L555" i="2"/>
  <c r="J555" i="2"/>
  <c r="T554" i="2"/>
  <c r="Q554" i="2"/>
  <c r="O554" i="2"/>
  <c r="N554" i="2"/>
  <c r="L554" i="2"/>
  <c r="J554" i="2"/>
  <c r="T553" i="2"/>
  <c r="Q553" i="2"/>
  <c r="O553" i="2"/>
  <c r="N553" i="2"/>
  <c r="L553" i="2"/>
  <c r="J553" i="2"/>
  <c r="T552" i="2"/>
  <c r="Q552" i="2"/>
  <c r="O552" i="2"/>
  <c r="N552" i="2"/>
  <c r="L552" i="2"/>
  <c r="J552" i="2"/>
  <c r="T551" i="2"/>
  <c r="Q551" i="2"/>
  <c r="O551" i="2"/>
  <c r="N551" i="2"/>
  <c r="L551" i="2"/>
  <c r="J551" i="2"/>
  <c r="T550" i="2"/>
  <c r="Q550" i="2"/>
  <c r="O550" i="2"/>
  <c r="N550" i="2"/>
  <c r="L550" i="2"/>
  <c r="J550" i="2"/>
  <c r="T549" i="2"/>
  <c r="Q549" i="2"/>
  <c r="O549" i="2"/>
  <c r="N549" i="2"/>
  <c r="L549" i="2"/>
  <c r="J549" i="2"/>
  <c r="T548" i="2"/>
  <c r="Q548" i="2"/>
  <c r="O548" i="2"/>
  <c r="N548" i="2"/>
  <c r="L548" i="2"/>
  <c r="J548" i="2"/>
  <c r="T547" i="2"/>
  <c r="Q547" i="2"/>
  <c r="O547" i="2"/>
  <c r="N547" i="2"/>
  <c r="L547" i="2"/>
  <c r="J547" i="2"/>
  <c r="T546" i="2"/>
  <c r="Q546" i="2"/>
  <c r="O546" i="2"/>
  <c r="N546" i="2"/>
  <c r="L546" i="2"/>
  <c r="J546" i="2"/>
  <c r="T545" i="2"/>
  <c r="Q545" i="2"/>
  <c r="O545" i="2"/>
  <c r="N545" i="2"/>
  <c r="L545" i="2"/>
  <c r="J545" i="2"/>
  <c r="T544" i="2"/>
  <c r="Q544" i="2"/>
  <c r="O544" i="2"/>
  <c r="N544" i="2"/>
  <c r="L544" i="2"/>
  <c r="J544" i="2"/>
  <c r="T543" i="2"/>
  <c r="Q543" i="2"/>
  <c r="O543" i="2"/>
  <c r="N543" i="2"/>
  <c r="L543" i="2"/>
  <c r="J543" i="2"/>
  <c r="T542" i="2"/>
  <c r="Q542" i="2"/>
  <c r="O542" i="2"/>
  <c r="N542" i="2"/>
  <c r="L542" i="2"/>
  <c r="J542" i="2"/>
  <c r="T541" i="2"/>
  <c r="Q541" i="2"/>
  <c r="O541" i="2"/>
  <c r="N541" i="2"/>
  <c r="L541" i="2"/>
  <c r="J541" i="2"/>
  <c r="T540" i="2"/>
  <c r="Q540" i="2"/>
  <c r="O540" i="2"/>
  <c r="N540" i="2"/>
  <c r="L540" i="2"/>
  <c r="J540" i="2"/>
  <c r="T539" i="2"/>
  <c r="Q539" i="2"/>
  <c r="O539" i="2"/>
  <c r="N539" i="2"/>
  <c r="L539" i="2"/>
  <c r="J539" i="2"/>
  <c r="T538" i="2"/>
  <c r="Q538" i="2"/>
  <c r="O538" i="2"/>
  <c r="N538" i="2"/>
  <c r="L538" i="2"/>
  <c r="J538" i="2"/>
  <c r="T537" i="2"/>
  <c r="Q537" i="2"/>
  <c r="O537" i="2"/>
  <c r="N537" i="2"/>
  <c r="L537" i="2"/>
  <c r="J537" i="2"/>
  <c r="T536" i="2"/>
  <c r="Q536" i="2"/>
  <c r="O536" i="2"/>
  <c r="N536" i="2"/>
  <c r="L536" i="2"/>
  <c r="J536" i="2"/>
  <c r="T535" i="2"/>
  <c r="Q535" i="2"/>
  <c r="O535" i="2"/>
  <c r="N535" i="2"/>
  <c r="L535" i="2"/>
  <c r="J535" i="2"/>
  <c r="T534" i="2"/>
  <c r="Q534" i="2"/>
  <c r="O534" i="2"/>
  <c r="N534" i="2"/>
  <c r="L534" i="2"/>
  <c r="J534" i="2"/>
  <c r="T533" i="2"/>
  <c r="Q533" i="2"/>
  <c r="O533" i="2"/>
  <c r="N533" i="2"/>
  <c r="L533" i="2"/>
  <c r="J533" i="2"/>
  <c r="T532" i="2"/>
  <c r="Q532" i="2"/>
  <c r="O532" i="2"/>
  <c r="N532" i="2"/>
  <c r="L532" i="2"/>
  <c r="J532" i="2"/>
  <c r="T531" i="2"/>
  <c r="Q531" i="2"/>
  <c r="O531" i="2"/>
  <c r="N531" i="2"/>
  <c r="L531" i="2"/>
  <c r="J531" i="2"/>
  <c r="T530" i="2"/>
  <c r="Q530" i="2"/>
  <c r="O530" i="2"/>
  <c r="N530" i="2"/>
  <c r="L530" i="2"/>
  <c r="J530" i="2"/>
  <c r="T529" i="2"/>
  <c r="Q529" i="2"/>
  <c r="O529" i="2"/>
  <c r="N529" i="2"/>
  <c r="L529" i="2"/>
  <c r="J529" i="2"/>
  <c r="T528" i="2"/>
  <c r="Q528" i="2"/>
  <c r="O528" i="2"/>
  <c r="N528" i="2"/>
  <c r="L528" i="2"/>
  <c r="J528" i="2"/>
  <c r="T527" i="2"/>
  <c r="Q527" i="2"/>
  <c r="O527" i="2"/>
  <c r="N527" i="2"/>
  <c r="L527" i="2"/>
  <c r="J527" i="2"/>
  <c r="T526" i="2"/>
  <c r="Q526" i="2"/>
  <c r="O526" i="2"/>
  <c r="N526" i="2"/>
  <c r="L526" i="2"/>
  <c r="J526" i="2"/>
  <c r="T525" i="2"/>
  <c r="Q525" i="2"/>
  <c r="O525" i="2"/>
  <c r="N525" i="2"/>
  <c r="L525" i="2"/>
  <c r="J525" i="2"/>
  <c r="T524" i="2"/>
  <c r="Q524" i="2"/>
  <c r="O524" i="2"/>
  <c r="N524" i="2"/>
  <c r="L524" i="2"/>
  <c r="J524" i="2"/>
  <c r="T523" i="2"/>
  <c r="Q523" i="2"/>
  <c r="O523" i="2"/>
  <c r="N523" i="2"/>
  <c r="L523" i="2"/>
  <c r="J523" i="2"/>
  <c r="T522" i="2"/>
  <c r="Q522" i="2"/>
  <c r="O522" i="2"/>
  <c r="N522" i="2"/>
  <c r="L522" i="2"/>
  <c r="J522" i="2"/>
  <c r="T521" i="2"/>
  <c r="Q521" i="2"/>
  <c r="O521" i="2"/>
  <c r="N521" i="2"/>
  <c r="L521" i="2"/>
  <c r="J521" i="2"/>
  <c r="T520" i="2"/>
  <c r="Q520" i="2"/>
  <c r="O520" i="2"/>
  <c r="N520" i="2"/>
  <c r="L520" i="2"/>
  <c r="J520" i="2"/>
  <c r="T519" i="2"/>
  <c r="Q519" i="2"/>
  <c r="O519" i="2"/>
  <c r="N519" i="2"/>
  <c r="L519" i="2"/>
  <c r="J519" i="2"/>
  <c r="T518" i="2"/>
  <c r="Q518" i="2"/>
  <c r="O518" i="2"/>
  <c r="N518" i="2"/>
  <c r="L518" i="2"/>
  <c r="J518" i="2"/>
  <c r="T517" i="2"/>
  <c r="Q517" i="2"/>
  <c r="O517" i="2"/>
  <c r="N517" i="2"/>
  <c r="L517" i="2"/>
  <c r="J517" i="2"/>
  <c r="T516" i="2"/>
  <c r="Q516" i="2"/>
  <c r="O516" i="2"/>
  <c r="N516" i="2"/>
  <c r="L516" i="2"/>
  <c r="J516" i="2"/>
  <c r="T515" i="2"/>
  <c r="Q515" i="2"/>
  <c r="O515" i="2"/>
  <c r="N515" i="2"/>
  <c r="L515" i="2"/>
  <c r="J515" i="2"/>
  <c r="T514" i="2"/>
  <c r="Q514" i="2"/>
  <c r="O514" i="2"/>
  <c r="N514" i="2"/>
  <c r="L514" i="2"/>
  <c r="J514" i="2"/>
  <c r="T513" i="2"/>
  <c r="Q513" i="2"/>
  <c r="O513" i="2"/>
  <c r="N513" i="2"/>
  <c r="L513" i="2"/>
  <c r="J513" i="2"/>
  <c r="T512" i="2"/>
  <c r="Q512" i="2"/>
  <c r="O512" i="2"/>
  <c r="N512" i="2"/>
  <c r="L512" i="2"/>
  <c r="J512" i="2"/>
  <c r="T511" i="2"/>
  <c r="Q511" i="2"/>
  <c r="O511" i="2"/>
  <c r="N511" i="2"/>
  <c r="L511" i="2"/>
  <c r="J511" i="2"/>
  <c r="T510" i="2"/>
  <c r="Q510" i="2"/>
  <c r="O510" i="2"/>
  <c r="N510" i="2"/>
  <c r="L510" i="2"/>
  <c r="J510" i="2"/>
  <c r="T509" i="2"/>
  <c r="Q509" i="2"/>
  <c r="O509" i="2"/>
  <c r="N509" i="2"/>
  <c r="L509" i="2"/>
  <c r="J509" i="2"/>
  <c r="T508" i="2"/>
  <c r="Q508" i="2"/>
  <c r="O508" i="2"/>
  <c r="N508" i="2"/>
  <c r="L508" i="2"/>
  <c r="J508" i="2"/>
  <c r="T507" i="2"/>
  <c r="Q507" i="2"/>
  <c r="O507" i="2"/>
  <c r="N507" i="2"/>
  <c r="L507" i="2"/>
  <c r="J507" i="2"/>
  <c r="T506" i="2"/>
  <c r="Q506" i="2"/>
  <c r="O506" i="2"/>
  <c r="N506" i="2"/>
  <c r="L506" i="2"/>
  <c r="J506" i="2"/>
  <c r="T505" i="2"/>
  <c r="Q505" i="2"/>
  <c r="O505" i="2"/>
  <c r="N505" i="2"/>
  <c r="L505" i="2"/>
  <c r="J505" i="2"/>
  <c r="T504" i="2"/>
  <c r="Q504" i="2"/>
  <c r="O504" i="2"/>
  <c r="N504" i="2"/>
  <c r="L504" i="2"/>
  <c r="J504" i="2"/>
  <c r="T503" i="2"/>
  <c r="Q503" i="2"/>
  <c r="O503" i="2"/>
  <c r="N503" i="2"/>
  <c r="L503" i="2"/>
  <c r="J503" i="2"/>
  <c r="T502" i="2"/>
  <c r="Q502" i="2"/>
  <c r="O502" i="2"/>
  <c r="N502" i="2"/>
  <c r="L502" i="2"/>
  <c r="J502" i="2"/>
  <c r="T501" i="2"/>
  <c r="Q501" i="2"/>
  <c r="O501" i="2"/>
  <c r="N501" i="2"/>
  <c r="L501" i="2"/>
  <c r="J501" i="2"/>
  <c r="T500" i="2"/>
  <c r="Q500" i="2"/>
  <c r="O500" i="2"/>
  <c r="N500" i="2"/>
  <c r="L500" i="2"/>
  <c r="J500" i="2"/>
  <c r="T499" i="2"/>
  <c r="Q499" i="2"/>
  <c r="O499" i="2"/>
  <c r="N499" i="2"/>
  <c r="L499" i="2"/>
  <c r="J499" i="2"/>
  <c r="T498" i="2"/>
  <c r="Q498" i="2"/>
  <c r="O498" i="2"/>
  <c r="N498" i="2"/>
  <c r="L498" i="2"/>
  <c r="J498" i="2"/>
  <c r="T497" i="2"/>
  <c r="Q497" i="2"/>
  <c r="O497" i="2"/>
  <c r="N497" i="2"/>
  <c r="L497" i="2"/>
  <c r="J497" i="2"/>
  <c r="T496" i="2"/>
  <c r="Q496" i="2"/>
  <c r="O496" i="2"/>
  <c r="N496" i="2"/>
  <c r="L496" i="2"/>
  <c r="J496" i="2"/>
  <c r="T495" i="2"/>
  <c r="Q495" i="2"/>
  <c r="O495" i="2"/>
  <c r="N495" i="2"/>
  <c r="L495" i="2"/>
  <c r="J495" i="2"/>
  <c r="T494" i="2"/>
  <c r="Q494" i="2"/>
  <c r="O494" i="2"/>
  <c r="N494" i="2"/>
  <c r="L494" i="2"/>
  <c r="J494" i="2"/>
  <c r="T493" i="2"/>
  <c r="Q493" i="2"/>
  <c r="O493" i="2"/>
  <c r="N493" i="2"/>
  <c r="L493" i="2"/>
  <c r="J493" i="2"/>
  <c r="T492" i="2"/>
  <c r="Q492" i="2"/>
  <c r="O492" i="2"/>
  <c r="N492" i="2"/>
  <c r="L492" i="2"/>
  <c r="J492" i="2"/>
  <c r="T491" i="2"/>
  <c r="Q491" i="2"/>
  <c r="O491" i="2"/>
  <c r="N491" i="2"/>
  <c r="L491" i="2"/>
  <c r="J491" i="2"/>
  <c r="T490" i="2"/>
  <c r="Q490" i="2"/>
  <c r="O490" i="2"/>
  <c r="N490" i="2"/>
  <c r="L490" i="2"/>
  <c r="J490" i="2"/>
  <c r="T489" i="2"/>
  <c r="Q489" i="2"/>
  <c r="O489" i="2"/>
  <c r="N489" i="2"/>
  <c r="L489" i="2"/>
  <c r="J489" i="2"/>
  <c r="T488" i="2"/>
  <c r="Q488" i="2"/>
  <c r="O488" i="2"/>
  <c r="N488" i="2"/>
  <c r="L488" i="2"/>
  <c r="J488" i="2"/>
  <c r="T487" i="2"/>
  <c r="Q487" i="2"/>
  <c r="O487" i="2"/>
  <c r="N487" i="2"/>
  <c r="L487" i="2"/>
  <c r="J487" i="2"/>
  <c r="T486" i="2"/>
  <c r="Q486" i="2"/>
  <c r="O486" i="2"/>
  <c r="N486" i="2"/>
  <c r="L486" i="2"/>
  <c r="J486" i="2"/>
  <c r="T485" i="2"/>
  <c r="Q485" i="2"/>
  <c r="O485" i="2"/>
  <c r="N485" i="2"/>
  <c r="L485" i="2"/>
  <c r="J485" i="2"/>
  <c r="T484" i="2"/>
  <c r="Q484" i="2"/>
  <c r="O484" i="2"/>
  <c r="N484" i="2"/>
  <c r="L484" i="2"/>
  <c r="J484" i="2"/>
  <c r="T483" i="2"/>
  <c r="Q483" i="2"/>
  <c r="O483" i="2"/>
  <c r="N483" i="2"/>
  <c r="L483" i="2"/>
  <c r="J483" i="2"/>
  <c r="T482" i="2"/>
  <c r="Q482" i="2"/>
  <c r="O482" i="2"/>
  <c r="N482" i="2"/>
  <c r="L482" i="2"/>
  <c r="J482" i="2"/>
  <c r="T481" i="2"/>
  <c r="Q481" i="2"/>
  <c r="O481" i="2"/>
  <c r="N481" i="2"/>
  <c r="L481" i="2"/>
  <c r="J481" i="2"/>
  <c r="T480" i="2"/>
  <c r="Q480" i="2"/>
  <c r="O480" i="2"/>
  <c r="N480" i="2"/>
  <c r="L480" i="2"/>
  <c r="J480" i="2"/>
  <c r="T479" i="2"/>
  <c r="Q479" i="2"/>
  <c r="O479" i="2"/>
  <c r="N479" i="2"/>
  <c r="L479" i="2"/>
  <c r="J479" i="2"/>
  <c r="T478" i="2"/>
  <c r="Q478" i="2"/>
  <c r="O478" i="2"/>
  <c r="N478" i="2"/>
  <c r="L478" i="2"/>
  <c r="J478" i="2"/>
  <c r="T477" i="2"/>
  <c r="Q477" i="2"/>
  <c r="O477" i="2"/>
  <c r="N477" i="2"/>
  <c r="L477" i="2"/>
  <c r="J477" i="2"/>
  <c r="T476" i="2"/>
  <c r="Q476" i="2"/>
  <c r="O476" i="2"/>
  <c r="N476" i="2"/>
  <c r="L476" i="2"/>
  <c r="J476" i="2"/>
  <c r="T475" i="2"/>
  <c r="Q475" i="2"/>
  <c r="O475" i="2"/>
  <c r="N475" i="2"/>
  <c r="L475" i="2"/>
  <c r="J475" i="2"/>
  <c r="T474" i="2"/>
  <c r="Q474" i="2"/>
  <c r="O474" i="2"/>
  <c r="N474" i="2"/>
  <c r="L474" i="2"/>
  <c r="J474" i="2"/>
  <c r="T473" i="2"/>
  <c r="Q473" i="2"/>
  <c r="O473" i="2"/>
  <c r="N473" i="2"/>
  <c r="L473" i="2"/>
  <c r="J473" i="2"/>
  <c r="T472" i="2"/>
  <c r="Q472" i="2"/>
  <c r="O472" i="2"/>
  <c r="N472" i="2"/>
  <c r="L472" i="2"/>
  <c r="J472" i="2"/>
  <c r="T471" i="2"/>
  <c r="Q471" i="2"/>
  <c r="O471" i="2"/>
  <c r="N471" i="2"/>
  <c r="L471" i="2"/>
  <c r="J471" i="2"/>
  <c r="T470" i="2"/>
  <c r="Q470" i="2"/>
  <c r="O470" i="2"/>
  <c r="N470" i="2"/>
  <c r="L470" i="2"/>
  <c r="J470" i="2"/>
  <c r="T469" i="2"/>
  <c r="Q469" i="2"/>
  <c r="O469" i="2"/>
  <c r="N469" i="2"/>
  <c r="L469" i="2"/>
  <c r="J469" i="2"/>
  <c r="T468" i="2"/>
  <c r="Q468" i="2"/>
  <c r="O468" i="2"/>
  <c r="N468" i="2"/>
  <c r="L468" i="2"/>
  <c r="J468" i="2"/>
  <c r="T467" i="2"/>
  <c r="Q467" i="2"/>
  <c r="O467" i="2"/>
  <c r="N467" i="2"/>
  <c r="L467" i="2"/>
  <c r="J467" i="2"/>
  <c r="T466" i="2"/>
  <c r="Q466" i="2"/>
  <c r="O466" i="2"/>
  <c r="N466" i="2"/>
  <c r="L466" i="2"/>
  <c r="J466" i="2"/>
  <c r="T465" i="2"/>
  <c r="Q465" i="2"/>
  <c r="O465" i="2"/>
  <c r="N465" i="2"/>
  <c r="L465" i="2"/>
  <c r="J465" i="2"/>
  <c r="T464" i="2"/>
  <c r="Q464" i="2"/>
  <c r="O464" i="2"/>
  <c r="N464" i="2"/>
  <c r="L464" i="2"/>
  <c r="J464" i="2"/>
  <c r="T463" i="2"/>
  <c r="Q463" i="2"/>
  <c r="O463" i="2"/>
  <c r="N463" i="2"/>
  <c r="L463" i="2"/>
  <c r="J463" i="2"/>
  <c r="T462" i="2"/>
  <c r="Q462" i="2"/>
  <c r="O462" i="2"/>
  <c r="N462" i="2"/>
  <c r="L462" i="2"/>
  <c r="J462" i="2"/>
  <c r="T461" i="2"/>
  <c r="Q461" i="2"/>
  <c r="O461" i="2"/>
  <c r="N461" i="2"/>
  <c r="L461" i="2"/>
  <c r="J461" i="2"/>
  <c r="T460" i="2"/>
  <c r="Q460" i="2"/>
  <c r="O460" i="2"/>
  <c r="N460" i="2"/>
  <c r="L460" i="2"/>
  <c r="J460" i="2"/>
  <c r="T459" i="2"/>
  <c r="Q459" i="2"/>
  <c r="O459" i="2"/>
  <c r="N459" i="2"/>
  <c r="L459" i="2"/>
  <c r="J459" i="2"/>
  <c r="T458" i="2"/>
  <c r="Q458" i="2"/>
  <c r="O458" i="2"/>
  <c r="N458" i="2"/>
  <c r="L458" i="2"/>
  <c r="J458" i="2"/>
  <c r="T457" i="2"/>
  <c r="Q457" i="2"/>
  <c r="O457" i="2"/>
  <c r="N457" i="2"/>
  <c r="L457" i="2"/>
  <c r="J457" i="2"/>
  <c r="T456" i="2"/>
  <c r="Q456" i="2"/>
  <c r="O456" i="2"/>
  <c r="N456" i="2"/>
  <c r="L456" i="2"/>
  <c r="J456" i="2"/>
  <c r="T455" i="2"/>
  <c r="Q455" i="2"/>
  <c r="O455" i="2"/>
  <c r="N455" i="2"/>
  <c r="L455" i="2"/>
  <c r="J455" i="2"/>
  <c r="T454" i="2"/>
  <c r="Q454" i="2"/>
  <c r="O454" i="2"/>
  <c r="N454" i="2"/>
  <c r="L454" i="2"/>
  <c r="J454" i="2"/>
  <c r="T453" i="2"/>
  <c r="Q453" i="2"/>
  <c r="O453" i="2"/>
  <c r="N453" i="2"/>
  <c r="L453" i="2"/>
  <c r="J453" i="2"/>
  <c r="T452" i="2"/>
  <c r="Q452" i="2"/>
  <c r="O452" i="2"/>
  <c r="N452" i="2"/>
  <c r="L452" i="2"/>
  <c r="J452" i="2"/>
  <c r="T451" i="2"/>
  <c r="Q451" i="2"/>
  <c r="O451" i="2"/>
  <c r="N451" i="2"/>
  <c r="L451" i="2"/>
  <c r="J451" i="2"/>
  <c r="T450" i="2"/>
  <c r="Q450" i="2"/>
  <c r="O450" i="2"/>
  <c r="N450" i="2"/>
  <c r="L450" i="2"/>
  <c r="J450" i="2"/>
  <c r="T449" i="2"/>
  <c r="Q449" i="2"/>
  <c r="O449" i="2"/>
  <c r="N449" i="2"/>
  <c r="L449" i="2"/>
  <c r="J449" i="2"/>
  <c r="T448" i="2"/>
  <c r="Q448" i="2"/>
  <c r="O448" i="2"/>
  <c r="N448" i="2"/>
  <c r="L448" i="2"/>
  <c r="J448" i="2"/>
  <c r="T447" i="2"/>
  <c r="Q447" i="2"/>
  <c r="O447" i="2"/>
  <c r="N447" i="2"/>
  <c r="L447" i="2"/>
  <c r="J447" i="2"/>
  <c r="T446" i="2"/>
  <c r="Q446" i="2"/>
  <c r="O446" i="2"/>
  <c r="N446" i="2"/>
  <c r="L446" i="2"/>
  <c r="J446" i="2"/>
  <c r="T445" i="2"/>
  <c r="Q445" i="2"/>
  <c r="O445" i="2"/>
  <c r="N445" i="2"/>
  <c r="L445" i="2"/>
  <c r="J445" i="2"/>
  <c r="T444" i="2"/>
  <c r="Q444" i="2"/>
  <c r="O444" i="2"/>
  <c r="N444" i="2"/>
  <c r="L444" i="2"/>
  <c r="J444" i="2"/>
  <c r="T443" i="2"/>
  <c r="Q443" i="2"/>
  <c r="O443" i="2"/>
  <c r="N443" i="2"/>
  <c r="L443" i="2"/>
  <c r="J443" i="2"/>
  <c r="T442" i="2"/>
  <c r="Q442" i="2"/>
  <c r="O442" i="2"/>
  <c r="N442" i="2"/>
  <c r="L442" i="2"/>
  <c r="J442" i="2"/>
  <c r="T441" i="2"/>
  <c r="Q441" i="2"/>
  <c r="O441" i="2"/>
  <c r="N441" i="2"/>
  <c r="L441" i="2"/>
  <c r="J441" i="2"/>
  <c r="T440" i="2"/>
  <c r="Q440" i="2"/>
  <c r="O440" i="2"/>
  <c r="N440" i="2"/>
  <c r="L440" i="2"/>
  <c r="J440" i="2"/>
  <c r="T439" i="2"/>
  <c r="Q439" i="2"/>
  <c r="O439" i="2"/>
  <c r="N439" i="2"/>
  <c r="L439" i="2"/>
  <c r="J439" i="2"/>
  <c r="T438" i="2"/>
  <c r="Q438" i="2"/>
  <c r="O438" i="2"/>
  <c r="N438" i="2"/>
  <c r="L438" i="2"/>
  <c r="J438" i="2"/>
  <c r="T437" i="2"/>
  <c r="Q437" i="2"/>
  <c r="O437" i="2"/>
  <c r="N437" i="2"/>
  <c r="L437" i="2"/>
  <c r="J437" i="2"/>
  <c r="T436" i="2"/>
  <c r="Q436" i="2"/>
  <c r="O436" i="2"/>
  <c r="N436" i="2"/>
  <c r="L436" i="2"/>
  <c r="J436" i="2"/>
  <c r="T435" i="2"/>
  <c r="Q435" i="2"/>
  <c r="O435" i="2"/>
  <c r="N435" i="2"/>
  <c r="L435" i="2"/>
  <c r="J435" i="2"/>
  <c r="T434" i="2"/>
  <c r="Q434" i="2"/>
  <c r="O434" i="2"/>
  <c r="N434" i="2"/>
  <c r="L434" i="2"/>
  <c r="J434" i="2"/>
  <c r="T433" i="2"/>
  <c r="Q433" i="2"/>
  <c r="O433" i="2"/>
  <c r="N433" i="2"/>
  <c r="L433" i="2"/>
  <c r="J433" i="2"/>
  <c r="T432" i="2"/>
  <c r="Q432" i="2"/>
  <c r="O432" i="2"/>
  <c r="N432" i="2"/>
  <c r="L432" i="2"/>
  <c r="J432" i="2"/>
  <c r="T431" i="2"/>
  <c r="Q431" i="2"/>
  <c r="O431" i="2"/>
  <c r="N431" i="2"/>
  <c r="L431" i="2"/>
  <c r="J431" i="2"/>
  <c r="T430" i="2"/>
  <c r="Q430" i="2"/>
  <c r="O430" i="2"/>
  <c r="N430" i="2"/>
  <c r="L430" i="2"/>
  <c r="J430" i="2"/>
  <c r="T429" i="2"/>
  <c r="Q429" i="2"/>
  <c r="O429" i="2"/>
  <c r="N429" i="2"/>
  <c r="L429" i="2"/>
  <c r="J429" i="2"/>
  <c r="T428" i="2"/>
  <c r="Q428" i="2"/>
  <c r="O428" i="2"/>
  <c r="N428" i="2"/>
  <c r="L428" i="2"/>
  <c r="J428" i="2"/>
  <c r="T427" i="2"/>
  <c r="Q427" i="2"/>
  <c r="O427" i="2"/>
  <c r="N427" i="2"/>
  <c r="L427" i="2"/>
  <c r="J427" i="2"/>
  <c r="T426" i="2"/>
  <c r="Q426" i="2"/>
  <c r="O426" i="2"/>
  <c r="N426" i="2"/>
  <c r="L426" i="2"/>
  <c r="J426" i="2"/>
  <c r="T425" i="2"/>
  <c r="Q425" i="2"/>
  <c r="O425" i="2"/>
  <c r="N425" i="2"/>
  <c r="L425" i="2"/>
  <c r="J425" i="2"/>
  <c r="T424" i="2"/>
  <c r="Q424" i="2"/>
  <c r="O424" i="2"/>
  <c r="N424" i="2"/>
  <c r="L424" i="2"/>
  <c r="J424" i="2"/>
  <c r="T423" i="2"/>
  <c r="Q423" i="2"/>
  <c r="O423" i="2"/>
  <c r="N423" i="2"/>
  <c r="L423" i="2"/>
  <c r="J423" i="2"/>
  <c r="T422" i="2"/>
  <c r="Q422" i="2"/>
  <c r="O422" i="2"/>
  <c r="N422" i="2"/>
  <c r="L422" i="2"/>
  <c r="J422" i="2"/>
  <c r="T421" i="2"/>
  <c r="Q421" i="2"/>
  <c r="O421" i="2"/>
  <c r="N421" i="2"/>
  <c r="L421" i="2"/>
  <c r="J421" i="2"/>
  <c r="T420" i="2"/>
  <c r="Q420" i="2"/>
  <c r="O420" i="2"/>
  <c r="N420" i="2"/>
  <c r="L420" i="2"/>
  <c r="J420" i="2"/>
  <c r="T419" i="2"/>
  <c r="Q419" i="2"/>
  <c r="O419" i="2"/>
  <c r="N419" i="2"/>
  <c r="L419" i="2"/>
  <c r="J419" i="2"/>
  <c r="T418" i="2"/>
  <c r="Q418" i="2"/>
  <c r="O418" i="2"/>
  <c r="N418" i="2"/>
  <c r="L418" i="2"/>
  <c r="J418" i="2"/>
  <c r="T417" i="2"/>
  <c r="Q417" i="2"/>
  <c r="O417" i="2"/>
  <c r="N417" i="2"/>
  <c r="L417" i="2"/>
  <c r="J417" i="2"/>
  <c r="T416" i="2"/>
  <c r="Q416" i="2"/>
  <c r="O416" i="2"/>
  <c r="N416" i="2"/>
  <c r="L416" i="2"/>
  <c r="J416" i="2"/>
  <c r="T415" i="2"/>
  <c r="Q415" i="2"/>
  <c r="O415" i="2"/>
  <c r="N415" i="2"/>
  <c r="L415" i="2"/>
  <c r="J415" i="2"/>
  <c r="T414" i="2"/>
  <c r="Q414" i="2"/>
  <c r="O414" i="2"/>
  <c r="N414" i="2"/>
  <c r="L414" i="2"/>
  <c r="J414" i="2"/>
  <c r="T413" i="2"/>
  <c r="Q413" i="2"/>
  <c r="O413" i="2"/>
  <c r="N413" i="2"/>
  <c r="L413" i="2"/>
  <c r="J413" i="2"/>
  <c r="T412" i="2"/>
  <c r="Q412" i="2"/>
  <c r="O412" i="2"/>
  <c r="N412" i="2"/>
  <c r="L412" i="2"/>
  <c r="J412" i="2"/>
  <c r="T411" i="2"/>
  <c r="Q411" i="2"/>
  <c r="O411" i="2"/>
  <c r="N411" i="2"/>
  <c r="L411" i="2"/>
  <c r="J411" i="2"/>
  <c r="T410" i="2"/>
  <c r="Q410" i="2"/>
  <c r="O410" i="2"/>
  <c r="N410" i="2"/>
  <c r="L410" i="2"/>
  <c r="J410" i="2"/>
  <c r="T409" i="2"/>
  <c r="Q409" i="2"/>
  <c r="O409" i="2"/>
  <c r="N409" i="2"/>
  <c r="L409" i="2"/>
  <c r="J409" i="2"/>
  <c r="T408" i="2"/>
  <c r="Q408" i="2"/>
  <c r="O408" i="2"/>
  <c r="N408" i="2"/>
  <c r="L408" i="2"/>
  <c r="J408" i="2"/>
  <c r="T407" i="2"/>
  <c r="Q407" i="2"/>
  <c r="O407" i="2"/>
  <c r="N407" i="2"/>
  <c r="L407" i="2"/>
  <c r="J407" i="2"/>
  <c r="T406" i="2"/>
  <c r="Q406" i="2"/>
  <c r="O406" i="2"/>
  <c r="N406" i="2"/>
  <c r="L406" i="2"/>
  <c r="J406" i="2"/>
  <c r="T405" i="2"/>
  <c r="Q405" i="2"/>
  <c r="O405" i="2"/>
  <c r="N405" i="2"/>
  <c r="L405" i="2"/>
  <c r="J405" i="2"/>
  <c r="T404" i="2"/>
  <c r="Q404" i="2"/>
  <c r="O404" i="2"/>
  <c r="N404" i="2"/>
  <c r="L404" i="2"/>
  <c r="J404" i="2"/>
  <c r="T403" i="2"/>
  <c r="Q403" i="2"/>
  <c r="O403" i="2"/>
  <c r="N403" i="2"/>
  <c r="L403" i="2"/>
  <c r="J403" i="2"/>
  <c r="T402" i="2"/>
  <c r="Q402" i="2"/>
  <c r="O402" i="2"/>
  <c r="N402" i="2"/>
  <c r="L402" i="2"/>
  <c r="J402" i="2"/>
  <c r="T401" i="2"/>
  <c r="Q401" i="2"/>
  <c r="O401" i="2"/>
  <c r="N401" i="2"/>
  <c r="L401" i="2"/>
  <c r="J401" i="2"/>
  <c r="T400" i="2"/>
  <c r="Q400" i="2"/>
  <c r="O400" i="2"/>
  <c r="N400" i="2"/>
  <c r="L400" i="2"/>
  <c r="J400" i="2"/>
  <c r="T399" i="2"/>
  <c r="Q399" i="2"/>
  <c r="O399" i="2"/>
  <c r="N399" i="2"/>
  <c r="L399" i="2"/>
  <c r="J399" i="2"/>
  <c r="T398" i="2"/>
  <c r="Q398" i="2"/>
  <c r="O398" i="2"/>
  <c r="N398" i="2"/>
  <c r="L398" i="2"/>
  <c r="J398" i="2"/>
  <c r="T397" i="2"/>
  <c r="Q397" i="2"/>
  <c r="O397" i="2"/>
  <c r="N397" i="2"/>
  <c r="L397" i="2"/>
  <c r="J397" i="2"/>
  <c r="T396" i="2"/>
  <c r="Q396" i="2"/>
  <c r="O396" i="2"/>
  <c r="N396" i="2"/>
  <c r="L396" i="2"/>
  <c r="J396" i="2"/>
  <c r="T395" i="2"/>
  <c r="Q395" i="2"/>
  <c r="O395" i="2"/>
  <c r="N395" i="2"/>
  <c r="L395" i="2"/>
  <c r="J395" i="2"/>
  <c r="T394" i="2"/>
  <c r="Q394" i="2"/>
  <c r="O394" i="2"/>
  <c r="N394" i="2"/>
  <c r="L394" i="2"/>
  <c r="J394" i="2"/>
  <c r="T393" i="2"/>
  <c r="Q393" i="2"/>
  <c r="O393" i="2"/>
  <c r="N393" i="2"/>
  <c r="L393" i="2"/>
  <c r="J393" i="2"/>
  <c r="T392" i="2"/>
  <c r="Q392" i="2"/>
  <c r="O392" i="2"/>
  <c r="N392" i="2"/>
  <c r="L392" i="2"/>
  <c r="J392" i="2"/>
  <c r="T391" i="2"/>
  <c r="Q391" i="2"/>
  <c r="O391" i="2"/>
  <c r="N391" i="2"/>
  <c r="L391" i="2"/>
  <c r="J391" i="2"/>
  <c r="T390" i="2"/>
  <c r="Q390" i="2"/>
  <c r="O390" i="2"/>
  <c r="N390" i="2"/>
  <c r="L390" i="2"/>
  <c r="J390" i="2"/>
  <c r="T389" i="2"/>
  <c r="Q389" i="2"/>
  <c r="O389" i="2"/>
  <c r="N389" i="2"/>
  <c r="L389" i="2"/>
  <c r="J389" i="2"/>
  <c r="T388" i="2"/>
  <c r="Q388" i="2"/>
  <c r="O388" i="2"/>
  <c r="N388" i="2"/>
  <c r="L388" i="2"/>
  <c r="J388" i="2"/>
  <c r="T387" i="2"/>
  <c r="Q387" i="2"/>
  <c r="O387" i="2"/>
  <c r="N387" i="2"/>
  <c r="L387" i="2"/>
  <c r="J387" i="2"/>
  <c r="T386" i="2"/>
  <c r="Q386" i="2"/>
  <c r="O386" i="2"/>
  <c r="N386" i="2"/>
  <c r="L386" i="2"/>
  <c r="J386" i="2"/>
  <c r="T385" i="2"/>
  <c r="Q385" i="2"/>
  <c r="O385" i="2"/>
  <c r="N385" i="2"/>
  <c r="L385" i="2"/>
  <c r="J385" i="2"/>
  <c r="T384" i="2"/>
  <c r="Q384" i="2"/>
  <c r="O384" i="2"/>
  <c r="N384" i="2"/>
  <c r="L384" i="2"/>
  <c r="J384" i="2"/>
  <c r="T383" i="2"/>
  <c r="Q383" i="2"/>
  <c r="O383" i="2"/>
  <c r="N383" i="2"/>
  <c r="L383" i="2"/>
  <c r="J383" i="2"/>
  <c r="T382" i="2"/>
  <c r="Q382" i="2"/>
  <c r="O382" i="2"/>
  <c r="N382" i="2"/>
  <c r="L382" i="2"/>
  <c r="J382" i="2"/>
  <c r="T381" i="2"/>
  <c r="Q381" i="2"/>
  <c r="O381" i="2"/>
  <c r="N381" i="2"/>
  <c r="L381" i="2"/>
  <c r="J381" i="2"/>
  <c r="T380" i="2"/>
  <c r="Q380" i="2"/>
  <c r="O380" i="2"/>
  <c r="N380" i="2"/>
  <c r="L380" i="2"/>
  <c r="J380" i="2"/>
  <c r="T379" i="2"/>
  <c r="Q379" i="2"/>
  <c r="O379" i="2"/>
  <c r="N379" i="2"/>
  <c r="L379" i="2"/>
  <c r="J379" i="2"/>
  <c r="T378" i="2"/>
  <c r="Q378" i="2"/>
  <c r="O378" i="2"/>
  <c r="N378" i="2"/>
  <c r="L378" i="2"/>
  <c r="J378" i="2"/>
  <c r="T377" i="2"/>
  <c r="Q377" i="2"/>
  <c r="O377" i="2"/>
  <c r="N377" i="2"/>
  <c r="L377" i="2"/>
  <c r="J377" i="2"/>
  <c r="T376" i="2"/>
  <c r="Q376" i="2"/>
  <c r="O376" i="2"/>
  <c r="N376" i="2"/>
  <c r="L376" i="2"/>
  <c r="J376" i="2"/>
  <c r="T375" i="2"/>
  <c r="Q375" i="2"/>
  <c r="O375" i="2"/>
  <c r="N375" i="2"/>
  <c r="L375" i="2"/>
  <c r="J375" i="2"/>
  <c r="T374" i="2"/>
  <c r="Q374" i="2"/>
  <c r="O374" i="2"/>
  <c r="N374" i="2"/>
  <c r="L374" i="2"/>
  <c r="J374" i="2"/>
  <c r="T373" i="2"/>
  <c r="Q373" i="2"/>
  <c r="O373" i="2"/>
  <c r="N373" i="2"/>
  <c r="L373" i="2"/>
  <c r="J373" i="2"/>
  <c r="T372" i="2"/>
  <c r="Q372" i="2"/>
  <c r="O372" i="2"/>
  <c r="N372" i="2"/>
  <c r="L372" i="2"/>
  <c r="J372" i="2"/>
  <c r="T371" i="2"/>
  <c r="Q371" i="2"/>
  <c r="O371" i="2"/>
  <c r="N371" i="2"/>
  <c r="L371" i="2"/>
  <c r="J371" i="2"/>
  <c r="T370" i="2"/>
  <c r="Q370" i="2"/>
  <c r="O370" i="2"/>
  <c r="N370" i="2"/>
  <c r="L370" i="2"/>
  <c r="J370" i="2"/>
  <c r="T369" i="2"/>
  <c r="Q369" i="2"/>
  <c r="O369" i="2"/>
  <c r="N369" i="2"/>
  <c r="L369" i="2"/>
  <c r="J369" i="2"/>
  <c r="T368" i="2"/>
  <c r="Q368" i="2"/>
  <c r="O368" i="2"/>
  <c r="N368" i="2"/>
  <c r="L368" i="2"/>
  <c r="J368" i="2"/>
  <c r="T367" i="2"/>
  <c r="Q367" i="2"/>
  <c r="O367" i="2"/>
  <c r="N367" i="2"/>
  <c r="L367" i="2"/>
  <c r="J367" i="2"/>
  <c r="T366" i="2"/>
  <c r="Q366" i="2"/>
  <c r="O366" i="2"/>
  <c r="N366" i="2"/>
  <c r="L366" i="2"/>
  <c r="J366" i="2"/>
  <c r="T365" i="2"/>
  <c r="Q365" i="2"/>
  <c r="O365" i="2"/>
  <c r="N365" i="2"/>
  <c r="L365" i="2"/>
  <c r="J365" i="2"/>
  <c r="T364" i="2"/>
  <c r="Q364" i="2"/>
  <c r="O364" i="2"/>
  <c r="N364" i="2"/>
  <c r="L364" i="2"/>
  <c r="J364" i="2"/>
  <c r="T363" i="2"/>
  <c r="Q363" i="2"/>
  <c r="O363" i="2"/>
  <c r="N363" i="2"/>
  <c r="L363" i="2"/>
  <c r="J363" i="2"/>
  <c r="T362" i="2"/>
  <c r="Q362" i="2"/>
  <c r="O362" i="2"/>
  <c r="N362" i="2"/>
  <c r="L362" i="2"/>
  <c r="J362" i="2"/>
  <c r="T361" i="2"/>
  <c r="Q361" i="2"/>
  <c r="O361" i="2"/>
  <c r="N361" i="2"/>
  <c r="L361" i="2"/>
  <c r="J361" i="2"/>
  <c r="T360" i="2"/>
  <c r="Q360" i="2"/>
  <c r="O360" i="2"/>
  <c r="N360" i="2"/>
  <c r="L360" i="2"/>
  <c r="J360" i="2"/>
  <c r="T359" i="2"/>
  <c r="Q359" i="2"/>
  <c r="O359" i="2"/>
  <c r="N359" i="2"/>
  <c r="L359" i="2"/>
  <c r="J359" i="2"/>
  <c r="T358" i="2"/>
  <c r="Q358" i="2"/>
  <c r="O358" i="2"/>
  <c r="N358" i="2"/>
  <c r="L358" i="2"/>
  <c r="J358" i="2"/>
  <c r="T357" i="2"/>
  <c r="Q357" i="2"/>
  <c r="O357" i="2"/>
  <c r="N357" i="2"/>
  <c r="L357" i="2"/>
  <c r="J357" i="2"/>
  <c r="T356" i="2"/>
  <c r="Q356" i="2"/>
  <c r="O356" i="2"/>
  <c r="N356" i="2"/>
  <c r="L356" i="2"/>
  <c r="J356" i="2"/>
  <c r="T355" i="2"/>
  <c r="Q355" i="2"/>
  <c r="O355" i="2"/>
  <c r="N355" i="2"/>
  <c r="L355" i="2"/>
  <c r="J355" i="2"/>
  <c r="T354" i="2"/>
  <c r="Q354" i="2"/>
  <c r="O354" i="2"/>
  <c r="N354" i="2"/>
  <c r="L354" i="2"/>
  <c r="J354" i="2"/>
  <c r="T353" i="2"/>
  <c r="Q353" i="2"/>
  <c r="O353" i="2"/>
  <c r="N353" i="2"/>
  <c r="L353" i="2"/>
  <c r="J353" i="2"/>
  <c r="T352" i="2"/>
  <c r="Q352" i="2"/>
  <c r="O352" i="2"/>
  <c r="N352" i="2"/>
  <c r="L352" i="2"/>
  <c r="J352" i="2"/>
  <c r="T351" i="2"/>
  <c r="Q351" i="2"/>
  <c r="O351" i="2"/>
  <c r="N351" i="2"/>
  <c r="L351" i="2"/>
  <c r="J351" i="2"/>
  <c r="T350" i="2"/>
  <c r="Q350" i="2"/>
  <c r="O350" i="2"/>
  <c r="N350" i="2"/>
  <c r="L350" i="2"/>
  <c r="J350" i="2"/>
  <c r="T349" i="2"/>
  <c r="Q349" i="2"/>
  <c r="O349" i="2"/>
  <c r="N349" i="2"/>
  <c r="L349" i="2"/>
  <c r="J349" i="2"/>
  <c r="T348" i="2"/>
  <c r="Q348" i="2"/>
  <c r="O348" i="2"/>
  <c r="N348" i="2"/>
  <c r="L348" i="2"/>
  <c r="J348" i="2"/>
  <c r="T347" i="2"/>
  <c r="Q347" i="2"/>
  <c r="O347" i="2"/>
  <c r="N347" i="2"/>
  <c r="L347" i="2"/>
  <c r="J347" i="2"/>
  <c r="T346" i="2"/>
  <c r="Q346" i="2"/>
  <c r="O346" i="2"/>
  <c r="N346" i="2"/>
  <c r="L346" i="2"/>
  <c r="J346" i="2"/>
  <c r="T345" i="2"/>
  <c r="Q345" i="2"/>
  <c r="O345" i="2"/>
  <c r="N345" i="2"/>
  <c r="L345" i="2"/>
  <c r="J345" i="2"/>
  <c r="T344" i="2"/>
  <c r="Q344" i="2"/>
  <c r="O344" i="2"/>
  <c r="N344" i="2"/>
  <c r="L344" i="2"/>
  <c r="J344" i="2"/>
  <c r="T343" i="2"/>
  <c r="Q343" i="2"/>
  <c r="O343" i="2"/>
  <c r="N343" i="2"/>
  <c r="L343" i="2"/>
  <c r="J343" i="2"/>
  <c r="T342" i="2"/>
  <c r="Q342" i="2"/>
  <c r="O342" i="2"/>
  <c r="N342" i="2"/>
  <c r="L342" i="2"/>
  <c r="J342" i="2"/>
  <c r="T341" i="2"/>
  <c r="Q341" i="2"/>
  <c r="O341" i="2"/>
  <c r="N341" i="2"/>
  <c r="L341" i="2"/>
  <c r="J341" i="2"/>
  <c r="T340" i="2"/>
  <c r="Q340" i="2"/>
  <c r="O340" i="2"/>
  <c r="N340" i="2"/>
  <c r="L340" i="2"/>
  <c r="J340" i="2"/>
  <c r="T339" i="2"/>
  <c r="Q339" i="2"/>
  <c r="O339" i="2"/>
  <c r="N339" i="2"/>
  <c r="L339" i="2"/>
  <c r="J339" i="2"/>
  <c r="T338" i="2"/>
  <c r="Q338" i="2"/>
  <c r="O338" i="2"/>
  <c r="N338" i="2"/>
  <c r="L338" i="2"/>
  <c r="J338" i="2"/>
  <c r="T337" i="2"/>
  <c r="Q337" i="2"/>
  <c r="O337" i="2"/>
  <c r="N337" i="2"/>
  <c r="L337" i="2"/>
  <c r="J337" i="2"/>
  <c r="T336" i="2"/>
  <c r="Q336" i="2"/>
  <c r="O336" i="2"/>
  <c r="N336" i="2"/>
  <c r="L336" i="2"/>
  <c r="J336" i="2"/>
  <c r="T335" i="2"/>
  <c r="Q335" i="2"/>
  <c r="O335" i="2"/>
  <c r="N335" i="2"/>
  <c r="L335" i="2"/>
  <c r="J335" i="2"/>
  <c r="T334" i="2"/>
  <c r="Q334" i="2"/>
  <c r="O334" i="2"/>
  <c r="N334" i="2"/>
  <c r="L334" i="2"/>
  <c r="J334" i="2"/>
  <c r="T333" i="2"/>
  <c r="Q333" i="2"/>
  <c r="O333" i="2"/>
  <c r="N333" i="2"/>
  <c r="L333" i="2"/>
  <c r="J333" i="2"/>
  <c r="T332" i="2"/>
  <c r="Q332" i="2"/>
  <c r="O332" i="2"/>
  <c r="N332" i="2"/>
  <c r="L332" i="2"/>
  <c r="J332" i="2"/>
  <c r="T331" i="2"/>
  <c r="Q331" i="2"/>
  <c r="O331" i="2"/>
  <c r="N331" i="2"/>
  <c r="L331" i="2"/>
  <c r="J331" i="2"/>
  <c r="T330" i="2"/>
  <c r="Q330" i="2"/>
  <c r="O330" i="2"/>
  <c r="N330" i="2"/>
  <c r="L330" i="2"/>
  <c r="J330" i="2"/>
  <c r="T329" i="2"/>
  <c r="Q329" i="2"/>
  <c r="O329" i="2"/>
  <c r="N329" i="2"/>
  <c r="L329" i="2"/>
  <c r="J329" i="2"/>
  <c r="T328" i="2"/>
  <c r="Q328" i="2"/>
  <c r="O328" i="2"/>
  <c r="N328" i="2"/>
  <c r="L328" i="2"/>
  <c r="J328" i="2"/>
  <c r="T327" i="2"/>
  <c r="Q327" i="2"/>
  <c r="O327" i="2"/>
  <c r="N327" i="2"/>
  <c r="L327" i="2"/>
  <c r="J327" i="2"/>
  <c r="T326" i="2"/>
  <c r="Q326" i="2"/>
  <c r="O326" i="2"/>
  <c r="N326" i="2"/>
  <c r="L326" i="2"/>
  <c r="J326" i="2"/>
  <c r="T325" i="2"/>
  <c r="Q325" i="2"/>
  <c r="O325" i="2"/>
  <c r="N325" i="2"/>
  <c r="L325" i="2"/>
  <c r="J325" i="2"/>
  <c r="T324" i="2"/>
  <c r="Q324" i="2"/>
  <c r="O324" i="2"/>
  <c r="N324" i="2"/>
  <c r="L324" i="2"/>
  <c r="J324" i="2"/>
  <c r="T323" i="2"/>
  <c r="Q323" i="2"/>
  <c r="O323" i="2"/>
  <c r="N323" i="2"/>
  <c r="L323" i="2"/>
  <c r="J323" i="2"/>
  <c r="T322" i="2"/>
  <c r="Q322" i="2"/>
  <c r="O322" i="2"/>
  <c r="N322" i="2"/>
  <c r="L322" i="2"/>
  <c r="J322" i="2"/>
  <c r="T321" i="2"/>
  <c r="Q321" i="2"/>
  <c r="O321" i="2"/>
  <c r="N321" i="2"/>
  <c r="L321" i="2"/>
  <c r="J321" i="2"/>
  <c r="T320" i="2"/>
  <c r="Q320" i="2"/>
  <c r="O320" i="2"/>
  <c r="N320" i="2"/>
  <c r="L320" i="2"/>
  <c r="J320" i="2"/>
  <c r="T319" i="2"/>
  <c r="Q319" i="2"/>
  <c r="O319" i="2"/>
  <c r="N319" i="2"/>
  <c r="L319" i="2"/>
  <c r="J319" i="2"/>
  <c r="T318" i="2"/>
  <c r="Q318" i="2"/>
  <c r="O318" i="2"/>
  <c r="N318" i="2"/>
  <c r="L318" i="2"/>
  <c r="J318" i="2"/>
  <c r="T317" i="2"/>
  <c r="Q317" i="2"/>
  <c r="O317" i="2"/>
  <c r="N317" i="2"/>
  <c r="L317" i="2"/>
  <c r="J317" i="2"/>
  <c r="T316" i="2"/>
  <c r="Q316" i="2"/>
  <c r="O316" i="2"/>
  <c r="N316" i="2"/>
  <c r="L316" i="2"/>
  <c r="J316" i="2"/>
  <c r="T315" i="2"/>
  <c r="Q315" i="2"/>
  <c r="O315" i="2"/>
  <c r="N315" i="2"/>
  <c r="L315" i="2"/>
  <c r="J315" i="2"/>
  <c r="T314" i="2"/>
  <c r="Q314" i="2"/>
  <c r="O314" i="2"/>
  <c r="N314" i="2"/>
  <c r="L314" i="2"/>
  <c r="J314" i="2"/>
  <c r="T313" i="2"/>
  <c r="Q313" i="2"/>
  <c r="O313" i="2"/>
  <c r="N313" i="2"/>
  <c r="L313" i="2"/>
  <c r="J313" i="2"/>
  <c r="T312" i="2"/>
  <c r="Q312" i="2"/>
  <c r="O312" i="2"/>
  <c r="N312" i="2"/>
  <c r="L312" i="2"/>
  <c r="J312" i="2"/>
  <c r="T311" i="2"/>
  <c r="Q311" i="2"/>
  <c r="O311" i="2"/>
  <c r="N311" i="2"/>
  <c r="L311" i="2"/>
  <c r="J311" i="2"/>
  <c r="T310" i="2"/>
  <c r="Q310" i="2"/>
  <c r="O310" i="2"/>
  <c r="N310" i="2"/>
  <c r="L310" i="2"/>
  <c r="J310" i="2"/>
  <c r="T309" i="2"/>
  <c r="Q309" i="2"/>
  <c r="O309" i="2"/>
  <c r="N309" i="2"/>
  <c r="L309" i="2"/>
  <c r="J309" i="2"/>
  <c r="T308" i="2"/>
  <c r="Q308" i="2"/>
  <c r="O308" i="2"/>
  <c r="N308" i="2"/>
  <c r="L308" i="2"/>
  <c r="J308" i="2"/>
  <c r="T307" i="2"/>
  <c r="Q307" i="2"/>
  <c r="O307" i="2"/>
  <c r="N307" i="2"/>
  <c r="L307" i="2"/>
  <c r="J307" i="2"/>
  <c r="T306" i="2"/>
  <c r="Q306" i="2"/>
  <c r="O306" i="2"/>
  <c r="N306" i="2"/>
  <c r="L306" i="2"/>
  <c r="J306" i="2"/>
  <c r="T305" i="2"/>
  <c r="Q305" i="2"/>
  <c r="O305" i="2"/>
  <c r="N305" i="2"/>
  <c r="L305" i="2"/>
  <c r="J305" i="2"/>
  <c r="T304" i="2"/>
  <c r="Q304" i="2"/>
  <c r="O304" i="2"/>
  <c r="N304" i="2"/>
  <c r="L304" i="2"/>
  <c r="J304" i="2"/>
  <c r="T303" i="2"/>
  <c r="Q303" i="2"/>
  <c r="O303" i="2"/>
  <c r="N303" i="2"/>
  <c r="L303" i="2"/>
  <c r="J303" i="2"/>
  <c r="T302" i="2"/>
  <c r="Q302" i="2"/>
  <c r="O302" i="2"/>
  <c r="N302" i="2"/>
  <c r="L302" i="2"/>
  <c r="J302" i="2"/>
  <c r="T301" i="2"/>
  <c r="Q301" i="2"/>
  <c r="O301" i="2"/>
  <c r="N301" i="2"/>
  <c r="L301" i="2"/>
  <c r="J301" i="2"/>
  <c r="T300" i="2"/>
  <c r="Q300" i="2"/>
  <c r="O300" i="2"/>
  <c r="N300" i="2"/>
  <c r="L300" i="2"/>
  <c r="J300" i="2"/>
  <c r="T299" i="2"/>
  <c r="Q299" i="2"/>
  <c r="O299" i="2"/>
  <c r="N299" i="2"/>
  <c r="L299" i="2"/>
  <c r="J299" i="2"/>
  <c r="T298" i="2"/>
  <c r="Q298" i="2"/>
  <c r="O298" i="2"/>
  <c r="N298" i="2"/>
  <c r="L298" i="2"/>
  <c r="J298" i="2"/>
  <c r="T297" i="2"/>
  <c r="Q297" i="2"/>
  <c r="O297" i="2"/>
  <c r="N297" i="2"/>
  <c r="L297" i="2"/>
  <c r="J297" i="2"/>
  <c r="T296" i="2"/>
  <c r="Q296" i="2"/>
  <c r="O296" i="2"/>
  <c r="N296" i="2"/>
  <c r="L296" i="2"/>
  <c r="J296" i="2"/>
  <c r="T295" i="2"/>
  <c r="Q295" i="2"/>
  <c r="O295" i="2"/>
  <c r="N295" i="2"/>
  <c r="L295" i="2"/>
  <c r="J295" i="2"/>
  <c r="T294" i="2"/>
  <c r="Q294" i="2"/>
  <c r="O294" i="2"/>
  <c r="N294" i="2"/>
  <c r="L294" i="2"/>
  <c r="J294" i="2"/>
  <c r="T293" i="2"/>
  <c r="Q293" i="2"/>
  <c r="O293" i="2"/>
  <c r="N293" i="2"/>
  <c r="L293" i="2"/>
  <c r="J293" i="2"/>
  <c r="T292" i="2"/>
  <c r="Q292" i="2"/>
  <c r="O292" i="2"/>
  <c r="N292" i="2"/>
  <c r="L292" i="2"/>
  <c r="J292" i="2"/>
  <c r="T291" i="2"/>
  <c r="Q291" i="2"/>
  <c r="O291" i="2"/>
  <c r="N291" i="2"/>
  <c r="L291" i="2"/>
  <c r="J291" i="2"/>
  <c r="T290" i="2"/>
  <c r="Q290" i="2"/>
  <c r="O290" i="2"/>
  <c r="N290" i="2"/>
  <c r="L290" i="2"/>
  <c r="J290" i="2"/>
  <c r="T289" i="2"/>
  <c r="Q289" i="2"/>
  <c r="O289" i="2"/>
  <c r="N289" i="2"/>
  <c r="L289" i="2"/>
  <c r="J289" i="2"/>
  <c r="T288" i="2"/>
  <c r="Q288" i="2"/>
  <c r="O288" i="2"/>
  <c r="N288" i="2"/>
  <c r="L288" i="2"/>
  <c r="J288" i="2"/>
  <c r="T287" i="2"/>
  <c r="Q287" i="2"/>
  <c r="O287" i="2"/>
  <c r="N287" i="2"/>
  <c r="L287" i="2"/>
  <c r="J287" i="2"/>
  <c r="T286" i="2"/>
  <c r="Q286" i="2"/>
  <c r="O286" i="2"/>
  <c r="N286" i="2"/>
  <c r="L286" i="2"/>
  <c r="J286" i="2"/>
  <c r="T285" i="2"/>
  <c r="Q285" i="2"/>
  <c r="O285" i="2"/>
  <c r="N285" i="2"/>
  <c r="L285" i="2"/>
  <c r="J285" i="2"/>
  <c r="T284" i="2"/>
  <c r="Q284" i="2"/>
  <c r="O284" i="2"/>
  <c r="N284" i="2"/>
  <c r="L284" i="2"/>
  <c r="J284" i="2"/>
  <c r="T283" i="2"/>
  <c r="Q283" i="2"/>
  <c r="O283" i="2"/>
  <c r="N283" i="2"/>
  <c r="L283" i="2"/>
  <c r="J283" i="2"/>
  <c r="T282" i="2"/>
  <c r="Q282" i="2"/>
  <c r="O282" i="2"/>
  <c r="N282" i="2"/>
  <c r="L282" i="2"/>
  <c r="J282" i="2"/>
  <c r="T281" i="2"/>
  <c r="Q281" i="2"/>
  <c r="O281" i="2"/>
  <c r="N281" i="2"/>
  <c r="L281" i="2"/>
  <c r="J281" i="2"/>
  <c r="T280" i="2"/>
  <c r="Q280" i="2"/>
  <c r="O280" i="2"/>
  <c r="N280" i="2"/>
  <c r="L280" i="2"/>
  <c r="J280" i="2"/>
  <c r="T279" i="2"/>
  <c r="Q279" i="2"/>
  <c r="O279" i="2"/>
  <c r="N279" i="2"/>
  <c r="L279" i="2"/>
  <c r="J279" i="2"/>
  <c r="T278" i="2"/>
  <c r="Q278" i="2"/>
  <c r="O278" i="2"/>
  <c r="N278" i="2"/>
  <c r="L278" i="2"/>
  <c r="J278" i="2"/>
  <c r="T277" i="2"/>
  <c r="Q277" i="2"/>
  <c r="O277" i="2"/>
  <c r="N277" i="2"/>
  <c r="L277" i="2"/>
  <c r="J277" i="2"/>
  <c r="T276" i="2"/>
  <c r="Q276" i="2"/>
  <c r="O276" i="2"/>
  <c r="N276" i="2"/>
  <c r="L276" i="2"/>
  <c r="J276" i="2"/>
  <c r="T275" i="2"/>
  <c r="Q275" i="2"/>
  <c r="O275" i="2"/>
  <c r="N275" i="2"/>
  <c r="L275" i="2"/>
  <c r="J275" i="2"/>
  <c r="T274" i="2"/>
  <c r="Q274" i="2"/>
  <c r="O274" i="2"/>
  <c r="N274" i="2"/>
  <c r="L274" i="2"/>
  <c r="J274" i="2"/>
  <c r="T273" i="2"/>
  <c r="Q273" i="2"/>
  <c r="O273" i="2"/>
  <c r="N273" i="2"/>
  <c r="L273" i="2"/>
  <c r="J273" i="2"/>
  <c r="T272" i="2"/>
  <c r="Q272" i="2"/>
  <c r="O272" i="2"/>
  <c r="N272" i="2"/>
  <c r="L272" i="2"/>
  <c r="J272" i="2"/>
  <c r="T271" i="2"/>
  <c r="Q271" i="2"/>
  <c r="O271" i="2"/>
  <c r="N271" i="2"/>
  <c r="L271" i="2"/>
  <c r="J271" i="2"/>
  <c r="T270" i="2"/>
  <c r="Q270" i="2"/>
  <c r="O270" i="2"/>
  <c r="N270" i="2"/>
  <c r="L270" i="2"/>
  <c r="J270" i="2"/>
  <c r="T269" i="2"/>
  <c r="Q269" i="2"/>
  <c r="O269" i="2"/>
  <c r="N269" i="2"/>
  <c r="L269" i="2"/>
  <c r="J269" i="2"/>
  <c r="T268" i="2"/>
  <c r="Q268" i="2"/>
  <c r="O268" i="2"/>
  <c r="N268" i="2"/>
  <c r="L268" i="2"/>
  <c r="J268" i="2"/>
  <c r="T267" i="2"/>
  <c r="Q267" i="2"/>
  <c r="O267" i="2"/>
  <c r="N267" i="2"/>
  <c r="L267" i="2"/>
  <c r="J267" i="2"/>
  <c r="T266" i="2"/>
  <c r="Q266" i="2"/>
  <c r="O266" i="2"/>
  <c r="N266" i="2"/>
  <c r="L266" i="2"/>
  <c r="J266" i="2"/>
  <c r="T265" i="2"/>
  <c r="Q265" i="2"/>
  <c r="O265" i="2"/>
  <c r="N265" i="2"/>
  <c r="L265" i="2"/>
  <c r="J265" i="2"/>
  <c r="T264" i="2"/>
  <c r="Q264" i="2"/>
  <c r="O264" i="2"/>
  <c r="N264" i="2"/>
  <c r="L264" i="2"/>
  <c r="J264" i="2"/>
  <c r="T263" i="2"/>
  <c r="Q263" i="2"/>
  <c r="O263" i="2"/>
  <c r="N263" i="2"/>
  <c r="L263" i="2"/>
  <c r="J263" i="2"/>
  <c r="T262" i="2"/>
  <c r="Q262" i="2"/>
  <c r="O262" i="2"/>
  <c r="N262" i="2"/>
  <c r="L262" i="2"/>
  <c r="J262" i="2"/>
  <c r="T261" i="2"/>
  <c r="Q261" i="2"/>
  <c r="O261" i="2"/>
  <c r="N261" i="2"/>
  <c r="L261" i="2"/>
  <c r="J261" i="2"/>
  <c r="T260" i="2"/>
  <c r="Q260" i="2"/>
  <c r="O260" i="2"/>
  <c r="N260" i="2"/>
  <c r="L260" i="2"/>
  <c r="J260" i="2"/>
  <c r="T259" i="2"/>
  <c r="Q259" i="2"/>
  <c r="O259" i="2"/>
  <c r="N259" i="2"/>
  <c r="L259" i="2"/>
  <c r="J259" i="2"/>
  <c r="T258" i="2"/>
  <c r="Q258" i="2"/>
  <c r="O258" i="2"/>
  <c r="N258" i="2"/>
  <c r="L258" i="2"/>
  <c r="J258" i="2"/>
  <c r="T257" i="2"/>
  <c r="Q257" i="2"/>
  <c r="O257" i="2"/>
  <c r="N257" i="2"/>
  <c r="L257" i="2"/>
  <c r="J257" i="2"/>
  <c r="T256" i="2"/>
  <c r="Q256" i="2"/>
  <c r="O256" i="2"/>
  <c r="N256" i="2"/>
  <c r="L256" i="2"/>
  <c r="J256" i="2"/>
  <c r="T255" i="2"/>
  <c r="Q255" i="2"/>
  <c r="O255" i="2"/>
  <c r="N255" i="2"/>
  <c r="L255" i="2"/>
  <c r="J255" i="2"/>
  <c r="T254" i="2"/>
  <c r="Q254" i="2"/>
  <c r="O254" i="2"/>
  <c r="N254" i="2"/>
  <c r="L254" i="2"/>
  <c r="J254" i="2"/>
  <c r="T253" i="2"/>
  <c r="Q253" i="2"/>
  <c r="O253" i="2"/>
  <c r="N253" i="2"/>
  <c r="L253" i="2"/>
  <c r="J253" i="2"/>
  <c r="T252" i="2"/>
  <c r="Q252" i="2"/>
  <c r="O252" i="2"/>
  <c r="N252" i="2"/>
  <c r="L252" i="2"/>
  <c r="J252" i="2"/>
  <c r="T251" i="2"/>
  <c r="Q251" i="2"/>
  <c r="O251" i="2"/>
  <c r="N251" i="2"/>
  <c r="L251" i="2"/>
  <c r="J251" i="2"/>
  <c r="T250" i="2"/>
  <c r="Q250" i="2"/>
  <c r="O250" i="2"/>
  <c r="N250" i="2"/>
  <c r="L250" i="2"/>
  <c r="J250" i="2"/>
  <c r="T249" i="2"/>
  <c r="Q249" i="2"/>
  <c r="O249" i="2"/>
  <c r="N249" i="2"/>
  <c r="L249" i="2"/>
  <c r="J249" i="2"/>
  <c r="T248" i="2"/>
  <c r="Q248" i="2"/>
  <c r="O248" i="2"/>
  <c r="N248" i="2"/>
  <c r="L248" i="2"/>
  <c r="J248" i="2"/>
  <c r="T247" i="2"/>
  <c r="Q247" i="2"/>
  <c r="O247" i="2"/>
  <c r="N247" i="2"/>
  <c r="L247" i="2"/>
  <c r="J247" i="2"/>
  <c r="T246" i="2"/>
  <c r="Q246" i="2"/>
  <c r="O246" i="2"/>
  <c r="N246" i="2"/>
  <c r="L246" i="2"/>
  <c r="J246" i="2"/>
  <c r="T245" i="2"/>
  <c r="Q245" i="2"/>
  <c r="O245" i="2"/>
  <c r="N245" i="2"/>
  <c r="L245" i="2"/>
  <c r="J245" i="2"/>
  <c r="T244" i="2"/>
  <c r="Q244" i="2"/>
  <c r="O244" i="2"/>
  <c r="N244" i="2"/>
  <c r="L244" i="2"/>
  <c r="J244" i="2"/>
  <c r="T243" i="2"/>
  <c r="Q243" i="2"/>
  <c r="O243" i="2"/>
  <c r="N243" i="2"/>
  <c r="L243" i="2"/>
  <c r="J243" i="2"/>
  <c r="T242" i="2"/>
  <c r="Q242" i="2"/>
  <c r="O242" i="2"/>
  <c r="N242" i="2"/>
  <c r="L242" i="2"/>
  <c r="J242" i="2"/>
  <c r="T241" i="2"/>
  <c r="Q241" i="2"/>
  <c r="O241" i="2"/>
  <c r="N241" i="2"/>
  <c r="L241" i="2"/>
  <c r="J241" i="2"/>
  <c r="T240" i="2"/>
  <c r="Q240" i="2"/>
  <c r="O240" i="2"/>
  <c r="N240" i="2"/>
  <c r="L240" i="2"/>
  <c r="J240" i="2"/>
  <c r="T239" i="2"/>
  <c r="Q239" i="2"/>
  <c r="O239" i="2"/>
  <c r="N239" i="2"/>
  <c r="L239" i="2"/>
  <c r="J239" i="2"/>
  <c r="T238" i="2"/>
  <c r="Q238" i="2"/>
  <c r="O238" i="2"/>
  <c r="N238" i="2"/>
  <c r="L238" i="2"/>
  <c r="J238" i="2"/>
  <c r="T237" i="2"/>
  <c r="Q237" i="2"/>
  <c r="O237" i="2"/>
  <c r="N237" i="2"/>
  <c r="L237" i="2"/>
  <c r="J237" i="2"/>
  <c r="T236" i="2"/>
  <c r="Q236" i="2"/>
  <c r="O236" i="2"/>
  <c r="N236" i="2"/>
  <c r="L236" i="2"/>
  <c r="J236" i="2"/>
  <c r="T235" i="2"/>
  <c r="Q235" i="2"/>
  <c r="O235" i="2"/>
  <c r="N235" i="2"/>
  <c r="L235" i="2"/>
  <c r="J235" i="2"/>
  <c r="T234" i="2"/>
  <c r="Q234" i="2"/>
  <c r="O234" i="2"/>
  <c r="N234" i="2"/>
  <c r="L234" i="2"/>
  <c r="J234" i="2"/>
  <c r="T233" i="2"/>
  <c r="Q233" i="2"/>
  <c r="O233" i="2"/>
  <c r="N233" i="2"/>
  <c r="L233" i="2"/>
  <c r="J233" i="2"/>
  <c r="T232" i="2"/>
  <c r="Q232" i="2"/>
  <c r="O232" i="2"/>
  <c r="N232" i="2"/>
  <c r="L232" i="2"/>
  <c r="J232" i="2"/>
  <c r="T231" i="2"/>
  <c r="Q231" i="2"/>
  <c r="O231" i="2"/>
  <c r="N231" i="2"/>
  <c r="L231" i="2"/>
  <c r="J231" i="2"/>
  <c r="T230" i="2"/>
  <c r="Q230" i="2"/>
  <c r="O230" i="2"/>
  <c r="N230" i="2"/>
  <c r="L230" i="2"/>
  <c r="J230" i="2"/>
  <c r="T229" i="2"/>
  <c r="Q229" i="2"/>
  <c r="O229" i="2"/>
  <c r="N229" i="2"/>
  <c r="L229" i="2"/>
  <c r="J229" i="2"/>
  <c r="T228" i="2"/>
  <c r="Q228" i="2"/>
  <c r="O228" i="2"/>
  <c r="N228" i="2"/>
  <c r="L228" i="2"/>
  <c r="J228" i="2"/>
  <c r="T227" i="2"/>
  <c r="Q227" i="2"/>
  <c r="O227" i="2"/>
  <c r="N227" i="2"/>
  <c r="L227" i="2"/>
  <c r="J227" i="2"/>
  <c r="T226" i="2"/>
  <c r="Q226" i="2"/>
  <c r="O226" i="2"/>
  <c r="N226" i="2"/>
  <c r="L226" i="2"/>
  <c r="J226" i="2"/>
  <c r="T225" i="2"/>
  <c r="Q225" i="2"/>
  <c r="O225" i="2"/>
  <c r="N225" i="2"/>
  <c r="L225" i="2"/>
  <c r="J225" i="2"/>
  <c r="T224" i="2"/>
  <c r="Q224" i="2"/>
  <c r="O224" i="2"/>
  <c r="N224" i="2"/>
  <c r="L224" i="2"/>
  <c r="J224" i="2"/>
  <c r="T223" i="2"/>
  <c r="Q223" i="2"/>
  <c r="O223" i="2"/>
  <c r="N223" i="2"/>
  <c r="L223" i="2"/>
  <c r="J223" i="2"/>
  <c r="T222" i="2"/>
  <c r="Q222" i="2"/>
  <c r="O222" i="2"/>
  <c r="N222" i="2"/>
  <c r="L222" i="2"/>
  <c r="J222" i="2"/>
  <c r="T221" i="2"/>
  <c r="Q221" i="2"/>
  <c r="O221" i="2"/>
  <c r="N221" i="2"/>
  <c r="L221" i="2"/>
  <c r="J221" i="2"/>
  <c r="T220" i="2"/>
  <c r="Q220" i="2"/>
  <c r="O220" i="2"/>
  <c r="N220" i="2"/>
  <c r="L220" i="2"/>
  <c r="J220" i="2"/>
  <c r="T219" i="2"/>
  <c r="Q219" i="2"/>
  <c r="O219" i="2"/>
  <c r="N219" i="2"/>
  <c r="L219" i="2"/>
  <c r="J219" i="2"/>
  <c r="T218" i="2"/>
  <c r="Q218" i="2"/>
  <c r="O218" i="2"/>
  <c r="N218" i="2"/>
  <c r="L218" i="2"/>
  <c r="J218" i="2"/>
  <c r="T217" i="2"/>
  <c r="Q217" i="2"/>
  <c r="O217" i="2"/>
  <c r="N217" i="2"/>
  <c r="L217" i="2"/>
  <c r="J217" i="2"/>
  <c r="T216" i="2"/>
  <c r="Q216" i="2"/>
  <c r="O216" i="2"/>
  <c r="N216" i="2"/>
  <c r="L216" i="2"/>
  <c r="J216" i="2"/>
  <c r="T215" i="2"/>
  <c r="Q215" i="2"/>
  <c r="O215" i="2"/>
  <c r="N215" i="2"/>
  <c r="L215" i="2"/>
  <c r="J215" i="2"/>
  <c r="T214" i="2"/>
  <c r="Q214" i="2"/>
  <c r="O214" i="2"/>
  <c r="N214" i="2"/>
  <c r="L214" i="2"/>
  <c r="J214" i="2"/>
  <c r="T213" i="2"/>
  <c r="Q213" i="2"/>
  <c r="O213" i="2"/>
  <c r="N213" i="2"/>
  <c r="L213" i="2"/>
  <c r="J213" i="2"/>
  <c r="T212" i="2"/>
  <c r="Q212" i="2"/>
  <c r="O212" i="2"/>
  <c r="N212" i="2"/>
  <c r="L212" i="2"/>
  <c r="J212" i="2"/>
  <c r="T211" i="2"/>
  <c r="Q211" i="2"/>
  <c r="O211" i="2"/>
  <c r="N211" i="2"/>
  <c r="L211" i="2"/>
  <c r="J211" i="2"/>
  <c r="T210" i="2"/>
  <c r="Q210" i="2"/>
  <c r="O210" i="2"/>
  <c r="N210" i="2"/>
  <c r="L210" i="2"/>
  <c r="J210" i="2"/>
  <c r="T209" i="2"/>
  <c r="Q209" i="2"/>
  <c r="O209" i="2"/>
  <c r="N209" i="2"/>
  <c r="L209" i="2"/>
  <c r="J209" i="2"/>
  <c r="T208" i="2"/>
  <c r="Q208" i="2"/>
  <c r="O208" i="2"/>
  <c r="N208" i="2"/>
  <c r="L208" i="2"/>
  <c r="J208" i="2"/>
  <c r="T207" i="2"/>
  <c r="Q207" i="2"/>
  <c r="O207" i="2"/>
  <c r="N207" i="2"/>
  <c r="L207" i="2"/>
  <c r="J207" i="2"/>
  <c r="T206" i="2"/>
  <c r="Q206" i="2"/>
  <c r="O206" i="2"/>
  <c r="N206" i="2"/>
  <c r="L206" i="2"/>
  <c r="J206" i="2"/>
  <c r="T205" i="2"/>
  <c r="Q205" i="2"/>
  <c r="O205" i="2"/>
  <c r="N205" i="2"/>
  <c r="L205" i="2"/>
  <c r="J205" i="2"/>
  <c r="T204" i="2"/>
  <c r="Q204" i="2"/>
  <c r="O204" i="2"/>
  <c r="N204" i="2"/>
  <c r="L204" i="2"/>
  <c r="J204" i="2"/>
  <c r="T203" i="2"/>
  <c r="Q203" i="2"/>
  <c r="O203" i="2"/>
  <c r="N203" i="2"/>
  <c r="L203" i="2"/>
  <c r="J203" i="2"/>
  <c r="T202" i="2"/>
  <c r="Q202" i="2"/>
  <c r="O202" i="2"/>
  <c r="N202" i="2"/>
  <c r="L202" i="2"/>
  <c r="J202" i="2"/>
  <c r="T201" i="2"/>
  <c r="Q201" i="2"/>
  <c r="O201" i="2"/>
  <c r="N201" i="2"/>
  <c r="L201" i="2"/>
  <c r="J201" i="2"/>
  <c r="T200" i="2"/>
  <c r="Q200" i="2"/>
  <c r="O200" i="2"/>
  <c r="N200" i="2"/>
  <c r="L200" i="2"/>
  <c r="J200" i="2"/>
  <c r="T199" i="2"/>
  <c r="Q199" i="2"/>
  <c r="O199" i="2"/>
  <c r="N199" i="2"/>
  <c r="L199" i="2"/>
  <c r="J199" i="2"/>
  <c r="T198" i="2"/>
  <c r="Q198" i="2"/>
  <c r="O198" i="2"/>
  <c r="N198" i="2"/>
  <c r="L198" i="2"/>
  <c r="J198" i="2"/>
  <c r="T197" i="2"/>
  <c r="Q197" i="2"/>
  <c r="O197" i="2"/>
  <c r="N197" i="2"/>
  <c r="L197" i="2"/>
  <c r="J197" i="2"/>
  <c r="T196" i="2"/>
  <c r="Q196" i="2"/>
  <c r="O196" i="2"/>
  <c r="N196" i="2"/>
  <c r="L196" i="2"/>
  <c r="J196" i="2"/>
  <c r="T195" i="2"/>
  <c r="Q195" i="2"/>
  <c r="O195" i="2"/>
  <c r="N195" i="2"/>
  <c r="L195" i="2"/>
  <c r="J195" i="2"/>
  <c r="T194" i="2"/>
  <c r="Q194" i="2"/>
  <c r="O194" i="2"/>
  <c r="N194" i="2"/>
  <c r="L194" i="2"/>
  <c r="J194" i="2"/>
  <c r="T193" i="2"/>
  <c r="Q193" i="2"/>
  <c r="O193" i="2"/>
  <c r="N193" i="2"/>
  <c r="L193" i="2"/>
  <c r="J193" i="2"/>
  <c r="T192" i="2"/>
  <c r="Q192" i="2"/>
  <c r="O192" i="2"/>
  <c r="N192" i="2"/>
  <c r="L192" i="2"/>
  <c r="J192" i="2"/>
  <c r="T191" i="2"/>
  <c r="Q191" i="2"/>
  <c r="O191" i="2"/>
  <c r="N191" i="2"/>
  <c r="L191" i="2"/>
  <c r="J191" i="2"/>
  <c r="T190" i="2"/>
  <c r="Q190" i="2"/>
  <c r="O190" i="2"/>
  <c r="N190" i="2"/>
  <c r="L190" i="2"/>
  <c r="J190" i="2"/>
  <c r="T189" i="2"/>
  <c r="Q189" i="2"/>
  <c r="O189" i="2"/>
  <c r="N189" i="2"/>
  <c r="L189" i="2"/>
  <c r="J189" i="2"/>
  <c r="T188" i="2"/>
  <c r="Q188" i="2"/>
  <c r="O188" i="2"/>
  <c r="N188" i="2"/>
  <c r="L188" i="2"/>
  <c r="J188" i="2"/>
  <c r="T187" i="2"/>
  <c r="Q187" i="2"/>
  <c r="O187" i="2"/>
  <c r="N187" i="2"/>
  <c r="L187" i="2"/>
  <c r="J187" i="2"/>
  <c r="T186" i="2"/>
  <c r="Q186" i="2"/>
  <c r="O186" i="2"/>
  <c r="N186" i="2"/>
  <c r="L186" i="2"/>
  <c r="J186" i="2"/>
  <c r="T185" i="2"/>
  <c r="Q185" i="2"/>
  <c r="O185" i="2"/>
  <c r="N185" i="2"/>
  <c r="L185" i="2"/>
  <c r="J185" i="2"/>
  <c r="T184" i="2"/>
  <c r="Q184" i="2"/>
  <c r="O184" i="2"/>
  <c r="N184" i="2"/>
  <c r="L184" i="2"/>
  <c r="J184" i="2"/>
  <c r="T183" i="2"/>
  <c r="Q183" i="2"/>
  <c r="O183" i="2"/>
  <c r="N183" i="2"/>
  <c r="L183" i="2"/>
  <c r="J183" i="2"/>
  <c r="T182" i="2"/>
  <c r="Q182" i="2"/>
  <c r="O182" i="2"/>
  <c r="N182" i="2"/>
  <c r="L182" i="2"/>
  <c r="J182" i="2"/>
  <c r="T181" i="2"/>
  <c r="Q181" i="2"/>
  <c r="O181" i="2"/>
  <c r="N181" i="2"/>
  <c r="L181" i="2"/>
  <c r="J181" i="2"/>
  <c r="T180" i="2"/>
  <c r="Q180" i="2"/>
  <c r="O180" i="2"/>
  <c r="N180" i="2"/>
  <c r="L180" i="2"/>
  <c r="J180" i="2"/>
  <c r="T179" i="2"/>
  <c r="Q179" i="2"/>
  <c r="O179" i="2"/>
  <c r="N179" i="2"/>
  <c r="L179" i="2"/>
  <c r="J179" i="2"/>
  <c r="T178" i="2"/>
  <c r="Q178" i="2"/>
  <c r="O178" i="2"/>
  <c r="N178" i="2"/>
  <c r="L178" i="2"/>
  <c r="J178" i="2"/>
  <c r="T177" i="2"/>
  <c r="Q177" i="2"/>
  <c r="O177" i="2"/>
  <c r="N177" i="2"/>
  <c r="L177" i="2"/>
  <c r="J177" i="2"/>
  <c r="T176" i="2"/>
  <c r="Q176" i="2"/>
  <c r="O176" i="2"/>
  <c r="N176" i="2"/>
  <c r="L176" i="2"/>
  <c r="J176" i="2"/>
  <c r="T175" i="2"/>
  <c r="Q175" i="2"/>
  <c r="O175" i="2"/>
  <c r="N175" i="2"/>
  <c r="L175" i="2"/>
  <c r="J175" i="2"/>
  <c r="T174" i="2"/>
  <c r="Q174" i="2"/>
  <c r="O174" i="2"/>
  <c r="N174" i="2"/>
  <c r="L174" i="2"/>
  <c r="J174" i="2"/>
  <c r="T173" i="2"/>
  <c r="Q173" i="2"/>
  <c r="O173" i="2"/>
  <c r="N173" i="2"/>
  <c r="L173" i="2"/>
  <c r="J173" i="2"/>
  <c r="T172" i="2"/>
  <c r="Q172" i="2"/>
  <c r="O172" i="2"/>
  <c r="N172" i="2"/>
  <c r="L172" i="2"/>
  <c r="J172" i="2"/>
  <c r="T171" i="2"/>
  <c r="Q171" i="2"/>
  <c r="O171" i="2"/>
  <c r="N171" i="2"/>
  <c r="L171" i="2"/>
  <c r="J171" i="2"/>
  <c r="T170" i="2"/>
  <c r="Q170" i="2"/>
  <c r="O170" i="2"/>
  <c r="N170" i="2"/>
  <c r="L170" i="2"/>
  <c r="J170" i="2"/>
  <c r="T169" i="2"/>
  <c r="Q169" i="2"/>
  <c r="O169" i="2"/>
  <c r="N169" i="2"/>
  <c r="L169" i="2"/>
  <c r="J169" i="2"/>
  <c r="T168" i="2"/>
  <c r="Q168" i="2"/>
  <c r="O168" i="2"/>
  <c r="N168" i="2"/>
  <c r="L168" i="2"/>
  <c r="J168" i="2"/>
  <c r="T167" i="2"/>
  <c r="Q167" i="2"/>
  <c r="O167" i="2"/>
  <c r="N167" i="2"/>
  <c r="L167" i="2"/>
  <c r="J167" i="2"/>
  <c r="T166" i="2"/>
  <c r="Q166" i="2"/>
  <c r="O166" i="2"/>
  <c r="N166" i="2"/>
  <c r="L166" i="2"/>
  <c r="J166" i="2"/>
  <c r="T165" i="2"/>
  <c r="Q165" i="2"/>
  <c r="O165" i="2"/>
  <c r="N165" i="2"/>
  <c r="L165" i="2"/>
  <c r="J165" i="2"/>
  <c r="T164" i="2"/>
  <c r="Q164" i="2"/>
  <c r="O164" i="2"/>
  <c r="N164" i="2"/>
  <c r="L164" i="2"/>
  <c r="J164" i="2"/>
  <c r="T163" i="2"/>
  <c r="Q163" i="2"/>
  <c r="O163" i="2"/>
  <c r="N163" i="2"/>
  <c r="L163" i="2"/>
  <c r="J163" i="2"/>
  <c r="T162" i="2"/>
  <c r="Q162" i="2"/>
  <c r="O162" i="2"/>
  <c r="N162" i="2"/>
  <c r="L162" i="2"/>
  <c r="J162" i="2"/>
  <c r="T161" i="2"/>
  <c r="Q161" i="2"/>
  <c r="O161" i="2"/>
  <c r="N161" i="2"/>
  <c r="L161" i="2"/>
  <c r="J161" i="2"/>
  <c r="T160" i="2"/>
  <c r="Q160" i="2"/>
  <c r="O160" i="2"/>
  <c r="N160" i="2"/>
  <c r="L160" i="2"/>
  <c r="J160" i="2"/>
  <c r="T159" i="2"/>
  <c r="Q159" i="2"/>
  <c r="O159" i="2"/>
  <c r="N159" i="2"/>
  <c r="L159" i="2"/>
  <c r="J159" i="2"/>
  <c r="T158" i="2"/>
  <c r="Q158" i="2"/>
  <c r="O158" i="2"/>
  <c r="N158" i="2"/>
  <c r="L158" i="2"/>
  <c r="J158" i="2"/>
  <c r="T157" i="2"/>
  <c r="Q157" i="2"/>
  <c r="O157" i="2"/>
  <c r="N157" i="2"/>
  <c r="L157" i="2"/>
  <c r="J157" i="2"/>
  <c r="T156" i="2"/>
  <c r="Q156" i="2"/>
  <c r="O156" i="2"/>
  <c r="N156" i="2"/>
  <c r="L156" i="2"/>
  <c r="J156" i="2"/>
  <c r="T155" i="2"/>
  <c r="Q155" i="2"/>
  <c r="O155" i="2"/>
  <c r="N155" i="2"/>
  <c r="L155" i="2"/>
  <c r="J155" i="2"/>
  <c r="T154" i="2"/>
  <c r="Q154" i="2"/>
  <c r="O154" i="2"/>
  <c r="N154" i="2"/>
  <c r="L154" i="2"/>
  <c r="J154" i="2"/>
  <c r="T153" i="2"/>
  <c r="Q153" i="2"/>
  <c r="O153" i="2"/>
  <c r="N153" i="2"/>
  <c r="L153" i="2"/>
  <c r="J153" i="2"/>
  <c r="T152" i="2"/>
  <c r="Q152" i="2"/>
  <c r="O152" i="2"/>
  <c r="N152" i="2"/>
  <c r="L152" i="2"/>
  <c r="J152" i="2"/>
  <c r="T151" i="2"/>
  <c r="Q151" i="2"/>
  <c r="O151" i="2"/>
  <c r="N151" i="2"/>
  <c r="L151" i="2"/>
  <c r="J151" i="2"/>
  <c r="T150" i="2"/>
  <c r="Q150" i="2"/>
  <c r="O150" i="2"/>
  <c r="N150" i="2"/>
  <c r="L150" i="2"/>
  <c r="J150" i="2"/>
  <c r="T149" i="2"/>
  <c r="Q149" i="2"/>
  <c r="O149" i="2"/>
  <c r="N149" i="2"/>
  <c r="L149" i="2"/>
  <c r="J149" i="2"/>
  <c r="T148" i="2"/>
  <c r="Q148" i="2"/>
  <c r="O148" i="2"/>
  <c r="N148" i="2"/>
  <c r="L148" i="2"/>
  <c r="J148" i="2"/>
  <c r="T147" i="2"/>
  <c r="Q147" i="2"/>
  <c r="O147" i="2"/>
  <c r="N147" i="2"/>
  <c r="L147" i="2"/>
  <c r="J147" i="2"/>
  <c r="T146" i="2"/>
  <c r="Q146" i="2"/>
  <c r="O146" i="2"/>
  <c r="N146" i="2"/>
  <c r="L146" i="2"/>
  <c r="J146" i="2"/>
  <c r="T145" i="2"/>
  <c r="Q145" i="2"/>
  <c r="O145" i="2"/>
  <c r="N145" i="2"/>
  <c r="L145" i="2"/>
  <c r="J145" i="2"/>
  <c r="T144" i="2"/>
  <c r="Q144" i="2"/>
  <c r="O144" i="2"/>
  <c r="N144" i="2"/>
  <c r="L144" i="2"/>
  <c r="J144" i="2"/>
  <c r="T143" i="2"/>
  <c r="Q143" i="2"/>
  <c r="O143" i="2"/>
  <c r="N143" i="2"/>
  <c r="L143" i="2"/>
  <c r="J143" i="2"/>
  <c r="T142" i="2"/>
  <c r="Q142" i="2"/>
  <c r="O142" i="2"/>
  <c r="N142" i="2"/>
  <c r="L142" i="2"/>
  <c r="J142" i="2"/>
  <c r="T141" i="2"/>
  <c r="Q141" i="2"/>
  <c r="O141" i="2"/>
  <c r="N141" i="2"/>
  <c r="L141" i="2"/>
  <c r="J141" i="2"/>
  <c r="T140" i="2"/>
  <c r="Q140" i="2"/>
  <c r="O140" i="2"/>
  <c r="N140" i="2"/>
  <c r="L140" i="2"/>
  <c r="J140" i="2"/>
  <c r="T139" i="2"/>
  <c r="Q139" i="2"/>
  <c r="O139" i="2"/>
  <c r="N139" i="2"/>
  <c r="L139" i="2"/>
  <c r="J139" i="2"/>
  <c r="T138" i="2"/>
  <c r="Q138" i="2"/>
  <c r="O138" i="2"/>
  <c r="N138" i="2"/>
  <c r="L138" i="2"/>
  <c r="J138" i="2"/>
  <c r="T137" i="2"/>
  <c r="Q137" i="2"/>
  <c r="O137" i="2"/>
  <c r="N137" i="2"/>
  <c r="L137" i="2"/>
  <c r="J137" i="2"/>
  <c r="T136" i="2"/>
  <c r="Q136" i="2"/>
  <c r="O136" i="2"/>
  <c r="N136" i="2"/>
  <c r="L136" i="2"/>
  <c r="J136" i="2"/>
  <c r="T135" i="2"/>
  <c r="Q135" i="2"/>
  <c r="O135" i="2"/>
  <c r="N135" i="2"/>
  <c r="L135" i="2"/>
  <c r="J135" i="2"/>
  <c r="T134" i="2"/>
  <c r="Q134" i="2"/>
  <c r="O134" i="2"/>
  <c r="N134" i="2"/>
  <c r="L134" i="2"/>
  <c r="J134" i="2"/>
  <c r="T133" i="2"/>
  <c r="Q133" i="2"/>
  <c r="O133" i="2"/>
  <c r="N133" i="2"/>
  <c r="L133" i="2"/>
  <c r="J133" i="2"/>
  <c r="T132" i="2"/>
  <c r="Q132" i="2"/>
  <c r="O132" i="2"/>
  <c r="N132" i="2"/>
  <c r="L132" i="2"/>
  <c r="J132" i="2"/>
  <c r="T131" i="2"/>
  <c r="Q131" i="2"/>
  <c r="O131" i="2"/>
  <c r="N131" i="2"/>
  <c r="L131" i="2"/>
  <c r="J131" i="2"/>
  <c r="T130" i="2"/>
  <c r="Q130" i="2"/>
  <c r="O130" i="2"/>
  <c r="N130" i="2"/>
  <c r="L130" i="2"/>
  <c r="J130" i="2"/>
  <c r="T129" i="2"/>
  <c r="Q129" i="2"/>
  <c r="O129" i="2"/>
  <c r="N129" i="2"/>
  <c r="L129" i="2"/>
  <c r="J129" i="2"/>
  <c r="T128" i="2"/>
  <c r="Q128" i="2"/>
  <c r="O128" i="2"/>
  <c r="N128" i="2"/>
  <c r="L128" i="2"/>
  <c r="J128" i="2"/>
  <c r="T127" i="2"/>
  <c r="Q127" i="2"/>
  <c r="O127" i="2"/>
  <c r="N127" i="2"/>
  <c r="L127" i="2"/>
  <c r="J127" i="2"/>
  <c r="T126" i="2"/>
  <c r="Q126" i="2"/>
  <c r="O126" i="2"/>
  <c r="N126" i="2"/>
  <c r="L126" i="2"/>
  <c r="J126" i="2"/>
  <c r="T125" i="2"/>
  <c r="Q125" i="2"/>
  <c r="O125" i="2"/>
  <c r="N125" i="2"/>
  <c r="L125" i="2"/>
  <c r="J125" i="2"/>
  <c r="T124" i="2"/>
  <c r="Q124" i="2"/>
  <c r="O124" i="2"/>
  <c r="N124" i="2"/>
  <c r="L124" i="2"/>
  <c r="J124" i="2"/>
  <c r="T123" i="2"/>
  <c r="Q123" i="2"/>
  <c r="O123" i="2"/>
  <c r="N123" i="2"/>
  <c r="L123" i="2"/>
  <c r="J123" i="2"/>
  <c r="T122" i="2"/>
  <c r="Q122" i="2"/>
  <c r="O122" i="2"/>
  <c r="N122" i="2"/>
  <c r="L122" i="2"/>
  <c r="J122" i="2"/>
  <c r="T121" i="2"/>
  <c r="Q121" i="2"/>
  <c r="O121" i="2"/>
  <c r="N121" i="2"/>
  <c r="L121" i="2"/>
  <c r="J121" i="2"/>
  <c r="T120" i="2"/>
  <c r="Q120" i="2"/>
  <c r="O120" i="2"/>
  <c r="N120" i="2"/>
  <c r="L120" i="2"/>
  <c r="J120" i="2"/>
  <c r="T119" i="2"/>
  <c r="Q119" i="2"/>
  <c r="O119" i="2"/>
  <c r="N119" i="2"/>
  <c r="L119" i="2"/>
  <c r="J119" i="2"/>
  <c r="T118" i="2"/>
  <c r="Q118" i="2"/>
  <c r="O118" i="2"/>
  <c r="N118" i="2"/>
  <c r="L118" i="2"/>
  <c r="J118" i="2"/>
  <c r="T117" i="2"/>
  <c r="Q117" i="2"/>
  <c r="O117" i="2"/>
  <c r="N117" i="2"/>
  <c r="L117" i="2"/>
  <c r="J117" i="2"/>
  <c r="T116" i="2"/>
  <c r="Q116" i="2"/>
  <c r="O116" i="2"/>
  <c r="N116" i="2"/>
  <c r="L116" i="2"/>
  <c r="J116" i="2"/>
  <c r="T115" i="2"/>
  <c r="Q115" i="2"/>
  <c r="O115" i="2"/>
  <c r="N115" i="2"/>
  <c r="L115" i="2"/>
  <c r="J115" i="2"/>
  <c r="T114" i="2"/>
  <c r="Q114" i="2"/>
  <c r="O114" i="2"/>
  <c r="N114" i="2"/>
  <c r="L114" i="2"/>
  <c r="J114" i="2"/>
  <c r="T113" i="2"/>
  <c r="Q113" i="2"/>
  <c r="O113" i="2"/>
  <c r="N113" i="2"/>
  <c r="L113" i="2"/>
  <c r="J113" i="2"/>
  <c r="T112" i="2"/>
  <c r="Q112" i="2"/>
  <c r="O112" i="2"/>
  <c r="N112" i="2"/>
  <c r="L112" i="2"/>
  <c r="J112" i="2"/>
  <c r="T111" i="2"/>
  <c r="Q111" i="2"/>
  <c r="O111" i="2"/>
  <c r="N111" i="2"/>
  <c r="L111" i="2"/>
  <c r="J111" i="2"/>
  <c r="T110" i="2"/>
  <c r="Q110" i="2"/>
  <c r="O110" i="2"/>
  <c r="N110" i="2"/>
  <c r="L110" i="2"/>
  <c r="J110" i="2"/>
  <c r="T109" i="2"/>
  <c r="Q109" i="2"/>
  <c r="O109" i="2"/>
  <c r="N109" i="2"/>
  <c r="L109" i="2"/>
  <c r="J109" i="2"/>
  <c r="T108" i="2"/>
  <c r="Q108" i="2"/>
  <c r="O108" i="2"/>
  <c r="N108" i="2"/>
  <c r="L108" i="2"/>
  <c r="J108" i="2"/>
  <c r="T107" i="2"/>
  <c r="Q107" i="2"/>
  <c r="O107" i="2"/>
  <c r="N107" i="2"/>
  <c r="L107" i="2"/>
  <c r="J107" i="2"/>
  <c r="T106" i="2"/>
  <c r="Q106" i="2"/>
  <c r="O106" i="2"/>
  <c r="N106" i="2"/>
  <c r="L106" i="2"/>
  <c r="J106" i="2"/>
  <c r="T105" i="2"/>
  <c r="Q105" i="2"/>
  <c r="O105" i="2"/>
  <c r="N105" i="2"/>
  <c r="L105" i="2"/>
  <c r="J105" i="2"/>
  <c r="T104" i="2"/>
  <c r="Q104" i="2"/>
  <c r="O104" i="2"/>
  <c r="N104" i="2"/>
  <c r="L104" i="2"/>
  <c r="J104" i="2"/>
  <c r="T103" i="2"/>
  <c r="Q103" i="2"/>
  <c r="O103" i="2"/>
  <c r="N103" i="2"/>
  <c r="L103" i="2"/>
  <c r="J103" i="2"/>
  <c r="T101" i="2"/>
  <c r="Q101" i="2"/>
  <c r="O101" i="2"/>
  <c r="N101" i="2"/>
  <c r="L101" i="2"/>
  <c r="J101" i="2"/>
  <c r="T100" i="2"/>
  <c r="Q100" i="2"/>
  <c r="O100" i="2"/>
  <c r="N100" i="2"/>
  <c r="L100" i="2"/>
  <c r="J100" i="2"/>
  <c r="T99" i="2"/>
  <c r="Q99" i="2"/>
  <c r="O99" i="2"/>
  <c r="N99" i="2"/>
  <c r="L99" i="2"/>
  <c r="J99" i="2"/>
  <c r="T98" i="2"/>
  <c r="Q98" i="2"/>
  <c r="O98" i="2"/>
  <c r="N98" i="2"/>
  <c r="L98" i="2"/>
  <c r="J98" i="2"/>
  <c r="T97" i="2"/>
  <c r="Q97" i="2"/>
  <c r="O97" i="2"/>
  <c r="N97" i="2"/>
  <c r="L97" i="2"/>
  <c r="J97" i="2"/>
  <c r="T96" i="2"/>
  <c r="Q96" i="2"/>
  <c r="O96" i="2"/>
  <c r="N96" i="2"/>
  <c r="L96" i="2"/>
  <c r="J96" i="2"/>
  <c r="T95" i="2"/>
  <c r="Q95" i="2"/>
  <c r="O95" i="2"/>
  <c r="N95" i="2"/>
  <c r="L95" i="2"/>
  <c r="J95" i="2"/>
  <c r="T94" i="2"/>
  <c r="Q94" i="2"/>
  <c r="O94" i="2"/>
  <c r="N94" i="2"/>
  <c r="L94" i="2"/>
  <c r="J94" i="2"/>
  <c r="T93" i="2"/>
  <c r="Q93" i="2"/>
  <c r="O93" i="2"/>
  <c r="N93" i="2"/>
  <c r="L93" i="2"/>
  <c r="J93" i="2"/>
  <c r="T92" i="2"/>
  <c r="Q92" i="2"/>
  <c r="O92" i="2"/>
  <c r="N92" i="2"/>
  <c r="L92" i="2"/>
  <c r="J92" i="2"/>
  <c r="T91" i="2"/>
  <c r="Q91" i="2"/>
  <c r="O91" i="2"/>
  <c r="N91" i="2"/>
  <c r="L91" i="2"/>
  <c r="J91" i="2"/>
  <c r="T90" i="2"/>
  <c r="Q90" i="2"/>
  <c r="O90" i="2"/>
  <c r="N90" i="2"/>
  <c r="L90" i="2"/>
  <c r="J90" i="2"/>
  <c r="T89" i="2"/>
  <c r="Q89" i="2"/>
  <c r="O89" i="2"/>
  <c r="N89" i="2"/>
  <c r="L89" i="2"/>
  <c r="J89" i="2"/>
  <c r="T88" i="2"/>
  <c r="Q88" i="2"/>
  <c r="O88" i="2"/>
  <c r="N88" i="2"/>
  <c r="L88" i="2"/>
  <c r="J88" i="2"/>
  <c r="T87" i="2"/>
  <c r="Q87" i="2"/>
  <c r="O87" i="2"/>
  <c r="N87" i="2"/>
  <c r="L87" i="2"/>
  <c r="J87" i="2"/>
  <c r="T86" i="2"/>
  <c r="Q86" i="2"/>
  <c r="O86" i="2"/>
  <c r="N86" i="2"/>
  <c r="L86" i="2"/>
  <c r="J86" i="2"/>
  <c r="T85" i="2"/>
  <c r="Q85" i="2"/>
  <c r="O85" i="2"/>
  <c r="N85" i="2"/>
  <c r="L85" i="2"/>
  <c r="J85" i="2"/>
  <c r="T84" i="2"/>
  <c r="Q84" i="2"/>
  <c r="O84" i="2"/>
  <c r="N84" i="2"/>
  <c r="L84" i="2"/>
  <c r="J84" i="2"/>
  <c r="T83" i="2"/>
  <c r="Q83" i="2"/>
  <c r="O83" i="2"/>
  <c r="N83" i="2"/>
  <c r="L83" i="2"/>
  <c r="J83" i="2"/>
  <c r="T82" i="2"/>
  <c r="Q82" i="2"/>
  <c r="O82" i="2"/>
  <c r="N82" i="2"/>
  <c r="L82" i="2"/>
  <c r="J82" i="2"/>
  <c r="T81" i="2"/>
  <c r="Q81" i="2"/>
  <c r="O81" i="2"/>
  <c r="N81" i="2"/>
  <c r="L81" i="2"/>
  <c r="J81" i="2"/>
  <c r="T80" i="2"/>
  <c r="Q80" i="2"/>
  <c r="O80" i="2"/>
  <c r="N80" i="2"/>
  <c r="L80" i="2"/>
  <c r="J80" i="2"/>
  <c r="T79" i="2"/>
  <c r="Q79" i="2"/>
  <c r="O79" i="2"/>
  <c r="N79" i="2"/>
  <c r="L79" i="2"/>
  <c r="J79" i="2"/>
  <c r="T78" i="2"/>
  <c r="Q78" i="2"/>
  <c r="O78" i="2"/>
  <c r="N78" i="2"/>
  <c r="L78" i="2"/>
  <c r="J78" i="2"/>
  <c r="T77" i="2"/>
  <c r="Q77" i="2"/>
  <c r="O77" i="2"/>
  <c r="N77" i="2"/>
  <c r="L77" i="2"/>
  <c r="J77" i="2"/>
  <c r="T76" i="2"/>
  <c r="Q76" i="2"/>
  <c r="O76" i="2"/>
  <c r="N76" i="2"/>
  <c r="L76" i="2"/>
  <c r="J76" i="2"/>
  <c r="T75" i="2"/>
  <c r="Q75" i="2"/>
  <c r="O75" i="2"/>
  <c r="N75" i="2"/>
  <c r="L75" i="2"/>
  <c r="J75" i="2"/>
  <c r="T74" i="2"/>
  <c r="Q74" i="2"/>
  <c r="O74" i="2"/>
  <c r="N74" i="2"/>
  <c r="L74" i="2"/>
  <c r="J74" i="2"/>
  <c r="T73" i="2"/>
  <c r="Q73" i="2"/>
  <c r="O73" i="2"/>
  <c r="N73" i="2"/>
  <c r="L73" i="2"/>
  <c r="J73" i="2"/>
  <c r="T72" i="2"/>
  <c r="Q72" i="2"/>
  <c r="O72" i="2"/>
  <c r="N72" i="2"/>
  <c r="L72" i="2"/>
  <c r="J72" i="2"/>
  <c r="T71" i="2"/>
  <c r="Q71" i="2"/>
  <c r="O71" i="2"/>
  <c r="N71" i="2"/>
  <c r="L71" i="2"/>
  <c r="J71" i="2"/>
  <c r="T70" i="2"/>
  <c r="Q70" i="2"/>
  <c r="O70" i="2"/>
  <c r="N70" i="2"/>
  <c r="L70" i="2"/>
  <c r="J70" i="2"/>
  <c r="T69" i="2"/>
  <c r="Q69" i="2"/>
  <c r="O69" i="2"/>
  <c r="N69" i="2"/>
  <c r="L69" i="2"/>
  <c r="J69" i="2"/>
  <c r="T68" i="2"/>
  <c r="Q68" i="2"/>
  <c r="O68" i="2"/>
  <c r="N68" i="2"/>
  <c r="L68" i="2"/>
  <c r="J68" i="2"/>
  <c r="T67" i="2"/>
  <c r="Q67" i="2"/>
  <c r="O67" i="2"/>
  <c r="N67" i="2"/>
  <c r="L67" i="2"/>
  <c r="J67" i="2"/>
  <c r="T66" i="2"/>
  <c r="Q66" i="2"/>
  <c r="O66" i="2"/>
  <c r="N66" i="2"/>
  <c r="L66" i="2"/>
  <c r="J66" i="2"/>
  <c r="T65" i="2"/>
  <c r="Q65" i="2"/>
  <c r="O65" i="2"/>
  <c r="N65" i="2"/>
  <c r="L65" i="2"/>
  <c r="J65" i="2"/>
  <c r="T64" i="2"/>
  <c r="Q64" i="2"/>
  <c r="O64" i="2"/>
  <c r="N64" i="2"/>
  <c r="L64" i="2"/>
  <c r="J64" i="2"/>
  <c r="T63" i="2"/>
  <c r="Q63" i="2"/>
  <c r="O63" i="2"/>
  <c r="N63" i="2"/>
  <c r="L63" i="2"/>
  <c r="J63" i="2"/>
  <c r="T62" i="2"/>
  <c r="Q62" i="2"/>
  <c r="O62" i="2"/>
  <c r="N62" i="2"/>
  <c r="L62" i="2"/>
  <c r="J62" i="2"/>
  <c r="T61" i="2"/>
  <c r="Q61" i="2"/>
  <c r="O61" i="2"/>
  <c r="N61" i="2"/>
  <c r="L61" i="2"/>
  <c r="J61" i="2"/>
  <c r="T60" i="2"/>
  <c r="Q60" i="2"/>
  <c r="O60" i="2"/>
  <c r="N60" i="2"/>
  <c r="L60" i="2"/>
  <c r="J60" i="2"/>
  <c r="T59" i="2"/>
  <c r="Q59" i="2"/>
  <c r="O59" i="2"/>
  <c r="N59" i="2"/>
  <c r="L59" i="2"/>
  <c r="J59" i="2"/>
  <c r="T58" i="2"/>
  <c r="Q58" i="2"/>
  <c r="O58" i="2"/>
  <c r="N58" i="2"/>
  <c r="L58" i="2"/>
  <c r="J58" i="2"/>
  <c r="T57" i="2"/>
  <c r="Q57" i="2"/>
  <c r="O57" i="2"/>
  <c r="N57" i="2"/>
  <c r="L57" i="2"/>
  <c r="J57" i="2"/>
  <c r="T56" i="2"/>
  <c r="Q56" i="2"/>
  <c r="O56" i="2"/>
  <c r="N56" i="2"/>
  <c r="L56" i="2"/>
  <c r="J56" i="2"/>
  <c r="T55" i="2"/>
  <c r="Q55" i="2"/>
  <c r="O55" i="2"/>
  <c r="N55" i="2"/>
  <c r="L55" i="2"/>
  <c r="J55" i="2"/>
  <c r="T54" i="2"/>
  <c r="Q54" i="2"/>
  <c r="O54" i="2"/>
  <c r="N54" i="2"/>
  <c r="L54" i="2"/>
  <c r="J54" i="2"/>
  <c r="T53" i="2"/>
  <c r="Q53" i="2"/>
  <c r="O53" i="2"/>
  <c r="N53" i="2"/>
  <c r="L53" i="2"/>
  <c r="J53" i="2"/>
  <c r="T52" i="2"/>
  <c r="Q52" i="2"/>
  <c r="O52" i="2"/>
  <c r="N52" i="2"/>
  <c r="L52" i="2"/>
  <c r="J52" i="2"/>
  <c r="T51" i="2"/>
  <c r="Q51" i="2"/>
  <c r="O51" i="2"/>
  <c r="N51" i="2"/>
  <c r="L51" i="2"/>
  <c r="J51" i="2"/>
  <c r="T50" i="2"/>
  <c r="Q50" i="2"/>
  <c r="O50" i="2"/>
  <c r="N50" i="2"/>
  <c r="L50" i="2"/>
  <c r="J50" i="2"/>
  <c r="T49" i="2"/>
  <c r="Q49" i="2"/>
  <c r="O49" i="2"/>
  <c r="N49" i="2"/>
  <c r="L49" i="2"/>
  <c r="J49" i="2"/>
  <c r="T48" i="2"/>
  <c r="Q48" i="2"/>
  <c r="O48" i="2"/>
  <c r="N48" i="2"/>
  <c r="L48" i="2"/>
  <c r="J48" i="2"/>
  <c r="T47" i="2"/>
  <c r="Q47" i="2"/>
  <c r="O47" i="2"/>
  <c r="N47" i="2"/>
  <c r="L47" i="2"/>
  <c r="J47" i="2"/>
  <c r="T46" i="2"/>
  <c r="Q46" i="2"/>
  <c r="O46" i="2"/>
  <c r="N46" i="2"/>
  <c r="L46" i="2"/>
  <c r="J46" i="2"/>
  <c r="T45" i="2"/>
  <c r="Q45" i="2"/>
  <c r="O45" i="2"/>
  <c r="N45" i="2"/>
  <c r="L45" i="2"/>
  <c r="J45" i="2"/>
  <c r="T44" i="2"/>
  <c r="Q44" i="2"/>
  <c r="O44" i="2"/>
  <c r="N44" i="2"/>
  <c r="L44" i="2"/>
  <c r="J44" i="2"/>
  <c r="T43" i="2"/>
  <c r="Q43" i="2"/>
  <c r="O43" i="2"/>
  <c r="N43" i="2"/>
  <c r="L43" i="2"/>
  <c r="J43" i="2"/>
  <c r="T42" i="2"/>
  <c r="Q42" i="2"/>
  <c r="O42" i="2"/>
  <c r="N42" i="2"/>
  <c r="L42" i="2"/>
  <c r="J42" i="2"/>
  <c r="T41" i="2"/>
  <c r="Q41" i="2"/>
  <c r="O41" i="2"/>
  <c r="N41" i="2"/>
  <c r="L41" i="2"/>
  <c r="J41" i="2"/>
  <c r="T40" i="2"/>
  <c r="Q40" i="2"/>
  <c r="O40" i="2"/>
  <c r="N40" i="2"/>
  <c r="L40" i="2"/>
  <c r="J40" i="2"/>
  <c r="T39" i="2"/>
  <c r="Q39" i="2"/>
  <c r="O39" i="2"/>
  <c r="N39" i="2"/>
  <c r="L39" i="2"/>
  <c r="J39" i="2"/>
  <c r="T38" i="2"/>
  <c r="Q38" i="2"/>
  <c r="O38" i="2"/>
  <c r="N38" i="2"/>
  <c r="L38" i="2"/>
  <c r="J38" i="2"/>
  <c r="T37" i="2"/>
  <c r="Q37" i="2"/>
  <c r="O37" i="2"/>
  <c r="N37" i="2"/>
  <c r="L37" i="2"/>
  <c r="J37" i="2"/>
  <c r="T36" i="2"/>
  <c r="Q36" i="2"/>
  <c r="O36" i="2"/>
  <c r="N36" i="2"/>
  <c r="L36" i="2"/>
  <c r="J36" i="2"/>
  <c r="T35" i="2"/>
  <c r="Q35" i="2"/>
  <c r="O35" i="2"/>
  <c r="N35" i="2"/>
  <c r="L35" i="2"/>
  <c r="J35" i="2"/>
  <c r="T34" i="2"/>
  <c r="Q34" i="2"/>
  <c r="O34" i="2"/>
  <c r="N34" i="2"/>
  <c r="L34" i="2"/>
  <c r="J34" i="2"/>
  <c r="T33" i="2"/>
  <c r="Q33" i="2"/>
  <c r="O33" i="2"/>
  <c r="N33" i="2"/>
  <c r="L33" i="2"/>
  <c r="J33" i="2"/>
  <c r="T32" i="2"/>
  <c r="Q32" i="2"/>
  <c r="O32" i="2"/>
  <c r="N32" i="2"/>
  <c r="L32" i="2"/>
  <c r="J32" i="2"/>
  <c r="T31" i="2"/>
  <c r="Q31" i="2"/>
  <c r="O31" i="2"/>
  <c r="N31" i="2"/>
  <c r="L31" i="2"/>
  <c r="J31" i="2"/>
  <c r="T30" i="2"/>
  <c r="Q30" i="2"/>
  <c r="O30" i="2"/>
  <c r="N30" i="2"/>
  <c r="L30" i="2"/>
  <c r="J30" i="2"/>
  <c r="T29" i="2"/>
  <c r="Q29" i="2"/>
  <c r="O29" i="2"/>
  <c r="N29" i="2"/>
  <c r="L29" i="2"/>
  <c r="J29" i="2"/>
  <c r="T28" i="2"/>
  <c r="Q28" i="2"/>
  <c r="O28" i="2"/>
  <c r="N28" i="2"/>
  <c r="L28" i="2"/>
  <c r="J28" i="2"/>
  <c r="T27" i="2"/>
  <c r="Q27" i="2"/>
  <c r="O27" i="2"/>
  <c r="N27" i="2"/>
  <c r="L27" i="2"/>
  <c r="J27" i="2"/>
  <c r="T26" i="2"/>
  <c r="Q26" i="2"/>
  <c r="O26" i="2"/>
  <c r="N26" i="2"/>
  <c r="L26" i="2"/>
  <c r="J26" i="2"/>
  <c r="T25" i="2"/>
  <c r="Q25" i="2"/>
  <c r="O25" i="2"/>
  <c r="N25" i="2"/>
  <c r="L25" i="2"/>
  <c r="J25" i="2"/>
  <c r="T24" i="2"/>
  <c r="Q24" i="2"/>
  <c r="O24" i="2"/>
  <c r="N24" i="2"/>
  <c r="L24" i="2"/>
  <c r="J24" i="2"/>
  <c r="T23" i="2"/>
  <c r="Q23" i="2"/>
  <c r="O23" i="2"/>
  <c r="N23" i="2"/>
  <c r="L23" i="2"/>
  <c r="J23" i="2"/>
  <c r="T22" i="2"/>
  <c r="Q22" i="2"/>
  <c r="O22" i="2"/>
  <c r="N22" i="2"/>
  <c r="L22" i="2"/>
  <c r="J22" i="2"/>
  <c r="T21" i="2"/>
  <c r="Q21" i="2"/>
  <c r="O21" i="2"/>
  <c r="N21" i="2"/>
  <c r="L21" i="2"/>
  <c r="J21" i="2"/>
  <c r="T20" i="2"/>
  <c r="Q20" i="2"/>
  <c r="O20" i="2"/>
  <c r="N20" i="2"/>
  <c r="L20" i="2"/>
  <c r="J20" i="2"/>
  <c r="T19" i="2"/>
  <c r="Q19" i="2"/>
  <c r="O19" i="2"/>
  <c r="N19" i="2"/>
  <c r="L19" i="2"/>
  <c r="J19" i="2"/>
  <c r="T18" i="2"/>
  <c r="Q18" i="2"/>
  <c r="O18" i="2"/>
  <c r="N18" i="2"/>
  <c r="L18" i="2"/>
  <c r="J18" i="2"/>
  <c r="T17" i="2"/>
  <c r="Q17" i="2"/>
  <c r="O17" i="2"/>
  <c r="N17" i="2"/>
  <c r="L17" i="2"/>
  <c r="J17" i="2"/>
  <c r="T16" i="2"/>
  <c r="Q16" i="2"/>
  <c r="O16" i="2"/>
  <c r="N16" i="2"/>
  <c r="L16" i="2"/>
  <c r="J16" i="2"/>
  <c r="T15" i="2"/>
  <c r="Q15" i="2"/>
  <c r="O15" i="2"/>
  <c r="N15" i="2"/>
  <c r="L15" i="2"/>
  <c r="J15" i="2"/>
  <c r="T14" i="2"/>
  <c r="Q14" i="2"/>
  <c r="O14" i="2"/>
  <c r="N14" i="2"/>
  <c r="L14" i="2"/>
  <c r="J14" i="2"/>
  <c r="T13" i="2"/>
  <c r="Q13" i="2"/>
  <c r="O13" i="2"/>
  <c r="N13" i="2"/>
  <c r="L13" i="2"/>
  <c r="J13" i="2"/>
  <c r="T12" i="2"/>
  <c r="Q12" i="2"/>
  <c r="O12" i="2"/>
  <c r="N12" i="2"/>
  <c r="L12" i="2"/>
  <c r="J12" i="2"/>
  <c r="T11" i="2"/>
  <c r="Q11" i="2"/>
  <c r="O11" i="2"/>
  <c r="N11" i="2"/>
  <c r="L11" i="2"/>
  <c r="J11" i="2"/>
  <c r="T10" i="2"/>
  <c r="Q10" i="2"/>
  <c r="O10" i="2"/>
  <c r="N10" i="2"/>
  <c r="L10" i="2"/>
  <c r="J10" i="2"/>
  <c r="T9" i="2"/>
  <c r="Q9" i="2"/>
  <c r="O9" i="2"/>
  <c r="N9" i="2"/>
  <c r="L9" i="2"/>
  <c r="J9" i="2"/>
  <c r="T8" i="2"/>
  <c r="Q8" i="2"/>
  <c r="O8" i="2"/>
  <c r="N8" i="2"/>
  <c r="L8" i="2"/>
  <c r="J8" i="2"/>
  <c r="T7" i="2"/>
  <c r="Q7" i="2"/>
  <c r="O7" i="2"/>
  <c r="N7" i="2"/>
  <c r="L7" i="2"/>
  <c r="J7" i="2"/>
  <c r="T6" i="2"/>
  <c r="Q6" i="2"/>
  <c r="O6" i="2"/>
  <c r="N6" i="2"/>
  <c r="L6" i="2"/>
  <c r="J6" i="2"/>
  <c r="T5" i="2"/>
  <c r="Q5" i="2"/>
  <c r="O5" i="2"/>
  <c r="N5" i="2"/>
  <c r="L5" i="2"/>
  <c r="J5" i="2"/>
  <c r="T4" i="2"/>
  <c r="Q4" i="2"/>
  <c r="O4" i="2"/>
  <c r="N4" i="2"/>
  <c r="L4" i="2"/>
  <c r="J4" i="2"/>
  <c r="T3" i="2"/>
  <c r="Q3" i="2"/>
  <c r="O3" i="2"/>
  <c r="N3" i="2"/>
  <c r="L3" i="2"/>
  <c r="J3" i="2"/>
  <c r="T2" i="2"/>
  <c r="Q2" i="2"/>
  <c r="O2" i="2"/>
  <c r="N2" i="2"/>
  <c r="L2" i="2"/>
  <c r="J2" i="2"/>
</calcChain>
</file>

<file path=xl/sharedStrings.xml><?xml version="1.0" encoding="utf-8"?>
<sst xmlns="http://schemas.openxmlformats.org/spreadsheetml/2006/main" count="6856" uniqueCount="3285">
  <si>
    <t>TARJETA BAM</t>
  </si>
  <si>
    <t>Pago</t>
  </si>
  <si>
    <t>Vigencia</t>
  </si>
  <si>
    <t>Tipo</t>
  </si>
  <si>
    <t>Poliza</t>
  </si>
  <si>
    <t>Certificado</t>
  </si>
  <si>
    <t>Nombre</t>
  </si>
  <si>
    <t>Fecha</t>
  </si>
  <si>
    <t>Fecha Cobro</t>
  </si>
  <si>
    <t>Zona</t>
  </si>
  <si>
    <t>Fuente</t>
  </si>
  <si>
    <t>Agencia</t>
  </si>
  <si>
    <t>Cod. Colaborador</t>
  </si>
  <si>
    <t>Nombre colaborador</t>
  </si>
  <si>
    <t>Prima</t>
  </si>
  <si>
    <t>Cod. Jefe</t>
  </si>
  <si>
    <t>Nombre Jefe</t>
  </si>
  <si>
    <t>Producto</t>
  </si>
  <si>
    <t>Poliza Firmada</t>
  </si>
  <si>
    <t>Control</t>
  </si>
  <si>
    <t>SI</t>
  </si>
  <si>
    <t>CUOTAS</t>
  </si>
  <si>
    <t>NUEVO</t>
  </si>
  <si>
    <t>VCB-20240008</t>
  </si>
  <si>
    <t>LESBIA ANGELICA FLORE PINEDA</t>
  </si>
  <si>
    <t>VIDA+SEGURO PLAN 1</t>
  </si>
  <si>
    <t>CONTADO</t>
  </si>
  <si>
    <t>VCB-20210003</t>
  </si>
  <si>
    <t>ALMA LETICIA MONTERROSO SIPAQUE</t>
  </si>
  <si>
    <t>VIDA+SEGURO</t>
  </si>
  <si>
    <t>JOSE FRANCISCO SANTOS GOMEZ</t>
  </si>
  <si>
    <t>VCB-20220010</t>
  </si>
  <si>
    <t>ENMA ELIZABETH MUÑOZ</t>
  </si>
  <si>
    <t>JOEL ARMANDO RODRIGUEZ LOPEZ</t>
  </si>
  <si>
    <t>ALFONSO CAC CAAL</t>
  </si>
  <si>
    <t>VCB-20240007</t>
  </si>
  <si>
    <t>HUGO LEONEL CASTILLO DIAZ</t>
  </si>
  <si>
    <t>MARIA VICTORIA RAMIREZ VILLALTA</t>
  </si>
  <si>
    <t>JUAN ALBERTO AGUILAR YANES</t>
  </si>
  <si>
    <t>KEDYN EDUARDO RUCAL ENRIQUEZ</t>
  </si>
  <si>
    <t xml:space="preserve">SANDY ROSEMARY BARAHONA DEL CID </t>
  </si>
  <si>
    <t>ELIXON ROMAN UCELO</t>
  </si>
  <si>
    <t xml:space="preserve">ANA LIZETH AGUILAR RECINOS </t>
  </si>
  <si>
    <t>SAMUEL TEC CAAL</t>
  </si>
  <si>
    <t>TOMAS POP CHOL</t>
  </si>
  <si>
    <t>MANUEL ANTONIO CARIAS MENENDEZ</t>
  </si>
  <si>
    <t>GUSTAVO ANTONIO TUBAC CUC</t>
  </si>
  <si>
    <t>EFRAIN POP</t>
  </si>
  <si>
    <t>GUSTAVO PUTUL CHO</t>
  </si>
  <si>
    <t>ANGEL FRANCISCO LOPEZ AGUIRRE</t>
  </si>
  <si>
    <t>ALFREDO XOL QUIB</t>
  </si>
  <si>
    <t>ENRIQUE CHEN SACUL</t>
  </si>
  <si>
    <t>JEFERSON CARLOS DANIEL GARCIA PAREDES</t>
  </si>
  <si>
    <t>VCB-20220034</t>
  </si>
  <si>
    <t>JONATHAN ESTUARDO FLORES YANEZ</t>
  </si>
  <si>
    <t>MILTON ESTUARDO CARDONA CRUZ</t>
  </si>
  <si>
    <t>ISMAEL XONA CAAL</t>
  </si>
  <si>
    <t>RIGOBERTO CHACOJ LAJ</t>
  </si>
  <si>
    <t>ALEXANDER SALINAS MERLOS</t>
  </si>
  <si>
    <t>NIDIA LISSETH BARILLAS CASTELLANOS</t>
  </si>
  <si>
    <t>GRADYS ERMINDA OAJACA CHACON</t>
  </si>
  <si>
    <t>CESAR ODELMER RODRIGUEZ DIAS</t>
  </si>
  <si>
    <t>KEVIN ADILSON MONTERROSO COL</t>
  </si>
  <si>
    <t>VCB-20220009</t>
  </si>
  <si>
    <t>CARLOS ADONIS CASTILLO HUINAC</t>
  </si>
  <si>
    <t>LESLY ROXANA ORELLANA GOMEZ</t>
  </si>
  <si>
    <t>WALTER ANDRES SALAM LAJ</t>
  </si>
  <si>
    <t>MARCOS RENE XOL TZUL</t>
  </si>
  <si>
    <t>YUNIOR BLADIMIR GUTIERREZ XICAY</t>
  </si>
  <si>
    <t>ERICK JOAQUIN LOPEZ MOYA</t>
  </si>
  <si>
    <t>ARNOLDO SANCHEZ</t>
  </si>
  <si>
    <t xml:space="preserve">ANDRES CRESPIN MELENDEZ </t>
  </si>
  <si>
    <t>DAVID LARES TECUM</t>
  </si>
  <si>
    <t>VIDA+SEGURO PLAN 2</t>
  </si>
  <si>
    <t>ADAN ICHICH CHU</t>
  </si>
  <si>
    <t>MILVY YASENIA NAVARRO HURTARTE DE HERNANDEZ</t>
  </si>
  <si>
    <t xml:space="preserve">SILVIA LOREENA AMBROSIO FRANCO </t>
  </si>
  <si>
    <t xml:space="preserve">JOSE DANIEL GUZMAN MORALES </t>
  </si>
  <si>
    <t>Pendiente</t>
  </si>
  <si>
    <t xml:space="preserve">HECTOR ADOLFO CHAVEZ CHAJON </t>
  </si>
  <si>
    <t>NO</t>
  </si>
  <si>
    <t>AUTO-22004405</t>
  </si>
  <si>
    <t>CARLOS HUMBERTO MOTTA GALINDO</t>
  </si>
  <si>
    <t>AUTO+SEGURO (AUTO)</t>
  </si>
  <si>
    <t>JPNATHAN SAUL MALDONADO SANDOVAL</t>
  </si>
  <si>
    <t>SANDRA JUDITH ESPAÑA ZETINO</t>
  </si>
  <si>
    <t xml:space="preserve">MARCO ANTONIO BARRERA ACABAL </t>
  </si>
  <si>
    <t>JONATHAN JOSUE MAX MATZ</t>
  </si>
  <si>
    <t>SERGIO GABRIEL RAMIREZ TZAY</t>
  </si>
  <si>
    <t>VCB-20210010</t>
  </si>
  <si>
    <t>ELISEO MARDOQUEO TIUL SACUL</t>
  </si>
  <si>
    <t>MIRNA YAMILETH GARCIA MELCHOR</t>
  </si>
  <si>
    <t>CESAR ARMANDO GALEANO GARCIA</t>
  </si>
  <si>
    <t>ISABEL SOLANO MARROQUIN</t>
  </si>
  <si>
    <t>MARIO DAVID GUTIERREZ VENTURA</t>
  </si>
  <si>
    <t xml:space="preserve">JORGE ALBERTO ICAL CHOC </t>
  </si>
  <si>
    <t>CRISANTO POP COC</t>
  </si>
  <si>
    <t>MARTA ELIZABETH CATALAN GUE</t>
  </si>
  <si>
    <t>GLADYS RUBILIA PEREZ</t>
  </si>
  <si>
    <t>ISAAC BENJAMIN CHEN XOL</t>
  </si>
  <si>
    <t>JOSE NOE CONTRERAS ALBENO</t>
  </si>
  <si>
    <t>CESAR GUADALUPE CASTELLANOS OSORIO</t>
  </si>
  <si>
    <t>VIDA+SEGURO PLAN 4</t>
  </si>
  <si>
    <t>GUANERGIO COTZALO TELETOR</t>
  </si>
  <si>
    <t>LESLIE MARLENY MORALES MENDEZ</t>
  </si>
  <si>
    <t>JULIO CESAR GARCIA CRISTALES</t>
  </si>
  <si>
    <t>ANGELICA EUGENIA SICAL LOPEZ</t>
  </si>
  <si>
    <t>EDYN EFRAIN SANDOVAL ESTRADA</t>
  </si>
  <si>
    <t>JESUS ELICEO IMUL HERNANDEZ</t>
  </si>
  <si>
    <t>SERGIO LORENZO GUZMAN ALVARADO</t>
  </si>
  <si>
    <t>ERICKA LORENA DE LA CRUZ DEL CID</t>
  </si>
  <si>
    <t>VICTOR LOPEZ RAMOS</t>
  </si>
  <si>
    <t>ACPE-20210007</t>
  </si>
  <si>
    <t>JUAN TOMAS COC CAAL</t>
  </si>
  <si>
    <t>AP BIENESTAR</t>
  </si>
  <si>
    <t>VCB-20240020</t>
  </si>
  <si>
    <t>MAGDALENA ALONZO RAMIREZ</t>
  </si>
  <si>
    <t>PREVENCION+SEGURA</t>
  </si>
  <si>
    <t>MAYNOR AROLDO PAIZ ORELLANA</t>
  </si>
  <si>
    <t>LUIS ALFREDO TERRE GALDAMEZ</t>
  </si>
  <si>
    <t>RICHARD STEVENS HERNANDEZ CAMPOS</t>
  </si>
  <si>
    <t>PAULINA BRAN MARTINEZ</t>
  </si>
  <si>
    <t>ANDRES LOPEZ AGUIRRE</t>
  </si>
  <si>
    <t>JUAN JOSE ACEITUNO</t>
  </si>
  <si>
    <t>CLARO BERNABE CON PUAQUE</t>
  </si>
  <si>
    <t xml:space="preserve">JOSUE ISAI MORALES ALDANA </t>
  </si>
  <si>
    <t>CARLOS CAAL POP</t>
  </si>
  <si>
    <t>AUTO-36000259</t>
  </si>
  <si>
    <t xml:space="preserve">ELMER ESTUARDO RAMOS </t>
  </si>
  <si>
    <t>ARNOLDO COY</t>
  </si>
  <si>
    <t>RONALD IGNACIO SIERRA CHOC</t>
  </si>
  <si>
    <t>ELSA COC CHOC</t>
  </si>
  <si>
    <t>CONCEPA CHOC BA</t>
  </si>
  <si>
    <t>MIGUEL ISAIAS GUAMUCHE DE LA CRUZ</t>
  </si>
  <si>
    <t>CINTHIA MELISA ALAY PEREZ QUIROA</t>
  </si>
  <si>
    <t>ELVIS ALBERTO CORDON ESPAÑA</t>
  </si>
  <si>
    <t>YUDI YANIRA MUÑOZ CORTEZ</t>
  </si>
  <si>
    <t>OSCAR EDUARDO MUÑOZ GIRON</t>
  </si>
  <si>
    <t>LUIS DANIEL DEL CID PINEDA</t>
  </si>
  <si>
    <t>VCB-20210007</t>
  </si>
  <si>
    <t>DILCIA LETICIA RAMOS PEREZ TEJADA</t>
  </si>
  <si>
    <t>ANTHONY  ALEXANDER GARCIA JACINTO</t>
  </si>
  <si>
    <t>GUSTAVO ADOLFO HERNANDEZ VIVIDOR</t>
  </si>
  <si>
    <t>ROSA IZABEL MONTENEGRO CULAJAY</t>
  </si>
  <si>
    <t>MAYNOR OVIDIO CHO BOL</t>
  </si>
  <si>
    <t>ACPE-20220038</t>
  </si>
  <si>
    <t>DYLAN DANIEL DIVAS ORDOÑEZ</t>
  </si>
  <si>
    <t>ORIENTE</t>
  </si>
  <si>
    <t>JUTIAPA</t>
  </si>
  <si>
    <t>Erick Cecilio Salvatierra García</t>
  </si>
  <si>
    <t>Ruth Nohemi Contreras Hernandez</t>
  </si>
  <si>
    <t>VCB-20210015</t>
  </si>
  <si>
    <t>EDWIN AMILCAR CHEN MO</t>
  </si>
  <si>
    <t>CESAR RAMIRO JUC CHUB</t>
  </si>
  <si>
    <t>CRISTIAN LISANDRO GARCIA AGUILAR</t>
  </si>
  <si>
    <t>FRANCISCO COC ICHIC</t>
  </si>
  <si>
    <t>ALFREDO YAXCAL CUCUL</t>
  </si>
  <si>
    <t>AGUSTINA CABNAL COY</t>
  </si>
  <si>
    <t>MARY ISELA INTERIANO GARCIA</t>
  </si>
  <si>
    <t>JORGE LUIS HERNANDEZ ALVAREZ</t>
  </si>
  <si>
    <t>IRMA DAMARIS GOMEZ PEREZ</t>
  </si>
  <si>
    <t>KEVIN VLADIMIR PAIZ QUEL</t>
  </si>
  <si>
    <t>ANA GLADYS CORDON ASENCIO</t>
  </si>
  <si>
    <t>VIDA+SEGURO PLAN 5</t>
  </si>
  <si>
    <t>ODILIA LISSETH AJCU BOROR</t>
  </si>
  <si>
    <t>AUGUSTO CESAR POLANCO CARBALLO</t>
  </si>
  <si>
    <t>APSS-20220009</t>
  </si>
  <si>
    <t>LUIS EDUARDO MUÑOZ TIÑO</t>
  </si>
  <si>
    <t>CONSULTA BASICO</t>
  </si>
  <si>
    <t>OSCAR ANIBAL GUDIEL VALDEZ</t>
  </si>
  <si>
    <t>MILVIA AURORA MILFORD REYES</t>
  </si>
  <si>
    <t>LUIS GILLERMO LOPEZ AJCA</t>
  </si>
  <si>
    <t>CARLA FABIOLA GARCIA GARCIA</t>
  </si>
  <si>
    <t>CARLOS ADELSO GONZALEZ SEGURA</t>
  </si>
  <si>
    <t>FREDY AMILCAR JIMENEZ CORTEZ</t>
  </si>
  <si>
    <t>MYRA REBECA SANDOVAL ARAGON VARLVERT</t>
  </si>
  <si>
    <t>AGUSTIN REYES MARROQUIN</t>
  </si>
  <si>
    <t>MARIA MAGDALENA TISOL MATUL</t>
  </si>
  <si>
    <t>DOLORES ELIZABETH ALDANA SALGUERO</t>
  </si>
  <si>
    <t>ANGEL NEHEMIAS CAAL MACZ</t>
  </si>
  <si>
    <t>EDWIN BENIGNO BARRERA SALGUERO</t>
  </si>
  <si>
    <t>NELSON JEOVANY CALEL LOPEZ</t>
  </si>
  <si>
    <t>NANCY RAQUEL TAQUEZ HERNANDEZ</t>
  </si>
  <si>
    <t>ADRIAN COC</t>
  </si>
  <si>
    <t>EDGAR ADOLFO XOL CUCUL</t>
  </si>
  <si>
    <t>TOMAS SANTOS CARDENAS</t>
  </si>
  <si>
    <t>NATALIE STEFANIA HENKES ORELLANA</t>
  </si>
  <si>
    <t>MARCOS FEDERICO TIUL CAC</t>
  </si>
  <si>
    <t>EDUARDO SACRAB TUT</t>
  </si>
  <si>
    <t xml:space="preserve">MILVIA AURORA MILFORD REYES </t>
  </si>
  <si>
    <t>AUTO-24000685</t>
  </si>
  <si>
    <t>LUIS ALBERTO GARCIA  PINEDA</t>
  </si>
  <si>
    <t>JORGE ALBERTO ARAGON ZUÑIGA</t>
  </si>
  <si>
    <t xml:space="preserve">CINDI GABRIELA JOLON DIAZ DE GARCIA </t>
  </si>
  <si>
    <t>APSS-20200009</t>
  </si>
  <si>
    <t xml:space="preserve">DARICKA MARLENI HERRERA VASQUEZ </t>
  </si>
  <si>
    <t>CONSULTA BASICO + BIENESTAR</t>
  </si>
  <si>
    <t>VALENTIN ELIAS CAL LAJ</t>
  </si>
  <si>
    <t xml:space="preserve">REBECA JANSA BIANCHI </t>
  </si>
  <si>
    <t>JENNIFER AMANDA VALDEZ CAL</t>
  </si>
  <si>
    <t xml:space="preserve">MYNOR  ESTIVENS  MONTENEGRO CULAJAY </t>
  </si>
  <si>
    <t>RODRIGO MARTINEZ AMPEREZ</t>
  </si>
  <si>
    <t>ARTURO ALFONSO AQUINO GARNICA</t>
  </si>
  <si>
    <t>KATHERINE MICHELLE CERON SANCE</t>
  </si>
  <si>
    <t>SIDDIQUE AHMED FAOOQ</t>
  </si>
  <si>
    <t xml:space="preserve">CESAR AUGUSTO PINEDA CASTAÑEDA </t>
  </si>
  <si>
    <t>ANSELMO VITALINO RECINOS LEMUS</t>
  </si>
  <si>
    <t>EDYN ESTUARDO CRUZ ESPINOZA</t>
  </si>
  <si>
    <t>GABRIELA ELIZABETH MUÑOZ GAITAN</t>
  </si>
  <si>
    <t>AUTO-24000686</t>
  </si>
  <si>
    <t>JORGE ALBERTO TAMPAN FIGUEROA</t>
  </si>
  <si>
    <t>VCB-20200020</t>
  </si>
  <si>
    <t xml:space="preserve">WAGNER ADILIO AGUILAR AREVALO </t>
  </si>
  <si>
    <t>JOSE MIGUEL ABULARACH SALGUERO</t>
  </si>
  <si>
    <t>JOSUE LEVI ARANA ORELLANA</t>
  </si>
  <si>
    <t>GERSON DAVID CHEN CHUB</t>
  </si>
  <si>
    <t>WINDER OTTONIEL PANA CAAL</t>
  </si>
  <si>
    <t xml:space="preserve">NELSON ANTONIO SINAY CORTEZ </t>
  </si>
  <si>
    <t>HELDER ABIMAEL RAMOS ALONZO</t>
  </si>
  <si>
    <t>ELIAS ALEXANDER MACZ MISTI</t>
  </si>
  <si>
    <t>BAUDILIO ELISEO VELASQUEZ RABANALES</t>
  </si>
  <si>
    <t>ELVIRA SUB LOYOS</t>
  </si>
  <si>
    <t>YUSENY FABIOLA YAT REQUENA</t>
  </si>
  <si>
    <t>ABELARDO ICAL COC</t>
  </si>
  <si>
    <t>AUTO-48000138</t>
  </si>
  <si>
    <t>MEFI BOSEF VIDES GUERRA</t>
  </si>
  <si>
    <t>AUTO+SEGURO (PICK UP)</t>
  </si>
  <si>
    <t>MARVIN YOBANY AJBAC COY</t>
  </si>
  <si>
    <t>MICHELL ASUSENA CRUZ GRIJALVA</t>
  </si>
  <si>
    <t>CESAR AUGUSTO SANCHEZ POOU</t>
  </si>
  <si>
    <t>CONSULTA COMPLETO + BIENESTAR</t>
  </si>
  <si>
    <t>OTTONIEL CUZ CUCUL</t>
  </si>
  <si>
    <t>SAYRI NEREIDA MONTENEGRO OROZCO</t>
  </si>
  <si>
    <t>MARIA DE JESUS ALVAREZ</t>
  </si>
  <si>
    <t>MAYNOR MARDOQUEO SACUL GUE</t>
  </si>
  <si>
    <t>MIGUEL ARMANDO GARCIA MONROY</t>
  </si>
  <si>
    <t>PEDRO SAGUI XOL</t>
  </si>
  <si>
    <t>ACPE-20220062</t>
  </si>
  <si>
    <t>ARNOLDO CHOJ QUIM</t>
  </si>
  <si>
    <t>MULTIASISTENCIAS</t>
  </si>
  <si>
    <t>JOSE MIGUEL LEMUS</t>
  </si>
  <si>
    <t>CARLOS ENRIQUE CAAL CRUZ</t>
  </si>
  <si>
    <t>MYNOR RENE BARRIENTOS RUANO</t>
  </si>
  <si>
    <t>JOHN EULIZER REYES DEL CID</t>
  </si>
  <si>
    <t>BRANDON ISAAC LAJ RAX</t>
  </si>
  <si>
    <t>ANGEL MARIO HERNANDEZ MORALES</t>
  </si>
  <si>
    <t xml:space="preserve">GLORIA DEL CARMEN LOPEZ MARTINEZ </t>
  </si>
  <si>
    <t>WALTER OTONIEL LOPEZ HERNANDEZ</t>
  </si>
  <si>
    <t>DAYSI NOHEMI CHO CAAL</t>
  </si>
  <si>
    <t>ELFIDO LEONEL PEREZ LOPEZ</t>
  </si>
  <si>
    <t xml:space="preserve">JOSE FERNANDO LOPEZ GONZALEZ </t>
  </si>
  <si>
    <t>HENRY LEONEL ALVAREZ DE LEON</t>
  </si>
  <si>
    <t>JONATHAN MEPHIBOSETH GALVAN FRANCO</t>
  </si>
  <si>
    <t>JOSE BERNARDO CEREZO</t>
  </si>
  <si>
    <t>LUISA FERNANDA IBARRA MOLINA</t>
  </si>
  <si>
    <t>MARVIN ALBINO MENDEZ MONROY</t>
  </si>
  <si>
    <t xml:space="preserve">MARVEL EMANUEL HERNANDEZ VALENZUELA </t>
  </si>
  <si>
    <t>RAUL LEMUS LOPEZ</t>
  </si>
  <si>
    <t>EDGAR VINICIO DIAZ GARCIA</t>
  </si>
  <si>
    <t>JOSE AGUSTIN CHITIC CHICOJ</t>
  </si>
  <si>
    <t>MYNOR EFRAIN CAC TZALAM</t>
  </si>
  <si>
    <t>EDGAR AMILCAR CASTILLO BETETA</t>
  </si>
  <si>
    <t>ALVARO RAMIRO CHON TIUL</t>
  </si>
  <si>
    <t>DENIS ANIBAL TUX POP</t>
  </si>
  <si>
    <t xml:space="preserve">WILSON ALBERTO BUSTAMANTE LOPEZ </t>
  </si>
  <si>
    <t xml:space="preserve">BLANCA ESTELA INTERIANO </t>
  </si>
  <si>
    <t>VICTOR MANUEL LAM RUIZ</t>
  </si>
  <si>
    <t>EDGAR ESTUARDO HERNANDEZ OVANDO</t>
  </si>
  <si>
    <t xml:space="preserve">BYRON ESAU ADRIANO MADRID </t>
  </si>
  <si>
    <t>LESTER NEHEMIAS CHINCHILLA PEREZ</t>
  </si>
  <si>
    <t>AMILCAR ENRIQUE LOPEZ LOPEZ</t>
  </si>
  <si>
    <t>VIDA+SEGURO PLAN 3</t>
  </si>
  <si>
    <t>MARIO RENE MUCU ALVAREZ</t>
  </si>
  <si>
    <t>ARNULFO CHU CAAL</t>
  </si>
  <si>
    <t>EDWIN DANIEL PERALTA SOLARES</t>
  </si>
  <si>
    <t>ALICIA ROSMERY FERNANDEZ QUIROA</t>
  </si>
  <si>
    <t>BRENDA ELIZABETH TRIGUEROS RIVAS</t>
  </si>
  <si>
    <t>MAGDA ELIZABETH COLINDRES CARDONA</t>
  </si>
  <si>
    <t>MARIO RENE TELLO CAAL</t>
  </si>
  <si>
    <t>MANUEL DE JESUS CHUB TIUL</t>
  </si>
  <si>
    <t>HECTOR FERNANDO BOTZOC CUZ</t>
  </si>
  <si>
    <t>HENRY EMANUEL PANA BARCO</t>
  </si>
  <si>
    <t>MARIO RENE CAN</t>
  </si>
  <si>
    <t>GUSTAVO ADOLFO VASQUEZ CHAVEZ</t>
  </si>
  <si>
    <t>Edgar Rolando Iboy Segura</t>
  </si>
  <si>
    <t>EUGENIA JEANETH LACAN CHUN</t>
  </si>
  <si>
    <t>JOSE IMNACIO ESQUIVEL JAYES</t>
  </si>
  <si>
    <t>JOSSELINE MISHELL CUMES ESQUIVEL</t>
  </si>
  <si>
    <t>ALFREDO TIUL</t>
  </si>
  <si>
    <t xml:space="preserve">MARIA ARCELY VASQUEZ ESTRADA </t>
  </si>
  <si>
    <t>LUCIA JANETH GUZMAN GUERRA</t>
  </si>
  <si>
    <t xml:space="preserve">ALI GERARDO ECUTE OVANDO </t>
  </si>
  <si>
    <t>BYRON CARLOS VINICIO RODAS MORALES</t>
  </si>
  <si>
    <t>JOSUE DANIEL CHUB ASIG</t>
  </si>
  <si>
    <t>CARLOS DANIEL CORONADO REYNOSO</t>
  </si>
  <si>
    <t>PABLO BENJAMIN CAAL LINARES</t>
  </si>
  <si>
    <t>BRIGIDO RODOLFO QUEJ BIN</t>
  </si>
  <si>
    <t>VICTOR EFRAIN AX CAAL</t>
  </si>
  <si>
    <t>MARCO ANTONIO MORALES Y MORALES</t>
  </si>
  <si>
    <t>JULIO QUEJ XO</t>
  </si>
  <si>
    <t>ESWIN ORLANDO CAAL CAC</t>
  </si>
  <si>
    <t>CARLOS CAAL CHUB</t>
  </si>
  <si>
    <t>MANUEL CAC CHOC</t>
  </si>
  <si>
    <t>CARLOS CHE CAC</t>
  </si>
  <si>
    <t>JORGE MARIO CASTELLANOS RODRIGUEZ</t>
  </si>
  <si>
    <t>DARLYN MARIA TISTA MEDINA</t>
  </si>
  <si>
    <t>IRIS YANETH NAJERA NAJERA</t>
  </si>
  <si>
    <t>ALCIRA JAKELINE DUBON GONZALEZ</t>
  </si>
  <si>
    <t>YESSICA YOMIRA OXOM CAAL</t>
  </si>
  <si>
    <t>ALBERTO QUIM CHOC</t>
  </si>
  <si>
    <t xml:space="preserve">CECILIA GOMEZ VICENTE MUÑOZ </t>
  </si>
  <si>
    <t>CARLOS ALBERTO OROZCO ALVAREZ</t>
  </si>
  <si>
    <t>VCB-20220022</t>
  </si>
  <si>
    <t>PEDRO MATZUL MAYOR</t>
  </si>
  <si>
    <t xml:space="preserve">CLAUDIA ELVIDA GONZALEZ ECHEVERRIA </t>
  </si>
  <si>
    <t>JUAN FERNANDO ACAJABON MARROQUIN</t>
  </si>
  <si>
    <t>REYES MENDOZA AREVALO</t>
  </si>
  <si>
    <t>ANGIE GUADALUPE RUIZ ROQUE</t>
  </si>
  <si>
    <t>EVELYN ROSALIA GIRON</t>
  </si>
  <si>
    <t>LESTER IVAN CORTEZ LIMA</t>
  </si>
  <si>
    <t xml:space="preserve">VCB-20220010 </t>
  </si>
  <si>
    <t>ERICKA ROXANA AGUILAR ARANA CLARKE</t>
  </si>
  <si>
    <t>LUIS FERNANDO MONTECINOS CUZ</t>
  </si>
  <si>
    <t xml:space="preserve">LESLIE ROSSANA ORELLANA SALGUERO </t>
  </si>
  <si>
    <t xml:space="preserve">MARIA JOSEFA AGUILAR ARGUETA DE ORELLANA </t>
  </si>
  <si>
    <t>MARCO TULIO CHOC CHE</t>
  </si>
  <si>
    <t>BLANCA FLORIDALMA OLIVA PEREZ</t>
  </si>
  <si>
    <t>ANA MARIA COC CHOC</t>
  </si>
  <si>
    <t>ENRIQUE XO ICAL</t>
  </si>
  <si>
    <t>FLOR DE MARIA REYES CHO</t>
  </si>
  <si>
    <t>SILVIA ABAC MARTINEZ</t>
  </si>
  <si>
    <t>CARLOTA QUIM TIUL</t>
  </si>
  <si>
    <t>NELCY JOHANA ESQUIVEL CABRERA</t>
  </si>
  <si>
    <t>LUIS FERNANDO CABRERA LEVERON</t>
  </si>
  <si>
    <t xml:space="preserve">MIGUEL EUDILIO SABAN </t>
  </si>
  <si>
    <t>ERIC LEONARDO RAMIREZ CABRERA</t>
  </si>
  <si>
    <t>OSCAR GERONIMO ESCOBAR AQUINO</t>
  </si>
  <si>
    <t>ILDA ROSMERY LUCHO FONSEA</t>
  </si>
  <si>
    <t xml:space="preserve">BYRON ESTUARDO SIAN GARCIA </t>
  </si>
  <si>
    <t>WILLIAM ROMEO MENDEZ</t>
  </si>
  <si>
    <t>JULIO CAAL XO</t>
  </si>
  <si>
    <t>MARIA JOSE GONZALEZ GARCIA</t>
  </si>
  <si>
    <t>HECTOR HUGO POP XOL</t>
  </si>
  <si>
    <t xml:space="preserve">GLADYS ANABELLA JIMENEZ HERNANDEZ </t>
  </si>
  <si>
    <t>VITALINO DIAZ MOLINA</t>
  </si>
  <si>
    <t>IRIS AMABILIANAVILA AVILA</t>
  </si>
  <si>
    <t>MARIO BAC XO</t>
  </si>
  <si>
    <t>ROSMERY OTILIA CRUZ LOPEZ</t>
  </si>
  <si>
    <t>HECTOR DAVID URIAS LOPEZ</t>
  </si>
  <si>
    <t>ROSA ELVIRA CRUZ GRAMAJO</t>
  </si>
  <si>
    <t>FRANCISCO BEB CHO</t>
  </si>
  <si>
    <t>ELIAS QUIB POP</t>
  </si>
  <si>
    <t>JORGE DIAZ DARDON</t>
  </si>
  <si>
    <t>GREGORIO POP CHEN</t>
  </si>
  <si>
    <t>HELBER DISIDERIO GARCIA MONZON</t>
  </si>
  <si>
    <t>MELISSA CONSUELO ROCA CHINCHILLA</t>
  </si>
  <si>
    <t>MARIA MAGDALENA LEMUS GODOY</t>
  </si>
  <si>
    <t>OSCAR IQUI POOU</t>
  </si>
  <si>
    <t>YEISON ANTONIO CHACON PINEDA</t>
  </si>
  <si>
    <t>ARNOLDO POP COY</t>
  </si>
  <si>
    <t>LUIS MIGUEL COC ASIG</t>
  </si>
  <si>
    <t>FEDERICO CAAL MAQUIN</t>
  </si>
  <si>
    <t>JAIME MOISES CU</t>
  </si>
  <si>
    <t>JULIO AMILCAR CU POP</t>
  </si>
  <si>
    <t>JOSE ROBERTO PAREDES GARCIA</t>
  </si>
  <si>
    <t>INGRIS ISABETH ORTEGA ESCOBAR</t>
  </si>
  <si>
    <t>MARIO CHE POP</t>
  </si>
  <si>
    <t>ACPE-20240016</t>
  </si>
  <si>
    <t>ALBERTO CHE POP</t>
  </si>
  <si>
    <t>MARCELINO CUCUL QUIB</t>
  </si>
  <si>
    <t>ABEL ADOLFO SOLORZANO MONROY</t>
  </si>
  <si>
    <t>RONALD DANIEL TORTOLA REYES</t>
  </si>
  <si>
    <t>KARLA LETICIA CAAL BOL</t>
  </si>
  <si>
    <t>DANIEL DIAS AVALOS</t>
  </si>
  <si>
    <t>ELIAS ESTUARDO SON MELENDEZ</t>
  </si>
  <si>
    <t>NANCY PAOLA VASQUEZ MENDEZ</t>
  </si>
  <si>
    <t xml:space="preserve">FERNANDO AGUILAR SARAX </t>
  </si>
  <si>
    <t>GASPAR GAX OC</t>
  </si>
  <si>
    <t>SHERLEY KAROLINA AGUIRRE HERRERA</t>
  </si>
  <si>
    <t>MARIA AMPARO BARAHONA GARCIA</t>
  </si>
  <si>
    <t>DAVID CHUB CHIQUIN</t>
  </si>
  <si>
    <t>GUADALUPE COLINDRES PALACIOS</t>
  </si>
  <si>
    <t>JOSUE DANIEL DE LEON ALEGRIA</t>
  </si>
  <si>
    <t>ERICK MANFREDO REYES PEREZ</t>
  </si>
  <si>
    <t>BENJAMIN TAPIA ANDRADE</t>
  </si>
  <si>
    <t>JUAN FRANCISCO ESTRADA GARCIA</t>
  </si>
  <si>
    <t>TOMAS BA YAT</t>
  </si>
  <si>
    <t>RODRIGO ICO TIUL</t>
  </si>
  <si>
    <t>JOSE ISAIAS VASQUEZ LOPEZ</t>
  </si>
  <si>
    <t>DAVID JONATAN PAAU</t>
  </si>
  <si>
    <t>JORGE HUMBERTO QUINICH SACUL</t>
  </si>
  <si>
    <t>FRANCISCO OXOM CAAL</t>
  </si>
  <si>
    <t>MIGUEL COY</t>
  </si>
  <si>
    <t>MARWIN HERIBERTO CAC POP</t>
  </si>
  <si>
    <t>ROLANDO MACZ BO</t>
  </si>
  <si>
    <t>MIGUEL CUZ COC</t>
  </si>
  <si>
    <t>LESLIE HOHANA ALVAREZ SANTOS</t>
  </si>
  <si>
    <t>ARIEL MANFREDO MARROQUIN LOPEZ</t>
  </si>
  <si>
    <t>SELVIN MANOLO CACERES AVICHE</t>
  </si>
  <si>
    <t>ANA FRANCISCA SANTOS RAMIREZ</t>
  </si>
  <si>
    <t>ANTHONY STEVEN HERNANDEZ PEREZ</t>
  </si>
  <si>
    <t>CARLOS IGNACIO LOPEZ JAMESON</t>
  </si>
  <si>
    <t>ERNESTO TIUL CHE</t>
  </si>
  <si>
    <t>ACPE-20220098</t>
  </si>
  <si>
    <t>RICARDO POP CAAL</t>
  </si>
  <si>
    <t>ASTRID VIVIANA CONTRERAS CUC</t>
  </si>
  <si>
    <t>ACPE-20210031</t>
  </si>
  <si>
    <t xml:space="preserve">BRENILDA VICTORIA RAMIREZ ESCOBAR </t>
  </si>
  <si>
    <t>ROLANDO POP CAAL</t>
  </si>
  <si>
    <t>PENDIENTE</t>
  </si>
  <si>
    <t>FTE.</t>
  </si>
  <si>
    <t xml:space="preserve">AGENCIA  </t>
  </si>
  <si>
    <t>ZONA</t>
  </si>
  <si>
    <t>Codigo Empleado</t>
  </si>
  <si>
    <t>Nombre Empleado</t>
  </si>
  <si>
    <t>BAM</t>
  </si>
  <si>
    <t>1 año</t>
  </si>
  <si>
    <t>2 años</t>
  </si>
  <si>
    <t>3 años</t>
  </si>
  <si>
    <t>4 años</t>
  </si>
  <si>
    <t>OTRO BANCO</t>
  </si>
  <si>
    <t>TIPO DE PAGO</t>
  </si>
  <si>
    <t>Poliza firmada</t>
  </si>
  <si>
    <t>PRADERA</t>
  </si>
  <si>
    <t>AMERICAS</t>
  </si>
  <si>
    <t xml:space="preserve"> Abner Eli Gonzalez Gonzalez</t>
  </si>
  <si>
    <t>PUERTA PARADA</t>
  </si>
  <si>
    <t xml:space="preserve"> Amalia Cifuentes Gramajo</t>
  </si>
  <si>
    <t>LAS CONCHAS ZONA 14</t>
  </si>
  <si>
    <t xml:space="preserve"> Amparo Janet Cardona Linares</t>
  </si>
  <si>
    <t>EUROPLAZA</t>
  </si>
  <si>
    <t xml:space="preserve"> Ana Ester Cuyan Aguilar De Dominguez</t>
  </si>
  <si>
    <t>VISTA HERMOSA</t>
  </si>
  <si>
    <t xml:space="preserve"> Ana Vilma Bamaca Cardona</t>
  </si>
  <si>
    <t>CENTRO MEDICO</t>
  </si>
  <si>
    <t xml:space="preserve"> Angel Emilio De Jesus Morales Ramirez</t>
  </si>
  <si>
    <t>AP DENTAL FAMILIAR</t>
  </si>
  <si>
    <t>CONDADO CONCEPCION</t>
  </si>
  <si>
    <t xml:space="preserve"> Arnoldo Coque Hernandez</t>
  </si>
  <si>
    <t>MINUTO CARRETERA A EL SALVADOR</t>
  </si>
  <si>
    <t xml:space="preserve"> Astrid Marlene Diaz</t>
  </si>
  <si>
    <t>SAN JOSE PINULA</t>
  </si>
  <si>
    <t xml:space="preserve"> Brenda Maribel Orozco Mendoza</t>
  </si>
  <si>
    <t>SANTA AMELIA ZONA 16</t>
  </si>
  <si>
    <t xml:space="preserve"> Carla Noemi Irias Alvarez</t>
  </si>
  <si>
    <t>AP DENTAL INDIVIDUAL</t>
  </si>
  <si>
    <t>HINCAPIE</t>
  </si>
  <si>
    <t xml:space="preserve"> Carlos Alberto Roque Galicia</t>
  </si>
  <si>
    <t>CONSULTA COMPLETO</t>
  </si>
  <si>
    <t>PLAZA ZONA 14</t>
  </si>
  <si>
    <t xml:space="preserve"> Carlos Alfredo Cuc Cuxe</t>
  </si>
  <si>
    <t>PLAZA VARIETA</t>
  </si>
  <si>
    <t xml:space="preserve"> Celedonia Isabel Chan Batz De Iscaya</t>
  </si>
  <si>
    <t>SPAZIO</t>
  </si>
  <si>
    <t xml:space="preserve"> Christyan Stuardo Ronquillo Saravia</t>
  </si>
  <si>
    <t>PLAZA FINANCIERA</t>
  </si>
  <si>
    <t xml:space="preserve"> David Estuardo Rosales Corado</t>
  </si>
  <si>
    <t>FUNDACION</t>
  </si>
  <si>
    <t>CENTRO HISTORICO</t>
  </si>
  <si>
    <t xml:space="preserve"> David Gilberto Perez Mayorga</t>
  </si>
  <si>
    <t>ZONA 1</t>
  </si>
  <si>
    <t xml:space="preserve"> De Leon Cach Roberto Carlos</t>
  </si>
  <si>
    <t>PLAZA FLORIDA</t>
  </si>
  <si>
    <t xml:space="preserve"> Dora Lissette Higueros Trejo</t>
  </si>
  <si>
    <t>VIDA+SEGURO PLAN 6</t>
  </si>
  <si>
    <t>METANORTE</t>
  </si>
  <si>
    <t xml:space="preserve"> Edgar Enrique Garcia Cortave</t>
  </si>
  <si>
    <t>VIDA+SEGURO PLAN 7</t>
  </si>
  <si>
    <t>MORAZAN ZONA 2</t>
  </si>
  <si>
    <t xml:space="preserve"> Edgar Marco Tulio Sanchez Ochoa</t>
  </si>
  <si>
    <t>MIGRANTE BAM</t>
  </si>
  <si>
    <t>SAN JUAN SACATEPEQUEZ</t>
  </si>
  <si>
    <t xml:space="preserve"> Elcira Livduvina Perez Lopez De Merlos</t>
  </si>
  <si>
    <t>MOTO+SEGURA</t>
  </si>
  <si>
    <t>DEL CENTRO</t>
  </si>
  <si>
    <t xml:space="preserve"> Elda Luzbina Valdez Guerra De Fuentes</t>
  </si>
  <si>
    <t xml:space="preserve"> PEDRERA</t>
  </si>
  <si>
    <t xml:space="preserve"> Elias Perez Sequen</t>
  </si>
  <si>
    <t>DISAGRO</t>
  </si>
  <si>
    <t xml:space="preserve"> Enmanuel Antonio Ochoa Hernandez</t>
  </si>
  <si>
    <t>EL NARANJO</t>
  </si>
  <si>
    <t xml:space="preserve"> Erick Estuardo Gonzalez Culajay</t>
  </si>
  <si>
    <t>CALLE MARTI</t>
  </si>
  <si>
    <t xml:space="preserve"> Estephanie Michelle Mendez Cano De Rivera</t>
  </si>
  <si>
    <t>LOS ALAMOS</t>
  </si>
  <si>
    <t xml:space="preserve"> Evelin Johana Perez Fajardo De Estayul</t>
  </si>
  <si>
    <t>PARQUE COLON</t>
  </si>
  <si>
    <t xml:space="preserve"> Francisca Yesenia Aceytuno Quevedo</t>
  </si>
  <si>
    <t>23 CALLE</t>
  </si>
  <si>
    <t xml:space="preserve"> Gabriela Poitan Ordoñez De Garcia</t>
  </si>
  <si>
    <t>PORTALES</t>
  </si>
  <si>
    <t xml:space="preserve"> Gandy Baygesus Sanchez Estrada</t>
  </si>
  <si>
    <t>CENTRANORTE</t>
  </si>
  <si>
    <t xml:space="preserve"> Gerber Estuardo Albizures Archila</t>
  </si>
  <si>
    <t>SANTA LU</t>
  </si>
  <si>
    <t>COSTA SUR</t>
  </si>
  <si>
    <t xml:space="preserve"> Giovanni Noel Valdez Rodriguez</t>
  </si>
  <si>
    <t>ESCUINTLA</t>
  </si>
  <si>
    <t xml:space="preserve"> Gloria Estefanilla Espinoza Garcia</t>
  </si>
  <si>
    <t>BARBERENA</t>
  </si>
  <si>
    <t xml:space="preserve"> Heber Antonio Olivares Alvarado</t>
  </si>
  <si>
    <t>CHIQUIMULILLA</t>
  </si>
  <si>
    <t xml:space="preserve"> Heidi Natali Chacon De La Rosa De Diaz</t>
  </si>
  <si>
    <t>TAXISCO</t>
  </si>
  <si>
    <t xml:space="preserve"> Henry Samuel De Leon Menchu</t>
  </si>
  <si>
    <t>PATULUL</t>
  </si>
  <si>
    <t xml:space="preserve"> Isaias Ramirez Jimenez</t>
  </si>
  <si>
    <t>PRADERA ESCUINTLA</t>
  </si>
  <si>
    <t xml:space="preserve"> Jania Nataly De Leon Ramirez De Suret</t>
  </si>
  <si>
    <t>SANTA LUCIA CENTRO</t>
  </si>
  <si>
    <t xml:space="preserve"> Jenny Betzabel Solis De Hernandez</t>
  </si>
  <si>
    <t>NUEVA CONCEPCION</t>
  </si>
  <si>
    <t xml:space="preserve"> Jocelyn Sucel Yantuche Chin</t>
  </si>
  <si>
    <t>SAN LUCAS TOLIMAN</t>
  </si>
  <si>
    <t xml:space="preserve"> Jose Esteban Diaz Montufar</t>
  </si>
  <si>
    <t>PUERTO DE SAN JOSE</t>
  </si>
  <si>
    <t xml:space="preserve"> Jose Rigoberto Osorio Abarca</t>
  </si>
  <si>
    <t>LA DEMOCRACIA ESCUINTLA</t>
  </si>
  <si>
    <t xml:space="preserve"> Juan Francisco Lara Villavicencio</t>
  </si>
  <si>
    <t>LA GOMERA</t>
  </si>
  <si>
    <t xml:space="preserve"> Juan Toma Torrez</t>
  </si>
  <si>
    <t>PRADERA EXPRESS PALIN</t>
  </si>
  <si>
    <t xml:space="preserve"> Julia Mariela Lourdette Gonzalez Rosales</t>
  </si>
  <si>
    <t xml:space="preserve"> COINCO</t>
  </si>
  <si>
    <t xml:space="preserve"> Julio Roberto Castellanos Ordoñez</t>
  </si>
  <si>
    <t>COBAN PLAZA DEL PARQUE</t>
  </si>
  <si>
    <t>NORTE</t>
  </si>
  <si>
    <t xml:space="preserve"> Karina Del Rosario Castro Lopez De Guzman</t>
  </si>
  <si>
    <t>CARCHA</t>
  </si>
  <si>
    <t xml:space="preserve"> Kevin Alejandro Corado Estrada</t>
  </si>
  <si>
    <t>TACTIC</t>
  </si>
  <si>
    <t xml:space="preserve"> Laura Ninoshka Mogollon Galvez De Ortiz</t>
  </si>
  <si>
    <t>SAN LUIS PETEN</t>
  </si>
  <si>
    <t xml:space="preserve"> Linda Aracely Garcia Beteta De Cuxulic</t>
  </si>
  <si>
    <t>CHISEC</t>
  </si>
  <si>
    <t xml:space="preserve"> Lorena Alexandra Lopez Yax</t>
  </si>
  <si>
    <t>LA TINTA</t>
  </si>
  <si>
    <t xml:space="preserve"> Lotar Robson Araujo Perez</t>
  </si>
  <si>
    <t>SANTA ELENA CENTRO</t>
  </si>
  <si>
    <t xml:space="preserve"> Luis Eduardo Garcia Gomez</t>
  </si>
  <si>
    <t>PLAYA GRANDE</t>
  </si>
  <si>
    <t xml:space="preserve"> Luis Fernando Lopez Vasquez</t>
  </si>
  <si>
    <t>TELEMAN</t>
  </si>
  <si>
    <t xml:space="preserve"> Mailyn Anely Chavez Gonzalez</t>
  </si>
  <si>
    <t>PLAZA MAGDALENA</t>
  </si>
  <si>
    <t xml:space="preserve"> Marilin Janeth Sanchez De Rodriguez</t>
  </si>
  <si>
    <t>SAN CRISTOBAL VERAPAZ</t>
  </si>
  <si>
    <t xml:space="preserve"> Mario Adolfo Telon Pedroza</t>
  </si>
  <si>
    <t>FRAY BARTOLOME DE LAS CASAS</t>
  </si>
  <si>
    <t xml:space="preserve"> Marlon Aroldo De Leon Juarez</t>
  </si>
  <si>
    <t>SALAMA</t>
  </si>
  <si>
    <t xml:space="preserve"> Marlon Estuardo Hernandez</t>
  </si>
  <si>
    <t>COBAN LA PISTA</t>
  </si>
  <si>
    <t xml:space="preserve"> Marvin Saul Sical Ventura</t>
  </si>
  <si>
    <t>SUCURSAL QUETZALTENANGO</t>
  </si>
  <si>
    <t>OCCIDENTE</t>
  </si>
  <si>
    <t xml:space="preserve"> Mayra Judith Marroquin Guevara De Melendez</t>
  </si>
  <si>
    <t>SAN PEDRO SACATEPEQUEZ S.M.</t>
  </si>
  <si>
    <t xml:space="preserve"> Milton Orlando Lopez</t>
  </si>
  <si>
    <t>HUEHUETENANGO</t>
  </si>
  <si>
    <t xml:space="preserve"> Nancy Mariela Estrada Calel De Samayoa</t>
  </si>
  <si>
    <t>ZENTROPLAZA</t>
  </si>
  <si>
    <t xml:space="preserve"> Nori Liseth Bautista</t>
  </si>
  <si>
    <t>LOS ALTOS</t>
  </si>
  <si>
    <t xml:space="preserve"> Oscar Amilcar Najera Segura</t>
  </si>
  <si>
    <t>PANAJACHEL</t>
  </si>
  <si>
    <t xml:space="preserve"> Oscar Javier Galvez</t>
  </si>
  <si>
    <t>CHICHICASTENANGO</t>
  </si>
  <si>
    <t xml:space="preserve"> Pedro Chas Morales</t>
  </si>
  <si>
    <t>CHIMALTENANGO 2</t>
  </si>
  <si>
    <t xml:space="preserve"> Rony Armando Choche Perez</t>
  </si>
  <si>
    <t>HUEHUETENANGO TERMINAL</t>
  </si>
  <si>
    <t xml:space="preserve"> Rudy Fernando Orozco Tejeda</t>
  </si>
  <si>
    <t>SANTA CRUZ DEL QUICHE</t>
  </si>
  <si>
    <t xml:space="preserve"> Sandra Beatriz Ardiano De Leon</t>
  </si>
  <si>
    <t>TECPAN</t>
  </si>
  <si>
    <t xml:space="preserve"> Sandra Patricia Baran Avila</t>
  </si>
  <si>
    <t>TOTONICAPAN</t>
  </si>
  <si>
    <t xml:space="preserve"> Sarah Noemy Sandoval Poggio</t>
  </si>
  <si>
    <t>SAN MARCOS CENTRO</t>
  </si>
  <si>
    <t xml:space="preserve"> Selvyn David Payola Ayala</t>
  </si>
  <si>
    <t>SALCAJA</t>
  </si>
  <si>
    <t xml:space="preserve"> Sindy Yesenia Fuentes Alvarez De Flores</t>
  </si>
  <si>
    <t>PRADERA XELA</t>
  </si>
  <si>
    <t xml:space="preserve"> Susan Jackelinne Cristal Sanchez</t>
  </si>
  <si>
    <t>SANTA CRUZ BARILLAS</t>
  </si>
  <si>
    <t xml:space="preserve"> Susana Rodriguez Cordova</t>
  </si>
  <si>
    <t>ANDARIA</t>
  </si>
  <si>
    <t xml:space="preserve"> Victoria Aracely Gomez Ochoa</t>
  </si>
  <si>
    <t xml:space="preserve"> Virginia Del Rosario Matilde Garcia Ico</t>
  </si>
  <si>
    <t>JALAPA</t>
  </si>
  <si>
    <t xml:space="preserve"> Vivian Pamela Rodas Lopez</t>
  </si>
  <si>
    <t>PUERTO BARRIOS</t>
  </si>
  <si>
    <t xml:space="preserve"> Wendy Carolina Flores Garcia</t>
  </si>
  <si>
    <t>AGUA BLANCA</t>
  </si>
  <si>
    <t xml:space="preserve"> Wilfredo Noe Tobar Valenzuela</t>
  </si>
  <si>
    <t>CHIQUIMULA 2</t>
  </si>
  <si>
    <t xml:space="preserve"> Yenifer Alejandra Ordoñez</t>
  </si>
  <si>
    <t>ESQUIPULAS</t>
  </si>
  <si>
    <t>  Katerin Mishel Acosta Lobos</t>
  </si>
  <si>
    <t>GUASTATOYA</t>
  </si>
  <si>
    <t>Abel Eduardo Lopez Lopez</t>
  </si>
  <si>
    <t>RIO DULCE 2</t>
  </si>
  <si>
    <t>Abi Susana Santos Alvarado</t>
  </si>
  <si>
    <t>SANARATE</t>
  </si>
  <si>
    <t>Abigail Nohemi Letona Lopez</t>
  </si>
  <si>
    <t>TECULUTAN</t>
  </si>
  <si>
    <t>Abner Amilcar Miguel Pedro</t>
  </si>
  <si>
    <t>PRADERA PUERTO BARRIOS</t>
  </si>
  <si>
    <t>Abner Elias Pec Ical</t>
  </si>
  <si>
    <t>ZACAPA CATEDRAL</t>
  </si>
  <si>
    <t>Abner Enmanuel Perez Rodriguez</t>
  </si>
  <si>
    <t>MONJAS</t>
  </si>
  <si>
    <t>Abner Gabriel Jimenez Say</t>
  </si>
  <si>
    <t>SAN LUIS JILOTEPEQUE CENTRO</t>
  </si>
  <si>
    <t>Abner Juan Menchu Tiu</t>
  </si>
  <si>
    <t>ASUNCION MITA</t>
  </si>
  <si>
    <t xml:space="preserve">Abner Rigoberto Cab </t>
  </si>
  <si>
    <t>PRADERA CHIQUIMULA</t>
  </si>
  <si>
    <t>Abner Rocael Sosa Escobar</t>
  </si>
  <si>
    <t>UMG JUTIAPA</t>
  </si>
  <si>
    <t>Abner Yovani Xicay Sitan</t>
  </si>
  <si>
    <t>ZONA 8</t>
  </si>
  <si>
    <t>Absalon  Santos Elias</t>
  </si>
  <si>
    <t>PETAPA</t>
  </si>
  <si>
    <t>Addy Aida Cifuentes Coronado</t>
  </si>
  <si>
    <t>SAN CRISTOBAL</t>
  </si>
  <si>
    <t>Adelaida Garcia Hernandez</t>
  </si>
  <si>
    <t>VILLA NUEVA</t>
  </si>
  <si>
    <t>Adieny Moren Ramirez Gamboa</t>
  </si>
  <si>
    <t>QUETZAL</t>
  </si>
  <si>
    <t>Adolfo Rafael Segovia Quezada </t>
  </si>
  <si>
    <t>EL FRUTAL</t>
  </si>
  <si>
    <t xml:space="preserve">Adolfo Ronaldo Alfaro Rivera </t>
  </si>
  <si>
    <t>ATANASIO TZUL</t>
  </si>
  <si>
    <t>Adrian Emanuel Turcios Azurdia</t>
  </si>
  <si>
    <t>BOULEVARD SAN CRISTOBAL</t>
  </si>
  <si>
    <t>Adriana Beatriz Estrada Vidal Guerra</t>
  </si>
  <si>
    <t>AGUILAR BATRES 2</t>
  </si>
  <si>
    <t>Adriana Maria Ramos Tomin</t>
  </si>
  <si>
    <t>PACIFIC CENTER</t>
  </si>
  <si>
    <t>Adriana Maria Segura Peralta Mazariegos</t>
  </si>
  <si>
    <t>VILLA HERMOSA</t>
  </si>
  <si>
    <t>Adriana Pamela Morales Morataya</t>
  </si>
  <si>
    <t>VILLA NUEVA 2</t>
  </si>
  <si>
    <t xml:space="preserve">Ady Michelle Lopez Quel </t>
  </si>
  <si>
    <t>AMATITLAN</t>
  </si>
  <si>
    <t>Aida Gabriela De Leon Carrascoza</t>
  </si>
  <si>
    <t>PLAZA MADERO</t>
  </si>
  <si>
    <t>Alan David Perez Muyus</t>
  </si>
  <si>
    <t>BOCA DEL MONTE</t>
  </si>
  <si>
    <t>Alan Javier Castillo Ordoñez</t>
  </si>
  <si>
    <t xml:space="preserve"> COMAYMA</t>
  </si>
  <si>
    <t>Alan Ricardo Flores Diaz</t>
  </si>
  <si>
    <t>CENTRASUR</t>
  </si>
  <si>
    <t>Alba Andrea Perez Hernandez</t>
  </si>
  <si>
    <t>LUMINOVA</t>
  </si>
  <si>
    <t>Alba Azucena Santeliz Marin</t>
  </si>
  <si>
    <t>ZONA 4</t>
  </si>
  <si>
    <t>REFORMA</t>
  </si>
  <si>
    <t>Alba Beatriz Azucena Sapon Sapon</t>
  </si>
  <si>
    <t>TIVOLI  ZONA 9</t>
  </si>
  <si>
    <t>Alba Mariana Higueros Micheo</t>
  </si>
  <si>
    <t>ZONA 5</t>
  </si>
  <si>
    <t>Alejandra Gramajo Marroquin</t>
  </si>
  <si>
    <t>Alejandra Julissa Solis Aguilar</t>
  </si>
  <si>
    <t>MARGARITAS</t>
  </si>
  <si>
    <t>Alejandra Naime Muñoz Letona</t>
  </si>
  <si>
    <t>TERMINAL ZONA 9</t>
  </si>
  <si>
    <t>Alejandro Enrique Mejicanos Ramos</t>
  </si>
  <si>
    <t>AGENCIA CENTRAL</t>
  </si>
  <si>
    <t>Alejandro Jose Gaytan Cordero</t>
  </si>
  <si>
    <t>CAMINO REAL</t>
  </si>
  <si>
    <t>Alejandro Jose Mont Diaz</t>
  </si>
  <si>
    <t>LA TORRE</t>
  </si>
  <si>
    <t>Alex Eduardo Gil Paniagua</t>
  </si>
  <si>
    <t>FUNDACION 2</t>
  </si>
  <si>
    <t>Alex Fernando Garcia De Leon</t>
  </si>
  <si>
    <t>MONTUFAR</t>
  </si>
  <si>
    <t>Alex Humberto Montezuma</t>
  </si>
  <si>
    <t>OAKLAND MALL</t>
  </si>
  <si>
    <t>Alex Jose Bamaca Baltazar</t>
  </si>
  <si>
    <t>AVIA</t>
  </si>
  <si>
    <t xml:space="preserve">Alexander Josue Hurtado Palencia </t>
  </si>
  <si>
    <t>FONTABELLA</t>
  </si>
  <si>
    <t>Alexander Macario Gonzalez Monterroso</t>
  </si>
  <si>
    <t>PLAZA 6-17</t>
  </si>
  <si>
    <t>Alexandra Carolina Valdez Vasquez</t>
  </si>
  <si>
    <t>ROOSEVELT</t>
  </si>
  <si>
    <t>Alexandra Jennyffer Korina Matias Galindo</t>
  </si>
  <si>
    <t>ANTIGUA EL PORTAL</t>
  </si>
  <si>
    <t>Alexandra Stefania Estrada Flores</t>
  </si>
  <si>
    <t>ANTIGUA LANDIVAR</t>
  </si>
  <si>
    <t>Alexangel Quan Urrutia</t>
  </si>
  <si>
    <t>MIRAFLORES</t>
  </si>
  <si>
    <t>Alexia Paola Marroquin Lopez</t>
  </si>
  <si>
    <t>UTATLAN</t>
  </si>
  <si>
    <t>Alexsandra Daniela Cano Garcia</t>
  </si>
  <si>
    <t>PERI-ROOSEVELT</t>
  </si>
  <si>
    <t>Alfredo Chiyal Bocel</t>
  </si>
  <si>
    <t>CALZADA SAN JUAN</t>
  </si>
  <si>
    <t>Alfredo Gomez Lancerio</t>
  </si>
  <si>
    <t>GALERIAS MIRAFLORES</t>
  </si>
  <si>
    <t>Alfredo Monsanto Santos</t>
  </si>
  <si>
    <t>JOCOTENANGO</t>
  </si>
  <si>
    <t>Alicia Magaly Juarez Quiacain</t>
  </si>
  <si>
    <t>ESKALA ROOSEVELT</t>
  </si>
  <si>
    <t>Alicia Michelle Estrada Revolorio</t>
  </si>
  <si>
    <t>ANTIGUA LOS ENCINOS</t>
  </si>
  <si>
    <t>Alida Elizabeth Caj Amalem</t>
  </si>
  <si>
    <t>CIUDAD VIEJA</t>
  </si>
  <si>
    <t>Alisson Andrea Jacobo Castro</t>
  </si>
  <si>
    <t>LAS PUERTAS SAN LUCAS</t>
  </si>
  <si>
    <t>Allan David Galdamez De Leon</t>
  </si>
  <si>
    <t xml:space="preserve"> AGENCIA CUADRES</t>
  </si>
  <si>
    <t>SIN ZONA</t>
  </si>
  <si>
    <t>Allan Esmaylin Cabrera Perez</t>
  </si>
  <si>
    <t xml:space="preserve"> AGENCIA BANCA PRIVADA  5to Niv</t>
  </si>
  <si>
    <t>Allan Kalleb Garcia Cahuex</t>
  </si>
  <si>
    <t xml:space="preserve"> AGENCIA BANCA PRIVADA</t>
  </si>
  <si>
    <t>Allan Kenneth Chiguichon Solis</t>
  </si>
  <si>
    <t xml:space="preserve"> BANCA PRIVADA PLAZA ZONA 14</t>
  </si>
  <si>
    <t>Allison Mirella Salguero Lopez</t>
  </si>
  <si>
    <t xml:space="preserve"> Banca Privada Plaza Varieta</t>
  </si>
  <si>
    <t>Allyson Jazmin Arriaza Castellanos</t>
  </si>
  <si>
    <t xml:space="preserve"> Operaciones de Agencias</t>
  </si>
  <si>
    <t>Alma Carolina Herrera Pirir</t>
  </si>
  <si>
    <t xml:space="preserve"> AGENCIA BANCA DE EMPRESAS</t>
  </si>
  <si>
    <t>Alma Rosa Valle Blandon</t>
  </si>
  <si>
    <t>MALACATAN</t>
  </si>
  <si>
    <t>SUROCCIDENTE</t>
  </si>
  <si>
    <t>Alma Yecenia Ramon Oroxon</t>
  </si>
  <si>
    <t>TIQUISATE</t>
  </si>
  <si>
    <t>Alma Zucely Sarceño Peralta</t>
  </si>
  <si>
    <t>COATEPEQUE</t>
  </si>
  <si>
    <t>Alvaro Fernando Acte Mérida</t>
  </si>
  <si>
    <t>MAZATENANGO TERMINAL</t>
  </si>
  <si>
    <t>Alvaro Lopez Lopez</t>
  </si>
  <si>
    <t>TECUN UMAN SAN MARCOS</t>
  </si>
  <si>
    <t>Alvaro Luis Carias Gonzalez</t>
  </si>
  <si>
    <t>MAZATENANGO CENTRO</t>
  </si>
  <si>
    <t>Alvaro Oswaldo De La Rosa Hernandez</t>
  </si>
  <si>
    <t>LA TRINIDAD RETALHULEU</t>
  </si>
  <si>
    <t>Alvin David Cush Roman</t>
  </si>
  <si>
    <t>COBIGUA TIQUISATE</t>
  </si>
  <si>
    <t>Amairani Lilibeth Escobar Maquin</t>
  </si>
  <si>
    <t>RETALHULEU LA SIRENA</t>
  </si>
  <si>
    <t>Amalia Rebeca Son Juarez</t>
  </si>
  <si>
    <t>LA MAQUINA</t>
  </si>
  <si>
    <t>Amarilis Sarita Ajtun Lopez</t>
  </si>
  <si>
    <t>LA TRINIDAD MALACATAN</t>
  </si>
  <si>
    <t>Amauri Santillano Catalan</t>
  </si>
  <si>
    <t>PAJAPITA</t>
  </si>
  <si>
    <t>Amed Carlos Eduardo Matheu Cabrera</t>
  </si>
  <si>
    <t>CHICACAO PAMAXAN</t>
  </si>
  <si>
    <t>Amed Isram Rodas Garcia</t>
  </si>
  <si>
    <t>LA MAQUINA CENTRO II</t>
  </si>
  <si>
    <t>America Romilia Martinez Ramirez</t>
  </si>
  <si>
    <t>LA TRINIDAD COATEPEQUE</t>
  </si>
  <si>
    <t>Amparo Rocio Macario</t>
  </si>
  <si>
    <t>PLAZA BARISTA</t>
  </si>
  <si>
    <t>Amram Dodanim Lopez Cahuec</t>
  </si>
  <si>
    <t>BANCA PERSONAL</t>
  </si>
  <si>
    <t>Ana Asencio</t>
  </si>
  <si>
    <t>PLAZA AMERICAS</t>
  </si>
  <si>
    <t>Ana Bertha Guzman Yaggi</t>
  </si>
  <si>
    <t>PLAZA MADERO PROCERES</t>
  </si>
  <si>
    <t>Ana Cecilia De Los Angeles Monterroso Garcia</t>
  </si>
  <si>
    <t>Ana Cecilia Navichoc Chiquival</t>
  </si>
  <si>
    <t>Ana Celeste Garcia Garcia</t>
  </si>
  <si>
    <t>Ana Daniela Lopez Cabrera</t>
  </si>
  <si>
    <t>Ana Del Rosario Yol Gonzalez</t>
  </si>
  <si>
    <t>Ana Francisca Citalan Velasquez</t>
  </si>
  <si>
    <t>Ana Gabriela Caal Cruz</t>
  </si>
  <si>
    <t>Ana Gabriela Damian Ixbalan</t>
  </si>
  <si>
    <t>Ana Gabriela De La Cruz Aguilar</t>
  </si>
  <si>
    <t>Ana Gabriela Equite Diaz</t>
  </si>
  <si>
    <t>Ana Gabriela Garcia Ajanel</t>
  </si>
  <si>
    <t>Ana Gabriela Gonzalez Herrera</t>
  </si>
  <si>
    <t>Ana Gabriela Pereira Mendizabal</t>
  </si>
  <si>
    <t>Ana Gabriela Perez Ixcoy</t>
  </si>
  <si>
    <t>Ana Gabriela Samayoa Lopez</t>
  </si>
  <si>
    <t>Ana Garcia Coromac</t>
  </si>
  <si>
    <t>Ana Gisela Lainfiesta Lopez</t>
  </si>
  <si>
    <t>Ana Leticia Lux Say</t>
  </si>
  <si>
    <t xml:space="preserve">Ana Leticia Paau Oxom </t>
  </si>
  <si>
    <t>Ana Lourdes Muñoz Pensamiento</t>
  </si>
  <si>
    <t>Ana Lucia Donis Franco</t>
  </si>
  <si>
    <t>Ana Lucia Gudiel Vasquez</t>
  </si>
  <si>
    <t>Ana Lucia Quib Yanes</t>
  </si>
  <si>
    <t>Ana Lucia Ramirez Aquino</t>
  </si>
  <si>
    <t>Ana Lucia Veliz Solares</t>
  </si>
  <si>
    <t>Ana Luisa Jimenez Garcia</t>
  </si>
  <si>
    <t>Ana Marcela Castillo Rodriguez</t>
  </si>
  <si>
    <t>Ana Margarita Barrera Estrada</t>
  </si>
  <si>
    <t>Ana Maria Barrios Alejos</t>
  </si>
  <si>
    <t>Ana Melisa Giron Gonzalez</t>
  </si>
  <si>
    <t>Ana Merced Arriola Gomez</t>
  </si>
  <si>
    <t>Ana Mercedes Tiul Caal</t>
  </si>
  <si>
    <t>Ana Patricia Escobar Cardona</t>
  </si>
  <si>
    <t>Ana Paulina Macario Del Cid</t>
  </si>
  <si>
    <t>Ana Rita Morales Mata</t>
  </si>
  <si>
    <t>Ana Ruth Garcia Garcia</t>
  </si>
  <si>
    <t>Ana Ruth Wong Mejia</t>
  </si>
  <si>
    <t>Ana Sofia Castillo Armas</t>
  </si>
  <si>
    <t>Ana Victoria Gonzalez Garcia</t>
  </si>
  <si>
    <t>Ana Victoria Noj Galindo</t>
  </si>
  <si>
    <t>Anali Guadalupe Salazar Rodriguez</t>
  </si>
  <si>
    <t>Anayanci Yorleni Reyes Contreras</t>
  </si>
  <si>
    <t>Anayeli Maribel Jimenez Gomez</t>
  </si>
  <si>
    <t xml:space="preserve">Anderson Noe Chunix Morales </t>
  </si>
  <si>
    <t>Anderson Noe Morales Marroquin</t>
  </si>
  <si>
    <t>Andrea Alejandra Veliz Veliz</t>
  </si>
  <si>
    <t>Andrea Ayalett Ochoa Lopez</t>
  </si>
  <si>
    <t>Andrea Camila Mayorga Martinez</t>
  </si>
  <si>
    <t>Andrea Carolina Gomez Mazariegos</t>
  </si>
  <si>
    <t>Andrea Dayana Ordoñez Mendez</t>
  </si>
  <si>
    <t>Andrea Eunice Velasquez Mazariegos</t>
  </si>
  <si>
    <t>Andrea Fernanda Martin Flores</t>
  </si>
  <si>
    <t>Andrea Fernanda Villela Hernandez</t>
  </si>
  <si>
    <t>Andrea Lisbeth Ruiz Rodas</t>
  </si>
  <si>
    <t>Andrea Lucia Lopez Ajin</t>
  </si>
  <si>
    <t>Andrea Marbely Letran Juarez</t>
  </si>
  <si>
    <t>Andrea Margarita Gomez Morales</t>
  </si>
  <si>
    <t>Andrea Maria Alvarez Calderon</t>
  </si>
  <si>
    <t>Andrea Michelle Urbina Solorzano</t>
  </si>
  <si>
    <t>Andrea Paola Santisteban Per</t>
  </si>
  <si>
    <t>Andrea Stephany Villeda Bran</t>
  </si>
  <si>
    <t>Andrea Sucely Ortiz Villavicencio</t>
  </si>
  <si>
    <t>Andrea Yesenia Carpio Ramirez</t>
  </si>
  <si>
    <t>Andreina Antonieta Velasquez Fuentes</t>
  </si>
  <si>
    <t>Andres Simon Sunun</t>
  </si>
  <si>
    <t>Andy Oswaldo Pineda Arriola</t>
  </si>
  <si>
    <t>Angel Alfonso Perez Velasquez</t>
  </si>
  <si>
    <t>Angel Arturo Mauricio Ayapan</t>
  </si>
  <si>
    <t>Angel Daniel Moreno De La Cruz</t>
  </si>
  <si>
    <t>Angel Eliu Humberto Caal Lopez</t>
  </si>
  <si>
    <t>Angel Enmanuel Quim Macz</t>
  </si>
  <si>
    <t>Angel Estuardo Perez Veliz</t>
  </si>
  <si>
    <t xml:space="preserve">Angel Israel Perez Perez </t>
  </si>
  <si>
    <t>Angel Joel Castro Cosajay</t>
  </si>
  <si>
    <t>Angel Jose Figueroa Garcia</t>
  </si>
  <si>
    <t>Angel Josue Ortiz De Leon</t>
  </si>
  <si>
    <t>Angel Josue Perez Rivera</t>
  </si>
  <si>
    <t>Angel Josue Yupe Cardona</t>
  </si>
  <si>
    <t>Angel Leonel Martinez Mayorga</t>
  </si>
  <si>
    <t>Angel Raderyk Vasquez Ovando</t>
  </si>
  <si>
    <t>Angela Daniela Mazariegos Herrera</t>
  </si>
  <si>
    <t>Angela Esmeralda Reyes Arriaza</t>
  </si>
  <si>
    <t>Angela Ester Gramajo Galicia</t>
  </si>
  <si>
    <t>Angela Janeth Veliz Vasquez</t>
  </si>
  <si>
    <t>Angela Josefina Ramirez Chang</t>
  </si>
  <si>
    <t>Angela Marizol Ramon Escobar</t>
  </si>
  <si>
    <t>Angela Ramirez</t>
  </si>
  <si>
    <t>Angela Xiomara Ponciano Gonzalez</t>
  </si>
  <si>
    <t>Angelica Isabel Velasquez Quintanilla</t>
  </si>
  <si>
    <t>Angelica Lorena Garcia Gonzalez</t>
  </si>
  <si>
    <t>Angelica Sol Ortiz</t>
  </si>
  <si>
    <t xml:space="preserve">Angie Dayana Vasquez Chamo </t>
  </si>
  <si>
    <t>Anika Beira Domingo Escobar</t>
  </si>
  <si>
    <t>Anthony Enrique Castellanos Perez</t>
  </si>
  <si>
    <t>Antoni Alexis Del Cid Sian</t>
  </si>
  <si>
    <t>Antonio Carlos Alvarenga Diaz</t>
  </si>
  <si>
    <t>Antony Alberto Salazar Alfaro</t>
  </si>
  <si>
    <t>Antony Guadalupe De Paz Gomez</t>
  </si>
  <si>
    <t>Antony Steven Cabrera Muñoz</t>
  </si>
  <si>
    <t>Aracely Nohemy Fuentes Alonzo</t>
  </si>
  <si>
    <t>Arelis Noemi Gonzalez Vivar</t>
  </si>
  <si>
    <t>Arely Maoly Aguilar Y Aguilar</t>
  </si>
  <si>
    <t>Argentina Frisdy Juarez Lopez</t>
  </si>
  <si>
    <t>Arias Maquin, Miguel Angel</t>
  </si>
  <si>
    <t>Arleth Julissa Paredez Ramirez</t>
  </si>
  <si>
    <t>Armando Andree Quiñonez Flores</t>
  </si>
  <si>
    <t>Aron Enrique Zacarias Asijtuj</t>
  </si>
  <si>
    <t>Ashley Dayana Franco Sandoval</t>
  </si>
  <si>
    <t>Ashley Melissa Medina Rodriguez</t>
  </si>
  <si>
    <t>Ashly Anabella Raymundo Gonzalez</t>
  </si>
  <si>
    <t>Astrid Alejandra Zetta Estrada</t>
  </si>
  <si>
    <t>Astrid Anybeth Ochoa Sac</t>
  </si>
  <si>
    <t>Astrid Carolina Lopez Lopez</t>
  </si>
  <si>
    <t>Astrid Elena Alvarado Lopez</t>
  </si>
  <si>
    <t>Astrid Gabriela Carin Castillo</t>
  </si>
  <si>
    <t>Astrid Guadalupe Fernandez Perez</t>
  </si>
  <si>
    <t>Astrid Ivone Hernandez</t>
  </si>
  <si>
    <t>Astrid Leonela Barrios Velasquez</t>
  </si>
  <si>
    <t>Astrid Lisbeth Morales Morales</t>
  </si>
  <si>
    <t>Astrid Marielena Mendez Garcia</t>
  </si>
  <si>
    <t>Astrid Sucely Veliz Caal</t>
  </si>
  <si>
    <t>Astrid Swanda Alvarez Morales</t>
  </si>
  <si>
    <t xml:space="preserve">Astrid Yazmin Castañeda Natareno </t>
  </si>
  <si>
    <t>Astrid Yohana Escobar Oliva</t>
  </si>
  <si>
    <t>Aura Cecilia Gregorio Asencio</t>
  </si>
  <si>
    <t>Aura Josefina Coy Tiul</t>
  </si>
  <si>
    <t>Aura Leticia Aparicio Marin</t>
  </si>
  <si>
    <t>Aura Lourdes Garcia Gomez</t>
  </si>
  <si>
    <t>Aura Marina Amperez</t>
  </si>
  <si>
    <t>Aura Marina Mejia Reyes</t>
  </si>
  <si>
    <t>Aura Marleny Perez Ventura</t>
  </si>
  <si>
    <t>Aura Mirthala Castillo Castillo</t>
  </si>
  <si>
    <t>Avner Josue Merida Molina</t>
  </si>
  <si>
    <t>Axel Alexander Lemus Ovando</t>
  </si>
  <si>
    <t>Axel Anderson Montufar Roca</t>
  </si>
  <si>
    <t>Axel Denilson Hernandez Tocay</t>
  </si>
  <si>
    <t>Axel Jonathan Cash Mendez</t>
  </si>
  <si>
    <t>Axel Roberto Guzman Coro</t>
  </si>
  <si>
    <t>Axel Wilfredo Caal Coy</t>
  </si>
  <si>
    <t>Axel Yoneldis Gaspar Juarez</t>
  </si>
  <si>
    <t>Aykom Boriyer Cabrera De Leon</t>
  </si>
  <si>
    <t>Aylin Jiceli Romero Cruz</t>
  </si>
  <si>
    <t>Azucena Raquel Luis Perez Garzona</t>
  </si>
  <si>
    <t>Barbara Alejandra Toj Romero</t>
  </si>
  <si>
    <t>Barbara Asibinac</t>
  </si>
  <si>
    <t>Barillas Sobalvarro, Pablo Jose</t>
  </si>
  <si>
    <t xml:space="preserve">Beatriz Angela Hernandez Cifuentes </t>
  </si>
  <si>
    <t>Beberli Yuceli Gomez Davila</t>
  </si>
  <si>
    <t>Beberlin Dayana Veron Garcia</t>
  </si>
  <si>
    <t>Beberly Angeaneth Gonzalez Ruiz</t>
  </si>
  <si>
    <t>Beberly Karina Ramirez Ismatul</t>
  </si>
  <si>
    <t>Beberly Salvador Zuñiga</t>
  </si>
  <si>
    <t>Belgica Jasmin Celeste Merida Escobar</t>
  </si>
  <si>
    <t>Belgica Lizeth Can Guitz</t>
  </si>
  <si>
    <t>Benito Abad Jimenez Carrillo</t>
  </si>
  <si>
    <t>Berta Elizabeth Rodas Rosales</t>
  </si>
  <si>
    <t>Berta Leticia Yapan Pelen</t>
  </si>
  <si>
    <t>Bertha Lidia Morataya Diaz</t>
  </si>
  <si>
    <t>Bertha Rosalba Gabriel Vasquez</t>
  </si>
  <si>
    <t>Betzy Dayana Gutierrez Chon</t>
  </si>
  <si>
    <t>Beverly Jeanette Panjoj Tiriquiz</t>
  </si>
  <si>
    <t>Beverly Walesca Morales Ibarra</t>
  </si>
  <si>
    <t>Billy Giovanny Avalos Castillo</t>
  </si>
  <si>
    <t>Blanca Cristina Saquic Ac</t>
  </si>
  <si>
    <t>Blanca Olinda Quintanilla Godoy</t>
  </si>
  <si>
    <t xml:space="preserve">Bobadilla Romero Alan Gonzalo </t>
  </si>
  <si>
    <t>Bradley Waldemar Martinez Salvador</t>
  </si>
  <si>
    <t>Brandon Alberto Jerez Cajas</t>
  </si>
  <si>
    <t>Brandon Alexander Velasquez Acabal</t>
  </si>
  <si>
    <t>Brandon Alexis Alvarado Morales</t>
  </si>
  <si>
    <t>Brandon Antonio Alvarez Lopez</t>
  </si>
  <si>
    <t>Brandon Ivan De Mata Monzon</t>
  </si>
  <si>
    <t xml:space="preserve">Brandon Josue Velasquez Galiano   </t>
  </si>
  <si>
    <t>Brandon Steve Juarez Arrazola</t>
  </si>
  <si>
    <t>Brandon Steven Quiñonez Garcia</t>
  </si>
  <si>
    <t>Braulio Antonio Chimil Escobedo</t>
  </si>
  <si>
    <t>Brayan Agusto Vasquez Rustrian</t>
  </si>
  <si>
    <t>Brayan Alexander Lopez Garcia</t>
  </si>
  <si>
    <t>Brayan Alexander Recancoy Ramos</t>
  </si>
  <si>
    <t>Brayan Alexis Vicente Chach</t>
  </si>
  <si>
    <t>Brayan Dennis Lopez Puac</t>
  </si>
  <si>
    <t>Brayan Franklin Lopez Alvarez</t>
  </si>
  <si>
    <t>Brayan Ignacio Zamora Charuc</t>
  </si>
  <si>
    <t>Brayan Josue Jimenez Barrios</t>
  </si>
  <si>
    <t>Brayan Neftali Camey Por</t>
  </si>
  <si>
    <t>Brayan Oseas Chip Charuc</t>
  </si>
  <si>
    <t>Brenda Elizabeth Pineda Avendano</t>
  </si>
  <si>
    <t xml:space="preserve">Brenda Elizabeth Pineda Avendaño </t>
  </si>
  <si>
    <t>Brenda Elizabeth Sanchez Barrientos</t>
  </si>
  <si>
    <t>Brenda Esmeralda Alvarado Pascual</t>
  </si>
  <si>
    <t>Brenda Karina Coxaj Peinado</t>
  </si>
  <si>
    <t>Brenda Liseth Ixcoy Tulujan</t>
  </si>
  <si>
    <t>Brenda Lucrecia Lopez Gonzalez</t>
  </si>
  <si>
    <t>Brenda Lucrecia Ruiz Sanchez</t>
  </si>
  <si>
    <t>Brenda Lucrecia Velasquez Cifuentes</t>
  </si>
  <si>
    <t>Brenda Maribel Montenegro Reyes</t>
  </si>
  <si>
    <t>Brenda Marisol Aguilar Patzan</t>
  </si>
  <si>
    <t>Brenda Marisol Sanchez Chivalan</t>
  </si>
  <si>
    <t>Brenda Perez Morales</t>
  </si>
  <si>
    <t>Brenda Raquel Ramirez Sanchez</t>
  </si>
  <si>
    <t>Brenda Sucely Raczan Pichiyá</t>
  </si>
  <si>
    <t xml:space="preserve">Brenda Yaneth Gonzalez </t>
  </si>
  <si>
    <t>Brenda Yaneth Perez Lucas</t>
  </si>
  <si>
    <t>Brenda Yessenia Monroy Amado</t>
  </si>
  <si>
    <t>Bretany Celeste Ramirez</t>
  </si>
  <si>
    <t>Brian Baudilio Orozco Perez</t>
  </si>
  <si>
    <t>Brisley Cristina Ortiz Zelada</t>
  </si>
  <si>
    <t>Bryan Alexander Emanuel Orozco Lancerio</t>
  </si>
  <si>
    <t>Bryan Alexander Hernandez Garcia</t>
  </si>
  <si>
    <t>Bryan Alexander Laines Marroquin</t>
  </si>
  <si>
    <t>Bryan Arnoldo Lemus Loez</t>
  </si>
  <si>
    <t>Bryan Daniel Donado Ortiz</t>
  </si>
  <si>
    <t>Bryan Daniel Milián De León</t>
  </si>
  <si>
    <t>Bryan Escobar</t>
  </si>
  <si>
    <t>Bryan Leonardo Lopez</t>
  </si>
  <si>
    <t>Bryan Noe Rodriguez Soto</t>
  </si>
  <si>
    <t>Bryan Roberto Sanchez Echeverria</t>
  </si>
  <si>
    <t>Bryan Sleyter Gabriel Coy Tercero</t>
  </si>
  <si>
    <t>Bryllan Armando Sierra Sierra</t>
  </si>
  <si>
    <t>Byron Andre Concua Avila</t>
  </si>
  <si>
    <t>Byron Elias Yac Flores</t>
  </si>
  <si>
    <t>Byron Estuardo Paredes Villela</t>
  </si>
  <si>
    <t>Byron Josue Moscoso Vega</t>
  </si>
  <si>
    <t>Byron Mauricio Amezquita Rivas</t>
  </si>
  <si>
    <t>Byron Veliz Vasquez</t>
  </si>
  <si>
    <t>Camelia Bocel Tun</t>
  </si>
  <si>
    <t>Caren Lucia De León Custodio</t>
  </si>
  <si>
    <t>Caren Mishel Ceballos Marroquin</t>
  </si>
  <si>
    <t>Carla Eloiza Castillo Gonzalez</t>
  </si>
  <si>
    <t>Carla Esmeralda Candido Gonzalez</t>
  </si>
  <si>
    <t>Carla Fernanda Fernandez Lopez</t>
  </si>
  <si>
    <t>Carlos Adalberto Diaz Escobar</t>
  </si>
  <si>
    <t>Carlos Alberto Galvez Hernandez</t>
  </si>
  <si>
    <t>Carlos Alberto Guzman Hernandez</t>
  </si>
  <si>
    <t>Carlos Alberto Hernandez Cermeño</t>
  </si>
  <si>
    <t xml:space="preserve">Carlos Alberto Roque </t>
  </si>
  <si>
    <t>Carlos Alfredo Catun Rax</t>
  </si>
  <si>
    <t/>
  </si>
  <si>
    <t>Carlos Anibal Caal Tux</t>
  </si>
  <si>
    <t>Carlos Antonio Jul Coc</t>
  </si>
  <si>
    <t>Carlos Arturo Straube Lopez</t>
  </si>
  <si>
    <t>Carlos Daniel Quiñonez Cortez</t>
  </si>
  <si>
    <t xml:space="preserve">Carlos David Ajmac </t>
  </si>
  <si>
    <t>Carlos David Castillo Gamboa</t>
  </si>
  <si>
    <t>Carlos Edmundo Hernandez Miranda</t>
  </si>
  <si>
    <t>Carlos Eduardo Hernandez Garcia</t>
  </si>
  <si>
    <t>Carlos Emilio Cumez Chenol</t>
  </si>
  <si>
    <t xml:space="preserve">Carlos Enrique Bocel Saloj </t>
  </si>
  <si>
    <t>Carlos Enrique Coz Toc</t>
  </si>
  <si>
    <t>Carlos Enrique Dighero Lopez</t>
  </si>
  <si>
    <t>Carlos Enrique Ramirez Lopez</t>
  </si>
  <si>
    <t>Carlos Enrique Saenz Cardona</t>
  </si>
  <si>
    <t>Carlos Enrique Sosa Hernandez</t>
  </si>
  <si>
    <t>Carlos Enrique Vasquez Esteban</t>
  </si>
  <si>
    <t>Carlos Estuardo Campos Asig</t>
  </si>
  <si>
    <t>Carlos Fernando Ochoa Contreras</t>
  </si>
  <si>
    <t>Carlos Humberto De Paz Paiz</t>
  </si>
  <si>
    <t>Carlos Josue Perez Garcia</t>
  </si>
  <si>
    <t>Carlos Josue Salazar Quej</t>
  </si>
  <si>
    <t>Carlos Leonel Corado Sosa</t>
  </si>
  <si>
    <t>Carlos Manuel Amarra Mateo</t>
  </si>
  <si>
    <t>Carlos Miguel Carrillo Perez</t>
  </si>
  <si>
    <t>Carlos Oliverio Ortiz Villalobos</t>
  </si>
  <si>
    <t>Carlos Onofre Sierra Vasquez</t>
  </si>
  <si>
    <t>Carlos Raul Pedroza Lopez</t>
  </si>
  <si>
    <t>Carlos Roberto Arana Garcia</t>
  </si>
  <si>
    <t>Carlos Roberto Hernandez Gonzalez</t>
  </si>
  <si>
    <t>Carlos Saul Santizo Lopez</t>
  </si>
  <si>
    <t>Carmen Amalia Macario Rixtun</t>
  </si>
  <si>
    <t>Carmen Arely Perez Escobar</t>
  </si>
  <si>
    <t>Carmen Elizabeth Vargas Tun</t>
  </si>
  <si>
    <t>Carmen Fernanda Ramos Jimenez</t>
  </si>
  <si>
    <t>Carmen Liliana Subuyuj Ordoñez</t>
  </si>
  <si>
    <t>Castanon Lopez, Brandon Eliberto</t>
  </si>
  <si>
    <t>Catarina Del Rosario Lopez Taquiej</t>
  </si>
  <si>
    <t>Caterin Berenise Cayax Atz</t>
  </si>
  <si>
    <t>Caterin Marieli Acevedo Gomez</t>
  </si>
  <si>
    <t>Catherine Mishel Gonzalez Rodas</t>
  </si>
  <si>
    <t>Catherine Noemi Rodriguez De Leon</t>
  </si>
  <si>
    <t>Catirin Marbella Juarez Garcia</t>
  </si>
  <si>
    <t>Cecia Amabil Lopez Valencia De Cifuentes</t>
  </si>
  <si>
    <t>Cecilia Margoth Lopez Raymundo</t>
  </si>
  <si>
    <t>Celeste Azucena Estrada Salvador De Estrada</t>
  </si>
  <si>
    <t>Celia Esperanza Arroyo Chiche</t>
  </si>
  <si>
    <t>Celia Mariela Castillo Beteta</t>
  </si>
  <si>
    <t>Cendy Regina Axulen Gonzalez</t>
  </si>
  <si>
    <t>Cesar Alejandro Del Valle Duran</t>
  </si>
  <si>
    <t xml:space="preserve">Cesar Armando Hernandez Hernandez </t>
  </si>
  <si>
    <t>Cesar David Perez Garrido</t>
  </si>
  <si>
    <t>Cesar Eduardo Lopez Lopez</t>
  </si>
  <si>
    <t>Cesar Estuardo Perez Monterroso</t>
  </si>
  <si>
    <t>Cesar Fernando Reyna Almengor</t>
  </si>
  <si>
    <t>Cesar Geovanni Tuc Sum</t>
  </si>
  <si>
    <t>Cesar Geovanny De Leon Palacios</t>
  </si>
  <si>
    <t>Cesar Haroldo Ixcayau Castro</t>
  </si>
  <si>
    <t>Cesar Humberto Cazun Hernandez</t>
  </si>
  <si>
    <t>Cesar Oliverio Orozco Flores</t>
  </si>
  <si>
    <t>Cesia Ixtetela Yataz</t>
  </si>
  <si>
    <t>Cesia Paola Marroquin Sanchez</t>
  </si>
  <si>
    <t>Christa Maria Belen Barrera Mazariegos</t>
  </si>
  <si>
    <t>Christiam Daniel Arroyo Cisneros</t>
  </si>
  <si>
    <t>Christian Alejandro Tistoj Lopez</t>
  </si>
  <si>
    <t>Christian Bladimir Panjoj Mejia</t>
  </si>
  <si>
    <t>Christian Eduardo Celada Orellana</t>
  </si>
  <si>
    <t>Christian Enrique Claverie Zimeri</t>
  </si>
  <si>
    <t>Christin Andrea Castillo Calderon</t>
  </si>
  <si>
    <t>Christofer Antonio Chali Bacajol</t>
  </si>
  <si>
    <t>Cindi Paola Zepeda Irineo</t>
  </si>
  <si>
    <t>Cindy Abigail Patzan Perez</t>
  </si>
  <si>
    <t>Cindy Aracely Ruano Can</t>
  </si>
  <si>
    <t>Cindy Beatriz Reyes De Leon</t>
  </si>
  <si>
    <t>Cindy Carolina Sandoval Ruiz</t>
  </si>
  <si>
    <t xml:space="preserve">Cindy Damaris Villagran Castellano </t>
  </si>
  <si>
    <t>Cindy Gabriela Chanchavac Mejia</t>
  </si>
  <si>
    <t>Cindy Judith Urizar Davila</t>
  </si>
  <si>
    <t>Cindy Julissa Herrera</t>
  </si>
  <si>
    <t>Cindy Mayroby Oscal Quiñonez</t>
  </si>
  <si>
    <t>Cindy Melissa Cordon Alfaro</t>
  </si>
  <si>
    <t>Cindy Paola Aguilar Jolon</t>
  </si>
  <si>
    <t>Cindy Paola Garcia Monroy</t>
  </si>
  <si>
    <t>Cindy Perez</t>
  </si>
  <si>
    <t>Cindy Veronica Bran Polanco Alvarez</t>
  </si>
  <si>
    <t>Cindy Yenibeth Cano Claudio</t>
  </si>
  <si>
    <t>Cindy Yesenia Morales Quevedo</t>
  </si>
  <si>
    <t>Cindy Yojana Mendoza Cajas</t>
  </si>
  <si>
    <t xml:space="preserve">Cinthia Andreina Valenzula </t>
  </si>
  <si>
    <t xml:space="preserve">Cinthia Irene Paz Caal   </t>
  </si>
  <si>
    <t>Clara Elizabeth Joge Torres</t>
  </si>
  <si>
    <t>Clara Lorena Perez Hernandez</t>
  </si>
  <si>
    <t>Claudia Analy Argueta Matias</t>
  </si>
  <si>
    <t>Claudia Dolores Barcenas Guillen</t>
  </si>
  <si>
    <t>Claudia Elizabeth Carrera Marroquin</t>
  </si>
  <si>
    <t>Claudia Eugenia Chavarria Ramos</t>
  </si>
  <si>
    <t>Claudia Liliana Muñoz Jimenez De Lopez</t>
  </si>
  <si>
    <t>Claudia Lorena Quino Isaguirre</t>
  </si>
  <si>
    <t>Claudia Maria Orozco Garcia</t>
  </si>
  <si>
    <t>Claudia Marisol Esquivel Ramirez</t>
  </si>
  <si>
    <t>Claudia Marissa Chuquiej Granados</t>
  </si>
  <si>
    <t>Claudia Noemi Marroquin Perez</t>
  </si>
  <si>
    <t>Claudia Roxana Beb Ac</t>
  </si>
  <si>
    <t xml:space="preserve">Claudia Stephanie Fuentes Ardon </t>
  </si>
  <si>
    <t>Claudia Susana Garcia</t>
  </si>
  <si>
    <t>Claudia Yaneth Hidalgo Gonzalez</t>
  </si>
  <si>
    <t>Claudia Yesenia Pinto Picen</t>
  </si>
  <si>
    <t>Claudia Yesenia Ramos Perez</t>
  </si>
  <si>
    <t>Claudio Leonardo Vasquez   </t>
  </si>
  <si>
    <t>Coc Coronado, Osman Ivan Boanerges</t>
  </si>
  <si>
    <t>Coralia Brenda Judith Ruano Hernandez</t>
  </si>
  <si>
    <t>Cordova Newbery, Allison Alejandra</t>
  </si>
  <si>
    <t>Cristal Estephania Juarroz Muñoz</t>
  </si>
  <si>
    <t>Cristel Dolores Vasquez Rodriguez</t>
  </si>
  <si>
    <t>Cristhian Andres Contreras Rivas</t>
  </si>
  <si>
    <t>Cristi Paola Rodriguez Contreras</t>
  </si>
  <si>
    <t>Cristian Alessandro Avalos Martinez</t>
  </si>
  <si>
    <t>Cristian Alfredo Jimenez Quino</t>
  </si>
  <si>
    <t>Cristian David Urizar Canteo</t>
  </si>
  <si>
    <t>Cristian Enrique Escalante Albanez</t>
  </si>
  <si>
    <t>Cristian Esleiter Zuleta Batres</t>
  </si>
  <si>
    <t>Cristian Omar Cruz Mata</t>
  </si>
  <si>
    <t>Cristian Orlando Leonardo Cortez</t>
  </si>
  <si>
    <t>Cristian Orlando Monzon De Leon</t>
  </si>
  <si>
    <t>Cristian Ottoniel Lopez Alvarado</t>
  </si>
  <si>
    <t>Cristian Rene Contreras Sales</t>
  </si>
  <si>
    <t>Cristian Rodrigo Chilel Samayoa</t>
  </si>
  <si>
    <t>Cristian Romulo Rolando Cojulun Barrera</t>
  </si>
  <si>
    <t>Cristian Salvador Perez Quiroa</t>
  </si>
  <si>
    <t>Cristian Tomas Chuc Perez</t>
  </si>
  <si>
    <t>Cristian Ubaldo De Leon Ramirez</t>
  </si>
  <si>
    <t>Cristina De Jesus Hernandez Macajola</t>
  </si>
  <si>
    <t>Cristina Mariela Sapon Morales</t>
  </si>
  <si>
    <t>Cristobal Vinicio Chacon Rosana</t>
  </si>
  <si>
    <t>Cristofer Melgar Ortega</t>
  </si>
  <si>
    <t>Cristopher Josue Chanquin Flores</t>
  </si>
  <si>
    <t>Cristy Charito Bran Guerra</t>
  </si>
  <si>
    <t>Cynthia Guisela Samayoa Aldana</t>
  </si>
  <si>
    <t>Cynthia Marisol Gonzalez Vargas</t>
  </si>
  <si>
    <t>Cynthia Rosaura Cruz Cosajay</t>
  </si>
  <si>
    <t>Daily Tatiana Godoy Aguilar</t>
  </si>
  <si>
    <t>Daily Yamileth Del Cid Vasquez</t>
  </si>
  <si>
    <t>Dalila Marisol Ramos Galan</t>
  </si>
  <si>
    <t>Dallynn Eunice Perez Herrera</t>
  </si>
  <si>
    <t>Damaris Abigail Garcia Perez</t>
  </si>
  <si>
    <t>Damaris Abigail Urizar Martinez</t>
  </si>
  <si>
    <t>Damaris Azucena Canahui Barillas</t>
  </si>
  <si>
    <t>Damaris Judith Rivas Benitez</t>
  </si>
  <si>
    <t>Damaris Liseth Sagastume Pinto</t>
  </si>
  <si>
    <t>Damaris Paola Gonzalez Gallardo</t>
  </si>
  <si>
    <t>Damaris Sucely Mendez Roche</t>
  </si>
  <si>
    <t>Damaris Violeta Gonzalez Miguel</t>
  </si>
  <si>
    <t>Danae Melissa Xitumul Ruiz</t>
  </si>
  <si>
    <t>Danaly Iveth Garcia Monterroso</t>
  </si>
  <si>
    <t>Danely Arleth Rubin Escobar</t>
  </si>
  <si>
    <t>Daneylie Abigalie Dardon Gomez</t>
  </si>
  <si>
    <t>Daniel Abrahan Castillo Hernandez</t>
  </si>
  <si>
    <t xml:space="preserve">Daniel Alberto Alaya Guzman </t>
  </si>
  <si>
    <t>Daniel Alejandro Ramos Loarca</t>
  </si>
  <si>
    <t xml:space="preserve">Daniel Alexander Molina Torres </t>
  </si>
  <si>
    <t>Daniel Alfredo Aguirre Marroquin</t>
  </si>
  <si>
    <t>Daniel Antonio Aceituno Paredes</t>
  </si>
  <si>
    <t>Daniel Antonio Gonzalez Del Cid</t>
  </si>
  <si>
    <t>Daniel Ernesto Perez</t>
  </si>
  <si>
    <t>Daniel Humberto Morales Cervantes</t>
  </si>
  <si>
    <t>Daniel Isai Moran Lima</t>
  </si>
  <si>
    <t>Daniel Uvaldo Barreno Meneses</t>
  </si>
  <si>
    <t>Daniela Amarilis Davila Juarez De Carrillo</t>
  </si>
  <si>
    <t>Daniela Karime Jimenez Lopez</t>
  </si>
  <si>
    <t>Daniela Maricruz Castillo Reyes</t>
  </si>
  <si>
    <t>Daninyer Alfonso Orellana Madrid</t>
  </si>
  <si>
    <t>Danny Eduardo Caal De Leon</t>
  </si>
  <si>
    <t>Danny Johana Perez Reyes</t>
  </si>
  <si>
    <t>Dany Adalberto Choc Bac</t>
  </si>
  <si>
    <t>Daomi Mishel Larios Morales</t>
  </si>
  <si>
    <t>Daphne Pamela Lopez Rodriguez</t>
  </si>
  <si>
    <t>Darbin Alejandro Soto Rodriguez</t>
  </si>
  <si>
    <t>Darissa Anahi Galindo Monzon</t>
  </si>
  <si>
    <t>Darli Asuceli Florian Garcia</t>
  </si>
  <si>
    <t>Darlin Estefany Coyoy Rivas</t>
  </si>
  <si>
    <t>Darlin Pamela Aguilar De La Cruz Marroquin</t>
  </si>
  <si>
    <t>Darling Daniela Quinteros Arevalo</t>
  </si>
  <si>
    <t>Darling Esther Alfaro Gonzalez</t>
  </si>
  <si>
    <t>Darlyn Dayanara Cortez Ramirez</t>
  </si>
  <si>
    <t>Darlyn Guadalupe Barrios Yax</t>
  </si>
  <si>
    <t>Darwin Alexis Ponciano Cruz</t>
  </si>
  <si>
    <t>Darwin Emanuel Olivares Carrera</t>
  </si>
  <si>
    <t>Darwin Javier Sian Rodriguez</t>
  </si>
  <si>
    <t>Darwin Omar Cabrera Cheguen</t>
  </si>
  <si>
    <t>Darwin Ruben Martinez Ramirez</t>
  </si>
  <si>
    <t>Dauris Yomira Tellechea Lopez</t>
  </si>
  <si>
    <t>David De Jesus Quel Orozco</t>
  </si>
  <si>
    <t>David Emanuel Cachin Morales</t>
  </si>
  <si>
    <t>David Julian Molina Santos</t>
  </si>
  <si>
    <t>David Mejia Vicente</t>
  </si>
  <si>
    <t>Dayana Mishell Mazariegos Gomez</t>
  </si>
  <si>
    <t>Dayana Paola Lopez Bolanos</t>
  </si>
  <si>
    <t>Dayanna Beatriz Cachupe Chavac Cifuentes</t>
  </si>
  <si>
    <t>Dayli Anai García Morales</t>
  </si>
  <si>
    <t>Daylin Ambrocia Cruz Lopez</t>
  </si>
  <si>
    <t>Dayne Dalu Sanchez Hernandez</t>
  </si>
  <si>
    <t>Dayra Rene Colindres Donis</t>
  </si>
  <si>
    <t>Debora Eunice Tzay Chuluc</t>
  </si>
  <si>
    <t>Debora Madahi Escobar Gomez</t>
  </si>
  <si>
    <t>Debora Paola Sepez Cuc</t>
  </si>
  <si>
    <t>Deily Noeli Ramirez Villela</t>
  </si>
  <si>
    <t>Deisy Gabriela Pineda Paiz</t>
  </si>
  <si>
    <t>Deisy Lizet Perez Oliva</t>
  </si>
  <si>
    <t>Delia Virginia Piedrasanta Parra</t>
  </si>
  <si>
    <t>Delio Maynor Lopez Barrios</t>
  </si>
  <si>
    <t>Delmy Fabiola Orellana Barrientos</t>
  </si>
  <si>
    <t>Delmy Francisca Lopez Perez</t>
  </si>
  <si>
    <t xml:space="preserve">Delmy Nayeli Muyus Aguilar </t>
  </si>
  <si>
    <t>Delmy Vanesa Morales Ramirez</t>
  </si>
  <si>
    <t>Delwin Leonel Vasquez Barrera</t>
  </si>
  <si>
    <t>Denilson Laureano De Paz Galdamez</t>
  </si>
  <si>
    <t>Denis Rodrigo Diaz Alvarado</t>
  </si>
  <si>
    <t>Dennis Alexander Esquivel Galeano</t>
  </si>
  <si>
    <t>Derick Juan David Coti Camas</t>
  </si>
  <si>
    <t>Deysi Liliana Caal Oxom</t>
  </si>
  <si>
    <t>Deysi Margoth Lopez Monroy</t>
  </si>
  <si>
    <t>Deysi Noemi Aranoli Carias Pimentel</t>
  </si>
  <si>
    <t>Deysi Paola Lopez Yanes De Conde</t>
  </si>
  <si>
    <t>Deysi Roxana Pablo Ramirez</t>
  </si>
  <si>
    <t>Deyvid Saul Osorio Colin</t>
  </si>
  <si>
    <t>Diana Andrea Castillo Mejia</t>
  </si>
  <si>
    <t>Diana Elizabeth Ayfan Del Cid</t>
  </si>
  <si>
    <t>Diana Guisela Satey De Leon</t>
  </si>
  <si>
    <t>Diana Ivon Aguilar Gonzalez</t>
  </si>
  <si>
    <t>Diana Lizeth Acabal Pansay</t>
  </si>
  <si>
    <t>Diana Mishel Perez Flores</t>
  </si>
  <si>
    <t>Diana Priscila Reyes Bran</t>
  </si>
  <si>
    <t>Diana Violeta Yaguas Carin</t>
  </si>
  <si>
    <t>Diaz Calderon, Josue Noe</t>
  </si>
  <si>
    <t>Diego Alejandro Castillo Cortez</t>
  </si>
  <si>
    <t>Diego Alejandro Donis Juarez</t>
  </si>
  <si>
    <t>Diego Alejandro España Rivera</t>
  </si>
  <si>
    <t>Diego Alejandro Monroy Barillas</t>
  </si>
  <si>
    <t>Diego Antonio Dubon Suyen</t>
  </si>
  <si>
    <t>Diego Armando Contreras Flores</t>
  </si>
  <si>
    <t>Diego Ezequiel Samayoa Toledo</t>
  </si>
  <si>
    <t>Diego Fernando Sacher Escobar</t>
  </si>
  <si>
    <t>Diego Josue Dieguez Vivar</t>
  </si>
  <si>
    <t>Diego Rodrigo Morales Camacho</t>
  </si>
  <si>
    <t>Dilma Carolina Zetino Zepeda</t>
  </si>
  <si>
    <t xml:space="preserve">Dina Azucely Alvarez Melchor </t>
  </si>
  <si>
    <t>Dina Azucena Ortiz Crispin</t>
  </si>
  <si>
    <t>Dina Elizabeth Garrido Alvarez</t>
  </si>
  <si>
    <t>Dina Nohemi Solano Juarez</t>
  </si>
  <si>
    <t>Donald Alejandro Mendez Mayen</t>
  </si>
  <si>
    <t>Donald Jacshon Abac Velasquez</t>
  </si>
  <si>
    <t xml:space="preserve">Donel Omar Landaverry Solis </t>
  </si>
  <si>
    <t>Donetta Diaz Oroman</t>
  </si>
  <si>
    <t>Dora Estefany Garcia Zetino</t>
  </si>
  <si>
    <t>Dorcas Raquel Palacios Reyes</t>
  </si>
  <si>
    <t>Doris Elizabeth Sandoval Gonzalez De Balcarcel</t>
  </si>
  <si>
    <t>Dorman Fernando Gomez Perez</t>
  </si>
  <si>
    <t>Douglas Alberto Luna</t>
  </si>
  <si>
    <t>Douglas Armando Flores Mendoza</t>
  </si>
  <si>
    <t>Douglas Armando Garcia Machic</t>
  </si>
  <si>
    <t>Douglas Nehemias Paz Agustin</t>
  </si>
  <si>
    <t>Duglas Alexander Ramirez</t>
  </si>
  <si>
    <t>Dulce Collin Garcia</t>
  </si>
  <si>
    <t>Dulce Estrella Miranda Morales</t>
  </si>
  <si>
    <t>Dulce Estrellita Boche Pineda</t>
  </si>
  <si>
    <t>Dulce Fabiola Cabrera Alvarado</t>
  </si>
  <si>
    <t>Dulce Flor De Maria Jor Rax</t>
  </si>
  <si>
    <t>Dulce Maria Arredondo Ubedo</t>
  </si>
  <si>
    <t>Dulce Maria Barillas Pineda</t>
  </si>
  <si>
    <t>Dulce Maria De Los Angeles Carranza Poitan</t>
  </si>
  <si>
    <t>Dulce Maria Fajardo Ramos</t>
  </si>
  <si>
    <t>Dulce Maria Secaida Quiñonez</t>
  </si>
  <si>
    <t>Dulce Maria Sican Galicia</t>
  </si>
  <si>
    <t>Dulce Marina Lopez Solis</t>
  </si>
  <si>
    <t>Dulce Mishell Alvarado Tovar</t>
  </si>
  <si>
    <t>Dulsse Gabriela Muñoz Giordano Sen</t>
  </si>
  <si>
    <t>Duncan Vladimir Fuentes Marroquin</t>
  </si>
  <si>
    <t>Durvin Dayanara Mejicanos Ramos</t>
  </si>
  <si>
    <t>Dylan Anderson Rodriguez Paredes</t>
  </si>
  <si>
    <t>Eber Manuel Valdes Samayoa</t>
  </si>
  <si>
    <t>Eddy Estuardo Lool Calderon</t>
  </si>
  <si>
    <t>Eddy Jose Cabrera Rivas</t>
  </si>
  <si>
    <t>Edgar Alejandro Alvarado Juarez</t>
  </si>
  <si>
    <t>Edgar Alexander Toc Del Aguila</t>
  </si>
  <si>
    <t>Edgar Alfonso Escoto Asig</t>
  </si>
  <si>
    <t>Edgar Augusto Lara Joachin</t>
  </si>
  <si>
    <t>Edgar Emilio Gomez Bobadilla</t>
  </si>
  <si>
    <t>Edgar Estuardo Guerra Romero</t>
  </si>
  <si>
    <t>Edgar Estuardo Moran Lopez</t>
  </si>
  <si>
    <t>Edgar Francisco Garcia De Leon</t>
  </si>
  <si>
    <t>Edgar Francisco Yanes Carrera</t>
  </si>
  <si>
    <t>Edgar Jhonatan Contreras Garcia</t>
  </si>
  <si>
    <t>Edgar Joel Castro Ramirez</t>
  </si>
  <si>
    <t>Edgar Josue Lopez Cahuec</t>
  </si>
  <si>
    <t>Edgar Manrique Flores Sanchez</t>
  </si>
  <si>
    <t>Edgar Omar De Jesus Andrade Monterroso</t>
  </si>
  <si>
    <t>Edgar Ricardo Lopez Valenzuela</t>
  </si>
  <si>
    <t>Edgar Samuel Chavez Garcia</t>
  </si>
  <si>
    <t>Edi Ibander Osoy Lopez</t>
  </si>
  <si>
    <t>Edith Carolina Rojas Moreno</t>
  </si>
  <si>
    <t>Edith Guadalupe Del Cid Orellana</t>
  </si>
  <si>
    <t>Edith Veranice Palacios</t>
  </si>
  <si>
    <t>Edna Fabiola Miranda Nufio</t>
  </si>
  <si>
    <t xml:space="preserve">Edna Gabriela Ramirez </t>
  </si>
  <si>
    <t>Edna Helenin Benitez Guzman De Altan</t>
  </si>
  <si>
    <t>Edna Rubi Hernandez Retana</t>
  </si>
  <si>
    <t xml:space="preserve">Edson Fernando Segura Chocop </t>
  </si>
  <si>
    <t>Edson Romeo Maldonado Reyes</t>
  </si>
  <si>
    <t>Eduardo Antonio Sotoj Zepeda</t>
  </si>
  <si>
    <t>Eduardo Eliu Camey Coyoy</t>
  </si>
  <si>
    <t>Eduardo Isaias Hernandez Ambrocio      </t>
  </si>
  <si>
    <t>Eduardo Jose Perez Pichilla</t>
  </si>
  <si>
    <t>Eduvina Lisbeth Chilel Garcia De Leon</t>
  </si>
  <si>
    <t>Edvin Daniel Compa Oroxom</t>
  </si>
  <si>
    <t>Edvin Estuardo Ordoñez Gonzalez</t>
  </si>
  <si>
    <t>Edvin Estuardo Revolorio Marroquin</t>
  </si>
  <si>
    <t>Edvin Orlando Tuis Guerra</t>
  </si>
  <si>
    <t>Edvin Raul Chavez Monroy</t>
  </si>
  <si>
    <t>Edward Andoni Alvarez Agueda</t>
  </si>
  <si>
    <t>Edward Josue Cortez Belloso</t>
  </si>
  <si>
    <t>Edward Oswaldo Mo Macz</t>
  </si>
  <si>
    <t>Edward Pedro Figueroa Alvarado</t>
  </si>
  <si>
    <t>Edwin Adolfo Soberanis Mazariegos</t>
  </si>
  <si>
    <t>Edwin Alexander Davila Xitumul</t>
  </si>
  <si>
    <t>Edwin Andre Mendez Nuñez</t>
  </si>
  <si>
    <t>Edwin Ernesto Sut Chinol</t>
  </si>
  <si>
    <t>Edwin Romeo Eleazar Ochoa Lopez</t>
  </si>
  <si>
    <t>Edwin Wilfredo Pineda Giron</t>
  </si>
  <si>
    <t xml:space="preserve">Edy Alexander Gonzalez Ramos </t>
  </si>
  <si>
    <t>Edy Dionisio Fuentes Martinez</t>
  </si>
  <si>
    <t>Edy Giancarlo Moreno Pineda</t>
  </si>
  <si>
    <t xml:space="preserve">Edyn Ivan Martinez Lopez </t>
  </si>
  <si>
    <t>Eidy Natalia Hernandez Lopez</t>
  </si>
  <si>
    <t>Elba Eulalia Esquite Lemus</t>
  </si>
  <si>
    <t>Elda Luzbina Valdez Guerra</t>
  </si>
  <si>
    <t>Elder Antonio Mendez Tobar</t>
  </si>
  <si>
    <t>Elder Frankiln Cax Dionicio</t>
  </si>
  <si>
    <t>Elder Uzias Jordan Perez</t>
  </si>
  <si>
    <t>Elena Yazmin Valdez Gallegos</t>
  </si>
  <si>
    <t>Elias Isaac Guevara Hernandez</t>
  </si>
  <si>
    <t>Elias Jose Daniel Estrada Nufio</t>
  </si>
  <si>
    <t>Elida Bertilia Donis Aguilar</t>
  </si>
  <si>
    <t>Elida Noemi Monroy Ortega</t>
  </si>
  <si>
    <t>Elin Magali Gallardo Velasquez</t>
  </si>
  <si>
    <t>Elisa Alejandra Carabeo Alba</t>
  </si>
  <si>
    <t>Elisa Bravo</t>
  </si>
  <si>
    <t>Elisa Clementina Mazariegos Andrade</t>
  </si>
  <si>
    <t>Eliseo Gonzalez De Leon</t>
  </si>
  <si>
    <t>Eliseo Macario Carrillo</t>
  </si>
  <si>
    <t>Elizabeth Nohemi Campa Mazat</t>
  </si>
  <si>
    <t>Elizangela Jazmin Barillas Ramirez</t>
  </si>
  <si>
    <t>Elmer Antonio Muñoz Alvarez</t>
  </si>
  <si>
    <t>Elmer Eduardo Castillo</t>
  </si>
  <si>
    <t>Elmer Josue Chinchilla Mendoza</t>
  </si>
  <si>
    <t>Elsa Edith Alixjandra Morales Cordon</t>
  </si>
  <si>
    <t>Elsa Karina Siquibache Perez</t>
  </si>
  <si>
    <t>Eluizer Amadeus De Leon De Leon</t>
  </si>
  <si>
    <t>Eluvia Josefina Sazo Garcia</t>
  </si>
  <si>
    <t>Elvis Ariel Juarez Solis</t>
  </si>
  <si>
    <t xml:space="preserve">Elvis Armando Perez Urizar </t>
  </si>
  <si>
    <t>Elvis Humberto Morataya Chavarria</t>
  </si>
  <si>
    <t>Elvis Manuel Rafael Solares</t>
  </si>
  <si>
    <t>Elvis Orlando Lopez Marroquin</t>
  </si>
  <si>
    <t>Emanuel Perez Garnillo</t>
  </si>
  <si>
    <t>Emely Johanna Urbina Beltran</t>
  </si>
  <si>
    <t>Emely Pamela Noj Aguilar</t>
  </si>
  <si>
    <t xml:space="preserve">Emely Raquel Reyes Bremer </t>
  </si>
  <si>
    <t>Emerson Ezequiel Giron Lopez</t>
  </si>
  <si>
    <t>Emerson Josue Lopez Hernandez</t>
  </si>
  <si>
    <t>Emily Jisselle Rosales Paz</t>
  </si>
  <si>
    <t>Emmanuel Alejandro Luna Portillo</t>
  </si>
  <si>
    <t>Emmanuel Gonzalez</t>
  </si>
  <si>
    <t>Emy Noemi Vicente Herrera</t>
  </si>
  <si>
    <t>Eneas Valdez Colop</t>
  </si>
  <si>
    <t xml:space="preserve">Enrique Alfonso Lopez Ramirez </t>
  </si>
  <si>
    <t>Erick Adolfo Orellana Lopez</t>
  </si>
  <si>
    <t>Erick Alejandro Aguilar De Leon</t>
  </si>
  <si>
    <t>Erick Antonio Perez Perez</t>
  </si>
  <si>
    <t>Erick Dionicio Alvarez Flores</t>
  </si>
  <si>
    <t>Erick Estuardo Morales Samayoa</t>
  </si>
  <si>
    <t>Erick Gamaliel Pineda Mendez</t>
  </si>
  <si>
    <t>Erick Geovani Pineda Curiales</t>
  </si>
  <si>
    <t>Erick Geovanny Castellanos Perez</t>
  </si>
  <si>
    <t>Erick Guillermo Sierra Escobar</t>
  </si>
  <si>
    <t>Erick Jacob Estrada Barrios</t>
  </si>
  <si>
    <t>Erick Joel Diaz Barrera</t>
  </si>
  <si>
    <t>Erick Josue Martinez Pineda</t>
  </si>
  <si>
    <t>Erick Josue Paredes Mejia</t>
  </si>
  <si>
    <t>Erick Josue Pineda Caceros</t>
  </si>
  <si>
    <t>Erick Manuel Umul Quiej</t>
  </si>
  <si>
    <t>Erick Oswaldo Aguilar Santiago</t>
  </si>
  <si>
    <t>Erick Oswaldo Sierra Vasquez</t>
  </si>
  <si>
    <t>Erick Uriel Sandoval Herrera</t>
  </si>
  <si>
    <t>Ericka Arceli Gonzalez Astorga</t>
  </si>
  <si>
    <t>Ericka Beatriz Tiu Arriola</t>
  </si>
  <si>
    <t>Ericka Carolina Diaz Hernandez</t>
  </si>
  <si>
    <t>Ericka Esperanza Sandoval Hernandez</t>
  </si>
  <si>
    <t>Ericka Florentina Hernandez Bermudes Gonzalez</t>
  </si>
  <si>
    <t>Ericka Gricelda Calderon Lopez</t>
  </si>
  <si>
    <t>Ericka Irene</t>
  </si>
  <si>
    <t>Ericka Mabel Choc Vasquez De Boch</t>
  </si>
  <si>
    <t>Ericka Nathali Huitz Ortega</t>
  </si>
  <si>
    <t>Erickson Amilcar Vasquez Garrido</t>
  </si>
  <si>
    <t>Erickson Eliezer Matzar Cululen   </t>
  </si>
  <si>
    <t>Erik Alexander Quezada De Leon</t>
  </si>
  <si>
    <t>Erik Baudilio Beteta</t>
  </si>
  <si>
    <t>Erik Geovani Quina Chocoj</t>
  </si>
  <si>
    <t>Erik Leonel Alva</t>
  </si>
  <si>
    <t>Erika Alejandra Hernandez Vega</t>
  </si>
  <si>
    <t>Erika Carolina Lopez Chiroy</t>
  </si>
  <si>
    <t>Erika Ixtan Canil</t>
  </si>
  <si>
    <t xml:space="preserve">Erika Yessenia Ramirez Chutan                  </t>
  </si>
  <si>
    <t>Erlin Roberto Xec Angulo</t>
  </si>
  <si>
    <t>Erlinda Elizabeth Cabrera</t>
  </si>
  <si>
    <t>Erlyn Araely De Leon Macario</t>
  </si>
  <si>
    <t>Ernesto David Dominguez Clemente</t>
  </si>
  <si>
    <t xml:space="preserve">Ervin Geovany Macz Cu </t>
  </si>
  <si>
    <t>Erwin Antonio Lorenzo Zamora</t>
  </si>
  <si>
    <t>Erwin Daniel Augusto Quezada Catalan</t>
  </si>
  <si>
    <t>Escarlet Liliana Molina Herrera De Bolaños</t>
  </si>
  <si>
    <t>Esdras Daniel Pablo Solis</t>
  </si>
  <si>
    <t>Esdras Hernandez</t>
  </si>
  <si>
    <t>Esdras Manases Vasquez Vasquez</t>
  </si>
  <si>
    <t>Eskarleth Julieta Coloma Camey</t>
  </si>
  <si>
    <t>Esmaylin Alexis Melchor Lopez</t>
  </si>
  <si>
    <t>Esmeralda Claribel Velasquez Hernandez</t>
  </si>
  <si>
    <t xml:space="preserve">Esteban Alfonzzo Gonzalez Ossuna </t>
  </si>
  <si>
    <t>Esteban Francisco Esteban Virbes</t>
  </si>
  <si>
    <t>Estefani Elizabeth Ambrocio Hernandez</t>
  </si>
  <si>
    <t>Estefani Elizabeth Tzul Macario</t>
  </si>
  <si>
    <t>Estefani Mishel Carpio Alvarado</t>
  </si>
  <si>
    <t>Estefany Catalina Suazo Garcia</t>
  </si>
  <si>
    <t>Estefany Clara Azucena Lopez Ruiz</t>
  </si>
  <si>
    <t xml:space="preserve">Estefany Melissa Gutierrez Franco </t>
  </si>
  <si>
    <t>Estefany Virginia Perez Leiva</t>
  </si>
  <si>
    <t>Ester Yulissa Salazar Sanches</t>
  </si>
  <si>
    <t>Esther Eugenia De Leon Aquino</t>
  </si>
  <si>
    <t>Estrella Guadalupe Aguilar Godoy</t>
  </si>
  <si>
    <t>Estuardo Alejandro Us Chanchavac</t>
  </si>
  <si>
    <t>Estuardo Alexander Castillo Portillo</t>
  </si>
  <si>
    <t>Estuardo Eliseo Guzman Gomez</t>
  </si>
  <si>
    <t>Estuardo Rocael Chivalan Caal</t>
  </si>
  <si>
    <t>Esvin David De Jesus Calanche</t>
  </si>
  <si>
    <t>Eswin Antonio Carrillo Barrera</t>
  </si>
  <si>
    <t>Eswin Aroldo Ordoñez Robles</t>
  </si>
  <si>
    <t>Eswin Leonel Fernandez Diaz</t>
  </si>
  <si>
    <t>Etson Eduardo Hernandez Campos</t>
  </si>
  <si>
    <t xml:space="preserve">Etson Samuel Villatoro Saballos </t>
  </si>
  <si>
    <t>Eugenia Azucely Lopez De De Aguirre</t>
  </si>
  <si>
    <t>Eunice Alejandrina Simon Gonzalez</t>
  </si>
  <si>
    <t>Eva Argentina Ramirez Perez</t>
  </si>
  <si>
    <t>Eva Isabel Lopez Gutierrez</t>
  </si>
  <si>
    <t>Eva Yustinia Lopez Zuñiga</t>
  </si>
  <si>
    <t>Evelin Carolina Poroj Vicente</t>
  </si>
  <si>
    <t>Evelin Gicela Burgos Franco</t>
  </si>
  <si>
    <t>Evelin Lorena Noguera García</t>
  </si>
  <si>
    <t>Evelin Maria Padilla Garcia</t>
  </si>
  <si>
    <t>Evelin Michel Salazar Chun</t>
  </si>
  <si>
    <t xml:space="preserve">Evelin Yadira Batz Choc </t>
  </si>
  <si>
    <t>Evelin Yadira Batz Choc    </t>
  </si>
  <si>
    <t>Evelin Yulissa Lopez Villar</t>
  </si>
  <si>
    <t>Evelyn Julieta Lopez Peralta</t>
  </si>
  <si>
    <t>Evelyn Karina Lorenzana Gomez</t>
  </si>
  <si>
    <t>Evelyn Lux</t>
  </si>
  <si>
    <t>Evelyn Maritza Chumil Monroy</t>
  </si>
  <si>
    <t>Evelyn Marleny Rosales Cutz</t>
  </si>
  <si>
    <t>Evelyn Mishell Catalan Pixtun</t>
  </si>
  <si>
    <t>Evelyn Nohemi Morales Lopez</t>
  </si>
  <si>
    <t>Evelyn Rebeca Lopez Socoy</t>
  </si>
  <si>
    <t>Evelyn Rocio Chiquival Piquic</t>
  </si>
  <si>
    <t>Evelyn Sarai Martinez Jeronimo</t>
  </si>
  <si>
    <t>Evelyn Susana Hernandez Ambrosio</t>
  </si>
  <si>
    <t>Evelyn Yaneth Aceituno Lara</t>
  </si>
  <si>
    <t xml:space="preserve">Evelyn Yojana Galindo Ramos          </t>
  </si>
  <si>
    <t xml:space="preserve">Evelyn Yojana Martinez Reyes </t>
  </si>
  <si>
    <t>Ever Josue Del Valle Rivera</t>
  </si>
  <si>
    <t>Everilda Choc Caal</t>
  </si>
  <si>
    <t>Fabian De Jesus Ramirez Icute</t>
  </si>
  <si>
    <t>Fabiola Hernandez Bartolon</t>
  </si>
  <si>
    <t>Fabiola Ninett Beteta Barillas</t>
  </si>
  <si>
    <t>Fabricio Daniel Cajas Cifuentes</t>
  </si>
  <si>
    <t>Fatima Mercedes Montes Quezada</t>
  </si>
  <si>
    <t>Favio Juan Manuel Citalan Gomez</t>
  </si>
  <si>
    <t>Federico Antonio Coc Choc</t>
  </si>
  <si>
    <t>Feliciana Isabel Ramirez Raymundo</t>
  </si>
  <si>
    <t>Felix Rodolfo Alvarado Jimenez</t>
  </si>
  <si>
    <t>Fernanda Lucia Lopez Estrada</t>
  </si>
  <si>
    <t>Fernanda Rene Villatoro Guarcas</t>
  </si>
  <si>
    <t>Fernando Jose Castillo Ordoñez</t>
  </si>
  <si>
    <t>Fernando Jose Monzon Castañeda</t>
  </si>
  <si>
    <t>Fernando Jose Sintuj Monroy</t>
  </si>
  <si>
    <t xml:space="preserve">Fernando René Gil De León                      </t>
  </si>
  <si>
    <t>Flavio Ernesto Monzón Rummler</t>
  </si>
  <si>
    <t>Flor De Maria Lopez</t>
  </si>
  <si>
    <t>Flor De Maria Mux Ramos</t>
  </si>
  <si>
    <t>Flor Estefany Cun Lopez</t>
  </si>
  <si>
    <t>Flor Sylvestre Orellana Gonzalez</t>
  </si>
  <si>
    <t>Flora Anabella Yaxcal Fernandez</t>
  </si>
  <si>
    <t>Florencia Vanessa Enriquez Galvez</t>
  </si>
  <si>
    <t>Florencio Monterroso Estrada</t>
  </si>
  <si>
    <t>Floridalma Leticia Lopez Ramirez</t>
  </si>
  <si>
    <t>Floridalma Nicolas Yos</t>
  </si>
  <si>
    <t>Florita Reyes Roblero Morales</t>
  </si>
  <si>
    <t>Flory Azucena De Leon Ventura</t>
  </si>
  <si>
    <t>Frances Christina Salles Peña</t>
  </si>
  <si>
    <t>Francis Josue Tomas Escalante</t>
  </si>
  <si>
    <t>Francisco Antonio Davila Morales</t>
  </si>
  <si>
    <t>Francisco Daniel Argueta Ramirez</t>
  </si>
  <si>
    <t>Francisco Javier Diaz Avila</t>
  </si>
  <si>
    <t>Francisco Joel Gomez Rodriguez</t>
  </si>
  <si>
    <t>Francisco Miguel Jordan Lopez</t>
  </si>
  <si>
    <t>Francisco Roberto Contreras Bernardino</t>
  </si>
  <si>
    <t>Francisco Roman Aceytuno Ramos</t>
  </si>
  <si>
    <t>Frandi Emerson Mazariegos Hernandez</t>
  </si>
  <si>
    <t>Franklin Alexander Gomez Urizar</t>
  </si>
  <si>
    <t>Franklin Alexander Perez Paiz</t>
  </si>
  <si>
    <t>Franklin Daniel Herrera Perez</t>
  </si>
  <si>
    <t>Franz Helmut Hernandez Cos</t>
  </si>
  <si>
    <t>Frayan Roberto Merida Escobedo</t>
  </si>
  <si>
    <t>Freddy Reynaldo Velarde Valenzuela</t>
  </si>
  <si>
    <t>Fredy Joel Lopez Santiago</t>
  </si>
  <si>
    <t xml:space="preserve">Gabby Mariett Bautista Bautista           </t>
  </si>
  <si>
    <t>Gabriel Antonio Mucur Arriaga</t>
  </si>
  <si>
    <t>Gabriel Antonio Rodas Domingo</t>
  </si>
  <si>
    <t xml:space="preserve">Gabriel Izquierdo Rodriguez </t>
  </si>
  <si>
    <t>Gabriela Abigail Rodriguez Taracena</t>
  </si>
  <si>
    <t>Gabriela Alejandra Estrada Aroche</t>
  </si>
  <si>
    <t>Gabriela Elizabeth Alvarez Mix</t>
  </si>
  <si>
    <t>Gabriela Elizabeth Flores Santos</t>
  </si>
  <si>
    <t xml:space="preserve">Gabriela Fernanda Ruiz Cervantes </t>
  </si>
  <si>
    <t xml:space="preserve">Gabriela Janet Crisostomo Xuya </t>
  </si>
  <si>
    <t>Gabriela Janneth Alvarez Garcia</t>
  </si>
  <si>
    <t>Gabriela Liseth Perez Monzon</t>
  </si>
  <si>
    <t>Gabriela Melissa Arias Ovando</t>
  </si>
  <si>
    <t>Gabriela Paola Macario Lopez</t>
  </si>
  <si>
    <t>Gabriela Pelaez Gonzalez</t>
  </si>
  <si>
    <t>Gabriela Raquel Pixtun Trujillo</t>
  </si>
  <si>
    <t>Gabriela Valeska Lemus Cotuc</t>
  </si>
  <si>
    <t>Gaby Beatriz Lopez Lopez</t>
  </si>
  <si>
    <t>Gelver Valentin Gonzalez Bravo</t>
  </si>
  <si>
    <t>Genesis Galilea Canizales Guzman</t>
  </si>
  <si>
    <t>Georgina Pamela Galiano Hernandez</t>
  </si>
  <si>
    <t>Geovany Eleazar Garcia Mateo</t>
  </si>
  <si>
    <t>Geraldy Daleska Cuyan Giron</t>
  </si>
  <si>
    <t>Gerber Alexander Saguache Benito</t>
  </si>
  <si>
    <t>Gerber Ariel De Leon Elias</t>
  </si>
  <si>
    <t>Gerber Hermenegildo Mo Bac  </t>
  </si>
  <si>
    <t>Gerberth Aridmendi Arevalo Zepeda</t>
  </si>
  <si>
    <t>German Oliverio Ical Rax</t>
  </si>
  <si>
    <t>Gerson Arcadio Hernandez Barrios</t>
  </si>
  <si>
    <t>Gerson David Ortega Soto</t>
  </si>
  <si>
    <t>Gerson Eduardo Bor Jordan</t>
  </si>
  <si>
    <t>Gerson Emmanuel Lopez Azanon</t>
  </si>
  <si>
    <t>Gerson Rene Galicia Alvarez</t>
  </si>
  <si>
    <t>Gerson Rolando Alcantara Gonzalez</t>
  </si>
  <si>
    <t>Gerver Rivas Hernandez</t>
  </si>
  <si>
    <t>Gewerson Josias Caal Coc</t>
  </si>
  <si>
    <t>Geydi Yanira Roque Esquivel</t>
  </si>
  <si>
    <t>Ginni Andrea Gramajo Lucas</t>
  </si>
  <si>
    <t>Gladis Mishel Aguilar Garcia</t>
  </si>
  <si>
    <t xml:space="preserve">Gladis Morales Cutzal </t>
  </si>
  <si>
    <t>Gladis Nohemi Noj Hernandez De De Leon</t>
  </si>
  <si>
    <t>Gladis Yesenia Cute  </t>
  </si>
  <si>
    <t>Gladiz Maricela Guamuch Caracun Lopez</t>
  </si>
  <si>
    <t>Gladys Eugenia Vicente Tizol</t>
  </si>
  <si>
    <t>Gladys Guadalupe Tuyuc Ramirez</t>
  </si>
  <si>
    <t>Gladys Maribel Chamale Cotzajay</t>
  </si>
  <si>
    <t>Gladys Marleny Rodriguez Tzoc</t>
  </si>
  <si>
    <t>Gladys Susana Marin De Leon</t>
  </si>
  <si>
    <t>Gladyz Ninett Sanchez Perez</t>
  </si>
  <si>
    <t>Glenda De Jesus Mejia Ramirez</t>
  </si>
  <si>
    <t>Glenda Flor Caal</t>
  </si>
  <si>
    <t>Glenda Isabel Perez Velasquez</t>
  </si>
  <si>
    <t>Glenda Maria Alvarado Perez</t>
  </si>
  <si>
    <t>Glenda Mariela Ruiz Aguilar</t>
  </si>
  <si>
    <t>Glendy Aracely Arevalo Estrada</t>
  </si>
  <si>
    <t>Glendy Elizabeth Aspuac Xunux</t>
  </si>
  <si>
    <t>Glendy Modesta Orellana Sanabria</t>
  </si>
  <si>
    <t>Gloria Angelica Torres Franco</t>
  </si>
  <si>
    <t>Gloria Hernandez Reyes</t>
  </si>
  <si>
    <t>Gonzalez Orellana De De Maria Jose Iquite</t>
  </si>
  <si>
    <t>Gonzalo Danilo Castillo Miche</t>
  </si>
  <si>
    <t>Gonzalo Perez Miguel</t>
  </si>
  <si>
    <t>Greyci Yulissa Aliñado Rodriguez</t>
  </si>
  <si>
    <t>Griselda Lorena Cardona Estrada</t>
  </si>
  <si>
    <t>Guadalupe Marroquin Mayen</t>
  </si>
  <si>
    <t>Gualfer Orlando Dieguez Ibanez</t>
  </si>
  <si>
    <t>Gudiel Gonzalo Cac Xo</t>
  </si>
  <si>
    <t>Guerra Jacinto, Julio Alberto</t>
  </si>
  <si>
    <t>Guillermo Alejandro Pirir</t>
  </si>
  <si>
    <t>Gustavo Adolfo Mixtun Sunun</t>
  </si>
  <si>
    <t>Gustavo Ernesto Altan Gonzalez</t>
  </si>
  <si>
    <t>Gustavo Manuel Cifuentes De Mata</t>
  </si>
  <si>
    <t>Habraham Cesar Torres Alfaro</t>
  </si>
  <si>
    <t>Hairo Andre Contreras Paz</t>
  </si>
  <si>
    <t>Hallari Michel Orozco Chapen</t>
  </si>
  <si>
    <t>Hans Estuard Milian Alarcon</t>
  </si>
  <si>
    <t>Haysa Karina Fuentes Salazar</t>
  </si>
  <si>
    <t>Heber Adiel Dardon Batres</t>
  </si>
  <si>
    <t>Heber Benjamin Gomez Ramirez</t>
  </si>
  <si>
    <t>Heber Nehemias Velasquez Lorenzo</t>
  </si>
  <si>
    <t>Heber Uziel Ruiz Escobar</t>
  </si>
  <si>
    <t>Hector Arnoldo Gamaliel Garcia Beteta</t>
  </si>
  <si>
    <t>Hector Estuardo Velasquez Carvajal</t>
  </si>
  <si>
    <t>Hector Leonel Mejicanos Cruz</t>
  </si>
  <si>
    <t>Hector Manuel Pojoy Berduo</t>
  </si>
  <si>
    <t>Hector Marco Tulio Torres Garcia</t>
  </si>
  <si>
    <t>Hector Milciades Medina Chen</t>
  </si>
  <si>
    <t>Hegner Aquino Mateo Recinos</t>
  </si>
  <si>
    <t>Heidi Marleny Fajardo Ortiz De Cojon</t>
  </si>
  <si>
    <t>Heidy Azucena Martinez Garcia</t>
  </si>
  <si>
    <t>Heidy Azucena Zelon Calel</t>
  </si>
  <si>
    <t>Heidy Carolina Monterroso Monterroso</t>
  </si>
  <si>
    <t>Heidy Celeste San Jose Diaz</t>
  </si>
  <si>
    <t>Heidy Karina Gil Quinti</t>
  </si>
  <si>
    <t>Heidy Maria Pamela Barrientos Melgar</t>
  </si>
  <si>
    <t>Heidy Maribel Chavez Soch</t>
  </si>
  <si>
    <t>Heidy Noely Yupe Hernandez</t>
  </si>
  <si>
    <t>Heidy Patricia Santizo López</t>
  </si>
  <si>
    <t>Heidy Sucely Boc Monroy</t>
  </si>
  <si>
    <t>Heidy Yanet Reyes Presencin</t>
  </si>
  <si>
    <t>Heily Marie Taracena Diaz</t>
  </si>
  <si>
    <t>Heilyn Eunice Ramirez Florian</t>
  </si>
  <si>
    <t>Helen Editt Solorzano Estrada</t>
  </si>
  <si>
    <t>Helen Eunice Hernandez Recinos</t>
  </si>
  <si>
    <t xml:space="preserve">Helen Jassmin Reyes Palacios      </t>
  </si>
  <si>
    <t>Helen Xiomara Roldan Sagastume</t>
  </si>
  <si>
    <t xml:space="preserve">Helen Yadira De Leon Quiñonez </t>
  </si>
  <si>
    <t xml:space="preserve">Hellen Andrea Orozco Martin </t>
  </si>
  <si>
    <t>Hellen Marisol Velasquez Ciprian</t>
  </si>
  <si>
    <t>Henry David Lopez Perez</t>
  </si>
  <si>
    <t>Henry De Jesus Mujo Garcia</t>
  </si>
  <si>
    <t>Henry Donaldo Rodriguez Perez</t>
  </si>
  <si>
    <t>Henry Gabriel Morales Chinchilla</t>
  </si>
  <si>
    <t>Henry Gustavo Vasquez Robledo</t>
  </si>
  <si>
    <t>Henry Jose Figueroa Figueroa</t>
  </si>
  <si>
    <t>Henry Misael Serech Ramon</t>
  </si>
  <si>
    <t>Henry Wilfredo Ixcaquic Xum</t>
  </si>
  <si>
    <t>Herber Ardany Lucho Samayoa</t>
  </si>
  <si>
    <t>Herber Humberto Cax Gonzales</t>
  </si>
  <si>
    <t>Herbert Josue Mucia Garcia</t>
  </si>
  <si>
    <t>Herbert Wellington Rodriguez Ramirez</t>
  </si>
  <si>
    <t>Herberth Alberto Barrios Perez</t>
  </si>
  <si>
    <t>Herberth Ivan Garcia Davila</t>
  </si>
  <si>
    <t>Hercy Dayana Hidalgo Romero</t>
  </si>
  <si>
    <t>Herly Sarai Gonzalez Velasquez</t>
  </si>
  <si>
    <t>Herman Gabriel Mendez Castellanos</t>
  </si>
  <si>
    <t>Hernan Antonio Castro Guzman</t>
  </si>
  <si>
    <t xml:space="preserve">Hernandez Andrea Yoselin Cristina </t>
  </si>
  <si>
    <t>Hersson Eduardo Leal Garcia</t>
  </si>
  <si>
    <t>Hesler Jonathan Quevedo De La Cruz</t>
  </si>
  <si>
    <t>Heydee Johana Marisol Cho Del Valle</t>
  </si>
  <si>
    <t>Heydi Yaneth Sales Mazariegos</t>
  </si>
  <si>
    <t>Heydi Zuleyma Gue Cac</t>
  </si>
  <si>
    <t>Heydy Mariela Santiago Armas</t>
  </si>
  <si>
    <t>Hilary Gabriela Solis Gaitan</t>
  </si>
  <si>
    <t>Hilda Janina Diaz</t>
  </si>
  <si>
    <t>Hilda Maria Gonzalez Aguilar</t>
  </si>
  <si>
    <t>Hilda Paola Lopez Cano</t>
  </si>
  <si>
    <t>Horacio Rafael Molina Avila</t>
  </si>
  <si>
    <t>Huber Randolfo Alay Y Alay</t>
  </si>
  <si>
    <t>Hugo David Monroy Pichola</t>
  </si>
  <si>
    <t>Hugo Ezequiel Guevara Gomez</t>
  </si>
  <si>
    <t>Hugo Leonel Tahual Ramos</t>
  </si>
  <si>
    <t>Hugo Rolando Ruiz Alquijay</t>
  </si>
  <si>
    <t>Hugo Vinicio Chavez Barrios</t>
  </si>
  <si>
    <t>Idalia Ester Espino Lopez</t>
  </si>
  <si>
    <t>Ilda Gricelda Garcia Zacarias</t>
  </si>
  <si>
    <t>Ilda Magnolia Lopez Ramirez</t>
  </si>
  <si>
    <t>Ilda Merary Calachij Mendez</t>
  </si>
  <si>
    <t>Ilder Denilson Galicia Tobar</t>
  </si>
  <si>
    <t>Ilsy Meliza Matzir Lebon</t>
  </si>
  <si>
    <t>Imelda Elizabeth Castro Rodas De Quiroa</t>
  </si>
  <si>
    <t>Imelda Eugenia Recinos Martinez</t>
  </si>
  <si>
    <t>Ingrid Alejandra Juarez Yanes</t>
  </si>
  <si>
    <t>Ingrid Esteffany Salazar Sosa</t>
  </si>
  <si>
    <t>Ingrid Haydee Minchez Monzon</t>
  </si>
  <si>
    <t>Ingrid Jenifer Recinos Ramirez</t>
  </si>
  <si>
    <t>Ingrid Johana Muñoz Choc</t>
  </si>
  <si>
    <t xml:space="preserve">Ingrid Leticia Paredes Pulido    </t>
  </si>
  <si>
    <t>Ingrid Lorena Anleu Morales</t>
  </si>
  <si>
    <t>Ingrid Mariela Maldonado Tubac</t>
  </si>
  <si>
    <t>Ingrid Marleny Salazar Santay</t>
  </si>
  <si>
    <t>Ingrid Yojana Ramos Sacalxot</t>
  </si>
  <si>
    <t>Irene Beatriz Pena Orellana</t>
  </si>
  <si>
    <t>Irene Lizbeth Rodas Cuc</t>
  </si>
  <si>
    <t>Iris Elizabeth Cardona Gonzalez</t>
  </si>
  <si>
    <t>Iris Joandris Morales Calderon</t>
  </si>
  <si>
    <t>Iris Mariela Alacan Lemus</t>
  </si>
  <si>
    <t>Iris Marleny Alvarado Barrios</t>
  </si>
  <si>
    <t>Iris Yulisa Camposeco Funes</t>
  </si>
  <si>
    <t>Irma Leticia Raquec Yos</t>
  </si>
  <si>
    <t>Irma Michel Tobar Najarro</t>
  </si>
  <si>
    <t>Irvin Lizardo Miranda Guzman</t>
  </si>
  <si>
    <t>Isaac David Ismael Calderon Socop</t>
  </si>
  <si>
    <t>Isabel Lewin Obiols</t>
  </si>
  <si>
    <t>Isabelita Retana Zepeda</t>
  </si>
  <si>
    <t>Isai Bernabe Quiroa Alvarez</t>
  </si>
  <si>
    <t>Isai De Jesus Cabrera Tirado</t>
  </si>
  <si>
    <t>Ismael Josafat Barrios</t>
  </si>
  <si>
    <t>Ismar Manfredo Gomez Batres</t>
  </si>
  <si>
    <t>Jackeline Andrea Yancor Wilhelm</t>
  </si>
  <si>
    <t>Jackeline Ester Vasquez Pernillo</t>
  </si>
  <si>
    <t>Jackeline Fernanda Perez Juarez</t>
  </si>
  <si>
    <t>Jackeline Larisa De Leon Roldan</t>
  </si>
  <si>
    <t>Jackeline Susana Herrarte Boche</t>
  </si>
  <si>
    <t>Jackelinne Judith Paz Morales</t>
  </si>
  <si>
    <t>Jacqueline Ester Patzan Tzunun</t>
  </si>
  <si>
    <t>Jacqueline Mercedes Portuguez Simaj</t>
  </si>
  <si>
    <t>Jacqueline Michell Arroyo Mendoza</t>
  </si>
  <si>
    <t>Jacqueline Michelle Lopez Barrera</t>
  </si>
  <si>
    <t>Jadurani Devi Dasi Archila Lool</t>
  </si>
  <si>
    <t>Jaime Estuardo Gonzalez Lopez</t>
  </si>
  <si>
    <t>Jaime Ottoniel Del Aguila Pineda</t>
  </si>
  <si>
    <t>Jaime Rene Guzman Muy</t>
  </si>
  <si>
    <t>Jaime Rene Juarez Sanchez</t>
  </si>
  <si>
    <t>Jaime Wilfredo Chub Coc</t>
  </si>
  <si>
    <t>Jairo Alessandro Urbina Santiago</t>
  </si>
  <si>
    <t>Jairo Anibal Veliz Carrera</t>
  </si>
  <si>
    <t xml:space="preserve">Jairo Noel Linarez Gomez </t>
  </si>
  <si>
    <t>Jairo Noel Ordoñez Ciprian</t>
  </si>
  <si>
    <t>Jairo Omar Flores Chitay</t>
  </si>
  <si>
    <t>Jairo Onesimo Aguilar Cabrera</t>
  </si>
  <si>
    <t>Jairo Saul Lopez Quinteros</t>
  </si>
  <si>
    <t>Jakelyn Estrella Erazo Asencio</t>
  </si>
  <si>
    <t>James Alexander Marquez Salazar</t>
  </si>
  <si>
    <t>Jamileth Andreina Arreaga Quin</t>
  </si>
  <si>
    <t>Jannely Darlene Telon Giron</t>
  </si>
  <si>
    <t>Janyer Violeta Aguirre Alvarez</t>
  </si>
  <si>
    <t>Janz Vincent Tunche</t>
  </si>
  <si>
    <t>Jaquelin Gabriela Huertas Juc</t>
  </si>
  <si>
    <t>Jaquelin Paola Lopez Bocel</t>
  </si>
  <si>
    <t>Jaquelin Rocxana Cantey De Leon</t>
  </si>
  <si>
    <t>Jaqueline Adriana Diaz Monterroso</t>
  </si>
  <si>
    <t>Jaqueline Andrea Del Cid Salazar</t>
  </si>
  <si>
    <t>Jaqueline Fernanda Valdez Maldonado De Alonzo</t>
  </si>
  <si>
    <t>Jaqueline Gabriela Vasquez Icute De Padilla</t>
  </si>
  <si>
    <t>Jaqueline Johana Hernandez Masaya</t>
  </si>
  <si>
    <t>Jaqueline Mishel Zetino Culan</t>
  </si>
  <si>
    <t>Jaqueline Mishell Perez Sanic</t>
  </si>
  <si>
    <t>Jaqueline Nayeli Miguel Diaz</t>
  </si>
  <si>
    <t>Jaqueline Noemi Cojon Franco</t>
  </si>
  <si>
    <t xml:space="preserve">Jaqueline Paola Santizo Roman </t>
  </si>
  <si>
    <t>Jaqueline Sarai Reynoso Perez</t>
  </si>
  <si>
    <t>Jaqueline Stephanie Espinoza Espinoza</t>
  </si>
  <si>
    <t>Jaqueline Vanessa Cardona Del Cid</t>
  </si>
  <si>
    <t>Jaquelyn Marleny Fernandez</t>
  </si>
  <si>
    <t>Jarod Emanuel Prado Sanchez</t>
  </si>
  <si>
    <t>Jasly Elisama Escobar Mayen</t>
  </si>
  <si>
    <t>Jasmin Cristabel Rosales</t>
  </si>
  <si>
    <t>Jasminia Sarai Cotzajay Peñate</t>
  </si>
  <si>
    <t>Jason Alberto Bolaños Gutiérrez</t>
  </si>
  <si>
    <t>Javier Estuardo Calderon Caceres</t>
  </si>
  <si>
    <t>Javier Ignacio Monzon Leon</t>
  </si>
  <si>
    <t>Jayro Vinicio Alvarado Rodriguez</t>
  </si>
  <si>
    <t>Jazmin Beatriz Bixcul Bocel</t>
  </si>
  <si>
    <t>Jazmin Estefanie Rios Flores</t>
  </si>
  <si>
    <t>Jefferson Alexander Oliva Cotzojay</t>
  </si>
  <si>
    <t>Jefferson Jose Interiano Solis</t>
  </si>
  <si>
    <t>Jefferson Marvin Baudilio Aldana Lozano</t>
  </si>
  <si>
    <t>Jeffrey Donely Alvarez Garcia</t>
  </si>
  <si>
    <t xml:space="preserve">Jefresson Jimenez </t>
  </si>
  <si>
    <t>Jeicob Manrique Argueta Ovalle</t>
  </si>
  <si>
    <t xml:space="preserve">Jeissy Dariela Castellanos Hernandez     </t>
  </si>
  <si>
    <t>Jency Julissa Chavarria Garcia</t>
  </si>
  <si>
    <t>Jency Noeli Estrada Paredes</t>
  </si>
  <si>
    <t>Jenifer Elizabeth Pelaez Marroquin</t>
  </si>
  <si>
    <t>Jenifer Estrella Alvarez Cruz</t>
  </si>
  <si>
    <t>Jenifer Lisset Chicol Solis</t>
  </si>
  <si>
    <t>Jenifer Lucerito Sique Mayorga</t>
  </si>
  <si>
    <t>Jenifer Lucrecia Herrera Gonzalez</t>
  </si>
  <si>
    <t>Jenifer Maria Lopez Jimenez</t>
  </si>
  <si>
    <t>Jenifer Patricia Ruano Camo</t>
  </si>
  <si>
    <t>Jeniffer Yadaris Villegas Montepeque</t>
  </si>
  <si>
    <t>Jennie Beatriz Aguilar Gonzalez</t>
  </si>
  <si>
    <t>Jennie Juliecita Gonzalez Sanchez</t>
  </si>
  <si>
    <t>Jennifer Alejandra Escobar De Leon</t>
  </si>
  <si>
    <t>Jennifer Carolina Xitimul Aguilar</t>
  </si>
  <si>
    <t>Jennifer Celeste Delgado Garcia</t>
  </si>
  <si>
    <t>Jennifer Dallana Lezana Raxon</t>
  </si>
  <si>
    <t>Jennifer Estefany Argueta De Leon</t>
  </si>
  <si>
    <t>Jennifer Jeaneth Patzan Urizar</t>
  </si>
  <si>
    <t>Jennifer Karla Maria De Leon Yoc</t>
  </si>
  <si>
    <t>Jennifer Leticia Gonzalez Pineda Corado</t>
  </si>
  <si>
    <t>Jennifer Mishel Reyes Solis</t>
  </si>
  <si>
    <t>Jennifer Noemi Soch Castro</t>
  </si>
  <si>
    <t>Jennifer Pahola Calderon Lopez</t>
  </si>
  <si>
    <t>Jennifer Paola Chiroy Julajuj</t>
  </si>
  <si>
    <t>Jennifer Scarlett Garcia Perez</t>
  </si>
  <si>
    <t>Jennifer Vanessa Rodriguez Hernandez</t>
  </si>
  <si>
    <t>Jennifer Veronica Flores Pineda</t>
  </si>
  <si>
    <t>Jennifer Waleska Arévalo Barrios</t>
  </si>
  <si>
    <t xml:space="preserve">Jennifer Yessenia Perez Morales </t>
  </si>
  <si>
    <t>Jenniffer Jazmin Ramos Madriles</t>
  </si>
  <si>
    <t>Jennyfer Cristina Zamora Rosales</t>
  </si>
  <si>
    <t xml:space="preserve">Jeremy Moshe Gonzalez Marroquin       </t>
  </si>
  <si>
    <t>Jerson Herminio Melchor Vasquez</t>
  </si>
  <si>
    <t>Jessica Alejandra Castillo Alvarado</t>
  </si>
  <si>
    <t>Jessica Andrea Leal Reyes</t>
  </si>
  <si>
    <t>Jessica Dayan Ponce Barrios</t>
  </si>
  <si>
    <t>Jessica Elizabeth Perez Noriega</t>
  </si>
  <si>
    <t>Jessica Haydee Garcia Cuyuche</t>
  </si>
  <si>
    <t>Jessica Jasmin Baltazar Fuentes</t>
  </si>
  <si>
    <t>Jessica Maria Jose Santizo Guzman</t>
  </si>
  <si>
    <t>Jessica Meliza Jacobo Carias</t>
  </si>
  <si>
    <t>Jessica Paola Espinoza Solares</t>
  </si>
  <si>
    <t>Jesus Alberto Lima Diaz</t>
  </si>
  <si>
    <t>Jesus Alberto Vasquez</t>
  </si>
  <si>
    <t>Jesus Emanuel Ramos Perez</t>
  </si>
  <si>
    <t>Jhonatan Alexis Ramos Tecun</t>
  </si>
  <si>
    <t>Jhonatan Fernando Rodriguez Giron</t>
  </si>
  <si>
    <t>Jhony Ivan Perez Castillo</t>
  </si>
  <si>
    <t>Jhoseline Esmeralda Medina Rivas</t>
  </si>
  <si>
    <t>Jhoselyn Abichel Lool Guox</t>
  </si>
  <si>
    <t>Jhoselyn Guadalupe Aquino Maldonado</t>
  </si>
  <si>
    <t>Jhosseline Stefanie Zermeño Ayala</t>
  </si>
  <si>
    <t>Jhostin Antonio Lopez Aguilar</t>
  </si>
  <si>
    <t>Jimmy Alfredo Coronado Cabrera</t>
  </si>
  <si>
    <t>Joaquin Alonso Murillo Perez</t>
  </si>
  <si>
    <t>Jocelyn Fabiola Negro Vasquez</t>
  </si>
  <si>
    <t>Joel Bernardino Pu Vicente</t>
  </si>
  <si>
    <t>Johan Rodolfo Valencia Bran</t>
  </si>
  <si>
    <t>Johana Vidalia Chach Ixcoy</t>
  </si>
  <si>
    <t>Johanna Amarilis Hernandez Perez</t>
  </si>
  <si>
    <t>Johanna Cecilia Hernandez Ixtecoc</t>
  </si>
  <si>
    <t>Jonatan Estuardo Lopez Gonzalez</t>
  </si>
  <si>
    <t>Jonatan Guillermo Soto Urbina</t>
  </si>
  <si>
    <t>Jonatan Marel Guerra Guerra</t>
  </si>
  <si>
    <t>Jonatan Mauricio Padilla Marroquin</t>
  </si>
  <si>
    <t>Jonathan Anelka Sac Sandoval</t>
  </si>
  <si>
    <t>Jonathan Daniel Perez Marroquin</t>
  </si>
  <si>
    <t>Jonathan Donely Sandoval Soch</t>
  </si>
  <si>
    <t>Jonathan Estuardo Boteo Hernandez</t>
  </si>
  <si>
    <t xml:space="preserve">Jonathan Fernando Gomez Villatoro          </t>
  </si>
  <si>
    <t>Jonathan Mairon Bolaños Zepeda</t>
  </si>
  <si>
    <t>Jonathan Renato Chete Urias</t>
  </si>
  <si>
    <t>Jonathan Rene Villavicencio Soto</t>
  </si>
  <si>
    <t>Jonnathan Josue Rodas Florian</t>
  </si>
  <si>
    <t>Jony Estuardo Gamarro Chinchilla</t>
  </si>
  <si>
    <t>Jordi Alexander Yuman Ramos</t>
  </si>
  <si>
    <t>Jorge Alberto Buch Patzan</t>
  </si>
  <si>
    <t>Jorge Alexander Herrera Chinchilla</t>
  </si>
  <si>
    <t>Jorge Alfonso Hernandez Chinchilla</t>
  </si>
  <si>
    <t>Jorge Alfredo Gutierrez Rodriguez</t>
  </si>
  <si>
    <t>Jorge Andres Sunum Sacul</t>
  </si>
  <si>
    <t>Jorge Antonio Ramirez Sicay</t>
  </si>
  <si>
    <t>Jorge Ckristian Murga</t>
  </si>
  <si>
    <t>Jorge Daniel Nerio Reyes</t>
  </si>
  <si>
    <t>Jorge Eduardo Fonseca Palacios</t>
  </si>
  <si>
    <t>Jorge Enrique Tzic Cruz</t>
  </si>
  <si>
    <t xml:space="preserve">Jorge Francisco Saban Lopez </t>
  </si>
  <si>
    <t>Jorge Luis Hernandez Corado</t>
  </si>
  <si>
    <t>Jorge Luis Hernandez Juarez</t>
  </si>
  <si>
    <t>Jorge Luis Medrano Ramírez</t>
  </si>
  <si>
    <t>Jorge Luis Morales Lopez</t>
  </si>
  <si>
    <t>Jorge Luis Rizo Melgar</t>
  </si>
  <si>
    <t>Jorge Mario Castañeda Ramos</t>
  </si>
  <si>
    <t xml:space="preserve">Jorge Mario Sic </t>
  </si>
  <si>
    <t>Jorge Ramiro Ixpec Tinti</t>
  </si>
  <si>
    <t>Josabet Anai Paz Lobos</t>
  </si>
  <si>
    <t>Jose Adelso Lem Sun</t>
  </si>
  <si>
    <t>Jose Alberto Alveno Chacon</t>
  </si>
  <si>
    <t>Jose Alberto Sosa</t>
  </si>
  <si>
    <t xml:space="preserve">Jose Albino Albeño Galicia </t>
  </si>
  <si>
    <t>Jose Alejandro Carrera Tecun</t>
  </si>
  <si>
    <t xml:space="preserve">Jose Alejandro Coronado Galindo </t>
  </si>
  <si>
    <t>Jose Alejandro Hernandez Escobar</t>
  </si>
  <si>
    <t>Jose Andres Merida Jimenez</t>
  </si>
  <si>
    <t>Jose Angel Choguix Peren</t>
  </si>
  <si>
    <t>Jose Anibal Reyes Sandoval</t>
  </si>
  <si>
    <t>Jose Antonio Simaj Castro</t>
  </si>
  <si>
    <t>Jose Armando Bamaca De Leon</t>
  </si>
  <si>
    <t>Jose Armando Valdez Juarez</t>
  </si>
  <si>
    <t>Jose Arturo Gonzalez Garcia</t>
  </si>
  <si>
    <t>Jose Baldemar Galicia Muñoz</t>
  </si>
  <si>
    <t>Jose Bernardo Yax Pop</t>
  </si>
  <si>
    <t>Jose Carlos Lopez Santisteban</t>
  </si>
  <si>
    <t>Jose Carlos Morales</t>
  </si>
  <si>
    <t>Jose Carlos Orozco Lopez</t>
  </si>
  <si>
    <t>Jose Carlos Puluc</t>
  </si>
  <si>
    <t>Jose Daniel Sosa Torres</t>
  </si>
  <si>
    <t>Jose Danilo Chacar Saguach</t>
  </si>
  <si>
    <t>Jose David Bamaca Salazar</t>
  </si>
  <si>
    <t>Jose David Flores Enriquez</t>
  </si>
  <si>
    <t>Jose David Jimenez Valle</t>
  </si>
  <si>
    <t xml:space="preserve">Jose Domingo Chub Cao </t>
  </si>
  <si>
    <t>Jose Emilio Yuman Roche</t>
  </si>
  <si>
    <t>Jose Emmanuel Ixcajo Higueros</t>
  </si>
  <si>
    <t>Jose Fernando Chivalan</t>
  </si>
  <si>
    <t>Jose Fernando Hernandez Elias</t>
  </si>
  <si>
    <t>Jose Francisco Aquino Monterroso</t>
  </si>
  <si>
    <t>Jose Gabriel Armas Sandoval</t>
  </si>
  <si>
    <t>Jose Geovanni Castañeda Galindo</t>
  </si>
  <si>
    <t>Jose Guillermo Ixen Queche</t>
  </si>
  <si>
    <t>Jose Guillermo Marroquin Alvarado</t>
  </si>
  <si>
    <t>Jose Leon Choguaj Tojin</t>
  </si>
  <si>
    <t>Jose Leonel Abac Orellana</t>
  </si>
  <si>
    <t>Jose Luis Chay Machic</t>
  </si>
  <si>
    <t>Jose Luis Chinchilla</t>
  </si>
  <si>
    <t>Jose Luis Landaverry Arana</t>
  </si>
  <si>
    <t>Jose Luis Quisquinay Inay</t>
  </si>
  <si>
    <t>Jose Luis Velasquez Miche</t>
  </si>
  <si>
    <t>Jose Manuel Carreto Lopez</t>
  </si>
  <si>
    <t>Jose Manuel Mellado Esquibel</t>
  </si>
  <si>
    <t xml:space="preserve">Jose Manuel Molina Gaitan </t>
  </si>
  <si>
    <t>Jose Manuel Vasquez Osoy</t>
  </si>
  <si>
    <t>Jose Mario Alberto Ordoñez Quiñonez</t>
  </si>
  <si>
    <t>Jose Miguel Angel Noj Aguilar</t>
  </si>
  <si>
    <t>Jose Miguel Santos Roca</t>
  </si>
  <si>
    <t>Jose Miguel Silva Contreras</t>
  </si>
  <si>
    <t>Jose Orlando Lopez Matzar</t>
  </si>
  <si>
    <t>Jose Oscar Antonio Morales</t>
  </si>
  <si>
    <t xml:space="preserve">Jose Rene Salas Macal </t>
  </si>
  <si>
    <t>Jose Roberto Samayoa Bernal</t>
  </si>
  <si>
    <t>Jose Rodrigo Choc Turcios</t>
  </si>
  <si>
    <t xml:space="preserve">Joselin Carolina Matzir Perez </t>
  </si>
  <si>
    <t>Joselin Gabriela Vasquez Vivas</t>
  </si>
  <si>
    <t>Joselin Rocio Galicia Mendez</t>
  </si>
  <si>
    <t>Joseline Beatriz Martinez Vasquez</t>
  </si>
  <si>
    <t>Joseline Otilia Lorenzana Obando</t>
  </si>
  <si>
    <t xml:space="preserve">Joseline Paola Morales Tan </t>
  </si>
  <si>
    <t>Joseline Yolanda Lopez Visioni</t>
  </si>
  <si>
    <t>Joselinne Indira Montufar Garcia</t>
  </si>
  <si>
    <t>Joselyn Amparo Jolon Arenas</t>
  </si>
  <si>
    <t>Joselyn Fabiola Lucero Vanegas</t>
  </si>
  <si>
    <t>Joselyn Manuela Sandoval De Leon</t>
  </si>
  <si>
    <t>Joselyn Rossmery Bailon García</t>
  </si>
  <si>
    <t>Joselyne Elizabeth Sanchez Rodriguez</t>
  </si>
  <si>
    <t>Joselyne Gabriela Ruiz Serra</t>
  </si>
  <si>
    <t>Josh Esdras Manuel Baiza Herrera</t>
  </si>
  <si>
    <t>Joshelyn Andrea Ozuna Rosales</t>
  </si>
  <si>
    <t>Joshua Leonel Pardo Carrera</t>
  </si>
  <si>
    <t>Josselin Azucena Cortez Hernandez</t>
  </si>
  <si>
    <t>Josseline Lorena Hernandez Hurtado</t>
  </si>
  <si>
    <t>Josseline Maribel Sarceno Guerra</t>
  </si>
  <si>
    <t>Josseline Mishel Flores Baren</t>
  </si>
  <si>
    <t>Josselyn Fabiola Xunic Taquiej</t>
  </si>
  <si>
    <t>Josselyn Jasmin Asencio Revolorio De Lopez</t>
  </si>
  <si>
    <t>Josselyn Raab Morales Arana</t>
  </si>
  <si>
    <t>Josthyn Raul Pardo Obregon</t>
  </si>
  <si>
    <t>Josue Adrian Gutierrez Garcia</t>
  </si>
  <si>
    <t>Josue Antonio Avila Cuxe</t>
  </si>
  <si>
    <t>Josue Felipe Lopez Tojin</t>
  </si>
  <si>
    <t>Josue Gamaliel Rivera</t>
  </si>
  <si>
    <t>Josue Helaman Delgado Rivera</t>
  </si>
  <si>
    <t>Josue Isaias Gomez Braco</t>
  </si>
  <si>
    <t>Josue Ivan Escobar De Leon</t>
  </si>
  <si>
    <t>Josue Leonel Hernandez Diaz</t>
  </si>
  <si>
    <t>Josue Miguel Perez Donis</t>
  </si>
  <si>
    <t xml:space="preserve">Josue Omar Rosas Vasquez </t>
  </si>
  <si>
    <t>Josue Orlando Lopez Gonzalez</t>
  </si>
  <si>
    <t>Jovita Vasquez Cuestas</t>
  </si>
  <si>
    <t>Juan Antonio Alvarez Paniagua</t>
  </si>
  <si>
    <t>Juan Antonio Juarez Recinos</t>
  </si>
  <si>
    <t>Juan Aquino Rac</t>
  </si>
  <si>
    <t>Juan Carlos Alvarez Chinchilla</t>
  </si>
  <si>
    <t>Juan Carlos Diaz Esteban</t>
  </si>
  <si>
    <t xml:space="preserve">Juan Carlos Emmanuel Cruz Co </t>
  </si>
  <si>
    <t>Juan Carlos Ivan Garcia Garcia</t>
  </si>
  <si>
    <t>Juan Carlos Lucas Lucas</t>
  </si>
  <si>
    <t>Juan Carlos Molina Ramirez</t>
  </si>
  <si>
    <t>Juan Carlos Perez Cahueque</t>
  </si>
  <si>
    <t>Juan Carlos Salazar Medina</t>
  </si>
  <si>
    <t>Juan Daniel Davila Juarez</t>
  </si>
  <si>
    <t>Juan Daniel Molina Alvarado</t>
  </si>
  <si>
    <t>Juan Enrique Garcia</t>
  </si>
  <si>
    <t>Juan Enrique Jul Coc</t>
  </si>
  <si>
    <t>Juan Fernando Alvarez Argueta</t>
  </si>
  <si>
    <t>Juan Francisco Gudiel Castillo</t>
  </si>
  <si>
    <t>Juan Francisco Lopez Salic</t>
  </si>
  <si>
    <t xml:space="preserve">Juan Francisco Quej Cuc </t>
  </si>
  <si>
    <t>Juan Gabriel Mendoza Alvarez</t>
  </si>
  <si>
    <t>Juan Humberto Barrios Escobar</t>
  </si>
  <si>
    <t>Juan Humberto Castillo Garcia</t>
  </si>
  <si>
    <t>Juan Ignacio Vela Estrada</t>
  </si>
  <si>
    <t>Juan Isael Amador</t>
  </si>
  <si>
    <t>Juan Jose Cifuentes Chavez</t>
  </si>
  <si>
    <t>Juan Jose Mancilla Zimmermann</t>
  </si>
  <si>
    <t>Juan Jose Rodriguez Catu</t>
  </si>
  <si>
    <t>Juan Jose Sarceño Siquiej</t>
  </si>
  <si>
    <t>Juan Jose Zelada Vega</t>
  </si>
  <si>
    <t>Juan Luis Ajcet Xicay</t>
  </si>
  <si>
    <t>Juan Luis Citalan Rodriguez</t>
  </si>
  <si>
    <t>Juan Luis Soyos Tzoy</t>
  </si>
  <si>
    <t>Juan Manuel Gomez Sampuel</t>
  </si>
  <si>
    <t>Juan Manuel Lopez Hernandez</t>
  </si>
  <si>
    <t xml:space="preserve">Juan Manuel Macario Reyna </t>
  </si>
  <si>
    <t>Juan Pablo Marroquin Franco</t>
  </si>
  <si>
    <t>Juan Pedro Tiney Cax</t>
  </si>
  <si>
    <t>Juan Ramon Guerra Martinez</t>
  </si>
  <si>
    <t>Juana Candelaria Lorenzo Matero De Bartolo</t>
  </si>
  <si>
    <t>Juana Del Carmen Arias Lopez</t>
  </si>
  <si>
    <t>Juana Ester Alvarez Tuluxan</t>
  </si>
  <si>
    <t>Judith Sarai Medrano Orellana</t>
  </si>
  <si>
    <t>Julia Damaris Raquel Ramirez Torres</t>
  </si>
  <si>
    <t>Julia Lizeth Valdez De Leon</t>
  </si>
  <si>
    <t xml:space="preserve">Julieta Oneida Moreales Toledo </t>
  </si>
  <si>
    <t>Julio Amilcar Oswaldo Ico Rey</t>
  </si>
  <si>
    <t>Julio Antonio Gonzalez Izaguirre</t>
  </si>
  <si>
    <t>Julio Belarmino Mendez Camey</t>
  </si>
  <si>
    <t xml:space="preserve">Julio Cesar Caceros </t>
  </si>
  <si>
    <t>Julio Cesar Cuellar Revolorio</t>
  </si>
  <si>
    <t>Julio Cesar De Leon Huinac</t>
  </si>
  <si>
    <t xml:space="preserve">Julio Cesar Lopez Lopez </t>
  </si>
  <si>
    <t>Julio David Ambrosio Hernandez</t>
  </si>
  <si>
    <t>Julio Enrique Mejia Cabrera</t>
  </si>
  <si>
    <t>Julio Francisco Ajcu Paz</t>
  </si>
  <si>
    <t>Julio Rene Medina Mendez</t>
  </si>
  <si>
    <t>Julio Sebastian Chicaj Chich</t>
  </si>
  <si>
    <t>Julissa Cristiany Escobar Aceituno</t>
  </si>
  <si>
    <t>Junior Stiven Gonzalez Fuentes</t>
  </si>
  <si>
    <t>Justin Imanol Ramos Barillas</t>
  </si>
  <si>
    <t>Karen Alejandra Cotoc Valdes</t>
  </si>
  <si>
    <t>Karen Dayana Xiquin Sanchez Garcia</t>
  </si>
  <si>
    <t>Karen Deniss Lucas Chavez</t>
  </si>
  <si>
    <t>Karen Elizabeth Racancoj Tin</t>
  </si>
  <si>
    <t>Karen Elizabeth Roman Castellanos</t>
  </si>
  <si>
    <t>Karen Faviola Lutin Sanchez</t>
  </si>
  <si>
    <t>Karen Gabriela Uz Shalix</t>
  </si>
  <si>
    <t>Karen Guadalupe Valle Paredes</t>
  </si>
  <si>
    <t>Karen Jamara Luna Menendez</t>
  </si>
  <si>
    <t>Karen Jasmin Perez Coronado</t>
  </si>
  <si>
    <t>Karen Jeanet Pacheco Gomez</t>
  </si>
  <si>
    <t>Karen Julisa Fernandez Vides</t>
  </si>
  <si>
    <t>Karen Leticia Vasquez Castañeda</t>
  </si>
  <si>
    <t>Karen Marilu Chavez Suchite</t>
  </si>
  <si>
    <t>Karen Marleny Perez Fuentes</t>
  </si>
  <si>
    <t>Karen Melissa Munoz Guevara</t>
  </si>
  <si>
    <t>Karen Meliza Saavedra Morataya</t>
  </si>
  <si>
    <t xml:space="preserve">Karen Mishel Gomez Meda </t>
  </si>
  <si>
    <t xml:space="preserve">Karen Mishell Aceituno Benito </t>
  </si>
  <si>
    <t>Karen Mishelle Chavez Segura</t>
  </si>
  <si>
    <t>Karen Nohemi Perez Santos</t>
  </si>
  <si>
    <t>Karen Rubi Perez Calderon</t>
  </si>
  <si>
    <t>Karen Susana Marcos Yupe</t>
  </si>
  <si>
    <t>Karen Verali Sagastume Oliveros</t>
  </si>
  <si>
    <t>Karen Yamileth Rosales Alarcon</t>
  </si>
  <si>
    <t>Karim Yaneth Mendez Hidalgo</t>
  </si>
  <si>
    <t>Karin Liseth Son Chonay</t>
  </si>
  <si>
    <t>Karin Yesenia Nova Posadas</t>
  </si>
  <si>
    <t>Karin Zulema Molina Fonseca</t>
  </si>
  <si>
    <t>Karina Lizeth Pineda Ortiz</t>
  </si>
  <si>
    <t>Karina Yesenia Fuentes Marroquin</t>
  </si>
  <si>
    <t>Karla Alejandra Chavez Peña</t>
  </si>
  <si>
    <t>Karla Daniela Vielman Giron</t>
  </si>
  <si>
    <t>Karla Elizabeth Lopez Tupul</t>
  </si>
  <si>
    <t>Karla Eunice Godinez Mendoza</t>
  </si>
  <si>
    <t>Karla Gabriela Brenes Gudiel</t>
  </si>
  <si>
    <t>Karla Hidania Cardenas Flores</t>
  </si>
  <si>
    <t>Karla Jasmin Pelen Rafael</t>
  </si>
  <si>
    <t>Karla Lisbett Reyes Perez</t>
  </si>
  <si>
    <t>Karla Maria Montejo Martinez</t>
  </si>
  <si>
    <t>Karla Mariela Lopez Salguero</t>
  </si>
  <si>
    <t>Karla Melisa Trejo Lopez</t>
  </si>
  <si>
    <t>Karla Nineth Guzman Carrera De Velasquez</t>
  </si>
  <si>
    <t>Karla Paola Martinez Salazar</t>
  </si>
  <si>
    <t>Karla Paola Solorzano Monroy</t>
  </si>
  <si>
    <t>Karla Patricia Minera Alvarado</t>
  </si>
  <si>
    <t>Karla Rosario Martinez Soto</t>
  </si>
  <si>
    <t>Karla Sofia Estacuy Osorio</t>
  </si>
  <si>
    <t>Karla Veronica Zepeda Moran</t>
  </si>
  <si>
    <t>Karla Yaneth Vasquez Gomez</t>
  </si>
  <si>
    <t>Karla Yanira Francisco Morales</t>
  </si>
  <si>
    <t>Karla Yanira Franco Perez</t>
  </si>
  <si>
    <t>Karla Yessenia Garcia Lopez</t>
  </si>
  <si>
    <t>Karla Yoleth Tomas Chacaj</t>
  </si>
  <si>
    <t>Karol Liset Reyes Alvarez</t>
  </si>
  <si>
    <t>Karol Stephany Maritza Lopez Tista</t>
  </si>
  <si>
    <t>Karolyn Gisselle Palma Ramirez</t>
  </si>
  <si>
    <t>Kasey Alexandre Moreno Sajche</t>
  </si>
  <si>
    <t>Katerin Mariela Miranda Perez</t>
  </si>
  <si>
    <t>Katerine Andrea Mansilla Vasquez</t>
  </si>
  <si>
    <t>Katerine Fabiola Jimenez Cruz</t>
  </si>
  <si>
    <t>Katherin Jazmin Lemus Marcos</t>
  </si>
  <si>
    <t>Katherin Maria Curiales Catalan</t>
  </si>
  <si>
    <t>Katherin Melissa Molina Santa Cruz De Alvarado</t>
  </si>
  <si>
    <t>Katherin Valeria Chete Zelada</t>
  </si>
  <si>
    <t>Katherine Andreina Rodriguez Flores</t>
  </si>
  <si>
    <t>Katherine Dayana Sinay Colindres</t>
  </si>
  <si>
    <t>Katherine Guissele Camey Gonzalez</t>
  </si>
  <si>
    <t>Katherine Lucia Carranza Ortega</t>
  </si>
  <si>
    <t>Katherine Maria Pereira Estacuy</t>
  </si>
  <si>
    <t>Katherine Stephani Cazanga Giron</t>
  </si>
  <si>
    <t>Katherine Yessenia Echeverria Juarez</t>
  </si>
  <si>
    <t>Katherine Yorleny Montepeque Echeverria</t>
  </si>
  <si>
    <t>Katherinne Marleny Ruano Vasquez</t>
  </si>
  <si>
    <t>Katheryn Beatriz Alvarez Monroy</t>
  </si>
  <si>
    <t>Katheryn Elizabeth Blanco Echeverria </t>
  </si>
  <si>
    <t>Katheryn Nohemi Pineda Sun</t>
  </si>
  <si>
    <t>Kathleen Yadira Martinez Salazar</t>
  </si>
  <si>
    <t>Katteryne Mishell Samayoa</t>
  </si>
  <si>
    <t>Keila Abigail Lopez Argueta</t>
  </si>
  <si>
    <t>Keila Ephsiba Morales Montenegro</t>
  </si>
  <si>
    <t>Keila Judit Franco Torres</t>
  </si>
  <si>
    <t>Keila Paola Calderon Lopez</t>
  </si>
  <si>
    <t xml:space="preserve">Keili Pablo </t>
  </si>
  <si>
    <t>Keili Yanira Arceno Solano</t>
  </si>
  <si>
    <t>Keilla Estefanie Lopez Ramirez</t>
  </si>
  <si>
    <t xml:space="preserve">Keitlin Anahi Martinez Castillo </t>
  </si>
  <si>
    <t>Kelly Dayanna Patzan Giron</t>
  </si>
  <si>
    <t>Kelvin Americo Sosa Ochoa</t>
  </si>
  <si>
    <t>Kendy Daniela Ramirez Lopez</t>
  </si>
  <si>
    <t>Kenia Estefania Mateo Castro</t>
  </si>
  <si>
    <t xml:space="preserve">Kenny Elizabeth Cifuentes Aguilar </t>
  </si>
  <si>
    <t>Kevin Alberto Castillo Matias</t>
  </si>
  <si>
    <t>Kevin Alberto Lopez Ortiz</t>
  </si>
  <si>
    <t>Kevin Alexander Escobar Cante</t>
  </si>
  <si>
    <t>Kevin Amilcar Cor Guzman</t>
  </si>
  <si>
    <t>Kevin Antonio Orozco Ramirez</t>
  </si>
  <si>
    <t>Kevin Antonio Perez Gonzalez</t>
  </si>
  <si>
    <t>Kevin Daniel Chonay Perez</t>
  </si>
  <si>
    <t>Kevin Danilo Merida Acajabon</t>
  </si>
  <si>
    <t>Kevin Doley Alexander Gomez Lopez</t>
  </si>
  <si>
    <t>Kevin Eduardo Paxtor De León</t>
  </si>
  <si>
    <t xml:space="preserve">Kevin Emanuel Orellana Barrientos </t>
  </si>
  <si>
    <t>Kevin Estuardo Ramirez España</t>
  </si>
  <si>
    <t>Kevin Estuardo Yac Garcia</t>
  </si>
  <si>
    <t>Kevin Geovani Coyoy Lopez</t>
  </si>
  <si>
    <t>Kevin Geovani Martinez Merida</t>
  </si>
  <si>
    <t>Kevin Javier Ortiz Gonzalez</t>
  </si>
  <si>
    <t>Kevin Jordano Barrios Chin</t>
  </si>
  <si>
    <t>Kevin Jose Mijangos Vasquez</t>
  </si>
  <si>
    <t>Kevin Josue Moscoso Espino</t>
  </si>
  <si>
    <t>Kevin Josue Sevilla Nieto</t>
  </si>
  <si>
    <t>Kevin Manuel Perez Orozco</t>
  </si>
  <si>
    <t>Kevin Omar Ortiz Contreras</t>
  </si>
  <si>
    <t>Kevin Orlando Ventura Lopez</t>
  </si>
  <si>
    <t>Kevin Rene Medrano Sarceño</t>
  </si>
  <si>
    <t>Kevin Ruben Perez Lopez</t>
  </si>
  <si>
    <t>Kevin Samuel Guamuch Guardado</t>
  </si>
  <si>
    <t>Kevin Saul Rodriguez Vasquez</t>
  </si>
  <si>
    <t>Kevin Steve Barrera Galicia</t>
  </si>
  <si>
    <t>Kevin Winston Chavez Alvarez</t>
  </si>
  <si>
    <t>Keyla Cristy Dubon Pernillo</t>
  </si>
  <si>
    <t>Keyly Maeli Roblero Chile</t>
  </si>
  <si>
    <t>Kezmi Romani Garcia Mendez</t>
  </si>
  <si>
    <t>Kimberly Anayanci Tello Morales</t>
  </si>
  <si>
    <t>Kimberly Dayanna Herrera Marroquin</t>
  </si>
  <si>
    <t>Kimberly Guadalupe Mulul Pelico</t>
  </si>
  <si>
    <t>Kimberly Guadalupe Soto</t>
  </si>
  <si>
    <t>Kimberly Judith Lopez Amaya</t>
  </si>
  <si>
    <t>Kimberly Melissa Juarez Ramirez</t>
  </si>
  <si>
    <t>Kimberly Mishel Merida Cortez</t>
  </si>
  <si>
    <t>Kimberly Nohemi Alvarado Toj</t>
  </si>
  <si>
    <t>Kimberly Suseli Ibarra Barahona</t>
  </si>
  <si>
    <t>Kimberly Yasmin Alvarado Veliz</t>
  </si>
  <si>
    <t>Kimberly Yasmin Leiva Herrera</t>
  </si>
  <si>
    <t>Kimberly Zussette Hernandez Puac</t>
  </si>
  <si>
    <t>Kirsten Jordana Santandrea Montenegro</t>
  </si>
  <si>
    <t>Kleidy Smaily Lopez Lopez De Vicente</t>
  </si>
  <si>
    <t>Klisman Julio Rolando Lopez Garcia</t>
  </si>
  <si>
    <t>Krisla Mayte Madrigales Palencia</t>
  </si>
  <si>
    <t>Krisley Mary Dayana Mazariegos Vega</t>
  </si>
  <si>
    <t>Kristel Michelle Erazo Payes</t>
  </si>
  <si>
    <t>Laiza Marleny Gomez Garcia De Gomez</t>
  </si>
  <si>
    <t>Larry Noel Gomez Cuellar</t>
  </si>
  <si>
    <t>Laura Angelica Lux Tzunun</t>
  </si>
  <si>
    <t>Laura Cecilia De Leon Zapeta</t>
  </si>
  <si>
    <t>Laura Dairis Analy Zeceña Minera</t>
  </si>
  <si>
    <t>Laura Estefania Cardona Mateo</t>
  </si>
  <si>
    <t>Laura Gabriela Hernandez Merida</t>
  </si>
  <si>
    <t>Laura Jajairy Ramirez Veron</t>
  </si>
  <si>
    <t>Laura Lisbeth Gonzalez Ajin</t>
  </si>
  <si>
    <t xml:space="preserve">Laura Yessenia Trabanino Interiano </t>
  </si>
  <si>
    <t>Lazaro Castro Cajanti</t>
  </si>
  <si>
    <t>Lea Maria Lopez Agustin</t>
  </si>
  <si>
    <t>Legbi Evangelina Martinez Vicente</t>
  </si>
  <si>
    <t>Legna Magali Juarez Aroche Cardoza</t>
  </si>
  <si>
    <t>Leidy Ana Macz Valey</t>
  </si>
  <si>
    <t>Leidy Marisol Perez Arias</t>
  </si>
  <si>
    <t>Lely Herrera Molina</t>
  </si>
  <si>
    <t>Leon Vicente Estuardo Ical Chub</t>
  </si>
  <si>
    <t>Leonardo Bocel Lopez</t>
  </si>
  <si>
    <t>Lesbia Roxana Rojas Castro</t>
  </si>
  <si>
    <t>Lesli Carolina Iquique Chamale</t>
  </si>
  <si>
    <t>Lesli Paola Mendez Palencia</t>
  </si>
  <si>
    <t>Lesli Paola Vasquez Villalta</t>
  </si>
  <si>
    <t>Leslie Karina Peliz Garcia</t>
  </si>
  <si>
    <t>Leslie Saray Munoz Iturrios</t>
  </si>
  <si>
    <t>Leslie Veronica Varela Echeverria</t>
  </si>
  <si>
    <t>Lesly Alejandra Estrada Chacon</t>
  </si>
  <si>
    <t>Lesly Alejandra Urbina Chojolan</t>
  </si>
  <si>
    <t>Lesly Alejandra Zeto Perez</t>
  </si>
  <si>
    <t>Lesly Anali Monterroso Ramirez</t>
  </si>
  <si>
    <t>Lesly Araceli Mendez Gonzalez</t>
  </si>
  <si>
    <t>Lesly Aurora Hernandez Godoy</t>
  </si>
  <si>
    <t>Lesly Fabiola Solorzano Garcia</t>
  </si>
  <si>
    <t xml:space="preserve">Lesly Gabriela Caal Pineda </t>
  </si>
  <si>
    <t xml:space="preserve">Lesly Julis Cordon Mujo </t>
  </si>
  <si>
    <t>Lesly Julisa Cordon Mujo</t>
  </si>
  <si>
    <t>Lesly Lisseth Ligorria Torres</t>
  </si>
  <si>
    <t>Lesly Maribel Hidalgo Barrios</t>
  </si>
  <si>
    <t>Lesly Marileny De Leon De Leon</t>
  </si>
  <si>
    <t xml:space="preserve">Lesly Mishel Herrera Maldonado </t>
  </si>
  <si>
    <t>Lesly Nereyda Ixquiac Vidaurre</t>
  </si>
  <si>
    <t>Lesly Noemi Morales Molina</t>
  </si>
  <si>
    <t>Lesly Rocio Castillo Sandoval</t>
  </si>
  <si>
    <t>Lesly Rosibel Asencio Estrada</t>
  </si>
  <si>
    <t>Lesly Sucely Ramirez Maxin</t>
  </si>
  <si>
    <t>Lesly Vanessa Jerez Herrera</t>
  </si>
  <si>
    <t>Lesly Yohanna Ramirez Sarceño</t>
  </si>
  <si>
    <t>Lester Aaron Lopez Orantes</t>
  </si>
  <si>
    <t>Lester Alexander Rodriguez Arevalo</t>
  </si>
  <si>
    <t>Lester Daniel Gil Mayen</t>
  </si>
  <si>
    <t>Lester Giovanni Barrios Gonzalez</t>
  </si>
  <si>
    <t>Lester Juan Jose Arevalo Reynoso</t>
  </si>
  <si>
    <t>Lester Manfredo Gonzalez De Paz</t>
  </si>
  <si>
    <t>Lester Mauricio Perez Martinez</t>
  </si>
  <si>
    <t>Lester Onelio Lopez Rosales</t>
  </si>
  <si>
    <t>Lester Ottoniel Martinez Gonzalez</t>
  </si>
  <si>
    <t>Levy Jhafreth Molina Castellanos</t>
  </si>
  <si>
    <t>Leycer Ulices Cana Andrade</t>
  </si>
  <si>
    <t>Leysi Lissett Ramirez Figueroa</t>
  </si>
  <si>
    <t>Leysly Rubi Panchoy Rivera</t>
  </si>
  <si>
    <t>Leyvi Diana Morales Garrido</t>
  </si>
  <si>
    <t>Leyvis Anihela Melendez Garcia</t>
  </si>
  <si>
    <t xml:space="preserve">Libni Madai Lopez </t>
  </si>
  <si>
    <t>Lidia Sarahi Rodriguez Zamora</t>
  </si>
  <si>
    <t>Ligia Carolina Marroquin Flores</t>
  </si>
  <si>
    <t>Ligia Delfina Caal Coy</t>
  </si>
  <si>
    <t>Ligia Iveth Marroquin Lechuga</t>
  </si>
  <si>
    <t>Lili Azucena Perez Yantuch</t>
  </si>
  <si>
    <t>Liliam Lisseth Santizo Mejia De Cordova</t>
  </si>
  <si>
    <t>Lilian Carolina Quiñonez Garcia</t>
  </si>
  <si>
    <t>Lilian Del Carmen Franco Curin</t>
  </si>
  <si>
    <t>Lilian Elizabeth Diaz Rivera</t>
  </si>
  <si>
    <t>Lilian Evelyn Sajbochol Garcia</t>
  </si>
  <si>
    <t>Lilian Jose Lopez Quevedo</t>
  </si>
  <si>
    <t>Lilian Maria Navas Gonzalez</t>
  </si>
  <si>
    <t>Lilian Nohemi Santos Bailon</t>
  </si>
  <si>
    <t>Lilian Vanessa Tezó Monterroso</t>
  </si>
  <si>
    <t>Lilian Yomara Perez Ajxup</t>
  </si>
  <si>
    <t>Liliana Marisela Chamorro Tax</t>
  </si>
  <si>
    <t>Lilibette Alejandra Tezcucano De La Cruz</t>
  </si>
  <si>
    <t>Lima Contreras, Carolina Azucena</t>
  </si>
  <si>
    <t>Lima Hernandez, Joselyn Marilu</t>
  </si>
  <si>
    <t>Linda Aracely Garcia Beteta</t>
  </si>
  <si>
    <t xml:space="preserve">Linda Esperanza Male Carrera </t>
  </si>
  <si>
    <t>Linda Esperanza Monges Torres</t>
  </si>
  <si>
    <t>Linda Garcia          </t>
  </si>
  <si>
    <t>Linda Gineli Segura Perez</t>
  </si>
  <si>
    <t>Linda Llusely Sarat Cordova</t>
  </si>
  <si>
    <t>Linsi Mishell Batz Marroquin</t>
  </si>
  <si>
    <t>Lisber Melisa Zacarias Lopez</t>
  </si>
  <si>
    <t>Lisbeth Carolina Hernandez Urrutia</t>
  </si>
  <si>
    <t>Lisbeth Jeaneth Sucup</t>
  </si>
  <si>
    <t>Lisbeth Noemi Hernandez Giron</t>
  </si>
  <si>
    <t>Lisbeth Sarai Gutierrez Oscal</t>
  </si>
  <si>
    <t>Lisbeth Victoria Garcia</t>
  </si>
  <si>
    <t>Liseth Aldai De La Cruz Lopez</t>
  </si>
  <si>
    <t>Liza Aracely Ramirez Rodas</t>
  </si>
  <si>
    <t>Lizbeth Liliana Peren Velasquez</t>
  </si>
  <si>
    <t>Llori Eriselda Zuñiga Gomez</t>
  </si>
  <si>
    <t>Loida Eunice Celada Panjoj De Polanco</t>
  </si>
  <si>
    <t>Loida Raquel Juarez Ixpata</t>
  </si>
  <si>
    <t>Londy Yazmin Gonzalez Ramirez</t>
  </si>
  <si>
    <t>Lopez Morales, Andrea Lucia</t>
  </si>
  <si>
    <t>Loren Alejandra Gutierrez Perez</t>
  </si>
  <si>
    <t>Lorena Elisbeth Gomez Ajanel</t>
  </si>
  <si>
    <t>Lorenzo Antonio Herrera Tobar</t>
  </si>
  <si>
    <t>Lourdes Cristina Flores Tahuite</t>
  </si>
  <si>
    <t>Lourdes Guadalupe Solorzano Herrera</t>
  </si>
  <si>
    <t>Lourdes Mayari Ramirez Ramirez</t>
  </si>
  <si>
    <t>Lourdes Yamileth Escobar Recinos</t>
  </si>
  <si>
    <t>Lucia Adali Alvarado Juarez</t>
  </si>
  <si>
    <t>Luciana Emilia Gonzalez Samayoa</t>
  </si>
  <si>
    <t>Lucinda Nova Garcia</t>
  </si>
  <si>
    <t>Lucio Omar Chavez Chavez</t>
  </si>
  <si>
    <t>Ludbind Alexander Noriega Chavez</t>
  </si>
  <si>
    <t>Ludwin Enrique Pineda Soto</t>
  </si>
  <si>
    <t xml:space="preserve">Ludwin Oscar David Chavez </t>
  </si>
  <si>
    <t>Ludwyn Alejandro Estrada Giron</t>
  </si>
  <si>
    <t>Luis Alan Caceros Chub</t>
  </si>
  <si>
    <t>Luis Alberto Figueroa Vasquez</t>
  </si>
  <si>
    <t>Luis Alberto Najera Solis</t>
  </si>
  <si>
    <t>Luis Alberto Perez Barrios</t>
  </si>
  <si>
    <t>Luis Alexsander Barco Ramirez</t>
  </si>
  <si>
    <t>Luis Alfredo Ruben Castillo Mejia</t>
  </si>
  <si>
    <t>Luis Angel Galvez Morales</t>
  </si>
  <si>
    <t>Luis Angel Peñalonzo Muños</t>
  </si>
  <si>
    <t>Luis Antonio Cotzajay Quelex</t>
  </si>
  <si>
    <t>Luis Armando Ramirez De Leon</t>
  </si>
  <si>
    <t>Luis Arturo Fuentes Jerez</t>
  </si>
  <si>
    <t>Luis Carlos Morales Lopez</t>
  </si>
  <si>
    <t>Luis De Jesus Julian Lopez</t>
  </si>
  <si>
    <t>Luis Diego Figueroa Coronado</t>
  </si>
  <si>
    <t>Luis Eduardo Carranza Guzman</t>
  </si>
  <si>
    <t>Luis Eduardo Corado Lara</t>
  </si>
  <si>
    <t>Luis Eduardo Fuentes Flores</t>
  </si>
  <si>
    <t>Luis Eduardo Gonzalez Arriaza</t>
  </si>
  <si>
    <t>Luis Eduardo Ramirez Arriaza</t>
  </si>
  <si>
    <t xml:space="preserve">Luis Emanuel Duque Rustrian </t>
  </si>
  <si>
    <t>Luis Ernesto Medrano Chajon</t>
  </si>
  <si>
    <t>Luis Felipe Cuzal Gomez</t>
  </si>
  <si>
    <t>Luis Fernando Alvarado Tocay</t>
  </si>
  <si>
    <t>Luis Fernando Cuque Marquez</t>
  </si>
  <si>
    <t>Luis Fernando Ixen Fuentes</t>
  </si>
  <si>
    <t>Luis Fernando Jerez Perez</t>
  </si>
  <si>
    <t>Luis Fernando Lopez Lopez</t>
  </si>
  <si>
    <t xml:space="preserve">Luis Fernando Lopez Vasquez </t>
  </si>
  <si>
    <t>Luis Fernando Martin Mateo</t>
  </si>
  <si>
    <t>Luis Fernando Morales Chocoy</t>
  </si>
  <si>
    <t>Luis Fernando Perez Torres</t>
  </si>
  <si>
    <t>Luis Fernando Ramos Reynoso</t>
  </si>
  <si>
    <t>Luis Fernando Roche Valenzuela</t>
  </si>
  <si>
    <t>Luis Fernando Rodas Pineda</t>
  </si>
  <si>
    <t>Luis Fernando Santos Aguilar</t>
  </si>
  <si>
    <t>Luis Fernando Valle Cuyun</t>
  </si>
  <si>
    <t>Luis Giovanni Coronado Vasquez</t>
  </si>
  <si>
    <t>Luis Miguel Camaja Recinos</t>
  </si>
  <si>
    <t>Luis Miguel Lopez Vasquez</t>
  </si>
  <si>
    <t>Luis Pedro Herrera España</t>
  </si>
  <si>
    <t>Luis Rene Morales Lopez</t>
  </si>
  <si>
    <t>Luis Rodrigo Polanco Marroquin</t>
  </si>
  <si>
    <t>Luis Tito Rene Esquivel Yancor</t>
  </si>
  <si>
    <t>Luisa Fernanda Castro Garcia</t>
  </si>
  <si>
    <t>Luisa Fernanda Marroquin Tiguila</t>
  </si>
  <si>
    <t>Lupita Genesis Granados Valenzuela</t>
  </si>
  <si>
    <t>Lusi Angelica Coyoy Hernandez</t>
  </si>
  <si>
    <t>Lusvin Ariel Villacinda Flores</t>
  </si>
  <si>
    <t>Luz Mariela Donis Gonzalez</t>
  </si>
  <si>
    <t>Luzwing Adelso Gonzalez Ramirez     </t>
  </si>
  <si>
    <t>Madelin Ibett Chacon Yat</t>
  </si>
  <si>
    <t>Madelin Raquel Garcia Punay</t>
  </si>
  <si>
    <t>Madelin Yamiled Martinez Vasquez</t>
  </si>
  <si>
    <t>Madelyn Estefany Vega Velasquez</t>
  </si>
  <si>
    <t>Madelyn Siomara Mazul De Leon</t>
  </si>
  <si>
    <t>Madelyn Virginia Lopez Ortega</t>
  </si>
  <si>
    <t>Magda Beatriz Galvez Fernandez</t>
  </si>
  <si>
    <t>Magda Corina Gutierrez Yool</t>
  </si>
  <si>
    <t>Magda Danira Catalan Paz</t>
  </si>
  <si>
    <t>Magda Karina Mendoza Hernandez</t>
  </si>
  <si>
    <t>Magda Nohemi Mo Yalibat</t>
  </si>
  <si>
    <t>Magdalena Noemi Leonardo Ventura</t>
  </si>
  <si>
    <t>Mahely Elva Maria Franco Gualim</t>
  </si>
  <si>
    <t>Malcky Jasmin Herrera Hernandez</t>
  </si>
  <si>
    <t xml:space="preserve">Mandi Jannette Huinac López </t>
  </si>
  <si>
    <t>Manfredo Alexander Castillo Quex</t>
  </si>
  <si>
    <t>Manfredo Isaias Orozco Perez</t>
  </si>
  <si>
    <t>Manlio Alcides Godinez Yanez</t>
  </si>
  <si>
    <t>Manuel Adan Suruy Jimenez</t>
  </si>
  <si>
    <t>Manuel Eduardo Garcia Diaz</t>
  </si>
  <si>
    <t>Manuel Enrique Espinoza Cermeño</t>
  </si>
  <si>
    <t>Manuel Estuardo Arriaga Garcia</t>
  </si>
  <si>
    <t xml:space="preserve">Manuel Estuardo Mejia Ayerdi </t>
  </si>
  <si>
    <t>Manuela Lucrecia Salvador Sical</t>
  </si>
  <si>
    <t>Marbin Yobani Calderon Vicente</t>
  </si>
  <si>
    <t>Marcela Isabel Medrano Ajquiy</t>
  </si>
  <si>
    <t xml:space="preserve">Marcia Nicte Delgado Sánchez </t>
  </si>
  <si>
    <t>Marco Antonio Gonzalez Palma</t>
  </si>
  <si>
    <t>Marco Antonio Salazar Alinzo</t>
  </si>
  <si>
    <t>Marco Antonio Tejada Herrera</t>
  </si>
  <si>
    <t>Marco Tulio Godoy Garcia</t>
  </si>
  <si>
    <t>Marco Vinicio Gil De La Cruz</t>
  </si>
  <si>
    <t>Marcos Avilio Santizo Roman</t>
  </si>
  <si>
    <t>Marcos Daniel Miranda Ordoñez</t>
  </si>
  <si>
    <t>Marcos Emmanuel Ramirez Alvizures</t>
  </si>
  <si>
    <t>Marenda Mishel Galeano Lopez</t>
  </si>
  <si>
    <t>Maria Alejandra Estrada Morales</t>
  </si>
  <si>
    <t xml:space="preserve">Maria Alejandra Garcia Lara </t>
  </si>
  <si>
    <t>Maria Alejandra Lanuza Pérez</t>
  </si>
  <si>
    <t>Maria Alejandra Mazariegos</t>
  </si>
  <si>
    <t>Maria Alejandra Perez Martinez</t>
  </si>
  <si>
    <t>Maria Andrea Estupe Monterroso Guillermo</t>
  </si>
  <si>
    <t>Maria Andree Gonzalez</t>
  </si>
  <si>
    <t xml:space="preserve">María Angelica Trujillo Coronado            </t>
  </si>
  <si>
    <t>Maria Celeste Marroquin De Leon</t>
  </si>
  <si>
    <t>María Clareth Diaz Rangel</t>
  </si>
  <si>
    <t>Maria Damaris Noemi Asig Cu</t>
  </si>
  <si>
    <t>Maria De La Luz Masaya Moreno</t>
  </si>
  <si>
    <t>Maria De Los Angeles Flores Huertas</t>
  </si>
  <si>
    <t>Maria De Los Angeles Hernandez Oliva</t>
  </si>
  <si>
    <t>Maria De Los Angeles Muralles Muralles</t>
  </si>
  <si>
    <t>Maria De Lourdes Leb Nij</t>
  </si>
  <si>
    <t>Maria Del Carmen Arias Perez</t>
  </si>
  <si>
    <t>Maria Del Carmen Ical Putul</t>
  </si>
  <si>
    <t xml:space="preserve">Maria Del Carmen Milian Quishtan </t>
  </si>
  <si>
    <t>Maria Del Rosario De Leon Puac</t>
  </si>
  <si>
    <t>Maria Del Rosario Espinoza Cruz</t>
  </si>
  <si>
    <t>Maria Del Rosario Sion Calel Ramos</t>
  </si>
  <si>
    <t>Maria Dolores Ibargüen Bretschneider</t>
  </si>
  <si>
    <t>Maria Elizabeth Recinos Villagran</t>
  </si>
  <si>
    <t>Maria Eugenia Alvarez Lopez</t>
  </si>
  <si>
    <t>Maria Eulissa Xutuc Villatoro</t>
  </si>
  <si>
    <t>Maria Fernanda Aldana Fernandez</t>
  </si>
  <si>
    <t>Maria Fernanda Ambrocio Reyes</t>
  </si>
  <si>
    <t xml:space="preserve">Maria Fernanda Cruz Martinez </t>
  </si>
  <si>
    <t>Maria Fernanda De Leon Valenzuela</t>
  </si>
  <si>
    <t>Maria Fernanda Del Rosario Orellana Lima De Orellana</t>
  </si>
  <si>
    <t>Maria Fernanda Duran Barrera Leon</t>
  </si>
  <si>
    <t>Maria Fernanda Galvez Mansilla</t>
  </si>
  <si>
    <t>Maria Fernanda García Patzán</t>
  </si>
  <si>
    <t xml:space="preserve">Maria Fernanda Obregon Secaida </t>
  </si>
  <si>
    <t>Maria Fernanda Palencia Campo</t>
  </si>
  <si>
    <t>Maria Fernanda Reyes Trinidad</t>
  </si>
  <si>
    <t>Maria Fernanda Sanches Yoc</t>
  </si>
  <si>
    <t>Maria Fernanda Tomas</t>
  </si>
  <si>
    <t>Maria Fernandez Perez Rangel</t>
  </si>
  <si>
    <t>Maria Gabriela Coloma Morales</t>
  </si>
  <si>
    <t>Maria Gabriela Giron De Leon</t>
  </si>
  <si>
    <t xml:space="preserve">Maria Isabel Martinez </t>
  </si>
  <si>
    <t>Maria Isabel Reyes Aguirre</t>
  </si>
  <si>
    <t>Maria Isabel Ruiz Hernandez</t>
  </si>
  <si>
    <t>Maria Jimena Gutierrez Ogarrio</t>
  </si>
  <si>
    <t>Maria Jimena Mazariegos Morales</t>
  </si>
  <si>
    <t>Maria Jose Alvarado Lopez Barrientos</t>
  </si>
  <si>
    <t>Maria Jose Arriola Ortiz Moreno</t>
  </si>
  <si>
    <t>Maria Jose Barrios Razuleu</t>
  </si>
  <si>
    <t>Maria Jose Fernandez Melendez</t>
  </si>
  <si>
    <t>Maria Jose Flores Alvarez</t>
  </si>
  <si>
    <t>Maria Jose Gramajo Garcia De Monzon</t>
  </si>
  <si>
    <t>Maria Jose Meza De Leon</t>
  </si>
  <si>
    <t>Maria Jose Salazar Rueda</t>
  </si>
  <si>
    <t>Maria Josee Morales Vaides</t>
  </si>
  <si>
    <t>Maria Josse Ortiz Rendon</t>
  </si>
  <si>
    <t>Maria Lourdes Ajpuz Julajuj</t>
  </si>
  <si>
    <t>Maria Luisa Ramos Lopez</t>
  </si>
  <si>
    <t>Maria Magdalena Solis Carrera</t>
  </si>
  <si>
    <t>Maria Marroquin Camargo</t>
  </si>
  <si>
    <t>Maria Ruby Tzamol Pacay</t>
  </si>
  <si>
    <t>Maria Teresa Barrientos Perdomo</t>
  </si>
  <si>
    <t>Maria Teresa Hom Guit</t>
  </si>
  <si>
    <t>Maria Teresa Recinos Estrada</t>
  </si>
  <si>
    <t>Maria Vicenta Lopez Mancilla De De Del Valle</t>
  </si>
  <si>
    <t>Maria Victoria Montenegro Sarpec</t>
  </si>
  <si>
    <t>Mariamna Reene Jimenez Montenegro</t>
  </si>
  <si>
    <t>Marian Rebeca Gallardo Alvarez</t>
  </si>
  <si>
    <t>Mariana Del Rosario Escobar Sanchez</t>
  </si>
  <si>
    <t>Mariano Jose Lopez Cojon</t>
  </si>
  <si>
    <t>Mariano Jose Trujillo Baldizon</t>
  </si>
  <si>
    <t>Maricruz Abigail Socop Melgar</t>
  </si>
  <si>
    <t>Mariela Alejandra Batz De Leon</t>
  </si>
  <si>
    <t>Marielena Muñoz López</t>
  </si>
  <si>
    <t>Marili Cecilia Ramirez Cardona</t>
  </si>
  <si>
    <t>Marilin Ameli Cu Quib</t>
  </si>
  <si>
    <t>Marilin Melisa Lopez Yoc</t>
  </si>
  <si>
    <t>Marilin Yasmin Godoy Morataya</t>
  </si>
  <si>
    <t>Marilyn Alexandra Davila Chavez</t>
  </si>
  <si>
    <t>Marilyn Anayanci Gonzalez James</t>
  </si>
  <si>
    <t>Marilyn Yulissa Alvarez Toscano</t>
  </si>
  <si>
    <t>Marina Elena Giron Roldan</t>
  </si>
  <si>
    <t>Mario David Quilo Hernandez</t>
  </si>
  <si>
    <t>Mario Eduardo Reyes Argueta</t>
  </si>
  <si>
    <t>Mario Emanuel Mendoza Virula</t>
  </si>
  <si>
    <t xml:space="preserve">Mario Enrique Morales Escobar </t>
  </si>
  <si>
    <t>Mario Ernesto Alvarado Molina</t>
  </si>
  <si>
    <t>Mario Estuardo Chavez Zelada</t>
  </si>
  <si>
    <t>Mario Guberlindo Gonzalez Velasquez</t>
  </si>
  <si>
    <t>Mario Joel Pineda Perez</t>
  </si>
  <si>
    <t>Mario Jose Herrera De Leon</t>
  </si>
  <si>
    <t>Mario José Mejía Escobar</t>
  </si>
  <si>
    <t>Mario Raul Monroy Monroy</t>
  </si>
  <si>
    <t>Mario Rene Garcia Paredes</t>
  </si>
  <si>
    <t>Mario Rene Lopez Gudiel</t>
  </si>
  <si>
    <t>Mario Ricardo Gabriel Monterroso</t>
  </si>
  <si>
    <t>Mario Roberto Yoc De Leon</t>
  </si>
  <si>
    <t>Maritza Isabel Hernandez Cruz</t>
  </si>
  <si>
    <t>Maritza Morales Tzoc</t>
  </si>
  <si>
    <t>Marlen Aida Pelaez Ramirez</t>
  </si>
  <si>
    <t>Marlen Brigitt Rosales De Leon</t>
  </si>
  <si>
    <t>Marlen Erendida Rivas Gonzalez</t>
  </si>
  <si>
    <t>Marlen Viviana Rixtun Perez</t>
  </si>
  <si>
    <t>Marlene Ruby Sierra Gonzalez  </t>
  </si>
  <si>
    <t>Marlin Argelia Herrera Claveria</t>
  </si>
  <si>
    <t>Marlin Yesenia Chacon Garcia</t>
  </si>
  <si>
    <t>Marliz Irene Bonifaz Lopez</t>
  </si>
  <si>
    <t>Marlon Eduardo Arreaga Escobar</t>
  </si>
  <si>
    <t>Marlon Eduardo Medrano Sandoval</t>
  </si>
  <si>
    <t>Marlon Enrique Del Cid Roque</t>
  </si>
  <si>
    <t>Marlon Estuardo Hernandez Moreira</t>
  </si>
  <si>
    <t>Marlon Ivan Dardon Hernandez</t>
  </si>
  <si>
    <t>Marlon Miguelangel Morales Jerez</t>
  </si>
  <si>
    <t>Marlon Saul Caal Giron</t>
  </si>
  <si>
    <t xml:space="preserve">Marlyn Carolina Hernandez Escobar De Dubon </t>
  </si>
  <si>
    <t>Marlyn Yoana Santos Olivares</t>
  </si>
  <si>
    <t>Marolet Patricia Palacios Argueta</t>
  </si>
  <si>
    <t>Marta Emilia Moran Lopez</t>
  </si>
  <si>
    <t xml:space="preserve">Marta Esperanza Lopez Cortez </t>
  </si>
  <si>
    <t>Marta Iris Martinez Sete</t>
  </si>
  <si>
    <t>Martha Jasmin Rivera Perdomo</t>
  </si>
  <si>
    <t>Martha Julia Shar Velasquez</t>
  </si>
  <si>
    <t>Martin Aroldo Lorenzana Flores</t>
  </si>
  <si>
    <t>Marveli Beberlin Lopez Perez De Vasquez</t>
  </si>
  <si>
    <t>Marvin Alejandro Lopez Solis</t>
  </si>
  <si>
    <t>Marvin Alejandro Puac Mulul</t>
  </si>
  <si>
    <t>Marvin Alexander Choguix Chex</t>
  </si>
  <si>
    <t>Marvin Alfredo Asturias Mendez</t>
  </si>
  <si>
    <t>Marvin Andolfo Garcia De Leon</t>
  </si>
  <si>
    <t>Marvin Danilo Castillo Castillo</t>
  </si>
  <si>
    <t>Marvin Eduardo Coxaj Sanic</t>
  </si>
  <si>
    <t>Marvin Eleazar Sunun Acuta</t>
  </si>
  <si>
    <t>Marvin Estuardo Diaz Roman</t>
  </si>
  <si>
    <t>Marvin Estuardo Xiloj De Leon</t>
  </si>
  <si>
    <t>Marvin Leonel Hernandez Alvarez</t>
  </si>
  <si>
    <t>Marvin Rodolfo Santizo Rosales</t>
  </si>
  <si>
    <t>Marvin Rolando Fuentes Aguilar</t>
  </si>
  <si>
    <t>Mary Isabel Xiloj Tajiboy</t>
  </si>
  <si>
    <t>Mary Maricel Caal Chun</t>
  </si>
  <si>
    <t>Maryory Marilu Ramos Reyes</t>
  </si>
  <si>
    <t>Maryury De Los Angeles Garcia Romero</t>
  </si>
  <si>
    <t>Maryury Yasmin Suret Mejia</t>
  </si>
  <si>
    <t xml:space="preserve">Mauricio León Ruano                                </t>
  </si>
  <si>
    <t>Mauro Gilberto Rax Suc</t>
  </si>
  <si>
    <t>Maviela Bibianeth Castillo Avila Villatoro</t>
  </si>
  <si>
    <t>Mavilin Griselda Jacome Molina</t>
  </si>
  <si>
    <t>Maximiliano Batres Ramirez</t>
  </si>
  <si>
    <t>Maybeli Marili Ordonez</t>
  </si>
  <si>
    <t>Mayki Waleska Alvarez Guzman</t>
  </si>
  <si>
    <t>Maylin Fernanda Cifuentes Guevara</t>
  </si>
  <si>
    <t xml:space="preserve">Maylin Julissa Guerra Cerin </t>
  </si>
  <si>
    <t>Maynor Alexander Chen Franco</t>
  </si>
  <si>
    <t>Maynor Alexander Perez Surque</t>
  </si>
  <si>
    <t>Maynor David Montufar De La Cruz</t>
  </si>
  <si>
    <t>Maynor Natanael Solis Delgado</t>
  </si>
  <si>
    <t>Mayra Alejandra Carreto Bonilla</t>
  </si>
  <si>
    <t>Mayra Alejandra Perez Cordero</t>
  </si>
  <si>
    <t>Mayra Azucena Perez Guzman</t>
  </si>
  <si>
    <t>Mayra Ester Lopez Gonzalez</t>
  </si>
  <si>
    <t>Mayra Julieta Sincal Coy</t>
  </si>
  <si>
    <t>Mayra Karina Soc Ovalle</t>
  </si>
  <si>
    <t>Mayra Leticia Diaz Armas</t>
  </si>
  <si>
    <t>Mayra Noemi Godoy Carrera</t>
  </si>
  <si>
    <t>Mayra Pahola Xiquin Terraza</t>
  </si>
  <si>
    <t>Mayra Susana Perez Galdamez</t>
  </si>
  <si>
    <t>Megly Karina Lopez De Leon</t>
  </si>
  <si>
    <t>Melane Alejandra Contreras Sicajan</t>
  </si>
  <si>
    <t>Melani Andrea Salcedo Acevedo</t>
  </si>
  <si>
    <t>Melani Mishell Vasquez Castillo</t>
  </si>
  <si>
    <t>Melanie Azucena Choc Garcia</t>
  </si>
  <si>
    <t>Melanie Vanessa Chacon Godoy</t>
  </si>
  <si>
    <t xml:space="preserve">Melany Celeste Monzon Brenes                    </t>
  </si>
  <si>
    <t>Melany Lorena Pac Monterroso</t>
  </si>
  <si>
    <t>Melany Nohemi Velasquez Solorzano</t>
  </si>
  <si>
    <t>Melany Valeska Juarez Carpio</t>
  </si>
  <si>
    <t>Melina Monterroso Martin</t>
  </si>
  <si>
    <t>Melissa Lissette Recinos Massella</t>
  </si>
  <si>
    <t>Melissandra Ruiz Ramirez</t>
  </si>
  <si>
    <t>Melody Arelis Elvira Monterroso</t>
  </si>
  <si>
    <t>Melvin Adelson Pet Santos</t>
  </si>
  <si>
    <t>Melvin Antonio Hernandez Gutierrez</t>
  </si>
  <si>
    <t>Mendoza Pineda, Keila Betsaida</t>
  </si>
  <si>
    <t>Merari Abigail Orantes Gonzalez</t>
  </si>
  <si>
    <t>Merari Abigail Veliz Samayoa</t>
  </si>
  <si>
    <t>Merari Madai Arana Erazo De Morales</t>
  </si>
  <si>
    <t>Mercy Roxana Galvez Canales</t>
  </si>
  <si>
    <t>Merlin Areli Gomez Sagastume</t>
  </si>
  <si>
    <t>Merly Carolina Lopez Laynez</t>
  </si>
  <si>
    <t>Merlyn Esther Pérez Girón</t>
  </si>
  <si>
    <t>Michelle Jamileth Martinez Garcia</t>
  </si>
  <si>
    <t xml:space="preserve">Michelle Jeffreidy  Ordoñez Rios </t>
  </si>
  <si>
    <t xml:space="preserve">Migdalia Amarilis Flores Garcia </t>
  </si>
  <si>
    <t>Miguel Angel Guamuch Franco</t>
  </si>
  <si>
    <t>Miguel Angel Mendez Juarez</t>
  </si>
  <si>
    <t>Miguel Angel Moya Cabnal</t>
  </si>
  <si>
    <t>Miguel Angel Vicente Morales</t>
  </si>
  <si>
    <t>Miguel David Boch Cifuentes</t>
  </si>
  <si>
    <t>Miguel Estuardo Marín</t>
  </si>
  <si>
    <t>Miguel Eudilio Saban Lopez</t>
  </si>
  <si>
    <t>Miguel Omar Zuleta Solano</t>
  </si>
  <si>
    <t>Miguel Orlando Sebastian Juchan</t>
  </si>
  <si>
    <t>Miguel Rodrigo Gonzalez Ramirez</t>
  </si>
  <si>
    <t>Mijail Erick Joaquin Morales Ortiz</t>
  </si>
  <si>
    <t xml:space="preserve">Mijail Erick Joaquín Morales Ortiz </t>
  </si>
  <si>
    <t>Mildre Fabiola Gomez Barillas De Leonardo</t>
  </si>
  <si>
    <t xml:space="preserve">Mildred Alejandra Sapon Ruano   </t>
  </si>
  <si>
    <t xml:space="preserve">Mildred Elizabeth Monzon Ramirez         </t>
  </si>
  <si>
    <t>Mildred Elizabeth Rivera Tenas</t>
  </si>
  <si>
    <t>Mildred Elizabeth Solis Quevedo</t>
  </si>
  <si>
    <t>Mildred Magaly Ortega Pac</t>
  </si>
  <si>
    <t>Mildred Magaly Sul Lopez</t>
  </si>
  <si>
    <t>Mildred Mazciel Almazan Lemus Codigo</t>
  </si>
  <si>
    <t>Mildred Yaneth Figueroa Garcia</t>
  </si>
  <si>
    <t>Mildred Yanett Cruz Alvarez De Tunchez</t>
  </si>
  <si>
    <t>Milena Maria Mendez Cheguen</t>
  </si>
  <si>
    <t>Milka Patricia Merida Muñoz</t>
  </si>
  <si>
    <t xml:space="preserve">Milthon Yobany Castillo Martinez </t>
  </si>
  <si>
    <t>Milton Enrique Chiguichon Elias</t>
  </si>
  <si>
    <t>Milton Enrique Yax Sosa</t>
  </si>
  <si>
    <t xml:space="preserve">Milton Hardany Dominguez Martinez </t>
  </si>
  <si>
    <t>Milton Rene Estrada Coc</t>
  </si>
  <si>
    <t>Milton Roberto Juarez Lemus</t>
  </si>
  <si>
    <t>Milton Rocael Manchame Arroyo</t>
  </si>
  <si>
    <t>Milver Moises Maldonado Pelico</t>
  </si>
  <si>
    <t>Milvia Alejandra Lopez Marroquin</t>
  </si>
  <si>
    <t xml:space="preserve">Milvia Fabiola Velasquez </t>
  </si>
  <si>
    <t>Milvia Fernanda Talento Urbina</t>
  </si>
  <si>
    <t>Mirelli Estefania Ramirez Garcia</t>
  </si>
  <si>
    <t>Miriam Betsabe Rodas Perez</t>
  </si>
  <si>
    <t>Miriam Elizabeth Pérez Guerra</t>
  </si>
  <si>
    <t>Miriam Eugenia Santizo Montenegro</t>
  </si>
  <si>
    <t>Miriam Judith Cermeño Cetino</t>
  </si>
  <si>
    <t>Miriam Leticia Romero Torres</t>
  </si>
  <si>
    <t>Miriam Marilisa Herrera Perez</t>
  </si>
  <si>
    <t>Miriam Mineidy Moscoso Mayen</t>
  </si>
  <si>
    <t>Miriam Rosmery Guerra Valle</t>
  </si>
  <si>
    <t>Miriam Stefanie Hernandez Subuyuj</t>
  </si>
  <si>
    <t>Mirian Del Carmen Guzman Maldonado</t>
  </si>
  <si>
    <t>Mirna Consuelo Muñoz Ordoñez</t>
  </si>
  <si>
    <t>Mirna Elizabeth Zolote Patzan</t>
  </si>
  <si>
    <t xml:space="preserve">Mirna Janeth Ordoñez </t>
  </si>
  <si>
    <t xml:space="preserve">Mirna Lorena Argueta Ayala </t>
  </si>
  <si>
    <t xml:space="preserve">Mirna Noemi Gil Funes </t>
  </si>
  <si>
    <t>Mirna Violeta Carrillo Gonzalez</t>
  </si>
  <si>
    <t>Mirna Yesenia Umaña Ramos</t>
  </si>
  <si>
    <t>Mirza Johana Cosigua Rabinal</t>
  </si>
  <si>
    <t>Mirza Karina Palma Marroquin</t>
  </si>
  <si>
    <t>Moises Dario Flores Amaya</t>
  </si>
  <si>
    <t>Mónica Alejandra Alvarez Poncio</t>
  </si>
  <si>
    <t>Monica Andrea Ronquillo Ambrocio</t>
  </si>
  <si>
    <t>Monica Carolina Lima Cifuentes De Enriquez</t>
  </si>
  <si>
    <t>Monica Carolina Pappa Dominguez</t>
  </si>
  <si>
    <t>Monica Cecilia Perez Lopez</t>
  </si>
  <si>
    <t>Monica Gabriela Canizales Santos</t>
  </si>
  <si>
    <t>Monica Gabriela Osorio Garrido</t>
  </si>
  <si>
    <t>Monica Guadalupe Garcia Rivera</t>
  </si>
  <si>
    <t>Monica Ilduara Lima</t>
  </si>
  <si>
    <t>Monica Isabel Castillo Avila</t>
  </si>
  <si>
    <t>Monica Lisseth Marroquin Salazar</t>
  </si>
  <si>
    <t>Monica Lizbeth Franco Chacon</t>
  </si>
  <si>
    <t>Monica Michelle Diaz De Leon De Baltazar</t>
  </si>
  <si>
    <t>Monica Mishell Perez Ballesteros</t>
  </si>
  <si>
    <t>Monica Mishell Rendon Gamboa</t>
  </si>
  <si>
    <t>Monica Patricia Coroy Laparra</t>
  </si>
  <si>
    <t>Monica Raquel Palacios Piedrasanta</t>
  </si>
  <si>
    <t>Monica Vannesa Miranda Alvarado</t>
  </si>
  <si>
    <t>Monica Yulissa Sun Pacay</t>
  </si>
  <si>
    <t>Monica Yulissa Vicente Velasquez</t>
  </si>
  <si>
    <t>Monzon Lopez, Wendy Alejandra</t>
  </si>
  <si>
    <t>Morales Garcia, Jasson Daniel</t>
  </si>
  <si>
    <t>Morales Navas, Melvin Everardo</t>
  </si>
  <si>
    <t>Morelia Esperanza Paau Melendez</t>
  </si>
  <si>
    <t>Mynor Ariel Romero Mas</t>
  </si>
  <si>
    <t>Mynor Arturo Barrios Reyes</t>
  </si>
  <si>
    <t>Mynor Daniel Chajon Soyos</t>
  </si>
  <si>
    <t>Mynor Genaro Salazar Merida</t>
  </si>
  <si>
    <t>Myriam Aracely Rivera Gonzalez</t>
  </si>
  <si>
    <t>Myrka Jessel Rivera Camo</t>
  </si>
  <si>
    <t>Myrna Leticia Torres Quiroa</t>
  </si>
  <si>
    <t>Mytza Mahogany Galvez Aragon</t>
  </si>
  <si>
    <t>Nadia Estefania Gramajo Archila</t>
  </si>
  <si>
    <t>Nanci Magali Noj Santos</t>
  </si>
  <si>
    <t>Nanci Paola Con Morales</t>
  </si>
  <si>
    <t>Nanci Yanira Navas Garcia</t>
  </si>
  <si>
    <t xml:space="preserve">Nancy Aracely Col Cu </t>
  </si>
  <si>
    <t>Nancy Corina Quiñonez Rodriguez</t>
  </si>
  <si>
    <t>Nancy Elizabeth Lopez Perez</t>
  </si>
  <si>
    <t>Nancy Johana Flores Barrera</t>
  </si>
  <si>
    <t>Nancy Lizeth Barrera Cancinos</t>
  </si>
  <si>
    <t xml:space="preserve">Nancy Lucero Portillo Vasquez </t>
  </si>
  <si>
    <t>Nancy Magaly Izaguirre Galicia</t>
  </si>
  <si>
    <t>Nancy Pahola Arevalo Yuman</t>
  </si>
  <si>
    <t>Nancy Pahola De Leon Patzan</t>
  </si>
  <si>
    <t xml:space="preserve">Nancy Pahola Rodriguez Ramirez </t>
  </si>
  <si>
    <t>Nancy Paola Jimenez Pamal</t>
  </si>
  <si>
    <t>Nancy Paola Morales Rodriguez De Morales</t>
  </si>
  <si>
    <t>Nancy Paola Ramirez Garcia</t>
  </si>
  <si>
    <t>Nancy Rocio Maldonado Lopez</t>
  </si>
  <si>
    <t>Nancy Roxana Chuy Ponce</t>
  </si>
  <si>
    <t>Nancy Yaneth Vasquez Chiguichon</t>
  </si>
  <si>
    <t>Nancy Yessenia Set Iquite</t>
  </si>
  <si>
    <t>Nasly Abigail Cazian Lopez</t>
  </si>
  <si>
    <t>Nataly Andreina Canahui Ochoa</t>
  </si>
  <si>
    <t>Nataly Pamela Aguilar Escobar</t>
  </si>
  <si>
    <t>Naydelyn Rosmery Torres Marroquin</t>
  </si>
  <si>
    <t>Neftaly Eliseo Aguilar Hernandez</t>
  </si>
  <si>
    <t>Nelson Aurelio Portillo Martinez</t>
  </si>
  <si>
    <t>Nelson Humberto Caal Güe</t>
  </si>
  <si>
    <t>Nelsy Adali Nova Vivar</t>
  </si>
  <si>
    <t xml:space="preserve">Nery Daniel Chipin Lindo </t>
  </si>
  <si>
    <t>Nestor Donaldo Xiloj Quiej</t>
  </si>
  <si>
    <t>Nestor Edgardo Gutierrez Lazaro</t>
  </si>
  <si>
    <t>Nestor Enmanuel Retana Castellanos</t>
  </si>
  <si>
    <t>Nestor Orlando Aguilar Santos</t>
  </si>
  <si>
    <t>Nestor Rene Sagastume Rodas</t>
  </si>
  <si>
    <t>Nicea Castañon     </t>
  </si>
  <si>
    <t>Nicolas Ajiquichi Ibate</t>
  </si>
  <si>
    <t>Nicolas Chuc Garcia</t>
  </si>
  <si>
    <t>Nicolas Walter Toma Zacarias</t>
  </si>
  <si>
    <t>Nicomedes Israel Echeverria Pacheco</t>
  </si>
  <si>
    <t>Nidia Dalila Bantes Segura De Manchame</t>
  </si>
  <si>
    <t>Nidia Lucy Herrera Lopez</t>
  </si>
  <si>
    <t>Nidia Maribel Carpio Roca</t>
  </si>
  <si>
    <t>Nilda Betsaida De Leon Diaz</t>
  </si>
  <si>
    <t>Nilda Julieta Boror Xuya</t>
  </si>
  <si>
    <t>Ninci Yessenia Perez Quiñonez</t>
  </si>
  <si>
    <t>Noe Amos Marroquin Sicajol</t>
  </si>
  <si>
    <t xml:space="preserve">Noe Rubell Garcia Cerna </t>
  </si>
  <si>
    <t>Noelia Azucena Garcia Mazariegos</t>
  </si>
  <si>
    <t>Noelia Margarita Ramos Hernandez</t>
  </si>
  <si>
    <t>Noemi Ruth Hernandez Urrutia</t>
  </si>
  <si>
    <t>Nora Lisseth Lam Sanchez</t>
  </si>
  <si>
    <t>Norman Alessandro Madrid Garcia</t>
  </si>
  <si>
    <t>Norman Genaro Melgar Garcia</t>
  </si>
  <si>
    <t>Norman Scott Castillo Rivera</t>
  </si>
  <si>
    <t>Obed Daniel Ramirez Fuentes</t>
  </si>
  <si>
    <t>Odalis Ruby Garcia Siquina</t>
  </si>
  <si>
    <t>Odalys Elizabeth Requena Meoño</t>
  </si>
  <si>
    <t>Odalys Faviola Reyes Rivera</t>
  </si>
  <si>
    <t xml:space="preserve">Odeira Odet Juarez Morales                    </t>
  </si>
  <si>
    <t>Odiel Armando Guerra Aguirre</t>
  </si>
  <si>
    <t>Odra Arcadia Barduel Sarat</t>
  </si>
  <si>
    <t>Ofny Joselito Fuentes Ramirez</t>
  </si>
  <si>
    <t>Olga Gabriela Lopez Tzic</t>
  </si>
  <si>
    <t>Olga Maricela Guarcas Tol</t>
  </si>
  <si>
    <t>Olga Roxana Gomez</t>
  </si>
  <si>
    <t>Olinda Juarez Figueno</t>
  </si>
  <si>
    <t>Oliver Samuel Donis Taracena</t>
  </si>
  <si>
    <t>Omar Anibal Barreda Valenzuela</t>
  </si>
  <si>
    <t>Oneida Del Carmen Corzo Morales</t>
  </si>
  <si>
    <t>Oneida Marisela Reyes Cuc</t>
  </si>
  <si>
    <t>Orellana Alvarez, Nestor Giovanni</t>
  </si>
  <si>
    <t>Orozco Mulul, Esvin Rolando</t>
  </si>
  <si>
    <t>Oscar Anibal Leb Morales</t>
  </si>
  <si>
    <t>Oscar Eduardo Xoyon Gomez</t>
  </si>
  <si>
    <t>Oscar Emilio Gomez Orozco</t>
  </si>
  <si>
    <t>Oscar Enrique Garcia Gualip</t>
  </si>
  <si>
    <t>Oscar Estuardo Mancilla Najarro</t>
  </si>
  <si>
    <t>Oscar Geovany Patzan Patzan</t>
  </si>
  <si>
    <t xml:space="preserve">Oscar Horacio Giron Gramajo </t>
  </si>
  <si>
    <t>Oscar Israel Thiel Hidalgo</t>
  </si>
  <si>
    <t>Oscar Javier Veliz Galvez</t>
  </si>
  <si>
    <t>Oscar Oswaldo Ramirez Tahuite</t>
  </si>
  <si>
    <t>Oscar Rene Zacarias Jordan</t>
  </si>
  <si>
    <t>Osman Amilcar Zarate Ixcoy</t>
  </si>
  <si>
    <t>Osman De Jesus Herincx Soto</t>
  </si>
  <si>
    <t>Osmi Estuardo Cumes Seche</t>
  </si>
  <si>
    <t>Osvin Ariel Ramirez Coy</t>
  </si>
  <si>
    <t>Osvin Daniel Gomez Gonzalez</t>
  </si>
  <si>
    <t>Oswaldo Marcelino Huix Gomez</t>
  </si>
  <si>
    <t>Otto Alejandro Barahona Lopez</t>
  </si>
  <si>
    <t xml:space="preserve">Otto Alejandro Barahona López </t>
  </si>
  <si>
    <t>Otto Leonel Zavala Rodas</t>
  </si>
  <si>
    <t>Ottoniel Amilcar Gomez Rodriguez</t>
  </si>
  <si>
    <t>Ottoniel De Jesus Castellanos Ordoñez</t>
  </si>
  <si>
    <t>Pablo Andres Contreras Cantoral</t>
  </si>
  <si>
    <t>Pablo Antonio Serrano Sanchez</t>
  </si>
  <si>
    <t>Pablo Cesar Oliva Lopez</t>
  </si>
  <si>
    <t>Pablo David Castillo</t>
  </si>
  <si>
    <t>Pablo Javier Reinosa Fuentes</t>
  </si>
  <si>
    <t>Pablo Jose Castillo Garcia</t>
  </si>
  <si>
    <t>Pablo Raul Calimayor</t>
  </si>
  <si>
    <t>Paola Alejandra Monzon Paniagua</t>
  </si>
  <si>
    <t xml:space="preserve">Paola Noeli Ax Cu </t>
  </si>
  <si>
    <t>Paola Veronica Cardenas Toscano</t>
  </si>
  <si>
    <t>Paola Yanet Chet Martinez</t>
  </si>
  <si>
    <t>Patricia Alejandra Ramos Velasquez</t>
  </si>
  <si>
    <t>Patricia Esmeralda Garcia Chajon Quinto</t>
  </si>
  <si>
    <t>Patricia Florinda Garcia Gutierrez</t>
  </si>
  <si>
    <t>Paula Eliza Santos Corado</t>
  </si>
  <si>
    <t>Paula Gabriela De Leon Cipriano</t>
  </si>
  <si>
    <t>Paulina Beatriz Tizol Cux</t>
  </si>
  <si>
    <t>Paulo Alejandro Salguero Pacheco</t>
  </si>
  <si>
    <t>Pauly Martina Toj  De Canel</t>
  </si>
  <si>
    <t>Pedro Alexander Sazo Machac</t>
  </si>
  <si>
    <t>Pedro David Ixcoy Chiquin</t>
  </si>
  <si>
    <t>Pedro Jose Castañeda Velasquez</t>
  </si>
  <si>
    <t>Pedro Karol Gomez Lopez</t>
  </si>
  <si>
    <t>Pedro Natanahel Caxaj Rodriguez</t>
  </si>
  <si>
    <t>Pedro Rene Ramirez Guzman</t>
  </si>
  <si>
    <t>Perez Tecun, Ernesto</t>
  </si>
  <si>
    <t xml:space="preserve">Perla Azucena Estrada Velasquez </t>
  </si>
  <si>
    <t xml:space="preserve">Perla Esperanza Ordoñez Zuleta </t>
  </si>
  <si>
    <t>Perla Michelle Giron Galdamez</t>
  </si>
  <si>
    <t>Priscila Merari Sosa Sanabria</t>
  </si>
  <si>
    <t>Rafael Anibal Sut Tucubal</t>
  </si>
  <si>
    <t>Rafael Chavez Mayorga</t>
  </si>
  <si>
    <t>Rainer Daniel Melgar Chajon</t>
  </si>
  <si>
    <t>Ramirez Mendez, Merly Sorayda</t>
  </si>
  <si>
    <t>Randall Arevalo Ruiz</t>
  </si>
  <si>
    <t>Randy Alexis Tut Cunil</t>
  </si>
  <si>
    <t>Raul Adrian Priego Castellanos</t>
  </si>
  <si>
    <t>Raul Estuardo Roquel Suyuc</t>
  </si>
  <si>
    <t>Raul Geovanny Garcia Fuentes</t>
  </si>
  <si>
    <t>Raul Matias Matias</t>
  </si>
  <si>
    <t xml:space="preserve">Regina Santay Coxaj </t>
  </si>
  <si>
    <t>Reina Elizabeth Chacon Vasquez</t>
  </si>
  <si>
    <t>Reina Isabel Lopez Ortega</t>
  </si>
  <si>
    <t>Reina Lorena Canán</t>
  </si>
  <si>
    <t>Reina Nohemi Pascual Cruz</t>
  </si>
  <si>
    <t>Remigio Alexander Gonzalez Suchite</t>
  </si>
  <si>
    <t>Renny Camilo Ixcopal Ramirez</t>
  </si>
  <si>
    <t>Reymon Steve Ortiz Chavez</t>
  </si>
  <si>
    <t>Reyna Angelica Ba Vega</t>
  </si>
  <si>
    <t>Reyna Elizabeth Panadero</t>
  </si>
  <si>
    <t>Reyna Floridalma Donis Marroquin</t>
  </si>
  <si>
    <t>Reyna Sebastiana Reyes Zurdo</t>
  </si>
  <si>
    <t>Ricardo Alexander Morales Moran</t>
  </si>
  <si>
    <t>Ricardo Alfonso Chan Lopez</t>
  </si>
  <si>
    <t>Ricardo Antonio Ruiz Orozco</t>
  </si>
  <si>
    <t>Ricardo Antonio Vasquez Meza</t>
  </si>
  <si>
    <t>Ricardo Esau Hernandez Baten</t>
  </si>
  <si>
    <t>Ricky Edson Lux Cassia</t>
  </si>
  <si>
    <t>Roberto Alejandro Alvarez Abularach</t>
  </si>
  <si>
    <t>Roberto Ardon Ramos</t>
  </si>
  <si>
    <t>Roberto Augusto Silva Hernandez</t>
  </si>
  <si>
    <t>Roberto Caal Sente</t>
  </si>
  <si>
    <t>Roberto Giammattei Trigueros</t>
  </si>
  <si>
    <t>Robin Daniel Nimacachi Teret</t>
  </si>
  <si>
    <t>Roderico Simeon Lopez Lopez</t>
  </si>
  <si>
    <t>Rodolfo Antonio Chiquin Reyes</t>
  </si>
  <si>
    <t>Rodrigo Alejandro Manzo Juarez</t>
  </si>
  <si>
    <t>Rodrigo Antonio Pena Gordillo</t>
  </si>
  <si>
    <t>Rogelia Emperatriz Ortiz Alcantara</t>
  </si>
  <si>
    <t>Rogelio Armando Aceituno Herrera</t>
  </si>
  <si>
    <t>Rogelio Turcio</t>
  </si>
  <si>
    <t>Rolando Esau Solis Santos</t>
  </si>
  <si>
    <t>Rolando Evaristo Cu Moran</t>
  </si>
  <si>
    <t>Rolman Eliseo Bautista Mazariegos</t>
  </si>
  <si>
    <t>Romario Humberto Perez Us</t>
  </si>
  <si>
    <t xml:space="preserve">Ronald Andres Sirin Sic </t>
  </si>
  <si>
    <t>Ronald Arturo Sanchez Mijangos</t>
  </si>
  <si>
    <t>Ronald Erickson Hernandez Bamac</t>
  </si>
  <si>
    <t>Ronald Guillermo Garcia</t>
  </si>
  <si>
    <t>Ronald Heraldo Perez Niz</t>
  </si>
  <si>
    <t>Ronald Ottoniel Ramos Argueta</t>
  </si>
  <si>
    <t>Ronie Ernesto Gonzalez Alvarado</t>
  </si>
  <si>
    <t>Rony David Ruano Vasquez</t>
  </si>
  <si>
    <t>Rony Josue Giron Roca</t>
  </si>
  <si>
    <t>Rony Oswaldo Gonzalez Lemus</t>
  </si>
  <si>
    <t>Rosa Angelica Zurdo Gonzalez</t>
  </si>
  <si>
    <t>Rosa Emilsi Teo Salazar</t>
  </si>
  <si>
    <t>Rosa Isabel Garcia Menchu De Itzep</t>
  </si>
  <si>
    <t>Rosa Maria Raxtun Estrada Perez</t>
  </si>
  <si>
    <t>Rosa Maribel Par Gutierrez De Parada</t>
  </si>
  <si>
    <t>Rosa Mariela Muñoz Samayoa</t>
  </si>
  <si>
    <t>Rosa Melia Isales Reyes</t>
  </si>
  <si>
    <t>Rosa Yadira Salguero Ceballos</t>
  </si>
  <si>
    <t>Rosalbina Magdali Alvarado Ramirez</t>
  </si>
  <si>
    <t>Rosalinda Gonzalez Lopez</t>
  </si>
  <si>
    <t>Rosaura Grisleny Perez Rios</t>
  </si>
  <si>
    <t>Rosmeri Elizabeth Alvarez Lopez De Corado</t>
  </si>
  <si>
    <t>Rosmery Ana Lee Cojom Rodriguez</t>
  </si>
  <si>
    <t>Rosmery Figueroa Ramirez</t>
  </si>
  <si>
    <t>Rossana Alejandra Rodas Salguero</t>
  </si>
  <si>
    <t>Rossel Jose Hernandez Oliva</t>
  </si>
  <si>
    <t>Roxana Elida Virginia Medinilla Velasquez</t>
  </si>
  <si>
    <t>Roxana Elizabeth Lopez Gonzalez</t>
  </si>
  <si>
    <t>Roxana Leticia Avila Villatoro</t>
  </si>
  <si>
    <t>Roxana Yanet Moreira Zacaris</t>
  </si>
  <si>
    <t>Rubeldi Ajaniel Roblero Gonzales</t>
  </si>
  <si>
    <t>Ruben Dario Peñate Aquino</t>
  </si>
  <si>
    <t xml:space="preserve">Ruben Donis </t>
  </si>
  <si>
    <t>Ruby Alejandra Merida Rivas</t>
  </si>
  <si>
    <t>Rucuch Choguaj, Miguel</t>
  </si>
  <si>
    <t>Rudy Alexander Gramajo Reyes</t>
  </si>
  <si>
    <t>Rudy Fernando Lopez Ajcabal</t>
  </si>
  <si>
    <t>Rudy Hosea Catalan Perez</t>
  </si>
  <si>
    <t>Ruiz Castillo, Maria Antonia</t>
  </si>
  <si>
    <t>Rusbelindo  Miguel Lopez</t>
  </si>
  <si>
    <t>Ruth Anai Gomez Ramirez</t>
  </si>
  <si>
    <t>Ruth Betsabe Campos Vargas</t>
  </si>
  <si>
    <t>Ruth Esperanza Revolorio Valenzuela</t>
  </si>
  <si>
    <t>Ruth Hermelinda Cardona Blanco</t>
  </si>
  <si>
    <t>Ruth Liliana Reyes Rivas</t>
  </si>
  <si>
    <t>Ruth Noemi Solis Contreras</t>
  </si>
  <si>
    <t>Ruth Nohemi Perez Esteban</t>
  </si>
  <si>
    <t>Saida Yasmin Garcia Xot</t>
  </si>
  <si>
    <t>Salma Dayanna Cabrera Ruiz</t>
  </si>
  <si>
    <t>Samuel Antonio Cabrera Coroy</t>
  </si>
  <si>
    <t>Samuel Everardo Garcia Lemus</t>
  </si>
  <si>
    <t>Samuel Nehemias Nuñez Michicoj</t>
  </si>
  <si>
    <t>Sandi Anavela Mejia Alvarado</t>
  </si>
  <si>
    <t xml:space="preserve">Sandra Elizabeth Citalan Hernandez </t>
  </si>
  <si>
    <t>Sandra Esmeralda Martinez Baeza</t>
  </si>
  <si>
    <t>Sandra Jeaneth Ajcuc Garcia</t>
  </si>
  <si>
    <t>Sandra Judith Vasquez Fernandez</t>
  </si>
  <si>
    <t>Sandra Lucrecia Hernandez Aceituno</t>
  </si>
  <si>
    <t>Sandra Maricela Judith Hernandez Aval</t>
  </si>
  <si>
    <t xml:space="preserve">Sandra Mariela Godoy Lucas                      </t>
  </si>
  <si>
    <t>Sandra Mariela Lopez Marroquin De Salazar</t>
  </si>
  <si>
    <t xml:space="preserve">Sandra Marisol Castro Ortiz </t>
  </si>
  <si>
    <t>Sandra Marisol Ramirez Solis</t>
  </si>
  <si>
    <t>Sandra Maritza Mus Chaman</t>
  </si>
  <si>
    <t>Sandra Mishell Amarilis Gutierrez Palma</t>
  </si>
  <si>
    <t>Sandra Patricia De Leon Alvarado</t>
  </si>
  <si>
    <t xml:space="preserve">Sandra Patricia Ixtabalan Sanchez </t>
  </si>
  <si>
    <t>Sandra Patricia Luna Rodriguez Miramontes</t>
  </si>
  <si>
    <t>Sandra Patricia Mejia Raguex</t>
  </si>
  <si>
    <t>Sandra Patricia Ochoa Sanchez</t>
  </si>
  <si>
    <t>Sandy Claribel Barrientos Caal</t>
  </si>
  <si>
    <t>Sandy Jasmyn Gonzalez Catun</t>
  </si>
  <si>
    <t>Sandy Lourdes Esmeralda Montenegro Lopez</t>
  </si>
  <si>
    <t>Sandy Maria Flores</t>
  </si>
  <si>
    <t>Sandy Maribel Herrera Mazariegos</t>
  </si>
  <si>
    <t>Sandy Mariela Batres Orozco</t>
  </si>
  <si>
    <t>Sandy Nohemy Sontay Agueda</t>
  </si>
  <si>
    <t>Sandy Paola Monroy Aifan</t>
  </si>
  <si>
    <t xml:space="preserve">Sandy Rubi Rodriguez Guil </t>
  </si>
  <si>
    <t>Sandy Suset Morales Barrientos</t>
  </si>
  <si>
    <t>Santiago Isaias Barreno Rosales</t>
  </si>
  <si>
    <t>Santos Ismael Najera Culajay</t>
  </si>
  <si>
    <t xml:space="preserve">Santos Joel Perez Oxlaj </t>
  </si>
  <si>
    <t>Santos Valentin Coroy Ruyan</t>
  </si>
  <si>
    <t xml:space="preserve">Sara Aracely Velasquez Chavez </t>
  </si>
  <si>
    <t>Sara Elizabeth Guzman Linares</t>
  </si>
  <si>
    <t>Sarvia Bitia Orellana Ortiz</t>
  </si>
  <si>
    <t>Saul Alexander Sicay Ramirez</t>
  </si>
  <si>
    <t>Saul Rodrigo Monterroso Belteton</t>
  </si>
  <si>
    <t>Sayda Rocio Juarez Sanjay</t>
  </si>
  <si>
    <t>Sayra Elizabeth Reyes Zuñiga</t>
  </si>
  <si>
    <t>Scarlet Iveth Rosales Rivera</t>
  </si>
  <si>
    <t>Sebastian Geovanny Calel Ixtuc</t>
  </si>
  <si>
    <t>Sebastian Quino Morales</t>
  </si>
  <si>
    <t>Selvin Adan Garcia Portillo</t>
  </si>
  <si>
    <t>Selvin Geronimo Aguilar</t>
  </si>
  <si>
    <t>Selvin Manolo Montepeque Merida</t>
  </si>
  <si>
    <t>Selvin Rodolfo De La Cruz Contreras</t>
  </si>
  <si>
    <t>Selvyn Ivan Sierra Ramirez</t>
  </si>
  <si>
    <t>Sender Margarito Rivera Hernandez</t>
  </si>
  <si>
    <t>Sender Vinicio Yanez Garcia</t>
  </si>
  <si>
    <t>Sendy Vanessa Villagran Garcia</t>
  </si>
  <si>
    <t>Sergio Alejandro Aguilar Perez</t>
  </si>
  <si>
    <t>Sergio Alejandro Estrada Velasco</t>
  </si>
  <si>
    <t>Sergio Alexander Urizar Godínez</t>
  </si>
  <si>
    <t>Sergio Daniel Núñez Palacios</t>
  </si>
  <si>
    <t>Sergio David Espana Velasquez</t>
  </si>
  <si>
    <t>Sergio David Gonzalez Perez</t>
  </si>
  <si>
    <t>Sergio Eduardo Lorenzana Cute</t>
  </si>
  <si>
    <t>Sergio Estuardo Mejia Lopez</t>
  </si>
  <si>
    <t>Sergio Javier Cortez Tunchez</t>
  </si>
  <si>
    <t>Sergio Obdulio Chali Chocojay</t>
  </si>
  <si>
    <t>Sergio Vinicio Natareno Paredes</t>
  </si>
  <si>
    <t>Sergio Waldemar Pana Chub</t>
  </si>
  <si>
    <t>Sharol Osleydy Patzan Yos</t>
  </si>
  <si>
    <t>Sharon Dayana Ninoshka López Márquez</t>
  </si>
  <si>
    <t>Sharon Klarivel Santis Najarro</t>
  </si>
  <si>
    <t xml:space="preserve">Sharon Patricia Contreras Dominguez       </t>
  </si>
  <si>
    <t>Shaury Jazmeny Garcia Arias</t>
  </si>
  <si>
    <t>Sheila Faviola Perea Lopez</t>
  </si>
  <si>
    <t xml:space="preserve">Sheila Janneth Cordón </t>
  </si>
  <si>
    <t>Sheila Nineth Mendez Lopez</t>
  </si>
  <si>
    <t>Sheily Nahomy Oliva Morales</t>
  </si>
  <si>
    <t>Sheily Raquel Angel Arreaga</t>
  </si>
  <si>
    <t>Sherlyn Paola Santos Perez</t>
  </si>
  <si>
    <t>Shirley Andrea Lopez Lopez</t>
  </si>
  <si>
    <t>Shirley Dayana Ramirez Gallardo</t>
  </si>
  <si>
    <t>Shirley Guadalupe Munguia Gil</t>
  </si>
  <si>
    <t>Shirley Leticia Lissette Lopez Guzman</t>
  </si>
  <si>
    <t>Shirley Mariana Lopez Natarengo</t>
  </si>
  <si>
    <t xml:space="preserve">Sigrid Rosmery Reyes Garcia </t>
  </si>
  <si>
    <t>Silvia Carolina Aguilar Rojas</t>
  </si>
  <si>
    <t>Silvia Edelmira Garcia Donis</t>
  </si>
  <si>
    <t>Silvia Gabriela Gonzalez Siliezar</t>
  </si>
  <si>
    <t>Silvia Leticia Morales Perez</t>
  </si>
  <si>
    <t>Silvia Lorena Garcia Bautista</t>
  </si>
  <si>
    <t>Silvia Lucrecia Gonzalez Char De Mejia</t>
  </si>
  <si>
    <t>Silvia Marleni Rac Yoc</t>
  </si>
  <si>
    <t>Silvia Noemi Calderon</t>
  </si>
  <si>
    <t>Silvia Patricia Gonzalez Hernandez</t>
  </si>
  <si>
    <t>Silvia Patricia Mendoza Gomez</t>
  </si>
  <si>
    <t>Silvia Patricia Peralta Alfaro</t>
  </si>
  <si>
    <t>Simeon Valentin Gomez Flores</t>
  </si>
  <si>
    <t>Sindy Amarilis Sanchez Monterroso</t>
  </si>
  <si>
    <t>Sindy Beatriz Morales Veliz</t>
  </si>
  <si>
    <t>Sindy Beatriz Perez Sanchez</t>
  </si>
  <si>
    <t>Sindy Carolina Ramirez Pur</t>
  </si>
  <si>
    <t>Sindy Elizabeth Chavez Guzman</t>
  </si>
  <si>
    <t>Sindy Gabriela Rivas Ochoa</t>
  </si>
  <si>
    <t>Sindy Karina Ramirez Lopez</t>
  </si>
  <si>
    <t>Sindy Melissa Duarte Colindres</t>
  </si>
  <si>
    <t>Sindy Paola Vargas Calderon</t>
  </si>
  <si>
    <t>Sindy Yessenia Chavaque Barrios</t>
  </si>
  <si>
    <t>Sinthia Sarai Aceituno Guerrero</t>
  </si>
  <si>
    <t>Siomara Victoria Valle Sac</t>
  </si>
  <si>
    <t>Slayker Andony Santiago Natareno</t>
  </si>
  <si>
    <t>Smaylin Sarita Villatoro Angel</t>
  </si>
  <si>
    <t>Sofia Etelvina Lopez Perez De Gramajo</t>
  </si>
  <si>
    <t>Sofia Ines Bermudez Avila</t>
  </si>
  <si>
    <t>Sorayda Betzai Chavez</t>
  </si>
  <si>
    <t xml:space="preserve">Stacy Guadalupe Ramirez Mendoza </t>
  </si>
  <si>
    <t>Stefanie Rocio Najera Marquez</t>
  </si>
  <si>
    <t>Stefanny Manuela Azaneth Garcia Garcia</t>
  </si>
  <si>
    <t>Stefany Paola Solis Ruano</t>
  </si>
  <si>
    <t>Stefany Susana Jacobo Cruz</t>
  </si>
  <si>
    <t xml:space="preserve">Stephanie Abigail Villalta </t>
  </si>
  <si>
    <t>Suceli Isamar Orozco Fuentes</t>
  </si>
  <si>
    <t>Sucely Abigail Nerios Rodriguez</t>
  </si>
  <si>
    <t>Sucely Analy Arias Paredes</t>
  </si>
  <si>
    <t>Sucely Maria Chavez Quej</t>
  </si>
  <si>
    <t>Sucely Paola Godinez Gomez De Perez</t>
  </si>
  <si>
    <t>Sugey Alejandrina Ramirez Zepeda</t>
  </si>
  <si>
    <t>Sulibeth Estela Ortega Mendez</t>
  </si>
  <si>
    <t>Suri Mireidy Perez Estrada</t>
  </si>
  <si>
    <t>Susan Andrea Estrada Pineda López</t>
  </si>
  <si>
    <t>Susan Andrea Perez Lima</t>
  </si>
  <si>
    <t>Susan Maria Jose Rodas Carranza</t>
  </si>
  <si>
    <t>Susana Alvarado Gonzalez</t>
  </si>
  <si>
    <t>Susana Jeanneth Lemus Pineda</t>
  </si>
  <si>
    <t>Susana Marileth Juarez Galo</t>
  </si>
  <si>
    <t>Susana Virginia Garnica Perez</t>
  </si>
  <si>
    <t>Tamara Mishalka Sutherland Santos</t>
  </si>
  <si>
    <t>Tayme Gabriela Uzu Ramirez</t>
  </si>
  <si>
    <t>Telma Esperanza Santos Orantes</t>
  </si>
  <si>
    <t>Telma Sucely Solis Merida</t>
  </si>
  <si>
    <t>Teresa Carolina Primero Jalal</t>
  </si>
  <si>
    <t>Teylor Cuyuch</t>
  </si>
  <si>
    <t>Thania Lizeth Lechuga Manso</t>
  </si>
  <si>
    <t>Thania Lucia Romero Garcia</t>
  </si>
  <si>
    <t>Thelma Patricia Mena Melchor</t>
  </si>
  <si>
    <t>Thelma Yolanda De Candelaria Garcia Sanchez</t>
  </si>
  <si>
    <t>Tojin Chuc, Ingrid Benita</t>
  </si>
  <si>
    <t>Tomas Amador Manuel Martin</t>
  </si>
  <si>
    <t>Tomas Xiloj Mejia</t>
  </si>
  <si>
    <t>Treisy Lisbeth Orozco Orozco</t>
  </si>
  <si>
    <t>Urias Samuel Velasquez Ardeano</t>
  </si>
  <si>
    <t>Urias Venancio Lopez Coton</t>
  </si>
  <si>
    <t>Ursula Deyanira Molina Mendoza</t>
  </si>
  <si>
    <t>Valeria Lucia Escobar Mazariegos</t>
  </si>
  <si>
    <t>Valerie Andrea Rivas Del Valle</t>
  </si>
  <si>
    <t>Valeska Paola Rivas Gomez</t>
  </si>
  <si>
    <t>Vanessa Maria Lili Miguel Interiano</t>
  </si>
  <si>
    <t>Vanessa Nineth De Leon Ramirez</t>
  </si>
  <si>
    <t>Velvet Sofia Estrada Ruiz</t>
  </si>
  <si>
    <t>Ventura Rivera, Rhode Esperanza</t>
  </si>
  <si>
    <t>Veronica Alejandra Barahona Santa Cruz</t>
  </si>
  <si>
    <t>Veronica Dalila Barrios Hernandez</t>
  </si>
  <si>
    <t>Veronica Sierra Xo</t>
  </si>
  <si>
    <t>Vicky Roxana Lopez Hernandez</t>
  </si>
  <si>
    <t>Victor Abraham Alvarado De La Cruz</t>
  </si>
  <si>
    <t>Victor Adolfo Barrios Monzon</t>
  </si>
  <si>
    <t>Victor Alfonso Ortega Torres</t>
  </si>
  <si>
    <t>Victor David Ixtabalan Batz</t>
  </si>
  <si>
    <t>Victor Demecio Leon Villeda</t>
  </si>
  <si>
    <t>Victor Hugo Fuentes Ortiz</t>
  </si>
  <si>
    <t>Victor Hugo Turriz Flores</t>
  </si>
  <si>
    <t xml:space="preserve">Victor Manuel Perez Salazar </t>
  </si>
  <si>
    <t>Victor Otoniel Sebastian Cardona</t>
  </si>
  <si>
    <t>Victoria Maria Llamas Perez</t>
  </si>
  <si>
    <t>Vila Lucrecia Vanegas Morales</t>
  </si>
  <si>
    <t>Vilma Lizeth Caal Yantuche</t>
  </si>
  <si>
    <t>Vilma Rossibel Mendez Vasquez</t>
  </si>
  <si>
    <t>Virginia Nohemi Perez Ajtum</t>
  </si>
  <si>
    <t>Virginia Yesenia Merida Lopez</t>
  </si>
  <si>
    <t>Vivi Lourdes Lopez Zuleta</t>
  </si>
  <si>
    <t>Vivian Alejandra Ramirez Samayoa</t>
  </si>
  <si>
    <t>Vivian Beatriz Rodriguez Orozco</t>
  </si>
  <si>
    <t>Vivian Celeste De Leon Rian</t>
  </si>
  <si>
    <t>Vivian Dinora Fuentes Carrillo</t>
  </si>
  <si>
    <t>Vivian Fabiola Cerezo Franco</t>
  </si>
  <si>
    <t xml:space="preserve">Vivian Noemy Lima Morataya </t>
  </si>
  <si>
    <t>Vivian Roxana Piedrasanta Rodriguez</t>
  </si>
  <si>
    <t>Vivian Samara Sanchez Lopez Mejia</t>
  </si>
  <si>
    <t>Viviana Isabet Machic Tiño</t>
  </si>
  <si>
    <t>Viviana Maribel Ortiz Barrios</t>
  </si>
  <si>
    <t>Walkiria Anais Herrera Castillo</t>
  </si>
  <si>
    <t>Walter Alberto Cermeño Orozco</t>
  </si>
  <si>
    <t>Walter Alberto Gomez Ojot</t>
  </si>
  <si>
    <t>Walter Daniel Perea Flores</t>
  </si>
  <si>
    <t>Walter David De Leon Gomez</t>
  </si>
  <si>
    <t>Walter Eduardo Rodas Rios</t>
  </si>
  <si>
    <t>Walter Estuardo Guerra López</t>
  </si>
  <si>
    <t>Walter Geovany Hernandez Hernandez</t>
  </si>
  <si>
    <t>Walter Josue Ampudia Martinez</t>
  </si>
  <si>
    <t>Walter Josue Corona Barrera</t>
  </si>
  <si>
    <t>Walter Yovany Sequec Lopic</t>
  </si>
  <si>
    <t>Wanda Marisol Cabrera Lemus</t>
  </si>
  <si>
    <t>Wander Andres Grijlava Porras</t>
  </si>
  <si>
    <t>Wendoly Beatriz Morales Cornel</t>
  </si>
  <si>
    <t>Wendy Abigail Guarcas Najarro</t>
  </si>
  <si>
    <t>Wendy Alejandra Cuyan Alvarez</t>
  </si>
  <si>
    <t>Wendy Aracely Marroquin Arias</t>
  </si>
  <si>
    <t>Wendy Carolina Lopez Alvizuriz</t>
  </si>
  <si>
    <t>Wendy Corina Najera Vasquez De De Jocol</t>
  </si>
  <si>
    <t>Wendy Daniela Camey Mateo</t>
  </si>
  <si>
    <t>Wendy Jazmin Huinac Vasquez</t>
  </si>
  <si>
    <t>Wendy Jessenia Arredondo Lopez</t>
  </si>
  <si>
    <t>Wendy Mariela Diaz Hernandez</t>
  </si>
  <si>
    <t>Wendy Nineth Perez Roque</t>
  </si>
  <si>
    <t>Wendy Paola Baquiax Cu</t>
  </si>
  <si>
    <t>Wendy Paola De Paz Prado</t>
  </si>
  <si>
    <t>Wendy Paola Rodriguez Gonzalez</t>
  </si>
  <si>
    <t>Wendy Paola Salvatierra Garcia</t>
  </si>
  <si>
    <t>Wendy Patricia Lopez Gonzalez</t>
  </si>
  <si>
    <t>Wendy Susana Chinchilla Cotill</t>
  </si>
  <si>
    <t>Wendy Victoria Rodriguez Chacon</t>
  </si>
  <si>
    <t>Wensler David Obando Polanco</t>
  </si>
  <si>
    <t>Wilda Yohandra Atz Cruz</t>
  </si>
  <si>
    <t>Wilfido Abraham Cardona Garcia</t>
  </si>
  <si>
    <t>Wilian Aroldo Lucero Cardona</t>
  </si>
  <si>
    <t>William Alexander Gonzalez Mendoza</t>
  </si>
  <si>
    <t>William Alexander Tobias Gomez</t>
  </si>
  <si>
    <t>William Eduardo Velasquez Castillo</t>
  </si>
  <si>
    <t>William Rodolfo Yool Tucux</t>
  </si>
  <si>
    <t>Williams Jose Galvez Jordan</t>
  </si>
  <si>
    <t>Willian Baldemar Castillo Ramirez</t>
  </si>
  <si>
    <t>Wilmar Joe Alexander Catun Artola</t>
  </si>
  <si>
    <t xml:space="preserve">Wilmer Alexander Hernandez Santos </t>
  </si>
  <si>
    <t>Wilmer Arnoldo Diaz Martinez</t>
  </si>
  <si>
    <t>Wilmer Benjamin Vasquez Puac</t>
  </si>
  <si>
    <t>Wilmer Esteban Lopez Hernandez</t>
  </si>
  <si>
    <t>Wilmer Estuardo Salama Golon</t>
  </si>
  <si>
    <t xml:space="preserve">Wilmer Guillermo Perez Chay </t>
  </si>
  <si>
    <t>Wilmer Josue Corado Ruiz</t>
  </si>
  <si>
    <t xml:space="preserve">Wilmer Noe Ochaita Cadenas </t>
  </si>
  <si>
    <t xml:space="preserve">Wilmer Omar Sinay Ramos </t>
  </si>
  <si>
    <t>Wilmer Ovando Mejia Godinez</t>
  </si>
  <si>
    <t>Wilny Yadira Morente Sanchez</t>
  </si>
  <si>
    <t>Wilson Arnoldo Lopez Revolorio</t>
  </si>
  <si>
    <t>Wilson Eli Pineda Argueta</t>
  </si>
  <si>
    <t>Wilson Estuardo Vicente Tzun</t>
  </si>
  <si>
    <t>Wilson Manuel Zuñiga Perez</t>
  </si>
  <si>
    <t>Wilson Moises Carias Santos</t>
  </si>
  <si>
    <t>Wuangler Geovane Cal Sucup</t>
  </si>
  <si>
    <t>Wuilson Ottoniel Hernandez Alonzo</t>
  </si>
  <si>
    <t>Xavier Alejandro Ramirez Diaz</t>
  </si>
  <si>
    <t>Xiomara Karina Rendon Peinado</t>
  </si>
  <si>
    <t>Xitimul Ramirez, Luis Carlos</t>
  </si>
  <si>
    <t>Yackelin Maribel Zamora Medina Requena</t>
  </si>
  <si>
    <t>Yagut Monterroso, Melvin Hermenegildo</t>
  </si>
  <si>
    <t>Yajaira Emiliana Reyes Zapet</t>
  </si>
  <si>
    <t>Yakelin Consuelo Zapeta Perez</t>
  </si>
  <si>
    <t>Yakelline Noemí Estrada Jimenez </t>
  </si>
  <si>
    <t>Yaquelin Alejandra Hernández Barrera</t>
  </si>
  <si>
    <t>Yaquelin Dinora Xicara Mejia</t>
  </si>
  <si>
    <t>Yaquelin Karina Virula Patzan Campos</t>
  </si>
  <si>
    <t xml:space="preserve">Yaquelin Noemi Aguilar Cacatzun </t>
  </si>
  <si>
    <t>Yaquelin Yessenia Sapon Gonzalez</t>
  </si>
  <si>
    <t>Yasmin Paola Sicay Marroquin</t>
  </si>
  <si>
    <t>Yefersson Zabala Aviles</t>
  </si>
  <si>
    <t>Yefri Carmelo Ortega Lopez</t>
  </si>
  <si>
    <t>Yefri Estuardo Lopez Velasquez</t>
  </si>
  <si>
    <t>Yefry Jesus Soto</t>
  </si>
  <si>
    <t>Yeimi Yareli Moscoso Guzman</t>
  </si>
  <si>
    <t>Yeison Lemuel Lopez Vasquez</t>
  </si>
  <si>
    <t>Yener Catarino Chilel Velasquez</t>
  </si>
  <si>
    <t xml:space="preserve">Yeni Amarilis Ruano </t>
  </si>
  <si>
    <t>Yeni Elizabeth Carrillo Barrios</t>
  </si>
  <si>
    <t>Yeni Jannet Morales Sintud</t>
  </si>
  <si>
    <t>Yeni Sabrina Ordonez Gonzalez De Chicas</t>
  </si>
  <si>
    <t>Yenica Limni Lopez Sebastian Quijivix</t>
  </si>
  <si>
    <t>Yenifer Alicia Yessenia Tzib Lemus</t>
  </si>
  <si>
    <t>Yenifer Antonieta Borja Aragon</t>
  </si>
  <si>
    <t xml:space="preserve">Yenifer Del Carmen Perez Aldana </t>
  </si>
  <si>
    <t>Yenifer Magali Arana Tezen</t>
  </si>
  <si>
    <t>Yeniffer Guadalupe Chiquin Carbonell</t>
  </si>
  <si>
    <t>Yenner Antonio Perez Castro</t>
  </si>
  <si>
    <t xml:space="preserve">Yeral Estiv Noj Flores </t>
  </si>
  <si>
    <t>Yesenia Guadalupe Ajcu Castillo</t>
  </si>
  <si>
    <t>Yesenia Nataly Alvarado Sarpec</t>
  </si>
  <si>
    <t>Yesenia Noemi Gutierrez Argueta</t>
  </si>
  <si>
    <t>Yesi Lisbet Fuentes Velarde</t>
  </si>
  <si>
    <t>Yesica Elizabet Marroquin Vielman</t>
  </si>
  <si>
    <t>Yessica Naomi Aguilar Quevedo</t>
  </si>
  <si>
    <t>Yessica Paola Perez Poma                          </t>
  </si>
  <si>
    <t>Yessica Yesenia Torres Valdes</t>
  </si>
  <si>
    <t xml:space="preserve">Yeymi Carolina Cux Tocay </t>
  </si>
  <si>
    <t>Yolanda Genoveva Lopez Bamaca</t>
  </si>
  <si>
    <t>Yolisma Yaneth Vasquez Najera</t>
  </si>
  <si>
    <t>Yonatan Alexander Perez Scott</t>
  </si>
  <si>
    <t>Yonatan Nazareth Zapeta Gomez</t>
  </si>
  <si>
    <t>Yonathan Neftali Moran Velasquez</t>
  </si>
  <si>
    <t>Yoni Adan Gutierrez Veliz</t>
  </si>
  <si>
    <t>Yoni Yosuen Rodriguez Sosa</t>
  </si>
  <si>
    <t>Yoselin Alejandra Barrios Reyes</t>
  </si>
  <si>
    <t>Yoselin Alejandra Moran Burgos</t>
  </si>
  <si>
    <t>Yoselin Andrea Cipriano Garcia</t>
  </si>
  <si>
    <t>Yoselin Ninet Lopez Quibaja</t>
  </si>
  <si>
    <t>Yoselin Paola Castillo Gue</t>
  </si>
  <si>
    <t>Yoselin Yesenia Perez Jimenez</t>
  </si>
  <si>
    <t>Yoselyn Michel Lopez Solis</t>
  </si>
  <si>
    <t>Yosselin Baleska Garcia Valdez</t>
  </si>
  <si>
    <t>Yubithza Azucena Gamez Agustin</t>
  </si>
  <si>
    <t>Yuliana Elizabeth Hernandez Lopez</t>
  </si>
  <si>
    <t>Yuri Elizabeth Gonon Pretzanzin</t>
  </si>
  <si>
    <t>Yuri Madali Cabrera Garcia</t>
  </si>
  <si>
    <t>Yuri Vanessa Bac Caal De Gomez</t>
  </si>
  <si>
    <t>Yuri Yesenia Beza Ramirez</t>
  </si>
  <si>
    <t>Yusleni Dorali Anzueto Vasquez</t>
  </si>
  <si>
    <t>Zacarias Rigoberto Cuc Tiul</t>
  </si>
  <si>
    <t>Zaira Eloiza Orantes Ramirez</t>
  </si>
  <si>
    <t>Zalma Esmeralda Flores Tojin</t>
  </si>
  <si>
    <t>Zavala Soto, Alisson Yisel</t>
  </si>
  <si>
    <t>Zecena Ramos, Kemberly Del Rosario</t>
  </si>
  <si>
    <t>Zenia Estefania Alvarado Alvarado</t>
  </si>
  <si>
    <t>Zoila Edmunda Pirir Tezen</t>
  </si>
  <si>
    <t>Zonia Esperanza Choc Reyes</t>
  </si>
  <si>
    <t>Zoraida Marisol Martinez Perez</t>
  </si>
  <si>
    <t>Zulema Noemy Aristondo Lopez</t>
  </si>
  <si>
    <t>Zulma Damaris Menchu Mendez</t>
  </si>
  <si>
    <t>Zulmy Paola Mateo Salazar</t>
  </si>
  <si>
    <t>Zuly Beatriz Lopez Martinez</t>
  </si>
  <si>
    <t>Zuryele Alfaro Gonzalez</t>
  </si>
  <si>
    <t xml:space="preserve">MONICA LAJ DE LA CRUZ </t>
  </si>
  <si>
    <t>Sindy Julissa Diaz Carias</t>
  </si>
  <si>
    <t>Ana Mishell Lopez Lemus</t>
  </si>
  <si>
    <t>Jose David Juarez Morales</t>
  </si>
  <si>
    <t>Ana Veliz Perez Martinez</t>
  </si>
  <si>
    <t>Hector Cacao Choc</t>
  </si>
  <si>
    <t>Gerson Celidon Melchor</t>
  </si>
  <si>
    <t>JAKELINE CHUN</t>
  </si>
  <si>
    <t>Gustavo Bol</t>
  </si>
  <si>
    <t xml:space="preserve">JOSE ANGEL PEREZ JIMENEZ </t>
  </si>
  <si>
    <t>KENIA ALEJANDRINA GUADALUPE DIAZ REYNA</t>
  </si>
  <si>
    <t>MARIO ALEJANDRO CUCUL RUIZ</t>
  </si>
  <si>
    <t>NERY AYU</t>
  </si>
  <si>
    <t>NORMA QUETZALY AC POP</t>
  </si>
  <si>
    <t>JOSELIN EDITH LOPEZ OLIVA</t>
  </si>
  <si>
    <t>BRITANY YUSELI MATHEU RAXIQUE</t>
  </si>
  <si>
    <t>KRISTAL ANDREA ALVARADO JUMIQUE</t>
  </si>
  <si>
    <t>MARELYN JEANNTH BARRIOS ALFARO</t>
  </si>
  <si>
    <t>ASLIN ESMERALDA MARTINEZ</t>
  </si>
  <si>
    <t>KENIA VANESA CUCUL LEONARDO</t>
  </si>
  <si>
    <t>MARIA OFELIA SOSA</t>
  </si>
  <si>
    <t>GEMA ELIZABETH MATUS CARRETO</t>
  </si>
  <si>
    <t>ELVY CANDELARIA JUC BIN</t>
  </si>
  <si>
    <t>KRISHNA MORALES</t>
  </si>
  <si>
    <t>DANIELA PONCE REYES</t>
  </si>
  <si>
    <t>SILVIA CAROLINA CAC CORTEZ</t>
  </si>
  <si>
    <t>JASMIN DAVILA</t>
  </si>
  <si>
    <t>VICTOR HUGO RAMIRES ENRIQUEZ</t>
  </si>
  <si>
    <t>Felipe De Jesus Hernandez Mejia</t>
  </si>
  <si>
    <t>JAZMIN ARACELY SOLIS SAGASTUME</t>
  </si>
  <si>
    <t>GERSON DANIEL MILIAN HERNANDEZ</t>
  </si>
  <si>
    <t xml:space="preserve">JENIFER SULEYDA RIVERA VELASQUEZ </t>
  </si>
  <si>
    <t>OSCAR MIGUEL QUEJ TILOM</t>
  </si>
  <si>
    <t>REYNA ADELAIDA CHAMAN CAAL</t>
  </si>
  <si>
    <t>CRISTHIAN ALEXANDER LOPEZ SUCHITE</t>
  </si>
  <si>
    <t>MAYNOR OTONIEL CHUB FELIPE</t>
  </si>
  <si>
    <t>MERCEDES QUEJ ISEM</t>
  </si>
  <si>
    <t>OLGA ESPERANZA SOLIS MENDEZ</t>
  </si>
  <si>
    <t>FIELFER OMAR TUN CHOC</t>
  </si>
  <si>
    <t>ANA LUISA CAHUEC JOJ</t>
  </si>
  <si>
    <t>JONATHAN OSORIO</t>
  </si>
  <si>
    <t>JAIRO OBED ALEXANDER TUL CHO</t>
  </si>
  <si>
    <t>MARYORI YAZMIN HERNANDEZ VALENZUELA</t>
  </si>
  <si>
    <t>ROSAURA YANETH POP WINTER</t>
  </si>
  <si>
    <t>Saddy Daniela Solá Aguilar</t>
  </si>
  <si>
    <t>ANDREA LUCIA GUZMAN GUERRA</t>
  </si>
  <si>
    <t>JENNIFER ANAYELI LOPEZ DEL CID</t>
  </si>
  <si>
    <t xml:space="preserve">JEFFERSON MAQUIN </t>
  </si>
  <si>
    <t>JENIFER DAYANI GODINEZ PÉREZ</t>
  </si>
  <si>
    <t>EMERSON EDUARDO ALEBÓN GARCÍA</t>
  </si>
  <si>
    <t>JOSE ARNOLDO RUANO CARDENAS</t>
  </si>
  <si>
    <t>AYRTON SALVADOR MORALES BUENAFE</t>
  </si>
  <si>
    <t xml:space="preserve">SULMY MARITZA GARCIA LEÓN </t>
  </si>
  <si>
    <t>PABLO ICO CO</t>
  </si>
  <si>
    <t>ANA MARIA LOPEZ</t>
  </si>
  <si>
    <t>MILVIA ELIZABETH CUGUA  MOLINA</t>
  </si>
  <si>
    <t>RAQUEL ESTHER SAJCHE</t>
  </si>
  <si>
    <t>DANIA LINARES GOMEZ</t>
  </si>
  <si>
    <t xml:space="preserve">OLVIN ALEXANDER NOLASCO XO </t>
  </si>
  <si>
    <t>DAMARIS PAHOLA CASTAÑAZA CALDERON</t>
  </si>
  <si>
    <t>JORGE RONALDO CHOC CAAL</t>
  </si>
  <si>
    <t>HARLYN CECYLIA AJIN MORALES</t>
  </si>
  <si>
    <t>Joel Armando Acevedo Najera</t>
  </si>
  <si>
    <t>BASILIA HERNANDEZ</t>
  </si>
  <si>
    <t>NELLY MARIA LEMUS CARDONA</t>
  </si>
  <si>
    <t>CECILIA DORCAS SIQUIC VELASQUEZ</t>
  </si>
  <si>
    <t>DARWIN OTTO JOSE CHEN MACZ</t>
  </si>
  <si>
    <t>NANSI MARILU NAJERA LOPEZ</t>
  </si>
  <si>
    <t>DAILY ELIZABETH ALAY VANEGAS</t>
  </si>
  <si>
    <t xml:space="preserve">SHAROL STEFANY YOC GOMEZ </t>
  </si>
  <si>
    <t>MARCELLO JARED VELIZ CAZ</t>
  </si>
  <si>
    <t>NATALY KRISTEL ROCIO LAM CETIVO</t>
  </si>
  <si>
    <t>MIREYA GONZALEZ</t>
  </si>
  <si>
    <t>OSCAR HUMBERTO CAAL GOMEZ</t>
  </si>
  <si>
    <t>ANA MARTINEZ</t>
  </si>
  <si>
    <t>KARLA ANGELICA PAN CHOCOOJ</t>
  </si>
  <si>
    <t>EMILY ANDREA DE LEON  LOPEZ</t>
  </si>
  <si>
    <t>ROBINSON APOLONIO VARGAS RODRIGUEZ</t>
  </si>
  <si>
    <t>MADELINE YAMILET MURALLES AGUSTIN</t>
  </si>
  <si>
    <t>MILTON AMINADAV FIGUEROA FLORES</t>
  </si>
  <si>
    <t>LUIS EDUARDO PEREIRA MALDONADO</t>
  </si>
  <si>
    <t>BRAYAN ELI GARCIA DONIS</t>
  </si>
  <si>
    <t>JOSUE EMANUEL DAVID REYES YUMAN</t>
  </si>
  <si>
    <t xml:space="preserve">KIMBERLY XIOMARA HERNANDEZ RUANO </t>
  </si>
  <si>
    <t xml:space="preserve">ESMERALDA ABIGAIL COTTA SANCHEZ </t>
  </si>
  <si>
    <t>JACKELINE KARINA CON VASQUEZ</t>
  </si>
  <si>
    <t>ANDREA MISHELLE MALDONADO LÓPEZ</t>
  </si>
  <si>
    <t>GREYBIS PAOLA DE LA CRUZ ESTRADA</t>
  </si>
  <si>
    <t>DIANA RIVERA</t>
  </si>
  <si>
    <t xml:space="preserve">MIGUEL FERNANDO  QUIÑONEZ </t>
  </si>
  <si>
    <t xml:space="preserve">SANDY BARRIOS </t>
  </si>
  <si>
    <t>LUIS ENRIQUE ACABAL QUIEJ</t>
  </si>
  <si>
    <t>MARIA NOJ</t>
  </si>
  <si>
    <t>BERTHA ANYELY AQUINO</t>
  </si>
  <si>
    <t xml:space="preserve">RUTH VARGAS </t>
  </si>
  <si>
    <t>MARLEN DIDI SANTOS MARROQUIN</t>
  </si>
  <si>
    <t>JEIMY VANESSA DE LEON HUINAC</t>
  </si>
  <si>
    <t>ALEJANDRA CASTILLO</t>
  </si>
  <si>
    <t>MAYNOR BRAN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</si>
</sst>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Q&quot;* #,##0.00_-;\-&quot;Q&quot;* #,##0.00_-;_-&quot;Q&quot;* &quot;-&quot;??_-;_-@_-"/>
    <numFmt numFmtId="165" formatCode="dd/mm/yyyy;@"/>
    <numFmt numFmtId="166" formatCode="_-&quot;Q&quot;* #,##0_-;\-&quot;Q&quot;* #,##0_-;_-&quot;Q&quot;* &quot;-&quot;??_-;_-@_-"/>
    <numFmt numFmtId="167" formatCode="_(* #,##0_);_(* \(#,##0\);_(* &quot;-&quot;_);_(@_)"/>
    <numFmt numFmtId="168" formatCode="&quot;Q&quot;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theme="0"/>
      <name val="Arial"/>
      <family val="2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sz val="11"/>
      <color rgb="FF000000"/>
      <name val="Aptos Narrow"/>
      <family val="2"/>
    </font>
    <font>
      <sz val="12"/>
      <color rgb="FF000000"/>
      <name val="Arial"/>
      <family val="2"/>
    </font>
    <font>
      <sz val="11"/>
      <color rgb="FF000000"/>
      <name val="Segoe UI"/>
      <family val="2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>
      <alignment vertical="top"/>
    </xf>
    <xf numFmtId="0" fontId="1" fillId="0" borderId="0"/>
    <xf numFmtId="0" fontId="9" fillId="0" borderId="0" applyNumberFormat="0" applyFill="0" applyBorder="0" applyAlignment="0" applyProtection="0">
      <alignment vertical="top"/>
    </xf>
  </cellStyleXfs>
  <cellXfs count="36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4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164" fontId="2" fillId="2" borderId="1" xfId="1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65" fontId="0" fillId="3" borderId="0" xfId="0" applyNumberFormat="1" applyFill="1" applyAlignment="1" applyProtection="1">
      <alignment horizontal="center" vertical="center"/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Alignment="1" applyProtection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1" applyNumberFormat="1" applyFont="1" applyFill="1" applyAlignment="1" applyProtection="1">
      <alignment horizontal="center" vertical="center"/>
    </xf>
    <xf numFmtId="164" fontId="1" fillId="0" borderId="0" xfId="1" applyFont="1" applyFill="1" applyAlignment="1" applyProtection="1">
      <alignment horizontal="center" vertical="center"/>
      <protection locked="0"/>
    </xf>
    <xf numFmtId="167" fontId="5" fillId="4" borderId="2" xfId="2" applyNumberFormat="1" applyFont="1" applyFill="1" applyBorder="1" applyAlignment="1">
      <alignment horizontal="center" vertical="center" wrapText="1"/>
    </xf>
    <xf numFmtId="0" fontId="6" fillId="5" borderId="1" xfId="0" quotePrefix="1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8" fillId="0" borderId="2" xfId="3" applyFont="1" applyBorder="1" applyAlignment="1">
      <alignment vertical="center" readingOrder="1"/>
    </xf>
    <xf numFmtId="0" fontId="8" fillId="0" borderId="2" xfId="4" applyFont="1" applyFill="1" applyBorder="1" applyAlignment="1">
      <alignment horizontal="left" vertical="center"/>
    </xf>
    <xf numFmtId="0" fontId="10" fillId="0" borderId="3" xfId="0" applyFont="1" applyBorder="1" applyAlignment="1">
      <alignment horizontal="left"/>
    </xf>
    <xf numFmtId="0" fontId="10" fillId="0" borderId="3" xfId="0" quotePrefix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8" fontId="0" fillId="0" borderId="0" xfId="0" applyNumberFormat="1"/>
    <xf numFmtId="0" fontId="0" fillId="8" borderId="0" xfId="0" applyFill="1"/>
    <xf numFmtId="0" fontId="8" fillId="9" borderId="2" xfId="3" applyFont="1" applyFill="1" applyBorder="1" applyAlignment="1">
      <alignment vertical="center" readingOrder="1"/>
    </xf>
    <xf numFmtId="0" fontId="8" fillId="0" borderId="4" xfId="3" applyFont="1" applyBorder="1" applyAlignment="1">
      <alignment vertical="center" readingOrder="1"/>
    </xf>
    <xf numFmtId="0" fontId="8" fillId="0" borderId="4" xfId="4" applyFont="1" applyFill="1" applyBorder="1" applyAlignment="1">
      <alignment horizontal="left" vertical="center"/>
    </xf>
    <xf numFmtId="14" fontId="0" fillId="0" borderId="0" xfId="0" applyNumberFormat="1"/>
    <xf numFmtId="0" fontId="4" fillId="0" borderId="0" xfId="0" applyFont="1" applyAlignment="1" applyProtection="1">
      <alignment vertical="center"/>
      <protection locked="0"/>
    </xf>
    <xf numFmtId="0" fontId="11" fillId="0" borderId="0" xfId="0" applyFont="1"/>
    <xf numFmtId="0" fontId="12" fillId="0" borderId="0" xfId="0" applyFont="1"/>
    <xf numFmtId="0" fontId="0" fillId="0" borderId="0" xfId="0" applyAlignment="1">
      <alignment wrapText="1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wrapText="1"/>
    </xf>
  </cellXfs>
  <cellStyles count="5">
    <cellStyle name="Moneda 2" xfId="1" xr:uid="{37AB48D9-839B-4ADD-83D5-8924EBF8A559}"/>
    <cellStyle name="NivelCol_1" xfId="4" builtinId="2" iLevel="0"/>
    <cellStyle name="Normal" xfId="0" builtinId="0"/>
    <cellStyle name="Normal 6 10 4" xfId="3" xr:uid="{1E7F5C26-C3F7-4669-833C-A5D3BE1382FC}"/>
    <cellStyle name="Normal_Hoja1" xfId="2" xr:uid="{00081E7D-9D11-4222-AAAA-E75DAB720EEC}"/>
  </cellStyles>
  <dxfs count="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coudere\Desktop\Informes_Mensuales_CD\Reportes%20de%20Ejecuci&#243;n\R%20de%20Harris.xlsx" TargetMode="External"/><Relationship Id="rId1" Type="http://schemas.openxmlformats.org/officeDocument/2006/relationships/externalLinkPath" Target="R%20de%20Harr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alex.ramirez\Desktop\Fenix\Proyecto%20Metas%202016%20Asesores%20Comerciale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 26"/>
      <sheetName val="Hoja1"/>
      <sheetName val="Datos"/>
    </sheetNames>
    <sheetDataSet>
      <sheetData sheetId="0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lle"/>
      <sheetName val="Repagos"/>
      <sheetName val="Resumen"/>
      <sheetName val="AGENCIA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341DF-74F8-422D-8D5F-C792062D3F10}">
  <dimension ref="A1:T678"/>
  <sheetViews>
    <sheetView tabSelected="1" zoomScale="63" zoomScaleNormal="80" workbookViewId="0">
      <selection activeCell="A344" sqref="A344"/>
    </sheetView>
  </sheetViews>
  <sheetFormatPr baseColWidth="10" defaultColWidth="10.7265625" defaultRowHeight="14.5" x14ac:dyDescent="0.35"/>
  <cols>
    <col min="1" max="1" width="10.7265625" style="6"/>
    <col min="2" max="2" width="9.6328125" style="6" bestFit="1" customWidth="1"/>
    <col min="3" max="3" width="8.26953125" style="6" bestFit="1" customWidth="1"/>
    <col min="4" max="4" width="10.1796875" style="6" customWidth="1"/>
    <col min="5" max="5" width="15.453125" style="6" bestFit="1" customWidth="1"/>
    <col min="6" max="6" width="11.26953125" style="6" customWidth="1"/>
    <col min="7" max="7" width="49.453125" style="6" bestFit="1" customWidth="1"/>
    <col min="8" max="8" width="11.26953125" style="6" bestFit="1" customWidth="1"/>
    <col min="9" max="9" width="12.26953125" style="6" bestFit="1" customWidth="1"/>
    <col min="10" max="10" width="17.453125" style="11" bestFit="1" customWidth="1"/>
    <col min="11" max="11" width="7.26953125" style="6" customWidth="1"/>
    <col min="12" max="12" width="31.54296875" style="9" bestFit="1" customWidth="1"/>
    <col min="13" max="13" width="16.453125" style="6" customWidth="1"/>
    <col min="14" max="14" width="39.453125" style="9" bestFit="1" customWidth="1"/>
    <col min="15" max="15" width="9.453125" style="12" bestFit="1" customWidth="1"/>
    <col min="16" max="16" width="9.81640625" style="13" bestFit="1" customWidth="1"/>
    <col min="17" max="17" width="41.453125" style="9" bestFit="1" customWidth="1"/>
    <col min="18" max="18" width="34.26953125" style="6" bestFit="1" customWidth="1"/>
    <col min="19" max="19" width="13.7265625" style="6" bestFit="1" customWidth="1"/>
    <col min="20" max="20" width="7.81640625" style="6" bestFit="1" customWidth="1"/>
    <col min="21" max="16384" width="10.7265625" style="6"/>
  </cols>
  <sheetData>
    <row r="1" spans="1:20" ht="38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2" t="s">
        <v>10</v>
      </c>
      <c r="L1" s="4" t="s">
        <v>11</v>
      </c>
      <c r="M1" s="2" t="s">
        <v>12</v>
      </c>
      <c r="N1" s="4" t="s">
        <v>13</v>
      </c>
      <c r="O1" s="5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</row>
    <row r="2" spans="1:20" hidden="1" x14ac:dyDescent="0.35">
      <c r="A2" s="6" t="s">
        <v>20</v>
      </c>
      <c r="B2" s="6" t="s">
        <v>21</v>
      </c>
      <c r="C2" s="6">
        <v>4</v>
      </c>
      <c r="D2" s="6" t="s">
        <v>22</v>
      </c>
      <c r="E2" s="6" t="s">
        <v>23</v>
      </c>
      <c r="F2" s="6">
        <v>623</v>
      </c>
      <c r="G2" s="6" t="s">
        <v>24</v>
      </c>
      <c r="H2" s="7">
        <v>46266</v>
      </c>
      <c r="I2" s="8">
        <v>46266</v>
      </c>
      <c r="J2" s="9" t="str">
        <f>+VLOOKUP(K2,Datos!$A:$C,3,FALSE)</f>
        <v>ORIENTE</v>
      </c>
      <c r="K2" s="6">
        <v>179</v>
      </c>
      <c r="L2" s="9" t="str">
        <f>+VLOOKUP(K2,Datos!$A:$C,2,FALSE)</f>
        <v>ZACAPA CATEDRAL</v>
      </c>
      <c r="M2" s="6">
        <v>315570</v>
      </c>
      <c r="N2" s="9" t="str">
        <f>+VLOOKUP(M2,Datos!$F:$G,2,FALSE)</f>
        <v>Zecena Ramos, Kemberly Del Rosario</v>
      </c>
      <c r="O2" s="10">
        <f>IFERROR(IF(A2="SI",VLOOKUP(R2,Datos!$J$1:$K$50,2,FALSE)*C2,VLOOKUP(R2,Datos!$P$1:$T$50,2,FALSE)*C2),0)</f>
        <v>5472</v>
      </c>
      <c r="P2" s="6">
        <v>309262</v>
      </c>
      <c r="Q2" s="9" t="str">
        <f>+VLOOKUP(P2,Datos!$F:$G,2,FALSE)</f>
        <v>Lisbeth Carolina Hernandez Urrutia</v>
      </c>
      <c r="R2" s="6" t="s">
        <v>25</v>
      </c>
      <c r="S2" s="6" t="s">
        <v>20</v>
      </c>
      <c r="T2" s="6">
        <f t="shared" ref="T2:T65" si="0">+COUNTIFS($G$2:$G$623,G2)</f>
        <v>1</v>
      </c>
    </row>
    <row r="3" spans="1:20" hidden="1" x14ac:dyDescent="0.35">
      <c r="A3" s="6" t="s">
        <v>20</v>
      </c>
      <c r="B3" s="6" t="s">
        <v>26</v>
      </c>
      <c r="C3" s="6">
        <v>1</v>
      </c>
      <c r="D3" s="6" t="s">
        <v>22</v>
      </c>
      <c r="E3" s="6" t="s">
        <v>27</v>
      </c>
      <c r="F3" s="6">
        <v>4160</v>
      </c>
      <c r="G3" s="6" t="s">
        <v>28</v>
      </c>
      <c r="H3" s="8">
        <v>46266</v>
      </c>
      <c r="I3" s="8">
        <v>46266</v>
      </c>
      <c r="J3" s="9" t="str">
        <f>+VLOOKUP(K3,Datos!$A:$C,3,FALSE)</f>
        <v>AMERICAS</v>
      </c>
      <c r="K3" s="6">
        <v>226</v>
      </c>
      <c r="L3" s="9" t="str">
        <f>+VLOOKUP(K3,Datos!$A:$C,2,FALSE)</f>
        <v>SAN JOSE PINULA</v>
      </c>
      <c r="M3" s="6">
        <v>315218</v>
      </c>
      <c r="N3" s="9" t="str">
        <f>+VLOOKUP(M3,Datos!$F:$G,2,FALSE)</f>
        <v>Herberth Alberto Barrios Perez</v>
      </c>
      <c r="O3" s="10">
        <f>IFERROR(IF(A3="SI",VLOOKUP(R3,Datos!$J$1:$K$50,2,FALSE)*C3,VLOOKUP(R3,Datos!$P$1:$T$50,2,FALSE)*C3),0)</f>
        <v>816</v>
      </c>
      <c r="P3" s="6">
        <v>301608</v>
      </c>
      <c r="Q3" s="9" t="str">
        <f>+VLOOKUP(P3,Datos!$F:$G,2,FALSE)</f>
        <v>Jaime Rene Guzman Muy</v>
      </c>
      <c r="R3" s="6" t="s">
        <v>29</v>
      </c>
      <c r="S3" s="6" t="s">
        <v>20</v>
      </c>
      <c r="T3" s="6">
        <f t="shared" si="0"/>
        <v>1</v>
      </c>
    </row>
    <row r="4" spans="1:20" hidden="1" x14ac:dyDescent="0.35">
      <c r="A4" s="6" t="s">
        <v>20</v>
      </c>
      <c r="B4" s="6" t="s">
        <v>26</v>
      </c>
      <c r="C4" s="6">
        <v>1</v>
      </c>
      <c r="D4" s="6" t="s">
        <v>22</v>
      </c>
      <c r="E4" s="6" t="s">
        <v>27</v>
      </c>
      <c r="F4" s="6">
        <v>4167</v>
      </c>
      <c r="G4" s="6" t="s">
        <v>30</v>
      </c>
      <c r="H4" s="8">
        <v>46266</v>
      </c>
      <c r="I4" s="8">
        <v>46266</v>
      </c>
      <c r="J4" s="9" t="str">
        <f>+VLOOKUP(K4,Datos!$A:$C,3,FALSE)</f>
        <v>AMERICAS</v>
      </c>
      <c r="K4" s="6">
        <v>226</v>
      </c>
      <c r="L4" s="9" t="str">
        <f>+VLOOKUP(K4,Datos!$A:$C,2,FALSE)</f>
        <v>SAN JOSE PINULA</v>
      </c>
      <c r="M4" s="6">
        <v>315218</v>
      </c>
      <c r="N4" s="9" t="str">
        <f>+VLOOKUP(M4,Datos!$F:$G,2,FALSE)</f>
        <v>Herberth Alberto Barrios Perez</v>
      </c>
      <c r="O4" s="10">
        <f>IFERROR(IF(A4="SI",VLOOKUP(R4,Datos!$J$1:$K$50,2,FALSE)*C4,VLOOKUP(R4,Datos!$P$1:$T$50,2,FALSE)*C4),0)</f>
        <v>1368</v>
      </c>
      <c r="P4" s="6">
        <v>301608</v>
      </c>
      <c r="Q4" s="9" t="str">
        <f>+VLOOKUP(P4,Datos!$F:$G,2,FALSE)</f>
        <v>Jaime Rene Guzman Muy</v>
      </c>
      <c r="R4" s="6" t="s">
        <v>25</v>
      </c>
      <c r="S4" s="6" t="s">
        <v>20</v>
      </c>
      <c r="T4" s="6">
        <f t="shared" si="0"/>
        <v>1</v>
      </c>
    </row>
    <row r="5" spans="1:20" hidden="1" x14ac:dyDescent="0.35">
      <c r="A5" s="6" t="s">
        <v>20</v>
      </c>
      <c r="B5" s="6" t="s">
        <v>21</v>
      </c>
      <c r="C5" s="6">
        <v>1</v>
      </c>
      <c r="D5" s="6" t="s">
        <v>22</v>
      </c>
      <c r="E5" s="6" t="s">
        <v>31</v>
      </c>
      <c r="F5" s="6">
        <v>1088</v>
      </c>
      <c r="G5" s="6" t="s">
        <v>32</v>
      </c>
      <c r="H5" s="8">
        <v>46266</v>
      </c>
      <c r="I5" s="8">
        <v>46266</v>
      </c>
      <c r="J5" s="9" t="str">
        <f>+VLOOKUP(K5,Datos!$A:$C,3,FALSE)</f>
        <v>PETAPA</v>
      </c>
      <c r="K5" s="6">
        <v>88</v>
      </c>
      <c r="L5" s="9" t="str">
        <f>+VLOOKUP(K5,Datos!$A:$C,2,FALSE)</f>
        <v>ATANASIO TZUL</v>
      </c>
      <c r="M5" s="6">
        <v>90086485</v>
      </c>
      <c r="N5" s="9" t="str">
        <f>+VLOOKUP(M5,Datos!$F:$G,2,FALSE)</f>
        <v xml:space="preserve">SHAROL STEFANY YOC GOMEZ </v>
      </c>
      <c r="O5" s="10">
        <f>IFERROR(IF(A5="SI",VLOOKUP(R5,Datos!$J$1:$K$50,2,FALSE)*C5,VLOOKUP(R5,Datos!$P$1:$T$50,2,FALSE)*C5),0)</f>
        <v>816</v>
      </c>
      <c r="P5" s="6">
        <v>306713</v>
      </c>
      <c r="Q5" s="9" t="str">
        <f>+VLOOKUP(P5,Datos!$F:$G,2,FALSE)</f>
        <v>Luis Fernando Santos Aguilar</v>
      </c>
      <c r="R5" s="6" t="s">
        <v>29</v>
      </c>
      <c r="S5" s="6" t="s">
        <v>20</v>
      </c>
      <c r="T5" s="6">
        <f t="shared" si="0"/>
        <v>1</v>
      </c>
    </row>
    <row r="6" spans="1:20" hidden="1" x14ac:dyDescent="0.35">
      <c r="A6" s="6" t="s">
        <v>20</v>
      </c>
      <c r="B6" s="6" t="s">
        <v>21</v>
      </c>
      <c r="C6" s="6">
        <v>1</v>
      </c>
      <c r="D6" s="6" t="s">
        <v>22</v>
      </c>
      <c r="E6" s="6" t="s">
        <v>27</v>
      </c>
      <c r="F6" s="6">
        <v>4170</v>
      </c>
      <c r="G6" s="6" t="s">
        <v>33</v>
      </c>
      <c r="H6" s="8">
        <v>46266</v>
      </c>
      <c r="I6" s="8">
        <v>46266</v>
      </c>
      <c r="J6" s="9" t="str">
        <f>+VLOOKUP(K6,Datos!$A:$C,3,FALSE)</f>
        <v>ORIENTE</v>
      </c>
      <c r="K6" s="6">
        <v>122</v>
      </c>
      <c r="L6" s="9" t="str">
        <f>+VLOOKUP(K6,Datos!$A:$C,2,FALSE)</f>
        <v>AGUA BLANCA</v>
      </c>
      <c r="M6" s="6">
        <v>313981</v>
      </c>
      <c r="N6" s="9" t="str">
        <f>+VLOOKUP(M6,Datos!$F:$G,2,FALSE)</f>
        <v>Sindy Beatriz Perez Sanchez</v>
      </c>
      <c r="O6" s="10">
        <f>IFERROR(IF(A6="SI",VLOOKUP(R6,Datos!$J$1:$K$50,2,FALSE)*C6,VLOOKUP(R6,Datos!$P$1:$T$50,2,FALSE)*C6),0)</f>
        <v>816</v>
      </c>
      <c r="P6" s="6">
        <v>306259</v>
      </c>
      <c r="Q6" s="9" t="str">
        <f>+VLOOKUP(P6,Datos!$F:$G,2,FALSE)</f>
        <v>Brenda Raquel Ramirez Sanchez</v>
      </c>
      <c r="R6" s="6" t="s">
        <v>29</v>
      </c>
      <c r="S6" s="6" t="s">
        <v>20</v>
      </c>
      <c r="T6" s="6">
        <f t="shared" si="0"/>
        <v>1</v>
      </c>
    </row>
    <row r="7" spans="1:20" hidden="1" x14ac:dyDescent="0.35">
      <c r="A7" s="6" t="s">
        <v>20</v>
      </c>
      <c r="B7" s="6" t="s">
        <v>21</v>
      </c>
      <c r="C7" s="6">
        <v>1</v>
      </c>
      <c r="D7" s="6" t="s">
        <v>22</v>
      </c>
      <c r="E7" s="6" t="s">
        <v>27</v>
      </c>
      <c r="F7" s="6">
        <v>41736</v>
      </c>
      <c r="G7" s="6" t="s">
        <v>34</v>
      </c>
      <c r="H7" s="8">
        <v>46266</v>
      </c>
      <c r="I7" s="8">
        <v>46266</v>
      </c>
      <c r="J7" s="9" t="str">
        <f>+VLOOKUP(K7,Datos!$A:$C,3,FALSE)</f>
        <v>NORTE</v>
      </c>
      <c r="K7" s="6">
        <v>80</v>
      </c>
      <c r="L7" s="9" t="str">
        <f>+VLOOKUP(K7,Datos!$A:$C,2,FALSE)</f>
        <v>TACTIC</v>
      </c>
      <c r="M7" s="6">
        <v>90051401</v>
      </c>
      <c r="N7" s="9" t="str">
        <f>+VLOOKUP(M7,Datos!$F:$G,2,FALSE)</f>
        <v>Gerson Celidon Melchor</v>
      </c>
      <c r="O7" s="10">
        <f>IFERROR(IF(A7="SI",VLOOKUP(R7,Datos!$J$1:$K$50,2,FALSE)*C7,VLOOKUP(R7,Datos!$P$1:$T$50,2,FALSE)*C7),0)</f>
        <v>816</v>
      </c>
      <c r="P7" s="6">
        <v>311405</v>
      </c>
      <c r="Q7" s="9" t="str">
        <f>+VLOOKUP(P7,Datos!$F:$G,2,FALSE)</f>
        <v>Marina Elena Giron Roldan</v>
      </c>
      <c r="R7" s="6" t="s">
        <v>29</v>
      </c>
      <c r="S7" s="6" t="s">
        <v>20</v>
      </c>
      <c r="T7" s="6">
        <f t="shared" si="0"/>
        <v>1</v>
      </c>
    </row>
    <row r="8" spans="1:20" hidden="1" x14ac:dyDescent="0.35">
      <c r="A8" s="6" t="s">
        <v>20</v>
      </c>
      <c r="B8" s="6" t="s">
        <v>21</v>
      </c>
      <c r="C8" s="6">
        <v>4</v>
      </c>
      <c r="D8" s="6" t="s">
        <v>22</v>
      </c>
      <c r="E8" s="6" t="s">
        <v>35</v>
      </c>
      <c r="F8" s="6">
        <v>816</v>
      </c>
      <c r="G8" s="6" t="s">
        <v>36</v>
      </c>
      <c r="H8" s="8">
        <v>46266</v>
      </c>
      <c r="I8" s="8">
        <v>46262</v>
      </c>
      <c r="J8" s="9" t="str">
        <f>+VLOOKUP(K8,Datos!$A:$C,3,FALSE)</f>
        <v>ORIENTE</v>
      </c>
      <c r="K8" s="6">
        <v>228</v>
      </c>
      <c r="L8" s="9" t="str">
        <f>+VLOOKUP(K8,Datos!$A:$C,2,FALSE)</f>
        <v>PRADERA CHIQUIMULA</v>
      </c>
      <c r="M8" s="6">
        <v>314831</v>
      </c>
      <c r="N8" s="9" t="str">
        <f>+VLOOKUP(M8,Datos!$F:$G,2,FALSE)</f>
        <v>Karla Paola Solorzano Monroy</v>
      </c>
      <c r="O8" s="10">
        <f>IFERROR(IF(A8="SI",VLOOKUP(R8,Datos!$J$1:$K$50,2,FALSE)*C8,VLOOKUP(R8,Datos!$P$1:$T$50,2,FALSE)*C8),0)</f>
        <v>5472</v>
      </c>
      <c r="P8" s="6">
        <v>90040440</v>
      </c>
      <c r="Q8" s="9" t="str">
        <f>+VLOOKUP(P8,Datos!$F:$G,2,FALSE)</f>
        <v>Ericka Carolina Diaz Hernandez</v>
      </c>
      <c r="R8" s="6" t="s">
        <v>25</v>
      </c>
      <c r="S8" s="6" t="s">
        <v>20</v>
      </c>
      <c r="T8" s="6">
        <f t="shared" si="0"/>
        <v>1</v>
      </c>
    </row>
    <row r="9" spans="1:20" hidden="1" x14ac:dyDescent="0.35">
      <c r="A9" s="6" t="s">
        <v>20</v>
      </c>
      <c r="B9" s="6" t="s">
        <v>21</v>
      </c>
      <c r="C9" s="6">
        <v>4</v>
      </c>
      <c r="D9" s="6" t="s">
        <v>22</v>
      </c>
      <c r="E9" s="6" t="s">
        <v>35</v>
      </c>
      <c r="F9" s="6">
        <v>842</v>
      </c>
      <c r="G9" s="6" t="s">
        <v>37</v>
      </c>
      <c r="H9" s="8">
        <v>46266</v>
      </c>
      <c r="I9" s="8">
        <v>46262</v>
      </c>
      <c r="J9" s="9" t="str">
        <f>+VLOOKUP(K9,Datos!$A:$C,3,FALSE)</f>
        <v>ORIENTE</v>
      </c>
      <c r="K9" s="6">
        <v>228</v>
      </c>
      <c r="L9" s="9" t="str">
        <f>+VLOOKUP(K9,Datos!$A:$C,2,FALSE)</f>
        <v>PRADERA CHIQUIMULA</v>
      </c>
      <c r="M9" s="6">
        <v>314831</v>
      </c>
      <c r="N9" s="9" t="str">
        <f>+VLOOKUP(M9,Datos!$F:$G,2,FALSE)</f>
        <v>Karla Paola Solorzano Monroy</v>
      </c>
      <c r="O9" s="10">
        <f>IFERROR(IF(A9="SI",VLOOKUP(R9,Datos!$J$1:$K$50,2,FALSE)*C9,VLOOKUP(R9,Datos!$P$1:$T$50,2,FALSE)*C9),0)</f>
        <v>5472</v>
      </c>
      <c r="P9" s="6">
        <v>90040440</v>
      </c>
      <c r="Q9" s="9" t="str">
        <f>+VLOOKUP(P9,Datos!$F:$G,2,FALSE)</f>
        <v>Ericka Carolina Diaz Hernandez</v>
      </c>
      <c r="R9" s="6" t="s">
        <v>25</v>
      </c>
      <c r="S9" s="6" t="s">
        <v>20</v>
      </c>
      <c r="T9" s="6">
        <f t="shared" si="0"/>
        <v>1</v>
      </c>
    </row>
    <row r="10" spans="1:20" hidden="1" x14ac:dyDescent="0.35">
      <c r="A10" s="6" t="s">
        <v>20</v>
      </c>
      <c r="B10" s="6" t="s">
        <v>21</v>
      </c>
      <c r="C10" s="6">
        <v>1</v>
      </c>
      <c r="D10" s="6" t="s">
        <v>22</v>
      </c>
      <c r="E10" s="6" t="s">
        <v>27</v>
      </c>
      <c r="F10" s="6">
        <v>4169</v>
      </c>
      <c r="G10" s="6" t="s">
        <v>38</v>
      </c>
      <c r="H10" s="8">
        <v>46266</v>
      </c>
      <c r="I10" s="8">
        <v>46266</v>
      </c>
      <c r="J10" s="9" t="str">
        <f>+VLOOKUP(K10,Datos!$A:$C,3,FALSE)</f>
        <v>AMERICAS</v>
      </c>
      <c r="K10" s="6">
        <v>30</v>
      </c>
      <c r="L10" s="9" t="str">
        <f>+VLOOKUP(K10,Datos!$A:$C,2,FALSE)</f>
        <v>BARBERENA</v>
      </c>
      <c r="M10" s="6">
        <v>307706</v>
      </c>
      <c r="N10" s="9" t="str">
        <f>+VLOOKUP(M10,Datos!$F:$G,2,FALSE)</f>
        <v>Monica Guadalupe Garcia Rivera</v>
      </c>
      <c r="O10" s="10">
        <f>IFERROR(IF(A10="SI",VLOOKUP(R10,Datos!$J$1:$K$50,2,FALSE)*C10,VLOOKUP(R10,Datos!$P$1:$T$50,2,FALSE)*C10),0)</f>
        <v>816</v>
      </c>
      <c r="P10" s="6">
        <v>300594</v>
      </c>
      <c r="Q10" s="9" t="str">
        <f>+VLOOKUP(P10,Datos!$F:$G,2,FALSE)</f>
        <v>Rosaura Grisleny Perez Rios</v>
      </c>
      <c r="R10" s="6" t="s">
        <v>29</v>
      </c>
      <c r="S10" s="6" t="s">
        <v>20</v>
      </c>
      <c r="T10" s="6">
        <f t="shared" si="0"/>
        <v>1</v>
      </c>
    </row>
    <row r="11" spans="1:20" hidden="1" x14ac:dyDescent="0.35">
      <c r="A11" s="6" t="s">
        <v>20</v>
      </c>
      <c r="B11" s="6" t="s">
        <v>26</v>
      </c>
      <c r="C11" s="6">
        <v>2</v>
      </c>
      <c r="D11" s="6" t="s">
        <v>22</v>
      </c>
      <c r="E11" s="6" t="s">
        <v>31</v>
      </c>
      <c r="F11" s="6">
        <v>1086</v>
      </c>
      <c r="G11" s="6" t="s">
        <v>39</v>
      </c>
      <c r="H11" s="8">
        <v>46266</v>
      </c>
      <c r="I11" s="8">
        <v>46266</v>
      </c>
      <c r="J11" s="9" t="str">
        <f>+VLOOKUP(K11,Datos!$A:$C,3,FALSE)</f>
        <v>AMERICAS</v>
      </c>
      <c r="K11" s="6">
        <v>30</v>
      </c>
      <c r="L11" s="9" t="str">
        <f>+VLOOKUP(K11,Datos!$A:$C,2,FALSE)</f>
        <v>BARBERENA</v>
      </c>
      <c r="M11" s="6">
        <v>90024235</v>
      </c>
      <c r="N11" s="9" t="str">
        <f>+VLOOKUP(M11,Datos!$F:$G,2,FALSE)</f>
        <v>Jason Alberto Bolaños Gutiérrez</v>
      </c>
      <c r="O11" s="10">
        <f>IFERROR(IF(A11="SI",VLOOKUP(R11,Datos!$J$1:$K$50,2,FALSE)*C11,VLOOKUP(R11,Datos!$P$1:$T$50,2,FALSE)*C11),0)</f>
        <v>1632</v>
      </c>
      <c r="P11" s="6">
        <v>300594</v>
      </c>
      <c r="Q11" s="9" t="str">
        <f>+VLOOKUP(P11,Datos!$F:$G,2,FALSE)</f>
        <v>Rosaura Grisleny Perez Rios</v>
      </c>
      <c r="R11" s="6" t="s">
        <v>29</v>
      </c>
      <c r="S11" s="6" t="s">
        <v>20</v>
      </c>
      <c r="T11" s="6">
        <f t="shared" si="0"/>
        <v>1</v>
      </c>
    </row>
    <row r="12" spans="1:20" hidden="1" x14ac:dyDescent="0.35">
      <c r="A12" s="6" t="s">
        <v>20</v>
      </c>
      <c r="B12" s="6" t="s">
        <v>26</v>
      </c>
      <c r="C12" s="6">
        <v>1</v>
      </c>
      <c r="D12" s="6" t="s">
        <v>22</v>
      </c>
      <c r="E12" s="6" t="s">
        <v>27</v>
      </c>
      <c r="F12" s="6">
        <v>4181</v>
      </c>
      <c r="G12" s="6" t="s">
        <v>40</v>
      </c>
      <c r="H12" s="7">
        <v>46267</v>
      </c>
      <c r="I12" s="8">
        <v>46267</v>
      </c>
      <c r="J12" s="9" t="str">
        <f>+VLOOKUP(K12,Datos!$A:$C,3,FALSE)</f>
        <v>PETAPA</v>
      </c>
      <c r="K12" s="6">
        <v>250</v>
      </c>
      <c r="L12" s="9" t="str">
        <f>+VLOOKUP(K12,Datos!$A:$C,2,FALSE)</f>
        <v>BOCA DEL MONTE</v>
      </c>
      <c r="M12" s="6">
        <v>312542</v>
      </c>
      <c r="N12" s="9" t="str">
        <f>+VLOOKUP(M12,Datos!$F:$G,2,FALSE)</f>
        <v>Elba Eulalia Esquite Lemus</v>
      </c>
      <c r="O12" s="10">
        <f>IFERROR(IF(A12="SI",VLOOKUP(R12,Datos!$J$1:$K$50,2,FALSE)*C12,VLOOKUP(R12,Datos!$P$1:$T$50,2,FALSE)*C12),0)</f>
        <v>816</v>
      </c>
      <c r="P12" s="6">
        <v>310796</v>
      </c>
      <c r="Q12" s="9" t="str">
        <f>+VLOOKUP(P12,Datos!$F:$G,2,FALSE)</f>
        <v>Madelyn Estefany Vega Velasquez</v>
      </c>
      <c r="R12" s="6" t="s">
        <v>29</v>
      </c>
      <c r="S12" s="6" t="s">
        <v>20</v>
      </c>
      <c r="T12" s="6">
        <f t="shared" si="0"/>
        <v>1</v>
      </c>
    </row>
    <row r="13" spans="1:20" hidden="1" x14ac:dyDescent="0.35">
      <c r="A13" s="6" t="s">
        <v>20</v>
      </c>
      <c r="B13" s="6" t="s">
        <v>26</v>
      </c>
      <c r="C13" s="6">
        <v>1</v>
      </c>
      <c r="D13" s="6" t="s">
        <v>22</v>
      </c>
      <c r="E13" s="6" t="s">
        <v>27</v>
      </c>
      <c r="F13" s="6">
        <v>4184</v>
      </c>
      <c r="G13" s="6" t="s">
        <v>41</v>
      </c>
      <c r="H13" s="8">
        <v>46267</v>
      </c>
      <c r="I13" s="8">
        <v>46267</v>
      </c>
      <c r="J13" s="9" t="str">
        <f>+VLOOKUP(K13,Datos!$A:$C,3,FALSE)</f>
        <v>AMERICAS</v>
      </c>
      <c r="K13" s="6">
        <v>53</v>
      </c>
      <c r="L13" s="9" t="str">
        <f>+VLOOKUP(K13,Datos!$A:$C,2,FALSE)</f>
        <v>PUERTA PARADA</v>
      </c>
      <c r="M13" s="6">
        <v>314472</v>
      </c>
      <c r="N13" s="9" t="str">
        <f>+VLOOKUP(M13,Datos!$F:$G,2,FALSE)</f>
        <v>Yuri Madali Cabrera Garcia</v>
      </c>
      <c r="O13" s="10">
        <f>IFERROR(IF(A13="SI",VLOOKUP(R13,Datos!$J$1:$K$50,2,FALSE)*C13,VLOOKUP(R13,Datos!$P$1:$T$50,2,FALSE)*C13),0)</f>
        <v>1368</v>
      </c>
      <c r="P13" s="6">
        <v>300919</v>
      </c>
      <c r="Q13" s="9" t="str">
        <f>+VLOOKUP(P13,Datos!$F:$G,2,FALSE)</f>
        <v>Juan Jose Rodriguez Catu</v>
      </c>
      <c r="R13" s="6" t="s">
        <v>25</v>
      </c>
      <c r="S13" s="6" t="s">
        <v>20</v>
      </c>
      <c r="T13" s="6">
        <f t="shared" si="0"/>
        <v>1</v>
      </c>
    </row>
    <row r="14" spans="1:20" hidden="1" x14ac:dyDescent="0.35">
      <c r="A14" s="6" t="s">
        <v>20</v>
      </c>
      <c r="B14" s="6" t="s">
        <v>21</v>
      </c>
      <c r="C14" s="6">
        <v>4</v>
      </c>
      <c r="D14" s="6" t="s">
        <v>22</v>
      </c>
      <c r="E14" s="6" t="s">
        <v>23</v>
      </c>
      <c r="F14" s="6">
        <v>627</v>
      </c>
      <c r="G14" s="6" t="s">
        <v>42</v>
      </c>
      <c r="H14" s="8">
        <v>46267</v>
      </c>
      <c r="I14" s="8">
        <v>46267</v>
      </c>
      <c r="J14" s="9" t="str">
        <f>+VLOOKUP(K14,Datos!$A:$C,3,FALSE)</f>
        <v>ORIENTE</v>
      </c>
      <c r="K14" s="6">
        <v>180</v>
      </c>
      <c r="L14" s="9" t="str">
        <f>+VLOOKUP(K14,Datos!$A:$C,2,FALSE)</f>
        <v>MONJAS</v>
      </c>
      <c r="M14" s="6">
        <v>90040241</v>
      </c>
      <c r="N14" s="9" t="str">
        <f>+VLOOKUP(M14,Datos!$F:$G,2,FALSE)</f>
        <v>Jairo Alessandro Urbina Santiago</v>
      </c>
      <c r="O14" s="10">
        <f>IFERROR(IF(A14="SI",VLOOKUP(R14,Datos!$J$1:$K$50,2,FALSE)*C14,VLOOKUP(R14,Datos!$P$1:$T$50,2,FALSE)*C14),0)</f>
        <v>3264</v>
      </c>
      <c r="P14" s="6">
        <v>311039</v>
      </c>
      <c r="Q14" s="9" t="str">
        <f>+VLOOKUP(P14,Datos!$F:$G,2,FALSE)</f>
        <v>Karolyn Gisselle Palma Ramirez</v>
      </c>
      <c r="R14" s="6" t="s">
        <v>29</v>
      </c>
      <c r="S14" s="6" t="s">
        <v>20</v>
      </c>
      <c r="T14" s="6">
        <f t="shared" si="0"/>
        <v>1</v>
      </c>
    </row>
    <row r="15" spans="1:20" hidden="1" x14ac:dyDescent="0.35">
      <c r="A15" s="6" t="s">
        <v>20</v>
      </c>
      <c r="B15" s="6" t="s">
        <v>21</v>
      </c>
      <c r="C15" s="6">
        <v>2</v>
      </c>
      <c r="D15" s="6" t="s">
        <v>22</v>
      </c>
      <c r="E15" s="6" t="s">
        <v>31</v>
      </c>
      <c r="F15" s="6">
        <v>1103</v>
      </c>
      <c r="G15" s="6" t="s">
        <v>43</v>
      </c>
      <c r="H15" s="8">
        <v>46267</v>
      </c>
      <c r="I15" s="8">
        <v>46267</v>
      </c>
      <c r="J15" s="9" t="str">
        <f>+VLOOKUP(K15,Datos!$A:$C,3,FALSE)</f>
        <v>ORIENTE</v>
      </c>
      <c r="K15" s="6">
        <v>144</v>
      </c>
      <c r="L15" s="9" t="str">
        <f>+VLOOKUP(K15,Datos!$A:$C,2,FALSE)</f>
        <v>RIO DULCE 2</v>
      </c>
      <c r="M15" s="6">
        <v>90082333</v>
      </c>
      <c r="N15" s="9" t="str">
        <f>+VLOOKUP(M15,Datos!$F:$G,2,FALSE)</f>
        <v>JENNIFER ANAYELI LOPEZ DEL CID</v>
      </c>
      <c r="O15" s="10">
        <f>IFERROR(IF(A15="SI",VLOOKUP(R15,Datos!$J$1:$K$50,2,FALSE)*C15,VLOOKUP(R15,Datos!$P$1:$T$50,2,FALSE)*C15),0)</f>
        <v>1632</v>
      </c>
      <c r="P15" s="6">
        <v>90068230</v>
      </c>
      <c r="Q15" s="9" t="str">
        <f>+VLOOKUP(P15,Datos!$F:$G,2,FALSE)</f>
        <v>FIELFER OMAR TUN CHOC</v>
      </c>
      <c r="R15" s="6" t="s">
        <v>29</v>
      </c>
      <c r="S15" s="6" t="s">
        <v>20</v>
      </c>
      <c r="T15" s="6">
        <f t="shared" si="0"/>
        <v>1</v>
      </c>
    </row>
    <row r="16" spans="1:20" hidden="1" x14ac:dyDescent="0.35">
      <c r="A16" s="6" t="s">
        <v>20</v>
      </c>
      <c r="B16" s="6" t="s">
        <v>26</v>
      </c>
      <c r="C16" s="6">
        <v>1</v>
      </c>
      <c r="D16" s="6" t="s">
        <v>22</v>
      </c>
      <c r="E16" s="6" t="s">
        <v>27</v>
      </c>
      <c r="F16" s="6">
        <v>4205</v>
      </c>
      <c r="G16" s="6" t="s">
        <v>44</v>
      </c>
      <c r="H16" s="8">
        <v>46267</v>
      </c>
      <c r="I16" s="8">
        <v>46267</v>
      </c>
      <c r="J16" s="9" t="str">
        <f>+VLOOKUP(K16,Datos!$A:$C,3,FALSE)</f>
        <v>ORIENTE</v>
      </c>
      <c r="K16" s="6">
        <v>144</v>
      </c>
      <c r="L16" s="9" t="str">
        <f>+VLOOKUP(K16,Datos!$A:$C,2,FALSE)</f>
        <v>RIO DULCE 2</v>
      </c>
      <c r="M16" s="6">
        <v>90082333</v>
      </c>
      <c r="N16" s="9" t="str">
        <f>+VLOOKUP(M16,Datos!$F:$G,2,FALSE)</f>
        <v>JENNIFER ANAYELI LOPEZ DEL CID</v>
      </c>
      <c r="O16" s="10">
        <f>IFERROR(IF(A16="SI",VLOOKUP(R16,Datos!$J$1:$K$50,2,FALSE)*C16,VLOOKUP(R16,Datos!$P$1:$T$50,2,FALSE)*C16),0)</f>
        <v>816</v>
      </c>
      <c r="P16" s="6">
        <v>90068230</v>
      </c>
      <c r="Q16" s="9" t="str">
        <f>+VLOOKUP(P16,Datos!$F:$G,2,FALSE)</f>
        <v>FIELFER OMAR TUN CHOC</v>
      </c>
      <c r="R16" s="6" t="s">
        <v>29</v>
      </c>
      <c r="S16" s="6" t="s">
        <v>20</v>
      </c>
      <c r="T16" s="6">
        <f t="shared" si="0"/>
        <v>1</v>
      </c>
    </row>
    <row r="17" spans="1:20" hidden="1" x14ac:dyDescent="0.35">
      <c r="A17" s="6" t="s">
        <v>20</v>
      </c>
      <c r="B17" s="6" t="s">
        <v>21</v>
      </c>
      <c r="C17" s="6">
        <v>2</v>
      </c>
      <c r="D17" s="6" t="s">
        <v>22</v>
      </c>
      <c r="E17" s="6" t="s">
        <v>31</v>
      </c>
      <c r="F17" s="6">
        <v>1106</v>
      </c>
      <c r="G17" s="6" t="s">
        <v>45</v>
      </c>
      <c r="H17" s="8">
        <v>46267</v>
      </c>
      <c r="I17" s="8">
        <v>46267</v>
      </c>
      <c r="J17" s="9" t="str">
        <f>+VLOOKUP(K17,Datos!$A:$C,3,FALSE)</f>
        <v>ORIENTE</v>
      </c>
      <c r="K17" s="6">
        <v>180</v>
      </c>
      <c r="L17" s="9" t="str">
        <f>+VLOOKUP(K17,Datos!$A:$C,2,FALSE)</f>
        <v>MONJAS</v>
      </c>
      <c r="M17" s="6">
        <v>90040241</v>
      </c>
      <c r="N17" s="9" t="str">
        <f>+VLOOKUP(M17,Datos!$F:$G,2,FALSE)</f>
        <v>Jairo Alessandro Urbina Santiago</v>
      </c>
      <c r="O17" s="10">
        <f>IFERROR(IF(A17="SI",VLOOKUP(R17,Datos!$J$1:$K$50,2,FALSE)*C17,VLOOKUP(R17,Datos!$P$1:$T$50,2,FALSE)*C17),0)</f>
        <v>1632</v>
      </c>
      <c r="P17" s="6">
        <v>315038</v>
      </c>
      <c r="Q17" s="9" t="str">
        <f>+VLOOKUP(P17,Datos!$F:$G,2,FALSE)</f>
        <v>Flor Sylvestre Orellana Gonzalez</v>
      </c>
      <c r="R17" s="6" t="s">
        <v>29</v>
      </c>
      <c r="S17" s="6" t="s">
        <v>20</v>
      </c>
      <c r="T17" s="6">
        <f t="shared" si="0"/>
        <v>1</v>
      </c>
    </row>
    <row r="18" spans="1:20" hidden="1" x14ac:dyDescent="0.35">
      <c r="A18" s="6" t="s">
        <v>20</v>
      </c>
      <c r="B18" s="6" t="s">
        <v>21</v>
      </c>
      <c r="C18" s="6">
        <v>1</v>
      </c>
      <c r="D18" s="6" t="s">
        <v>22</v>
      </c>
      <c r="E18" s="6" t="s">
        <v>27</v>
      </c>
      <c r="F18" s="6">
        <v>4201</v>
      </c>
      <c r="G18" s="6" t="s">
        <v>46</v>
      </c>
      <c r="H18" s="8">
        <v>46267</v>
      </c>
      <c r="I18" s="8">
        <v>46267</v>
      </c>
      <c r="J18" s="9" t="str">
        <f>+VLOOKUP(K18,Datos!$A:$C,3,FALSE)</f>
        <v>PETAPA</v>
      </c>
      <c r="K18" s="6">
        <v>250</v>
      </c>
      <c r="L18" s="9" t="str">
        <f>+VLOOKUP(K18,Datos!$A:$C,2,FALSE)</f>
        <v>BOCA DEL MONTE</v>
      </c>
      <c r="M18" s="6">
        <v>312542</v>
      </c>
      <c r="N18" s="9" t="str">
        <f>+VLOOKUP(M18,Datos!$F:$G,2,FALSE)</f>
        <v>Elba Eulalia Esquite Lemus</v>
      </c>
      <c r="O18" s="10">
        <f>IFERROR(IF(A18="SI",VLOOKUP(R18,Datos!$J$1:$K$50,2,FALSE)*C18,VLOOKUP(R18,Datos!$P$1:$T$50,2,FALSE)*C18),0)</f>
        <v>816</v>
      </c>
      <c r="P18" s="6">
        <v>310796</v>
      </c>
      <c r="Q18" s="9" t="str">
        <f>+VLOOKUP(P18,Datos!$F:$G,2,FALSE)</f>
        <v>Madelyn Estefany Vega Velasquez</v>
      </c>
      <c r="R18" s="6" t="s">
        <v>29</v>
      </c>
      <c r="S18" s="6" t="s">
        <v>20</v>
      </c>
      <c r="T18" s="6">
        <f t="shared" si="0"/>
        <v>1</v>
      </c>
    </row>
    <row r="19" spans="1:20" hidden="1" x14ac:dyDescent="0.35">
      <c r="A19" s="6" t="s">
        <v>20</v>
      </c>
      <c r="B19" s="6" t="s">
        <v>21</v>
      </c>
      <c r="C19" s="6">
        <v>2</v>
      </c>
      <c r="D19" s="6" t="s">
        <v>22</v>
      </c>
      <c r="E19" s="6" t="s">
        <v>31</v>
      </c>
      <c r="F19" s="6">
        <v>1089</v>
      </c>
      <c r="G19" s="6" t="s">
        <v>47</v>
      </c>
      <c r="H19" s="8">
        <v>46267</v>
      </c>
      <c r="I19" s="8">
        <v>46266</v>
      </c>
      <c r="J19" s="9" t="str">
        <f>+VLOOKUP(K19,Datos!$A:$C,3,FALSE)</f>
        <v>NORTE</v>
      </c>
      <c r="K19" s="6">
        <v>163</v>
      </c>
      <c r="L19" s="9" t="str">
        <f>+VLOOKUP(K19,Datos!$A:$C,2,FALSE)</f>
        <v>LA TINTA</v>
      </c>
      <c r="M19" s="6">
        <v>90038373</v>
      </c>
      <c r="N19" s="9" t="str">
        <f>+VLOOKUP(M19,Datos!$F:$G,2,FALSE)</f>
        <v>Bryan Sleyter Gabriel Coy Tercero</v>
      </c>
      <c r="O19" s="10">
        <f>IFERROR(IF(A19="SI",VLOOKUP(R19,Datos!$J$1:$K$50,2,FALSE)*C19,VLOOKUP(R19,Datos!$P$1:$T$50,2,FALSE)*C19),0)</f>
        <v>1632</v>
      </c>
      <c r="P19" s="6">
        <v>90084233</v>
      </c>
      <c r="Q19" s="9" t="str">
        <f>+VLOOKUP(P19,Datos!$F:$G,2,FALSE)</f>
        <v>CECILIA DORCAS SIQUIC VELASQUEZ</v>
      </c>
      <c r="R19" s="6" t="s">
        <v>29</v>
      </c>
      <c r="S19" s="6" t="s">
        <v>20</v>
      </c>
      <c r="T19" s="6">
        <f t="shared" si="0"/>
        <v>1</v>
      </c>
    </row>
    <row r="20" spans="1:20" hidden="1" x14ac:dyDescent="0.35">
      <c r="A20" s="6" t="s">
        <v>20</v>
      </c>
      <c r="B20" s="6" t="s">
        <v>21</v>
      </c>
      <c r="C20" s="6">
        <v>4</v>
      </c>
      <c r="D20" s="6" t="s">
        <v>22</v>
      </c>
      <c r="E20" s="6" t="s">
        <v>23</v>
      </c>
      <c r="F20" s="6">
        <v>626</v>
      </c>
      <c r="G20" s="6" t="s">
        <v>48</v>
      </c>
      <c r="H20" s="8">
        <v>46267</v>
      </c>
      <c r="I20" s="8">
        <v>46267</v>
      </c>
      <c r="J20" s="9" t="str">
        <f>+VLOOKUP(K20,Datos!$A:$C,3,FALSE)</f>
        <v>ORIENTE</v>
      </c>
      <c r="K20" s="6">
        <v>144</v>
      </c>
      <c r="L20" s="9" t="str">
        <f>+VLOOKUP(K20,Datos!$A:$C,2,FALSE)</f>
        <v>RIO DULCE 2</v>
      </c>
      <c r="M20" s="6">
        <v>312312</v>
      </c>
      <c r="N20" s="9" t="str">
        <f>+VLOOKUP(M20,Datos!$F:$G,2,FALSE)</f>
        <v>Remigio Alexander Gonzalez Suchite</v>
      </c>
      <c r="O20" s="10">
        <f>IFERROR(IF(A20="SI",VLOOKUP(R20,Datos!$J$1:$K$50,2,FALSE)*C20,VLOOKUP(R20,Datos!$P$1:$T$50,2,FALSE)*C20),0)</f>
        <v>3264</v>
      </c>
      <c r="P20" s="6">
        <v>314613</v>
      </c>
      <c r="Q20" s="9" t="str">
        <f>+VLOOKUP(P20,Datos!$F:$G,2,FALSE)</f>
        <v>Yenifer Alicia Yessenia Tzib Lemus</v>
      </c>
      <c r="R20" s="6" t="s">
        <v>29</v>
      </c>
      <c r="S20" s="6" t="s">
        <v>20</v>
      </c>
      <c r="T20" s="6">
        <f t="shared" si="0"/>
        <v>1</v>
      </c>
    </row>
    <row r="21" spans="1:20" hidden="1" x14ac:dyDescent="0.35">
      <c r="A21" s="6" t="s">
        <v>20</v>
      </c>
      <c r="B21" s="6" t="s">
        <v>26</v>
      </c>
      <c r="C21" s="6">
        <v>4</v>
      </c>
      <c r="D21" s="6" t="s">
        <v>22</v>
      </c>
      <c r="E21" s="6" t="s">
        <v>23</v>
      </c>
      <c r="F21" s="6">
        <v>624</v>
      </c>
      <c r="G21" s="6" t="s">
        <v>49</v>
      </c>
      <c r="H21" s="8">
        <v>46267</v>
      </c>
      <c r="I21" s="8">
        <v>46266</v>
      </c>
      <c r="J21" s="9" t="str">
        <f>+VLOOKUP(K21,Datos!$A:$C,3,FALSE)</f>
        <v>NORTE</v>
      </c>
      <c r="K21" s="6">
        <v>146</v>
      </c>
      <c r="L21" s="9" t="str">
        <f>+VLOOKUP(K21,Datos!$A:$C,2,FALSE)</f>
        <v>SAN LUIS PETEN</v>
      </c>
      <c r="M21" s="6">
        <v>90040570</v>
      </c>
      <c r="N21" s="9" t="str">
        <f>+VLOOKUP(M21,Datos!$F:$G,2,FALSE)</f>
        <v xml:space="preserve">Migdalia Amarilis Flores Garcia </v>
      </c>
      <c r="O21" s="10">
        <f>IFERROR(IF(A21="SI",VLOOKUP(R21,Datos!$J$1:$K$50,2,FALSE)*C21,VLOOKUP(R21,Datos!$P$1:$T$50,2,FALSE)*C21),0)</f>
        <v>3264</v>
      </c>
      <c r="P21" s="6">
        <v>90081741</v>
      </c>
      <c r="Q21" s="9" t="str">
        <f>+VLOOKUP(P21,Datos!$F:$G,2,FALSE)</f>
        <v>MAYNOR OTONIEL CHUB FELIPE</v>
      </c>
      <c r="R21" s="6" t="s">
        <v>29</v>
      </c>
      <c r="S21" s="6" t="s">
        <v>20</v>
      </c>
      <c r="T21" s="6">
        <f t="shared" si="0"/>
        <v>1</v>
      </c>
    </row>
    <row r="22" spans="1:20" hidden="1" x14ac:dyDescent="0.35">
      <c r="A22" s="6" t="s">
        <v>20</v>
      </c>
      <c r="B22" s="6" t="s">
        <v>26</v>
      </c>
      <c r="C22" s="6">
        <v>1</v>
      </c>
      <c r="D22" s="6" t="s">
        <v>22</v>
      </c>
      <c r="E22" s="6" t="s">
        <v>27</v>
      </c>
      <c r="F22" s="6">
        <v>4190</v>
      </c>
      <c r="G22" s="6" t="s">
        <v>50</v>
      </c>
      <c r="H22" s="8">
        <v>46267</v>
      </c>
      <c r="I22" s="8">
        <v>46267</v>
      </c>
      <c r="J22" s="9" t="str">
        <f>+VLOOKUP(K22,Datos!$A:$C,3,FALSE)</f>
        <v>NORTE</v>
      </c>
      <c r="K22" s="6">
        <v>195</v>
      </c>
      <c r="L22" s="9" t="str">
        <f>+VLOOKUP(K22,Datos!$A:$C,2,FALSE)</f>
        <v>TELEMAN</v>
      </c>
      <c r="M22" s="6">
        <v>90082179</v>
      </c>
      <c r="N22" s="9" t="str">
        <f>+VLOOKUP(M22,Datos!$F:$G,2,FALSE)</f>
        <v>REYNA ADELAIDA CHAMAN CAAL</v>
      </c>
      <c r="O22" s="10">
        <f>IFERROR(IF(A22="SI",VLOOKUP(R22,Datos!$J$1:$K$50,2,FALSE)*C22,VLOOKUP(R22,Datos!$P$1:$T$50,2,FALSE)*C22),0)</f>
        <v>1368</v>
      </c>
      <c r="P22" s="6">
        <v>315351</v>
      </c>
      <c r="Q22" s="9" t="str">
        <f>+VLOOKUP(P22,Datos!$F:$G,2,FALSE)</f>
        <v>Maria Vicenta Lopez Mancilla De De Del Valle</v>
      </c>
      <c r="R22" s="6" t="s">
        <v>25</v>
      </c>
      <c r="S22" s="6" t="s">
        <v>20</v>
      </c>
      <c r="T22" s="6">
        <f t="shared" si="0"/>
        <v>1</v>
      </c>
    </row>
    <row r="23" spans="1:20" hidden="1" x14ac:dyDescent="0.35">
      <c r="A23" s="6" t="s">
        <v>20</v>
      </c>
      <c r="B23" s="6" t="s">
        <v>21</v>
      </c>
      <c r="C23" s="6">
        <v>1</v>
      </c>
      <c r="D23" s="6" t="s">
        <v>22</v>
      </c>
      <c r="E23" s="6" t="s">
        <v>27</v>
      </c>
      <c r="F23" s="6">
        <v>4188</v>
      </c>
      <c r="G23" s="6" t="s">
        <v>51</v>
      </c>
      <c r="H23" s="8">
        <v>46267</v>
      </c>
      <c r="I23" s="8">
        <v>46267</v>
      </c>
      <c r="J23" s="9" t="str">
        <f>+VLOOKUP(K23,Datos!$A:$C,3,FALSE)</f>
        <v>NORTE</v>
      </c>
      <c r="K23" s="6">
        <v>163</v>
      </c>
      <c r="L23" s="9" t="str">
        <f>+VLOOKUP(K23,Datos!$A:$C,2,FALSE)</f>
        <v>LA TINTA</v>
      </c>
      <c r="M23" s="6">
        <v>90038373</v>
      </c>
      <c r="N23" s="9" t="str">
        <f>+VLOOKUP(M23,Datos!$F:$G,2,FALSE)</f>
        <v>Bryan Sleyter Gabriel Coy Tercero</v>
      </c>
      <c r="O23" s="10">
        <f>IFERROR(IF(A23="SI",VLOOKUP(R23,Datos!$J$1:$K$50,2,FALSE)*C23,VLOOKUP(R23,Datos!$P$1:$T$50,2,FALSE)*C23),0)</f>
        <v>816</v>
      </c>
      <c r="P23" s="6">
        <v>90084233</v>
      </c>
      <c r="Q23" s="9" t="str">
        <f>+VLOOKUP(P23,Datos!$F:$G,2,FALSE)</f>
        <v>CECILIA DORCAS SIQUIC VELASQUEZ</v>
      </c>
      <c r="R23" s="6" t="s">
        <v>29</v>
      </c>
      <c r="S23" s="6" t="s">
        <v>20</v>
      </c>
      <c r="T23" s="6">
        <f t="shared" si="0"/>
        <v>1</v>
      </c>
    </row>
    <row r="24" spans="1:20" hidden="1" x14ac:dyDescent="0.35">
      <c r="A24" s="6" t="s">
        <v>20</v>
      </c>
      <c r="B24" s="6" t="s">
        <v>21</v>
      </c>
      <c r="C24" s="6">
        <v>2</v>
      </c>
      <c r="D24" s="6" t="s">
        <v>22</v>
      </c>
      <c r="E24" s="6" t="s">
        <v>31</v>
      </c>
      <c r="F24" s="6">
        <v>4384</v>
      </c>
      <c r="G24" s="6" t="s">
        <v>52</v>
      </c>
      <c r="H24" s="8">
        <v>46267</v>
      </c>
      <c r="I24" s="8">
        <v>46266</v>
      </c>
      <c r="J24" s="9" t="str">
        <f>+VLOOKUP(K24,Datos!$A:$C,3,FALSE)</f>
        <v>ORIENTE</v>
      </c>
      <c r="K24" s="6">
        <v>41</v>
      </c>
      <c r="L24" s="9" t="str">
        <f>+VLOOKUP(K24,Datos!$A:$C,2,FALSE)</f>
        <v>JUTIAPA</v>
      </c>
      <c r="M24" s="6">
        <v>90086174</v>
      </c>
      <c r="N24" s="9" t="str">
        <f>+VLOOKUP(M24,Datos!$F:$G,2,FALSE)</f>
        <v>DAILY ELIZABETH ALAY VANEGAS</v>
      </c>
      <c r="O24" s="10">
        <f>IFERROR(IF(A24="SI",VLOOKUP(R24,Datos!$J$1:$K$50,2,FALSE)*C24,VLOOKUP(R24,Datos!$P$1:$T$50,2,FALSE)*C24),0)</f>
        <v>1632</v>
      </c>
      <c r="P24" s="6">
        <v>311802</v>
      </c>
      <c r="Q24" s="9" t="str">
        <f>+VLOOKUP(P24,Datos!$F:$G,2,FALSE)</f>
        <v>Jose Roberto Samayoa Bernal</v>
      </c>
      <c r="R24" s="6" t="s">
        <v>29</v>
      </c>
      <c r="S24" s="6" t="s">
        <v>20</v>
      </c>
      <c r="T24" s="6">
        <f t="shared" si="0"/>
        <v>1</v>
      </c>
    </row>
    <row r="25" spans="1:20" hidden="1" x14ac:dyDescent="0.35">
      <c r="A25" s="6" t="s">
        <v>20</v>
      </c>
      <c r="B25" s="6" t="s">
        <v>21</v>
      </c>
      <c r="C25" s="6">
        <v>3</v>
      </c>
      <c r="D25" s="6" t="s">
        <v>22</v>
      </c>
      <c r="E25" s="6" t="s">
        <v>53</v>
      </c>
      <c r="F25" s="6">
        <v>596</v>
      </c>
      <c r="G25" s="6" t="s">
        <v>54</v>
      </c>
      <c r="H25" s="8">
        <v>46267</v>
      </c>
      <c r="I25" s="8">
        <v>46267</v>
      </c>
      <c r="J25" s="9" t="str">
        <f>+VLOOKUP(K25,Datos!$A:$C,3,FALSE)</f>
        <v>ORIENTE</v>
      </c>
      <c r="K25" s="6">
        <v>41</v>
      </c>
      <c r="L25" s="9" t="str">
        <f>+VLOOKUP(K25,Datos!$A:$C,2,FALSE)</f>
        <v>JUTIAPA</v>
      </c>
      <c r="M25" s="6">
        <v>90086174</v>
      </c>
      <c r="N25" s="9" t="str">
        <f>+VLOOKUP(M25,Datos!$F:$G,2,FALSE)</f>
        <v>DAILY ELIZABETH ALAY VANEGAS</v>
      </c>
      <c r="O25" s="10">
        <f>IFERROR(IF(A25="SI",VLOOKUP(R25,Datos!$J$1:$K$50,2,FALSE)*C25,VLOOKUP(R25,Datos!$P$1:$T$50,2,FALSE)*C25),0)</f>
        <v>2448</v>
      </c>
      <c r="P25" s="6">
        <v>311802</v>
      </c>
      <c r="Q25" s="9" t="str">
        <f>+VLOOKUP(P25,Datos!$F:$G,2,FALSE)</f>
        <v>Jose Roberto Samayoa Bernal</v>
      </c>
      <c r="R25" s="6" t="s">
        <v>29</v>
      </c>
      <c r="S25" s="6" t="s">
        <v>20</v>
      </c>
      <c r="T25" s="6">
        <f t="shared" si="0"/>
        <v>1</v>
      </c>
    </row>
    <row r="26" spans="1:20" hidden="1" x14ac:dyDescent="0.35">
      <c r="A26" s="6" t="s">
        <v>20</v>
      </c>
      <c r="B26" s="6" t="s">
        <v>21</v>
      </c>
      <c r="C26" s="6">
        <v>4</v>
      </c>
      <c r="D26" s="6" t="s">
        <v>22</v>
      </c>
      <c r="E26" s="6" t="s">
        <v>23</v>
      </c>
      <c r="F26" s="6">
        <v>631</v>
      </c>
      <c r="G26" s="6" t="s">
        <v>55</v>
      </c>
      <c r="H26" s="8">
        <v>46267</v>
      </c>
      <c r="I26" s="8">
        <v>46267</v>
      </c>
      <c r="J26" s="9" t="str">
        <f>+VLOOKUP(K26,Datos!$A:$C,3,FALSE)</f>
        <v>ORIENTE</v>
      </c>
      <c r="K26" s="6">
        <v>180</v>
      </c>
      <c r="L26" s="9" t="str">
        <f>+VLOOKUP(K26,Datos!$A:$C,2,FALSE)</f>
        <v>MONJAS</v>
      </c>
      <c r="M26" s="6">
        <v>90040241</v>
      </c>
      <c r="N26" s="9" t="str">
        <f>+VLOOKUP(M26,Datos!$F:$G,2,FALSE)</f>
        <v>Jairo Alessandro Urbina Santiago</v>
      </c>
      <c r="O26" s="10">
        <f>IFERROR(IF(A26="SI",VLOOKUP(R26,Datos!$J$1:$K$50,2,FALSE)*C26,VLOOKUP(R26,Datos!$P$1:$T$50,2,FALSE)*C26),0)</f>
        <v>5472</v>
      </c>
      <c r="P26" s="6">
        <v>315038</v>
      </c>
      <c r="Q26" s="9" t="str">
        <f>+VLOOKUP(P26,Datos!$F:$G,2,FALSE)</f>
        <v>Flor Sylvestre Orellana Gonzalez</v>
      </c>
      <c r="R26" s="6" t="s">
        <v>25</v>
      </c>
      <c r="S26" s="6" t="s">
        <v>20</v>
      </c>
      <c r="T26" s="6">
        <f t="shared" si="0"/>
        <v>1</v>
      </c>
    </row>
    <row r="27" spans="1:20" hidden="1" x14ac:dyDescent="0.35">
      <c r="A27" s="6" t="s">
        <v>20</v>
      </c>
      <c r="B27" s="6" t="s">
        <v>21</v>
      </c>
      <c r="C27" s="6">
        <v>1</v>
      </c>
      <c r="D27" s="6" t="s">
        <v>22</v>
      </c>
      <c r="E27" s="6" t="s">
        <v>27</v>
      </c>
      <c r="F27" s="6">
        <v>4211</v>
      </c>
      <c r="G27" s="6" t="s">
        <v>56</v>
      </c>
      <c r="H27" s="8">
        <v>46267</v>
      </c>
      <c r="I27" s="8">
        <v>46267</v>
      </c>
      <c r="J27" s="9" t="str">
        <f>+VLOOKUP(K27,Datos!$A:$C,3,FALSE)</f>
        <v>AMERICAS</v>
      </c>
      <c r="K27" s="6">
        <v>30</v>
      </c>
      <c r="L27" s="9" t="str">
        <f>+VLOOKUP(K27,Datos!$A:$C,2,FALSE)</f>
        <v>BARBERENA</v>
      </c>
      <c r="M27" s="6">
        <v>316060</v>
      </c>
      <c r="N27" s="9" t="str">
        <f>+VLOOKUP(M27,Datos!$F:$G,2,FALSE)</f>
        <v>Carlos Enrique Sosa Hernandez</v>
      </c>
      <c r="O27" s="10">
        <f>IFERROR(IF(A27="SI",VLOOKUP(R27,Datos!$J$1:$K$50,2,FALSE)*C27,VLOOKUP(R27,Datos!$P$1:$T$50,2,FALSE)*C27),0)</f>
        <v>816</v>
      </c>
      <c r="P27" s="6">
        <v>300594</v>
      </c>
      <c r="Q27" s="9" t="str">
        <f>+VLOOKUP(P27,Datos!$F:$G,2,FALSE)</f>
        <v>Rosaura Grisleny Perez Rios</v>
      </c>
      <c r="R27" s="6" t="s">
        <v>29</v>
      </c>
      <c r="S27" s="6" t="s">
        <v>20</v>
      </c>
      <c r="T27" s="6">
        <f t="shared" si="0"/>
        <v>1</v>
      </c>
    </row>
    <row r="28" spans="1:20" hidden="1" x14ac:dyDescent="0.35">
      <c r="A28" s="6" t="s">
        <v>20</v>
      </c>
      <c r="B28" s="6" t="s">
        <v>21</v>
      </c>
      <c r="C28" s="6">
        <v>1</v>
      </c>
      <c r="D28" s="6" t="s">
        <v>22</v>
      </c>
      <c r="E28" s="6" t="s">
        <v>27</v>
      </c>
      <c r="F28" s="6">
        <v>4215</v>
      </c>
      <c r="G28" s="6" t="s">
        <v>57</v>
      </c>
      <c r="H28" s="7">
        <v>46268</v>
      </c>
      <c r="I28" s="8">
        <v>46268</v>
      </c>
      <c r="J28" s="9" t="str">
        <f>+VLOOKUP(K28,Datos!$A:$C,3,FALSE)</f>
        <v>NORTE</v>
      </c>
      <c r="K28" s="6">
        <v>205</v>
      </c>
      <c r="L28" s="9" t="str">
        <f>+VLOOKUP(K28,Datos!$A:$C,2,FALSE)</f>
        <v>SAN CRISTOBAL VERAPAZ</v>
      </c>
      <c r="M28" s="6">
        <v>316316</v>
      </c>
      <c r="N28" s="9" t="str">
        <f>+VLOOKUP(M28,Datos!$F:$G,2,FALSE)</f>
        <v>Alida Elizabeth Caj Amalem</v>
      </c>
      <c r="O28" s="10">
        <f>IFERROR(IF(A28="SI",VLOOKUP(R28,Datos!$J$1:$K$50,2,FALSE)*C28,VLOOKUP(R28,Datos!$P$1:$T$50,2,FALSE)*C28),0)</f>
        <v>816</v>
      </c>
      <c r="P28" s="6">
        <v>314913</v>
      </c>
      <c r="Q28" s="9" t="str">
        <f>+VLOOKUP(P28,Datos!$F:$G,2,FALSE)</f>
        <v>Nelson Humberto Caal Güe</v>
      </c>
      <c r="R28" s="6" t="s">
        <v>29</v>
      </c>
      <c r="S28" s="6" t="s">
        <v>20</v>
      </c>
      <c r="T28" s="6">
        <f t="shared" si="0"/>
        <v>1</v>
      </c>
    </row>
    <row r="29" spans="1:20" hidden="1" x14ac:dyDescent="0.35">
      <c r="A29" s="6" t="s">
        <v>20</v>
      </c>
      <c r="B29" s="6" t="s">
        <v>26</v>
      </c>
      <c r="C29" s="6">
        <v>1</v>
      </c>
      <c r="D29" s="6" t="s">
        <v>22</v>
      </c>
      <c r="E29" s="6" t="s">
        <v>27</v>
      </c>
      <c r="F29" s="6">
        <v>4191</v>
      </c>
      <c r="G29" s="6" t="s">
        <v>58</v>
      </c>
      <c r="H29" s="8">
        <v>46268</v>
      </c>
      <c r="I29" s="8">
        <v>46267</v>
      </c>
      <c r="J29" s="9" t="str">
        <f>+VLOOKUP(K29,Datos!$A:$C,3,FALSE)</f>
        <v>NORTE</v>
      </c>
      <c r="K29" s="6">
        <v>188</v>
      </c>
      <c r="L29" s="9" t="str">
        <f>+VLOOKUP(K29,Datos!$A:$C,2,FALSE)</f>
        <v>SANTA ELENA CENTRO</v>
      </c>
      <c r="M29" s="6">
        <v>90045957</v>
      </c>
      <c r="N29" s="9" t="str">
        <f>+VLOOKUP(M29,Datos!$F:$G,2,FALSE)</f>
        <v>Evelin Yadira Batz Choc    </v>
      </c>
      <c r="O29" s="10">
        <f>IFERROR(IF(A29="SI",VLOOKUP(R29,Datos!$J$1:$K$50,2,FALSE)*C29,VLOOKUP(R29,Datos!$P$1:$T$50,2,FALSE)*C29),0)</f>
        <v>816</v>
      </c>
      <c r="P29" s="6">
        <v>90070101</v>
      </c>
      <c r="Q29" s="9" t="str">
        <f>+VLOOKUP(P29,Datos!$F:$G,2,FALSE)</f>
        <v>Felipe De Jesus Hernandez Mejia</v>
      </c>
      <c r="R29" s="6" t="s">
        <v>29</v>
      </c>
      <c r="S29" s="6" t="s">
        <v>20</v>
      </c>
      <c r="T29" s="6">
        <f t="shared" si="0"/>
        <v>1</v>
      </c>
    </row>
    <row r="30" spans="1:20" hidden="1" x14ac:dyDescent="0.35">
      <c r="A30" s="6" t="s">
        <v>20</v>
      </c>
      <c r="B30" s="6" t="s">
        <v>26</v>
      </c>
      <c r="C30" s="6">
        <v>1</v>
      </c>
      <c r="D30" s="6" t="s">
        <v>22</v>
      </c>
      <c r="E30" s="6" t="s">
        <v>27</v>
      </c>
      <c r="F30" s="6">
        <v>4210</v>
      </c>
      <c r="G30" s="6" t="s">
        <v>59</v>
      </c>
      <c r="H30" s="8">
        <v>46268</v>
      </c>
      <c r="I30" s="8">
        <v>46267</v>
      </c>
      <c r="J30" s="9" t="str">
        <f>+VLOOKUP(K30,Datos!$A:$C,3,FALSE)</f>
        <v>NORTE</v>
      </c>
      <c r="K30" s="6">
        <v>188</v>
      </c>
      <c r="L30" s="9" t="str">
        <f>+VLOOKUP(K30,Datos!$A:$C,2,FALSE)</f>
        <v>SANTA ELENA CENTRO</v>
      </c>
      <c r="M30" s="6">
        <v>90045957</v>
      </c>
      <c r="N30" s="9" t="str">
        <f>+VLOOKUP(M30,Datos!$F:$G,2,FALSE)</f>
        <v>Evelin Yadira Batz Choc    </v>
      </c>
      <c r="O30" s="10">
        <f>IFERROR(IF(A30="SI",VLOOKUP(R30,Datos!$J$1:$K$50,2,FALSE)*C30,VLOOKUP(R30,Datos!$P$1:$T$50,2,FALSE)*C30),0)</f>
        <v>1368</v>
      </c>
      <c r="P30" s="6">
        <v>90070101</v>
      </c>
      <c r="Q30" s="9" t="str">
        <f>+VLOOKUP(P30,Datos!$F:$G,2,FALSE)</f>
        <v>Felipe De Jesus Hernandez Mejia</v>
      </c>
      <c r="R30" s="6" t="s">
        <v>25</v>
      </c>
      <c r="S30" s="6" t="s">
        <v>20</v>
      </c>
      <c r="T30" s="6">
        <f t="shared" si="0"/>
        <v>1</v>
      </c>
    </row>
    <row r="31" spans="1:20" hidden="1" x14ac:dyDescent="0.35">
      <c r="A31" s="6" t="s">
        <v>20</v>
      </c>
      <c r="B31" s="6" t="s">
        <v>26</v>
      </c>
      <c r="C31" s="6">
        <v>1</v>
      </c>
      <c r="D31" s="6" t="s">
        <v>22</v>
      </c>
      <c r="E31" s="6" t="s">
        <v>27</v>
      </c>
      <c r="F31" s="6">
        <v>4180</v>
      </c>
      <c r="G31" s="6" t="s">
        <v>60</v>
      </c>
      <c r="H31" s="8">
        <v>46268</v>
      </c>
      <c r="I31" s="8">
        <v>46266</v>
      </c>
      <c r="J31" s="9" t="str">
        <f>+VLOOKUP(K31,Datos!$A:$C,3,FALSE)</f>
        <v>NORTE</v>
      </c>
      <c r="K31" s="6">
        <v>188</v>
      </c>
      <c r="L31" s="9" t="str">
        <f>+VLOOKUP(K31,Datos!$A:$C,2,FALSE)</f>
        <v>SANTA ELENA CENTRO</v>
      </c>
      <c r="M31" s="6">
        <v>90045957</v>
      </c>
      <c r="N31" s="9" t="str">
        <f>+VLOOKUP(M31,Datos!$F:$G,2,FALSE)</f>
        <v>Evelin Yadira Batz Choc    </v>
      </c>
      <c r="O31" s="10">
        <f>IFERROR(IF(A31="SI",VLOOKUP(R31,Datos!$J$1:$K$50,2,FALSE)*C31,VLOOKUP(R31,Datos!$P$1:$T$50,2,FALSE)*C31),0)</f>
        <v>816</v>
      </c>
      <c r="P31" s="6">
        <v>90070101</v>
      </c>
      <c r="Q31" s="9" t="str">
        <f>+VLOOKUP(P31,Datos!$F:$G,2,FALSE)</f>
        <v>Felipe De Jesus Hernandez Mejia</v>
      </c>
      <c r="R31" s="6" t="s">
        <v>29</v>
      </c>
      <c r="S31" s="6" t="s">
        <v>20</v>
      </c>
      <c r="T31" s="6">
        <f t="shared" si="0"/>
        <v>1</v>
      </c>
    </row>
    <row r="32" spans="1:20" hidden="1" x14ac:dyDescent="0.35">
      <c r="A32" s="6" t="s">
        <v>20</v>
      </c>
      <c r="B32" s="6" t="s">
        <v>26</v>
      </c>
      <c r="C32" s="6">
        <v>2</v>
      </c>
      <c r="D32" s="6" t="s">
        <v>22</v>
      </c>
      <c r="E32" s="6" t="s">
        <v>31</v>
      </c>
      <c r="F32" s="6">
        <v>1102</v>
      </c>
      <c r="G32" s="6" t="s">
        <v>61</v>
      </c>
      <c r="H32" s="8">
        <v>46268</v>
      </c>
      <c r="I32" s="8">
        <v>46267</v>
      </c>
      <c r="J32" s="9" t="str">
        <f>+VLOOKUP(K32,Datos!$A:$C,3,FALSE)</f>
        <v>NORTE</v>
      </c>
      <c r="K32" s="6">
        <v>188</v>
      </c>
      <c r="L32" s="9" t="str">
        <f>+VLOOKUP(K32,Datos!$A:$C,2,FALSE)</f>
        <v>SANTA ELENA CENTRO</v>
      </c>
      <c r="M32" s="6">
        <v>90064162</v>
      </c>
      <c r="N32" s="9" t="str">
        <f>+VLOOKUP(M32,Datos!$F:$G,2,FALSE)</f>
        <v>MARELYN JEANNTH BARRIOS ALFARO</v>
      </c>
      <c r="O32" s="10">
        <f>IFERROR(IF(A32="SI",VLOOKUP(R32,Datos!$J$1:$K$50,2,FALSE)*C32,VLOOKUP(R32,Datos!$P$1:$T$50,2,FALSE)*C32),0)</f>
        <v>2736</v>
      </c>
      <c r="P32" s="6">
        <v>90070101</v>
      </c>
      <c r="Q32" s="9" t="str">
        <f>+VLOOKUP(P32,Datos!$F:$G,2,FALSE)</f>
        <v>Felipe De Jesus Hernandez Mejia</v>
      </c>
      <c r="R32" s="6" t="s">
        <v>25</v>
      </c>
      <c r="S32" s="6" t="s">
        <v>20</v>
      </c>
      <c r="T32" s="6">
        <f t="shared" si="0"/>
        <v>1</v>
      </c>
    </row>
    <row r="33" spans="1:20" hidden="1" x14ac:dyDescent="0.35">
      <c r="A33" s="6" t="s">
        <v>20</v>
      </c>
      <c r="B33" s="6" t="s">
        <v>26</v>
      </c>
      <c r="C33" s="6">
        <v>2</v>
      </c>
      <c r="D33" s="6" t="s">
        <v>22</v>
      </c>
      <c r="E33" s="6" t="s">
        <v>31</v>
      </c>
      <c r="F33" s="6">
        <v>1111</v>
      </c>
      <c r="G33" s="6" t="s">
        <v>62</v>
      </c>
      <c r="H33" s="8">
        <v>46268</v>
      </c>
      <c r="I33" s="8">
        <v>46267</v>
      </c>
      <c r="J33" s="9" t="str">
        <f>+VLOOKUP(K33,Datos!$A:$C,3,FALSE)</f>
        <v>PETAPA</v>
      </c>
      <c r="K33" s="6">
        <v>250</v>
      </c>
      <c r="L33" s="9" t="str">
        <f>+VLOOKUP(K33,Datos!$A:$C,2,FALSE)</f>
        <v>BOCA DEL MONTE</v>
      </c>
      <c r="M33" s="6">
        <v>313861</v>
      </c>
      <c r="N33" s="9" t="str">
        <f>+VLOOKUP(M33,Datos!$F:$G,2,FALSE)</f>
        <v>Edith Guadalupe Del Cid Orellana</v>
      </c>
      <c r="O33" s="10">
        <f>IFERROR(IF(A33="SI",VLOOKUP(R33,Datos!$J$1:$K$50,2,FALSE)*C33,VLOOKUP(R33,Datos!$P$1:$T$50,2,FALSE)*C33),0)</f>
        <v>2736</v>
      </c>
      <c r="P33" s="6">
        <v>310796</v>
      </c>
      <c r="Q33" s="9" t="str">
        <f>+VLOOKUP(P33,Datos!$F:$G,2,FALSE)</f>
        <v>Madelyn Estefany Vega Velasquez</v>
      </c>
      <c r="R33" s="6" t="s">
        <v>25</v>
      </c>
      <c r="S33" s="6" t="s">
        <v>20</v>
      </c>
      <c r="T33" s="6">
        <f t="shared" si="0"/>
        <v>1</v>
      </c>
    </row>
    <row r="34" spans="1:20" hidden="1" x14ac:dyDescent="0.35">
      <c r="A34" s="6" t="s">
        <v>20</v>
      </c>
      <c r="B34" s="6" t="s">
        <v>26</v>
      </c>
      <c r="C34" s="6">
        <v>2</v>
      </c>
      <c r="D34" s="6" t="s">
        <v>22</v>
      </c>
      <c r="E34" s="6" t="s">
        <v>63</v>
      </c>
      <c r="F34" s="6">
        <v>1402</v>
      </c>
      <c r="G34" s="6" t="s">
        <v>64</v>
      </c>
      <c r="H34" s="8">
        <v>46268</v>
      </c>
      <c r="I34" s="8">
        <v>46259</v>
      </c>
      <c r="J34" s="9" t="str">
        <f>+VLOOKUP(K34,Datos!$A:$C,3,FALSE)</f>
        <v>PETAPA</v>
      </c>
      <c r="K34" s="6">
        <v>112</v>
      </c>
      <c r="L34" s="9" t="str">
        <f>+VLOOKUP(K34,Datos!$A:$C,2,FALSE)</f>
        <v>PACIFIC CENTER</v>
      </c>
      <c r="M34" s="6">
        <v>315309</v>
      </c>
      <c r="N34" s="9" t="str">
        <f>+VLOOKUP(M34,Datos!$F:$G,2,FALSE)</f>
        <v>Flor De Maria Lopez</v>
      </c>
      <c r="O34" s="10">
        <f>IFERROR(IF(A34="SI",VLOOKUP(R34,Datos!$J$1:$K$50,2,FALSE)*C34,VLOOKUP(R34,Datos!$P$1:$T$50,2,FALSE)*C34),0)</f>
        <v>2736</v>
      </c>
      <c r="P34" s="6">
        <v>309744</v>
      </c>
      <c r="Q34" s="9" t="str">
        <f>+VLOOKUP(P34,Datos!$F:$G,2,FALSE)</f>
        <v>Odalis Ruby Garcia Siquina</v>
      </c>
      <c r="R34" s="6" t="s">
        <v>25</v>
      </c>
      <c r="S34" s="6" t="s">
        <v>20</v>
      </c>
      <c r="T34" s="6">
        <f t="shared" si="0"/>
        <v>1</v>
      </c>
    </row>
    <row r="35" spans="1:20" hidden="1" x14ac:dyDescent="0.35">
      <c r="A35" s="6" t="s">
        <v>20</v>
      </c>
      <c r="B35" s="6" t="s">
        <v>21</v>
      </c>
      <c r="C35" s="6">
        <v>2</v>
      </c>
      <c r="D35" s="6" t="s">
        <v>22</v>
      </c>
      <c r="E35" s="6" t="s">
        <v>31</v>
      </c>
      <c r="F35" s="6">
        <v>1117</v>
      </c>
      <c r="G35" s="6" t="s">
        <v>65</v>
      </c>
      <c r="H35" s="8">
        <v>46268</v>
      </c>
      <c r="I35" s="8">
        <v>46268</v>
      </c>
      <c r="J35" s="9" t="str">
        <f>+VLOOKUP(K35,Datos!$A:$C,3,FALSE)</f>
        <v>ORIENTE</v>
      </c>
      <c r="K35" s="6">
        <v>180</v>
      </c>
      <c r="L35" s="9" t="str">
        <f>+VLOOKUP(K35,Datos!$A:$C,2,FALSE)</f>
        <v>MONJAS</v>
      </c>
      <c r="M35" s="6">
        <v>90040241</v>
      </c>
      <c r="N35" s="9" t="str">
        <f>+VLOOKUP(M35,Datos!$F:$G,2,FALSE)</f>
        <v>Jairo Alessandro Urbina Santiago</v>
      </c>
      <c r="O35" s="10">
        <f>IFERROR(IF(A35="SI",VLOOKUP(R35,Datos!$J$1:$K$50,2,FALSE)*C35,VLOOKUP(R35,Datos!$P$1:$T$50,2,FALSE)*C35),0)</f>
        <v>1632</v>
      </c>
      <c r="P35" s="6">
        <v>315038</v>
      </c>
      <c r="Q35" s="9" t="str">
        <f>+VLOOKUP(P35,Datos!$F:$G,2,FALSE)</f>
        <v>Flor Sylvestre Orellana Gonzalez</v>
      </c>
      <c r="R35" s="6" t="s">
        <v>29</v>
      </c>
      <c r="S35" s="6" t="s">
        <v>20</v>
      </c>
      <c r="T35" s="6">
        <f t="shared" si="0"/>
        <v>1</v>
      </c>
    </row>
    <row r="36" spans="1:20" hidden="1" x14ac:dyDescent="0.35">
      <c r="A36" s="6" t="s">
        <v>20</v>
      </c>
      <c r="B36" s="6" t="s">
        <v>21</v>
      </c>
      <c r="C36" s="6">
        <v>2</v>
      </c>
      <c r="D36" s="6" t="s">
        <v>22</v>
      </c>
      <c r="E36" s="6" t="s">
        <v>31</v>
      </c>
      <c r="F36" s="6">
        <v>1090</v>
      </c>
      <c r="G36" s="6" t="s">
        <v>66</v>
      </c>
      <c r="H36" s="8">
        <v>46268</v>
      </c>
      <c r="I36" s="8">
        <v>46267</v>
      </c>
      <c r="J36" s="9" t="str">
        <f>+VLOOKUP(K36,Datos!$A:$C,3,FALSE)</f>
        <v>NORTE</v>
      </c>
      <c r="K36" s="6">
        <v>334</v>
      </c>
      <c r="L36" s="9" t="str">
        <f>+VLOOKUP(K36,Datos!$A:$C,2,FALSE)</f>
        <v>COBAN LA PISTA</v>
      </c>
      <c r="M36" s="6">
        <v>90081010</v>
      </c>
      <c r="N36" s="9" t="str">
        <f>+VLOOKUP(M36,Datos!$F:$G,2,FALSE)</f>
        <v>JAIRO OBED ALEXANDER TUL CHO</v>
      </c>
      <c r="O36" s="10">
        <f>IFERROR(IF(A36="SI",VLOOKUP(R36,Datos!$J$1:$K$50,2,FALSE)*C36,VLOOKUP(R36,Datos!$P$1:$T$50,2,FALSE)*C36),0)</f>
        <v>1632</v>
      </c>
      <c r="P36" s="6">
        <v>315106</v>
      </c>
      <c r="Q36" s="9" t="str">
        <f>+VLOOKUP(P36,Datos!$F:$G,2,FALSE)</f>
        <v>Wendy Victoria Rodriguez Chacon</v>
      </c>
      <c r="R36" s="6" t="s">
        <v>29</v>
      </c>
      <c r="S36" s="6" t="s">
        <v>20</v>
      </c>
      <c r="T36" s="6">
        <f t="shared" si="0"/>
        <v>1</v>
      </c>
    </row>
    <row r="37" spans="1:20" hidden="1" x14ac:dyDescent="0.35">
      <c r="A37" s="6" t="s">
        <v>20</v>
      </c>
      <c r="B37" s="6" t="s">
        <v>26</v>
      </c>
      <c r="C37" s="6">
        <v>1</v>
      </c>
      <c r="D37" s="6" t="s">
        <v>22</v>
      </c>
      <c r="E37" s="6" t="s">
        <v>27</v>
      </c>
      <c r="F37" s="6">
        <v>4219</v>
      </c>
      <c r="G37" s="6" t="s">
        <v>67</v>
      </c>
      <c r="H37" s="8">
        <v>46268</v>
      </c>
      <c r="I37" s="8">
        <v>46268</v>
      </c>
      <c r="J37" s="9" t="str">
        <f>+VLOOKUP(K37,Datos!$A:$C,3,FALSE)</f>
        <v>NORTE</v>
      </c>
      <c r="K37" s="6">
        <v>195</v>
      </c>
      <c r="L37" s="9" t="str">
        <f>+VLOOKUP(K37,Datos!$A:$C,2,FALSE)</f>
        <v>TELEMAN</v>
      </c>
      <c r="M37" s="6">
        <v>90086215</v>
      </c>
      <c r="N37" s="9" t="str">
        <f>+VLOOKUP(M37,Datos!$F:$G,2,FALSE)</f>
        <v>MARCELLO JARED VELIZ CAZ</v>
      </c>
      <c r="O37" s="10">
        <f>IFERROR(IF(A37="SI",VLOOKUP(R37,Datos!$J$1:$K$50,2,FALSE)*C37,VLOOKUP(R37,Datos!$P$1:$T$50,2,FALSE)*C37),0)</f>
        <v>1368</v>
      </c>
      <c r="P37" s="6">
        <v>315351</v>
      </c>
      <c r="Q37" s="9" t="str">
        <f>+VLOOKUP(P37,Datos!$F:$G,2,FALSE)</f>
        <v>Maria Vicenta Lopez Mancilla De De Del Valle</v>
      </c>
      <c r="R37" s="6" t="s">
        <v>25</v>
      </c>
      <c r="S37" s="6" t="s">
        <v>20</v>
      </c>
      <c r="T37" s="6">
        <f t="shared" si="0"/>
        <v>1</v>
      </c>
    </row>
    <row r="38" spans="1:20" hidden="1" x14ac:dyDescent="0.35">
      <c r="A38" s="6" t="s">
        <v>20</v>
      </c>
      <c r="B38" s="6" t="s">
        <v>26</v>
      </c>
      <c r="C38" s="6">
        <v>1</v>
      </c>
      <c r="D38" s="6" t="s">
        <v>22</v>
      </c>
      <c r="E38" s="6" t="s">
        <v>27</v>
      </c>
      <c r="F38" s="6">
        <v>4212</v>
      </c>
      <c r="G38" s="6" t="s">
        <v>68</v>
      </c>
      <c r="H38" s="8">
        <v>46268</v>
      </c>
      <c r="I38" s="8">
        <v>46267</v>
      </c>
      <c r="J38" s="9" t="str">
        <f>+VLOOKUP(K38,Datos!$A:$C,3,FALSE)</f>
        <v>PETAPA</v>
      </c>
      <c r="K38" s="6">
        <v>67</v>
      </c>
      <c r="L38" s="9" t="str">
        <f>+VLOOKUP(K38,Datos!$A:$C,2,FALSE)</f>
        <v>QUETZAL</v>
      </c>
      <c r="M38" s="6">
        <v>90084769</v>
      </c>
      <c r="N38" s="9" t="str">
        <f>+VLOOKUP(M38,Datos!$F:$G,2,FALSE)</f>
        <v>MIREYA GONZALEZ</v>
      </c>
      <c r="O38" s="10">
        <f>IFERROR(IF(A38="SI",VLOOKUP(R38,Datos!$J$1:$K$50,2,FALSE)*C38,VLOOKUP(R38,Datos!$P$1:$T$50,2,FALSE)*C38),0)</f>
        <v>816</v>
      </c>
      <c r="P38" s="6">
        <v>315099</v>
      </c>
      <c r="Q38" s="9" t="str">
        <f>+VLOOKUP(P38,Datos!$F:$G,2,FALSE)</f>
        <v>Marilyn Yulissa Alvarez Toscano</v>
      </c>
      <c r="R38" s="6" t="s">
        <v>29</v>
      </c>
      <c r="S38" s="6" t="s">
        <v>20</v>
      </c>
      <c r="T38" s="6">
        <f t="shared" si="0"/>
        <v>1</v>
      </c>
    </row>
    <row r="39" spans="1:20" hidden="1" x14ac:dyDescent="0.35">
      <c r="A39" s="6" t="s">
        <v>20</v>
      </c>
      <c r="B39" s="6" t="s">
        <v>21</v>
      </c>
      <c r="C39" s="6">
        <v>1</v>
      </c>
      <c r="D39" s="6" t="s">
        <v>22</v>
      </c>
      <c r="E39" s="6" t="s">
        <v>27</v>
      </c>
      <c r="F39" s="6">
        <v>4209</v>
      </c>
      <c r="G39" s="6" t="s">
        <v>69</v>
      </c>
      <c r="H39" s="8">
        <v>46268</v>
      </c>
      <c r="I39" s="8">
        <v>46267</v>
      </c>
      <c r="J39" s="9" t="str">
        <f>+VLOOKUP(K39,Datos!$A:$C,3,FALSE)</f>
        <v>NORTE</v>
      </c>
      <c r="K39" s="6">
        <v>80</v>
      </c>
      <c r="L39" s="9" t="str">
        <f>+VLOOKUP(K39,Datos!$A:$C,2,FALSE)</f>
        <v>TACTIC</v>
      </c>
      <c r="M39" s="6">
        <v>315859</v>
      </c>
      <c r="N39" s="9" t="str">
        <f>+VLOOKUP(M39,Datos!$F:$G,2,FALSE)</f>
        <v>Claudia Roxana Beb Ac</v>
      </c>
      <c r="O39" s="10">
        <f>IFERROR(IF(A39="SI",VLOOKUP(R39,Datos!$J$1:$K$50,2,FALSE)*C39,VLOOKUP(R39,Datos!$P$1:$T$50,2,FALSE)*C39),0)</f>
        <v>816</v>
      </c>
      <c r="P39" s="6">
        <v>309528</v>
      </c>
      <c r="Q39" s="9" t="str">
        <f>+VLOOKUP(P39,Datos!$F:$G,2,FALSE)</f>
        <v>Heydi Zuleyma Gue Cac</v>
      </c>
      <c r="R39" s="6" t="s">
        <v>29</v>
      </c>
      <c r="S39" s="6" t="s">
        <v>20</v>
      </c>
      <c r="T39" s="6">
        <f t="shared" si="0"/>
        <v>1</v>
      </c>
    </row>
    <row r="40" spans="1:20" hidden="1" x14ac:dyDescent="0.35">
      <c r="A40" s="6" t="s">
        <v>20</v>
      </c>
      <c r="B40" s="6" t="s">
        <v>21</v>
      </c>
      <c r="C40" s="6">
        <v>1</v>
      </c>
      <c r="D40" s="6" t="s">
        <v>22</v>
      </c>
      <c r="E40" s="6" t="s">
        <v>27</v>
      </c>
      <c r="F40" s="6">
        <v>4224</v>
      </c>
      <c r="G40" s="6" t="s">
        <v>70</v>
      </c>
      <c r="H40" s="8">
        <v>46268</v>
      </c>
      <c r="I40" s="8">
        <v>46268</v>
      </c>
      <c r="J40" s="9" t="str">
        <f>+VLOOKUP(K40,Datos!$A:$C,3,FALSE)</f>
        <v>NORTE</v>
      </c>
      <c r="K40" s="6">
        <v>80</v>
      </c>
      <c r="L40" s="9" t="str">
        <f>+VLOOKUP(K40,Datos!$A:$C,2,FALSE)</f>
        <v>TACTIC</v>
      </c>
      <c r="M40" s="6">
        <v>315859</v>
      </c>
      <c r="N40" s="9" t="str">
        <f>+VLOOKUP(M40,Datos!$F:$G,2,FALSE)</f>
        <v>Claudia Roxana Beb Ac</v>
      </c>
      <c r="O40" s="10">
        <f>IFERROR(IF(A40="SI",VLOOKUP(R40,Datos!$J$1:$K$50,2,FALSE)*C40,VLOOKUP(R40,Datos!$P$1:$T$50,2,FALSE)*C40),0)</f>
        <v>1368</v>
      </c>
      <c r="P40" s="6">
        <v>309528</v>
      </c>
      <c r="Q40" s="9" t="str">
        <f>+VLOOKUP(P40,Datos!$F:$G,2,FALSE)</f>
        <v>Heydi Zuleyma Gue Cac</v>
      </c>
      <c r="R40" s="6" t="s">
        <v>25</v>
      </c>
      <c r="S40" s="6" t="s">
        <v>20</v>
      </c>
      <c r="T40" s="6">
        <f t="shared" si="0"/>
        <v>1</v>
      </c>
    </row>
    <row r="41" spans="1:20" hidden="1" x14ac:dyDescent="0.35">
      <c r="A41" s="6" t="s">
        <v>20</v>
      </c>
      <c r="B41" s="6" t="s">
        <v>21</v>
      </c>
      <c r="C41" s="6">
        <v>4</v>
      </c>
      <c r="D41" s="6" t="s">
        <v>22</v>
      </c>
      <c r="E41" s="6" t="s">
        <v>23</v>
      </c>
      <c r="F41" s="6">
        <v>641</v>
      </c>
      <c r="G41" s="6" t="s">
        <v>71</v>
      </c>
      <c r="H41" s="8">
        <v>46268</v>
      </c>
      <c r="I41" s="8">
        <v>46268</v>
      </c>
      <c r="J41" s="9" t="str">
        <f>+VLOOKUP(K41,Datos!$A:$C,3,FALSE)</f>
        <v>NORTE</v>
      </c>
      <c r="K41" s="6">
        <v>194</v>
      </c>
      <c r="L41" s="9" t="str">
        <f>+VLOOKUP(K41,Datos!$A:$C,2,FALSE)</f>
        <v>PLAYA GRANDE</v>
      </c>
      <c r="M41" s="6">
        <v>90023865</v>
      </c>
      <c r="N41" s="9" t="str">
        <f>+VLOOKUP(M41,Datos!$F:$G,2,FALSE)</f>
        <v>Benito Abad Jimenez Carrillo</v>
      </c>
      <c r="O41" s="10">
        <f>IFERROR(IF(A41="SI",VLOOKUP(R41,Datos!$J$1:$K$50,2,FALSE)*C41,VLOOKUP(R41,Datos!$P$1:$T$50,2,FALSE)*C41),0)</f>
        <v>3264</v>
      </c>
      <c r="P41" s="6">
        <v>311223</v>
      </c>
      <c r="Q41" s="9" t="str">
        <f>+VLOOKUP(P41,Datos!$F:$G,2,FALSE)</f>
        <v>Juan Francisco Gudiel Castillo</v>
      </c>
      <c r="R41" s="6" t="s">
        <v>29</v>
      </c>
      <c r="S41" s="6" t="s">
        <v>20</v>
      </c>
      <c r="T41" s="6">
        <f t="shared" si="0"/>
        <v>1</v>
      </c>
    </row>
    <row r="42" spans="1:20" hidden="1" x14ac:dyDescent="0.35">
      <c r="A42" s="6" t="s">
        <v>20</v>
      </c>
      <c r="B42" s="6" t="s">
        <v>21</v>
      </c>
      <c r="C42" s="6">
        <v>2</v>
      </c>
      <c r="D42" s="6" t="s">
        <v>22</v>
      </c>
      <c r="E42" s="6" t="s">
        <v>31</v>
      </c>
      <c r="F42" s="6">
        <v>1120</v>
      </c>
      <c r="G42" s="6" t="s">
        <v>72</v>
      </c>
      <c r="H42" s="8">
        <v>46268</v>
      </c>
      <c r="I42" s="8">
        <v>46268</v>
      </c>
      <c r="J42" s="9" t="str">
        <f>+VLOOKUP(K42,Datos!$A:$C,3,FALSE)</f>
        <v>NORTE</v>
      </c>
      <c r="K42" s="6">
        <v>194</v>
      </c>
      <c r="L42" s="9" t="str">
        <f>+VLOOKUP(K42,Datos!$A:$C,2,FALSE)</f>
        <v>PLAYA GRANDE</v>
      </c>
      <c r="M42" s="6">
        <v>314945</v>
      </c>
      <c r="N42" s="9" t="str">
        <f>+VLOOKUP(M42,Datos!$F:$G,2,FALSE)</f>
        <v>Rolando Esau Solis Santos</v>
      </c>
      <c r="O42" s="10">
        <f>IFERROR(IF(A42="SI",VLOOKUP(R42,Datos!$J$1:$K$50,2,FALSE)*C42,VLOOKUP(R42,Datos!$P$1:$T$50,2,FALSE)*C42),0)</f>
        <v>5472</v>
      </c>
      <c r="P42" s="6">
        <v>311223</v>
      </c>
      <c r="Q42" s="9" t="str">
        <f>+VLOOKUP(P42,Datos!$F:$G,2,FALSE)</f>
        <v>Juan Francisco Gudiel Castillo</v>
      </c>
      <c r="R42" s="6" t="s">
        <v>73</v>
      </c>
      <c r="S42" s="6" t="s">
        <v>20</v>
      </c>
      <c r="T42" s="6">
        <f t="shared" si="0"/>
        <v>1</v>
      </c>
    </row>
    <row r="43" spans="1:20" hidden="1" x14ac:dyDescent="0.35">
      <c r="A43" s="6" t="s">
        <v>20</v>
      </c>
      <c r="B43" s="6" t="s">
        <v>26</v>
      </c>
      <c r="C43" s="6">
        <v>2</v>
      </c>
      <c r="D43" s="6" t="s">
        <v>22</v>
      </c>
      <c r="E43" s="6" t="s">
        <v>31</v>
      </c>
      <c r="F43" s="6">
        <v>1124</v>
      </c>
      <c r="G43" s="6" t="s">
        <v>74</v>
      </c>
      <c r="H43" s="8">
        <v>46268</v>
      </c>
      <c r="I43" s="8">
        <v>46268</v>
      </c>
      <c r="J43" s="9" t="str">
        <f>+VLOOKUP(K43,Datos!$A:$C,3,FALSE)</f>
        <v>NORTE</v>
      </c>
      <c r="K43" s="6">
        <v>194</v>
      </c>
      <c r="L43" s="9" t="str">
        <f>+VLOOKUP(K43,Datos!$A:$C,2,FALSE)</f>
        <v>PLAYA GRANDE</v>
      </c>
      <c r="M43" s="6">
        <v>314945</v>
      </c>
      <c r="N43" s="9" t="str">
        <f>+VLOOKUP(M43,Datos!$F:$G,2,FALSE)</f>
        <v>Rolando Esau Solis Santos</v>
      </c>
      <c r="O43" s="10">
        <f>IFERROR(IF(A43="SI",VLOOKUP(R43,Datos!$J$1:$K$50,2,FALSE)*C43,VLOOKUP(R43,Datos!$P$1:$T$50,2,FALSE)*C43),0)</f>
        <v>1632</v>
      </c>
      <c r="P43" s="6">
        <v>311223</v>
      </c>
      <c r="Q43" s="9" t="str">
        <f>+VLOOKUP(P43,Datos!$F:$G,2,FALSE)</f>
        <v>Juan Francisco Gudiel Castillo</v>
      </c>
      <c r="R43" s="6" t="s">
        <v>29</v>
      </c>
      <c r="S43" s="6" t="s">
        <v>20</v>
      </c>
      <c r="T43" s="6">
        <f t="shared" si="0"/>
        <v>1</v>
      </c>
    </row>
    <row r="44" spans="1:20" hidden="1" x14ac:dyDescent="0.35">
      <c r="A44" s="6" t="s">
        <v>20</v>
      </c>
      <c r="B44" s="6" t="s">
        <v>26</v>
      </c>
      <c r="C44" s="6">
        <v>2</v>
      </c>
      <c r="D44" s="6" t="s">
        <v>22</v>
      </c>
      <c r="E44" s="6" t="s">
        <v>31</v>
      </c>
      <c r="F44" s="6">
        <v>1125</v>
      </c>
      <c r="G44" s="6" t="s">
        <v>75</v>
      </c>
      <c r="H44" s="8">
        <v>46268</v>
      </c>
      <c r="I44" s="8">
        <v>46268</v>
      </c>
      <c r="J44" s="9" t="str">
        <f>+VLOOKUP(K44,Datos!$A:$C,3,FALSE)</f>
        <v>AMERICAS</v>
      </c>
      <c r="K44" s="6">
        <v>30</v>
      </c>
      <c r="L44" s="9" t="str">
        <f>+VLOOKUP(K44,Datos!$A:$C,2,FALSE)</f>
        <v>BARBERENA</v>
      </c>
      <c r="M44" s="6">
        <v>307706</v>
      </c>
      <c r="N44" s="9" t="str">
        <f>+VLOOKUP(M44,Datos!$F:$G,2,FALSE)</f>
        <v>Monica Guadalupe Garcia Rivera</v>
      </c>
      <c r="O44" s="10">
        <f>IFERROR(IF(A44="SI",VLOOKUP(R44,Datos!$J$1:$K$50,2,FALSE)*C44,VLOOKUP(R44,Datos!$P$1:$T$50,2,FALSE)*C44),0)</f>
        <v>1632</v>
      </c>
      <c r="P44" s="6">
        <v>300594</v>
      </c>
      <c r="Q44" s="9" t="str">
        <f>+VLOOKUP(P44,Datos!$F:$G,2,FALSE)</f>
        <v>Rosaura Grisleny Perez Rios</v>
      </c>
      <c r="R44" s="6" t="s">
        <v>29</v>
      </c>
      <c r="S44" s="6" t="s">
        <v>20</v>
      </c>
      <c r="T44" s="6">
        <f t="shared" si="0"/>
        <v>1</v>
      </c>
    </row>
    <row r="45" spans="1:20" hidden="1" x14ac:dyDescent="0.35">
      <c r="A45" s="6" t="s">
        <v>20</v>
      </c>
      <c r="B45" s="6" t="s">
        <v>26</v>
      </c>
      <c r="C45" s="6">
        <v>1</v>
      </c>
      <c r="D45" s="6" t="s">
        <v>22</v>
      </c>
      <c r="E45" s="6" t="s">
        <v>27</v>
      </c>
      <c r="F45" s="6">
        <v>4240</v>
      </c>
      <c r="G45" s="6" t="s">
        <v>76</v>
      </c>
      <c r="H45" s="8">
        <v>46268</v>
      </c>
      <c r="I45" s="8">
        <v>46268</v>
      </c>
      <c r="J45" s="9" t="str">
        <f>+VLOOKUP(K45,Datos!$A:$C,3,FALSE)</f>
        <v>AMERICAS</v>
      </c>
      <c r="K45" s="6">
        <v>92</v>
      </c>
      <c r="L45" s="9" t="str">
        <f>+VLOOKUP(K45,Datos!$A:$C,2,FALSE)</f>
        <v>CONDADO CONCEPCION</v>
      </c>
      <c r="M45" s="6">
        <v>314619</v>
      </c>
      <c r="N45" s="9" t="str">
        <f>+VLOOKUP(M45,Datos!$F:$G,2,FALSE)</f>
        <v>Glenda Isabel Perez Velasquez</v>
      </c>
      <c r="O45" s="10">
        <f>IFERROR(IF(A45="SI",VLOOKUP(R45,Datos!$J$1:$K$50,2,FALSE)*C45,VLOOKUP(R45,Datos!$P$1:$T$50,2,FALSE)*C45),0)</f>
        <v>1368</v>
      </c>
      <c r="P45" s="6">
        <v>315128</v>
      </c>
      <c r="Q45" s="9" t="str">
        <f>+VLOOKUP(P45,Datos!$F:$G,2,FALSE)</f>
        <v>Maria Eugenia Alvarez Lopez</v>
      </c>
      <c r="R45" s="6" t="s">
        <v>25</v>
      </c>
      <c r="S45" s="6" t="s">
        <v>20</v>
      </c>
      <c r="T45" s="6">
        <f t="shared" si="0"/>
        <v>1</v>
      </c>
    </row>
    <row r="46" spans="1:20" hidden="1" x14ac:dyDescent="0.35">
      <c r="A46" s="6" t="s">
        <v>20</v>
      </c>
      <c r="B46" s="6" t="s">
        <v>26</v>
      </c>
      <c r="C46" s="6">
        <v>1</v>
      </c>
      <c r="D46" s="6" t="s">
        <v>22</v>
      </c>
      <c r="E46" s="6" t="s">
        <v>27</v>
      </c>
      <c r="F46" s="6">
        <v>4238</v>
      </c>
      <c r="G46" s="6" t="s">
        <v>77</v>
      </c>
      <c r="H46" s="8">
        <v>46268</v>
      </c>
      <c r="I46" s="8">
        <v>46268</v>
      </c>
      <c r="J46" s="9" t="str">
        <f>+VLOOKUP(K46,Datos!$A:$C,3,FALSE)</f>
        <v>AMERICAS</v>
      </c>
      <c r="K46" s="6">
        <v>224</v>
      </c>
      <c r="L46" s="9" t="str">
        <f>+VLOOKUP(K46,Datos!$A:$C,2,FALSE)</f>
        <v>MINUTO CARRETERA A EL SALVADOR</v>
      </c>
      <c r="M46" s="6">
        <v>90064633</v>
      </c>
      <c r="N46" s="9" t="str">
        <f>+VLOOKUP(M46,Datos!$F:$G,2,FALSE)</f>
        <v>NATALY KRISTEL ROCIO LAM CETIVO</v>
      </c>
      <c r="O46" s="10">
        <f>IFERROR(IF(A46="SI",VLOOKUP(R46,Datos!$J$1:$K$50,2,FALSE)*C46,VLOOKUP(R46,Datos!$P$1:$T$50,2,FALSE)*C46),0)</f>
        <v>1368</v>
      </c>
      <c r="P46" s="6">
        <v>313918</v>
      </c>
      <c r="Q46" s="9" t="str">
        <f>+VLOOKUP(P46,Datos!$F:$G,2,FALSE)</f>
        <v>Karina Lizeth Pineda Ortiz</v>
      </c>
      <c r="R46" s="6" t="s">
        <v>25</v>
      </c>
      <c r="S46" s="6" t="s">
        <v>78</v>
      </c>
      <c r="T46" s="6">
        <f t="shared" si="0"/>
        <v>1</v>
      </c>
    </row>
    <row r="47" spans="1:20" hidden="1" x14ac:dyDescent="0.35">
      <c r="A47" s="6" t="s">
        <v>20</v>
      </c>
      <c r="B47" s="6" t="s">
        <v>26</v>
      </c>
      <c r="C47" s="6">
        <v>1</v>
      </c>
      <c r="D47" s="6" t="s">
        <v>22</v>
      </c>
      <c r="E47" s="6" t="s">
        <v>27</v>
      </c>
      <c r="F47" s="6">
        <v>4165</v>
      </c>
      <c r="G47" s="6" t="s">
        <v>79</v>
      </c>
      <c r="H47" s="8">
        <v>46268</v>
      </c>
      <c r="I47" s="8">
        <v>46266</v>
      </c>
      <c r="J47" s="9" t="str">
        <f>+VLOOKUP(K47,Datos!$A:$C,3,FALSE)</f>
        <v>AMERICAS</v>
      </c>
      <c r="K47" s="6">
        <v>53</v>
      </c>
      <c r="L47" s="9" t="str">
        <f>+VLOOKUP(K47,Datos!$A:$C,2,FALSE)</f>
        <v>PUERTA PARADA</v>
      </c>
      <c r="M47" s="6">
        <v>314472</v>
      </c>
      <c r="N47" s="9" t="str">
        <f>+VLOOKUP(M47,Datos!$F:$G,2,FALSE)</f>
        <v>Yuri Madali Cabrera Garcia</v>
      </c>
      <c r="O47" s="10">
        <f>IFERROR(IF(A47="SI",VLOOKUP(R47,Datos!$J$1:$K$50,2,FALSE)*C47,VLOOKUP(R47,Datos!$P$1:$T$50,2,FALSE)*C47),0)</f>
        <v>1368</v>
      </c>
      <c r="P47" s="6">
        <v>315128</v>
      </c>
      <c r="Q47" s="9" t="str">
        <f>+VLOOKUP(P47,Datos!$F:$G,2,FALSE)</f>
        <v>Maria Eugenia Alvarez Lopez</v>
      </c>
      <c r="R47" s="6" t="s">
        <v>25</v>
      </c>
      <c r="S47" s="6" t="s">
        <v>78</v>
      </c>
      <c r="T47" s="6">
        <f t="shared" si="0"/>
        <v>1</v>
      </c>
    </row>
    <row r="48" spans="1:20" hidden="1" x14ac:dyDescent="0.35">
      <c r="A48" s="6" t="s">
        <v>80</v>
      </c>
      <c r="B48" s="6" t="s">
        <v>21</v>
      </c>
      <c r="C48" s="6">
        <v>1</v>
      </c>
      <c r="D48" s="6" t="s">
        <v>22</v>
      </c>
      <c r="E48" s="6" t="s">
        <v>81</v>
      </c>
      <c r="F48" s="6">
        <v>1</v>
      </c>
      <c r="G48" s="6" t="s">
        <v>82</v>
      </c>
      <c r="H48" s="7">
        <v>46269</v>
      </c>
      <c r="I48" s="8">
        <v>46266</v>
      </c>
      <c r="J48" s="9" t="str">
        <f>+VLOOKUP(K48,Datos!$A:$C,3,FALSE)</f>
        <v>AMERICAS</v>
      </c>
      <c r="K48" s="6">
        <v>278</v>
      </c>
      <c r="L48" s="9" t="str">
        <f>+VLOOKUP(K48,Datos!$A:$C,2,FALSE)</f>
        <v>HINCAPIE</v>
      </c>
      <c r="M48" s="6">
        <v>90085860</v>
      </c>
      <c r="N48" s="9" t="str">
        <f>+VLOOKUP(M48,Datos!$F:$G,2,FALSE)</f>
        <v>OSCAR HUMBERTO CAAL GOMEZ</v>
      </c>
      <c r="O48" s="10">
        <f>IFERROR(IF(A48="SI",VLOOKUP(R48,Datos!$J$1:$K$50,2,FALSE)*C48,VLOOKUP(R48,Datos!$P$1:$T$50,2,FALSE)*C48),0)</f>
        <v>2160</v>
      </c>
      <c r="P48" s="6">
        <v>313406</v>
      </c>
      <c r="Q48" s="9" t="str">
        <f>+VLOOKUP(P48,Datos!$F:$G,2,FALSE)</f>
        <v>Duncan Vladimir Fuentes Marroquin</v>
      </c>
      <c r="R48" s="6" t="s">
        <v>83</v>
      </c>
      <c r="S48" s="6" t="s">
        <v>20</v>
      </c>
      <c r="T48" s="6">
        <f t="shared" si="0"/>
        <v>1</v>
      </c>
    </row>
    <row r="49" spans="1:20" hidden="1" x14ac:dyDescent="0.35">
      <c r="A49" s="6" t="s">
        <v>20</v>
      </c>
      <c r="B49" s="6" t="s">
        <v>21</v>
      </c>
      <c r="C49" s="6">
        <v>1</v>
      </c>
      <c r="D49" s="6" t="s">
        <v>22</v>
      </c>
      <c r="E49" s="6" t="s">
        <v>27</v>
      </c>
      <c r="F49" s="6">
        <v>4257</v>
      </c>
      <c r="G49" s="6" t="s">
        <v>84</v>
      </c>
      <c r="H49" s="8">
        <v>46269</v>
      </c>
      <c r="I49" s="8">
        <v>46269</v>
      </c>
      <c r="J49" s="9" t="str">
        <f>+VLOOKUP(K49,Datos!$A:$C,3,FALSE)</f>
        <v>PETAPA</v>
      </c>
      <c r="K49" s="6">
        <v>112</v>
      </c>
      <c r="L49" s="9" t="str">
        <f>+VLOOKUP(K49,Datos!$A:$C,2,FALSE)</f>
        <v>PACIFIC CENTER</v>
      </c>
      <c r="M49" s="6">
        <v>90063387</v>
      </c>
      <c r="N49" s="9" t="str">
        <f>+VLOOKUP(M49,Datos!$F:$G,2,FALSE)</f>
        <v>ANA MARTINEZ</v>
      </c>
      <c r="O49" s="10">
        <f>IFERROR(IF(A49="SI",VLOOKUP(R49,Datos!$J$1:$K$50,2,FALSE)*C49,VLOOKUP(R49,Datos!$P$1:$T$50,2,FALSE)*C49),0)</f>
        <v>816</v>
      </c>
      <c r="P49" s="6">
        <v>309744</v>
      </c>
      <c r="Q49" s="9" t="str">
        <f>+VLOOKUP(P49,Datos!$F:$G,2,FALSE)</f>
        <v>Odalis Ruby Garcia Siquina</v>
      </c>
      <c r="R49" s="6" t="s">
        <v>29</v>
      </c>
      <c r="S49" s="6" t="s">
        <v>20</v>
      </c>
      <c r="T49" s="6">
        <f t="shared" si="0"/>
        <v>1</v>
      </c>
    </row>
    <row r="50" spans="1:20" hidden="1" x14ac:dyDescent="0.35">
      <c r="A50" s="6" t="s">
        <v>20</v>
      </c>
      <c r="B50" s="6" t="s">
        <v>21</v>
      </c>
      <c r="C50" s="6">
        <v>1</v>
      </c>
      <c r="D50" s="6" t="s">
        <v>22</v>
      </c>
      <c r="E50" s="6" t="s">
        <v>27</v>
      </c>
      <c r="F50" s="6">
        <v>4247</v>
      </c>
      <c r="G50" s="6" t="s">
        <v>85</v>
      </c>
      <c r="H50" s="8">
        <v>46269</v>
      </c>
      <c r="I50" s="8">
        <v>46269</v>
      </c>
      <c r="J50" s="9" t="str">
        <f>+VLOOKUP(K50,Datos!$A:$C,3,FALSE)</f>
        <v>NORTE</v>
      </c>
      <c r="K50" s="6">
        <v>22</v>
      </c>
      <c r="L50" s="9" t="str">
        <f>+VLOOKUP(K50,Datos!$A:$C,2,FALSE)</f>
        <v>COBAN PLAZA DEL PARQUE</v>
      </c>
      <c r="M50" s="6">
        <v>90063414</v>
      </c>
      <c r="N50" s="9" t="str">
        <f>+VLOOKUP(M50,Datos!$F:$G,2,FALSE)</f>
        <v>DANIELA PONCE REYES</v>
      </c>
      <c r="O50" s="10">
        <f>IFERROR(IF(A50="SI",VLOOKUP(R50,Datos!$J$1:$K$50,2,FALSE)*C50,VLOOKUP(R50,Datos!$P$1:$T$50,2,FALSE)*C50),0)</f>
        <v>816</v>
      </c>
      <c r="P50" s="6">
        <v>310872</v>
      </c>
      <c r="Q50" s="9" t="str">
        <f>+VLOOKUP(P50,Datos!$F:$G,2,FALSE)</f>
        <v>Loida Raquel Juarez Ixpata</v>
      </c>
      <c r="R50" s="6" t="s">
        <v>29</v>
      </c>
      <c r="S50" s="6" t="s">
        <v>20</v>
      </c>
      <c r="T50" s="6">
        <f t="shared" si="0"/>
        <v>1</v>
      </c>
    </row>
    <row r="51" spans="1:20" hidden="1" x14ac:dyDescent="0.35">
      <c r="A51" s="6" t="s">
        <v>20</v>
      </c>
      <c r="B51" s="6" t="s">
        <v>21</v>
      </c>
      <c r="C51" s="6">
        <v>3</v>
      </c>
      <c r="D51" s="6" t="s">
        <v>22</v>
      </c>
      <c r="E51" s="6" t="s">
        <v>53</v>
      </c>
      <c r="F51" s="6">
        <v>604</v>
      </c>
      <c r="G51" s="6" t="s">
        <v>86</v>
      </c>
      <c r="H51" s="8">
        <v>46269</v>
      </c>
      <c r="I51" s="8">
        <v>46269</v>
      </c>
      <c r="J51" s="9" t="str">
        <f>+VLOOKUP(K51,Datos!$A:$C,3,FALSE)</f>
        <v>NORTE</v>
      </c>
      <c r="K51" s="6">
        <v>22</v>
      </c>
      <c r="L51" s="9" t="str">
        <f>+VLOOKUP(K51,Datos!$A:$C,2,FALSE)</f>
        <v>COBAN PLAZA DEL PARQUE</v>
      </c>
      <c r="M51" s="6">
        <v>90063414</v>
      </c>
      <c r="N51" s="9" t="str">
        <f>+VLOOKUP(M51,Datos!$F:$G,2,FALSE)</f>
        <v>DANIELA PONCE REYES</v>
      </c>
      <c r="O51" s="10">
        <f>IFERROR(IF(A51="SI",VLOOKUP(R51,Datos!$J$1:$K$50,2,FALSE)*C51,VLOOKUP(R51,Datos!$P$1:$T$50,2,FALSE)*C51),0)</f>
        <v>2448</v>
      </c>
      <c r="P51" s="6">
        <v>310872</v>
      </c>
      <c r="Q51" s="9" t="str">
        <f>+VLOOKUP(P51,Datos!$F:$G,2,FALSE)</f>
        <v>Loida Raquel Juarez Ixpata</v>
      </c>
      <c r="R51" s="6" t="s">
        <v>29</v>
      </c>
      <c r="S51" s="6" t="s">
        <v>20</v>
      </c>
      <c r="T51" s="6">
        <f t="shared" si="0"/>
        <v>1</v>
      </c>
    </row>
    <row r="52" spans="1:20" hidden="1" x14ac:dyDescent="0.35">
      <c r="A52" s="6" t="s">
        <v>20</v>
      </c>
      <c r="B52" s="6" t="s">
        <v>21</v>
      </c>
      <c r="C52" s="6">
        <v>2</v>
      </c>
      <c r="D52" s="6" t="s">
        <v>22</v>
      </c>
      <c r="E52" s="6" t="s">
        <v>31</v>
      </c>
      <c r="F52" s="6">
        <v>1099</v>
      </c>
      <c r="G52" s="6" t="s">
        <v>87</v>
      </c>
      <c r="H52" s="8">
        <v>46269</v>
      </c>
      <c r="I52" s="8">
        <v>46267</v>
      </c>
      <c r="J52" s="9" t="str">
        <f>+VLOOKUP(K52,Datos!$A:$C,3,FALSE)</f>
        <v>PETAPA</v>
      </c>
      <c r="K52" s="6">
        <v>88</v>
      </c>
      <c r="L52" s="9" t="str">
        <f>+VLOOKUP(K52,Datos!$A:$C,2,FALSE)</f>
        <v>ATANASIO TZUL</v>
      </c>
      <c r="M52" s="6">
        <v>90035164</v>
      </c>
      <c r="N52" s="9" t="str">
        <f>+VLOOKUP(M52,Datos!$F:$G,2,FALSE)</f>
        <v>Gelver Valentin Gonzalez Bravo</v>
      </c>
      <c r="O52" s="10">
        <f>IFERROR(IF(A52="SI",VLOOKUP(R52,Datos!$J$1:$K$50,2,FALSE)*C52,VLOOKUP(R52,Datos!$P$1:$T$50,2,FALSE)*C52),0)</f>
        <v>1632</v>
      </c>
      <c r="P52" s="6">
        <v>306713</v>
      </c>
      <c r="Q52" s="9" t="str">
        <f>+VLOOKUP(P52,Datos!$F:$G,2,FALSE)</f>
        <v>Luis Fernando Santos Aguilar</v>
      </c>
      <c r="R52" s="6" t="s">
        <v>29</v>
      </c>
      <c r="S52" s="6" t="s">
        <v>20</v>
      </c>
      <c r="T52" s="6">
        <f t="shared" si="0"/>
        <v>1</v>
      </c>
    </row>
    <row r="53" spans="1:20" hidden="1" x14ac:dyDescent="0.35">
      <c r="A53" s="6" t="s">
        <v>20</v>
      </c>
      <c r="B53" s="6" t="s">
        <v>21</v>
      </c>
      <c r="C53" s="6">
        <v>1</v>
      </c>
      <c r="D53" s="6" t="s">
        <v>22</v>
      </c>
      <c r="E53" s="6" t="s">
        <v>27</v>
      </c>
      <c r="F53" s="6">
        <v>4242</v>
      </c>
      <c r="G53" s="6" t="s">
        <v>88</v>
      </c>
      <c r="H53" s="8">
        <v>46269</v>
      </c>
      <c r="I53" s="8">
        <v>46268</v>
      </c>
      <c r="J53" s="9" t="str">
        <f>+VLOOKUP(K53,Datos!$A:$C,3,FALSE)</f>
        <v>PETAPA</v>
      </c>
      <c r="K53" s="6">
        <v>88</v>
      </c>
      <c r="L53" s="9" t="str">
        <f>+VLOOKUP(K53,Datos!$A:$C,2,FALSE)</f>
        <v>ATANASIO TZUL</v>
      </c>
      <c r="M53" s="6">
        <v>90035164</v>
      </c>
      <c r="N53" s="9" t="str">
        <f>+VLOOKUP(M53,Datos!$F:$G,2,FALSE)</f>
        <v>Gelver Valentin Gonzalez Bravo</v>
      </c>
      <c r="O53" s="10">
        <f>IFERROR(IF(A53="SI",VLOOKUP(R53,Datos!$J$1:$K$50,2,FALSE)*C53,VLOOKUP(R53,Datos!$P$1:$T$50,2,FALSE)*C53),0)</f>
        <v>816</v>
      </c>
      <c r="P53" s="6">
        <v>306713</v>
      </c>
      <c r="Q53" s="9" t="str">
        <f>+VLOOKUP(P53,Datos!$F:$G,2,FALSE)</f>
        <v>Luis Fernando Santos Aguilar</v>
      </c>
      <c r="R53" s="6" t="s">
        <v>29</v>
      </c>
      <c r="S53" s="6" t="s">
        <v>20</v>
      </c>
      <c r="T53" s="6">
        <f t="shared" si="0"/>
        <v>1</v>
      </c>
    </row>
    <row r="54" spans="1:20" hidden="1" x14ac:dyDescent="0.35">
      <c r="A54" s="6" t="s">
        <v>20</v>
      </c>
      <c r="B54" s="6" t="s">
        <v>26</v>
      </c>
      <c r="C54" s="6">
        <v>2</v>
      </c>
      <c r="D54" s="6" t="s">
        <v>22</v>
      </c>
      <c r="E54" s="6" t="s">
        <v>89</v>
      </c>
      <c r="F54" s="6">
        <v>1131</v>
      </c>
      <c r="G54" s="6" t="s">
        <v>90</v>
      </c>
      <c r="H54" s="8">
        <v>46269</v>
      </c>
      <c r="I54" s="8">
        <v>46270</v>
      </c>
      <c r="J54" s="9" t="str">
        <f>+VLOOKUP(K54,Datos!$A:$C,3,FALSE)</f>
        <v>NORTE</v>
      </c>
      <c r="K54" s="6">
        <v>195</v>
      </c>
      <c r="L54" s="9" t="str">
        <f>+VLOOKUP(K54,Datos!$A:$C,2,FALSE)</f>
        <v>TELEMAN</v>
      </c>
      <c r="M54" s="6">
        <v>310871</v>
      </c>
      <c r="N54" s="9" t="str">
        <f>+VLOOKUP(M54,Datos!$F:$G,2,FALSE)</f>
        <v>Yuri Vanessa Bac Caal De Gomez</v>
      </c>
      <c r="O54" s="10">
        <f>IFERROR(IF(A54="SI",VLOOKUP(R54,Datos!$J$1:$K$50,2,FALSE)*C54,VLOOKUP(R54,Datos!$P$1:$T$50,2,FALSE)*C54),0)</f>
        <v>1632</v>
      </c>
      <c r="P54" s="6">
        <v>315351</v>
      </c>
      <c r="Q54" s="9" t="str">
        <f>+VLOOKUP(P54,Datos!$F:$G,2,FALSE)</f>
        <v>Maria Vicenta Lopez Mancilla De De Del Valle</v>
      </c>
      <c r="R54" s="6" t="s">
        <v>29</v>
      </c>
      <c r="S54" s="6" t="s">
        <v>20</v>
      </c>
      <c r="T54" s="6">
        <f t="shared" si="0"/>
        <v>1</v>
      </c>
    </row>
    <row r="55" spans="1:20" hidden="1" x14ac:dyDescent="0.35">
      <c r="A55" s="6" t="s">
        <v>80</v>
      </c>
      <c r="B55" s="6" t="s">
        <v>21</v>
      </c>
      <c r="C55" s="6">
        <v>1</v>
      </c>
      <c r="D55" s="6" t="s">
        <v>22</v>
      </c>
      <c r="E55" s="6" t="s">
        <v>27</v>
      </c>
      <c r="F55" s="6">
        <v>4245</v>
      </c>
      <c r="G55" s="6" t="s">
        <v>91</v>
      </c>
      <c r="H55" s="8">
        <v>46269</v>
      </c>
      <c r="I55" s="8">
        <v>46268</v>
      </c>
      <c r="J55" s="9" t="str">
        <f>+VLOOKUP(K55,Datos!$A:$C,3,FALSE)</f>
        <v>ORIENTE</v>
      </c>
      <c r="K55" s="6">
        <v>132</v>
      </c>
      <c r="L55" s="9" t="str">
        <f>+VLOOKUP(K55,Datos!$A:$C,2,FALSE)</f>
        <v>ESQUIPULAS</v>
      </c>
      <c r="M55" s="6">
        <v>90080234</v>
      </c>
      <c r="N55" s="9" t="str">
        <f>+VLOOKUP(M55,Datos!$F:$G,2,FALSE)</f>
        <v xml:space="preserve">JENIFER SULEYDA RIVERA VELASQUEZ </v>
      </c>
      <c r="O55" s="10">
        <f>IFERROR(IF(A55="SI",VLOOKUP(R55,Datos!$J$1:$K$50,2,FALSE)*C55,VLOOKUP(R55,Datos!$P$1:$T$50,2,FALSE)*C55),0)</f>
        <v>888</v>
      </c>
      <c r="P55" s="6">
        <v>315321</v>
      </c>
      <c r="Q55" s="9" t="str">
        <f>+VLOOKUP(P55,Datos!$F:$G,2,FALSE)</f>
        <v>Reina Lorena Canán</v>
      </c>
      <c r="R55" s="6" t="s">
        <v>29</v>
      </c>
      <c r="S55" s="6" t="s">
        <v>20</v>
      </c>
      <c r="T55" s="6">
        <f t="shared" si="0"/>
        <v>1</v>
      </c>
    </row>
    <row r="56" spans="1:20" hidden="1" x14ac:dyDescent="0.35">
      <c r="A56" s="6" t="s">
        <v>20</v>
      </c>
      <c r="B56" s="6" t="s">
        <v>21</v>
      </c>
      <c r="C56" s="6">
        <v>1</v>
      </c>
      <c r="D56" s="6" t="s">
        <v>22</v>
      </c>
      <c r="E56" s="6" t="s">
        <v>27</v>
      </c>
      <c r="F56" s="6">
        <v>4250</v>
      </c>
      <c r="G56" s="6" t="s">
        <v>92</v>
      </c>
      <c r="H56" s="8">
        <v>46269</v>
      </c>
      <c r="I56" s="8">
        <v>46269</v>
      </c>
      <c r="J56" s="9" t="str">
        <f>+VLOOKUP(K56,Datos!$A:$C,3,FALSE)</f>
        <v>AMERICAS</v>
      </c>
      <c r="K56" s="6">
        <v>30</v>
      </c>
      <c r="L56" s="9" t="str">
        <f>+VLOOKUP(K56,Datos!$A:$C,2,FALSE)</f>
        <v>BARBERENA</v>
      </c>
      <c r="M56" s="6">
        <v>316060</v>
      </c>
      <c r="N56" s="9" t="str">
        <f>+VLOOKUP(M56,Datos!$F:$G,2,FALSE)</f>
        <v>Carlos Enrique Sosa Hernandez</v>
      </c>
      <c r="O56" s="10">
        <f>IFERROR(IF(A56="SI",VLOOKUP(R56,Datos!$J$1:$K$50,2,FALSE)*C56,VLOOKUP(R56,Datos!$P$1:$T$50,2,FALSE)*C56),0)</f>
        <v>816</v>
      </c>
      <c r="P56" s="6">
        <v>300594</v>
      </c>
      <c r="Q56" s="9" t="str">
        <f>+VLOOKUP(P56,Datos!$F:$G,2,FALSE)</f>
        <v>Rosaura Grisleny Perez Rios</v>
      </c>
      <c r="R56" s="6" t="s">
        <v>29</v>
      </c>
      <c r="S56" s="6" t="s">
        <v>20</v>
      </c>
      <c r="T56" s="6">
        <f t="shared" si="0"/>
        <v>2</v>
      </c>
    </row>
    <row r="57" spans="1:20" hidden="1" x14ac:dyDescent="0.35">
      <c r="A57" s="6" t="s">
        <v>20</v>
      </c>
      <c r="B57" s="6" t="s">
        <v>21</v>
      </c>
      <c r="C57" s="6">
        <v>1</v>
      </c>
      <c r="D57" s="6" t="s">
        <v>22</v>
      </c>
      <c r="E57" s="6" t="s">
        <v>27</v>
      </c>
      <c r="F57" s="6">
        <v>4251</v>
      </c>
      <c r="G57" s="6" t="s">
        <v>93</v>
      </c>
      <c r="H57" s="8">
        <v>46269</v>
      </c>
      <c r="I57" s="8">
        <v>46269</v>
      </c>
      <c r="J57" s="9" t="str">
        <f>+VLOOKUP(K57,Datos!$A:$C,3,FALSE)</f>
        <v>AMERICAS</v>
      </c>
      <c r="K57" s="6">
        <v>30</v>
      </c>
      <c r="L57" s="9" t="str">
        <f>+VLOOKUP(K57,Datos!$A:$C,2,FALSE)</f>
        <v>BARBERENA</v>
      </c>
      <c r="M57" s="6">
        <v>316060</v>
      </c>
      <c r="N57" s="9" t="str">
        <f>+VLOOKUP(M57,Datos!$F:$G,2,FALSE)</f>
        <v>Carlos Enrique Sosa Hernandez</v>
      </c>
      <c r="O57" s="10">
        <f>IFERROR(IF(A57="SI",VLOOKUP(R57,Datos!$J$1:$K$50,2,FALSE)*C57,VLOOKUP(R57,Datos!$P$1:$T$50,2,FALSE)*C57),0)</f>
        <v>816</v>
      </c>
      <c r="P57" s="6">
        <v>300594</v>
      </c>
      <c r="Q57" s="9" t="str">
        <f>+VLOOKUP(P57,Datos!$F:$G,2,FALSE)</f>
        <v>Rosaura Grisleny Perez Rios</v>
      </c>
      <c r="R57" s="6" t="s">
        <v>29</v>
      </c>
      <c r="S57" s="6" t="s">
        <v>20</v>
      </c>
      <c r="T57" s="6">
        <f t="shared" si="0"/>
        <v>1</v>
      </c>
    </row>
    <row r="58" spans="1:20" hidden="1" x14ac:dyDescent="0.35">
      <c r="A58" s="6" t="s">
        <v>20</v>
      </c>
      <c r="B58" s="6" t="s">
        <v>21</v>
      </c>
      <c r="C58" s="6">
        <v>1</v>
      </c>
      <c r="D58" s="6" t="s">
        <v>22</v>
      </c>
      <c r="E58" s="6" t="s">
        <v>27</v>
      </c>
      <c r="F58" s="6">
        <v>4259</v>
      </c>
      <c r="G58" s="6" t="s">
        <v>94</v>
      </c>
      <c r="H58" s="8">
        <v>46269</v>
      </c>
      <c r="I58" s="8">
        <v>46269</v>
      </c>
      <c r="J58" s="9" t="str">
        <f>+VLOOKUP(K58,Datos!$A:$C,3,FALSE)</f>
        <v>AMERICAS</v>
      </c>
      <c r="K58" s="6">
        <v>30</v>
      </c>
      <c r="L58" s="9" t="str">
        <f>+VLOOKUP(K58,Datos!$A:$C,2,FALSE)</f>
        <v>BARBERENA</v>
      </c>
      <c r="M58" s="6">
        <v>316060</v>
      </c>
      <c r="N58" s="9" t="str">
        <f>+VLOOKUP(M58,Datos!$F:$G,2,FALSE)</f>
        <v>Carlos Enrique Sosa Hernandez</v>
      </c>
      <c r="O58" s="10">
        <f>IFERROR(IF(A58="SI",VLOOKUP(R58,Datos!$J$1:$K$50,2,FALSE)*C58,VLOOKUP(R58,Datos!$P$1:$T$50,2,FALSE)*C58),0)</f>
        <v>816</v>
      </c>
      <c r="P58" s="6">
        <v>300594</v>
      </c>
      <c r="Q58" s="9" t="str">
        <f>+VLOOKUP(P58,Datos!$F:$G,2,FALSE)</f>
        <v>Rosaura Grisleny Perez Rios</v>
      </c>
      <c r="R58" s="6" t="s">
        <v>29</v>
      </c>
      <c r="S58" s="6" t="s">
        <v>20</v>
      </c>
      <c r="T58" s="6">
        <f t="shared" si="0"/>
        <v>1</v>
      </c>
    </row>
    <row r="59" spans="1:20" hidden="1" x14ac:dyDescent="0.35">
      <c r="A59" s="6" t="s">
        <v>20</v>
      </c>
      <c r="B59" s="6" t="s">
        <v>26</v>
      </c>
      <c r="C59" s="6">
        <v>1</v>
      </c>
      <c r="D59" s="6" t="s">
        <v>22</v>
      </c>
      <c r="E59" s="6" t="s">
        <v>27</v>
      </c>
      <c r="F59" s="6">
        <v>4253</v>
      </c>
      <c r="G59" s="6" t="s">
        <v>95</v>
      </c>
      <c r="H59" s="8">
        <v>46269</v>
      </c>
      <c r="I59" s="8">
        <v>46269</v>
      </c>
      <c r="J59" s="9" t="str">
        <f>+VLOOKUP(K59,Datos!$A:$C,3,FALSE)</f>
        <v>ORIENTE</v>
      </c>
      <c r="K59" s="6">
        <v>144</v>
      </c>
      <c r="L59" s="9" t="str">
        <f>+VLOOKUP(K59,Datos!$A:$C,2,FALSE)</f>
        <v>RIO DULCE 2</v>
      </c>
      <c r="M59" s="6">
        <v>90085227</v>
      </c>
      <c r="N59" s="9" t="str">
        <f>+VLOOKUP(M59,Datos!$F:$G,2,FALSE)</f>
        <v xml:space="preserve">SULMY MARITZA GARCIA LEÓN </v>
      </c>
      <c r="O59" s="10">
        <f>IFERROR(IF(A59="SI",VLOOKUP(R59,Datos!$J$1:$K$50,2,FALSE)*C59,VLOOKUP(R59,Datos!$P$1:$T$50,2,FALSE)*C59),0)</f>
        <v>816</v>
      </c>
      <c r="P59" s="6">
        <v>308244</v>
      </c>
      <c r="Q59" s="9" t="str">
        <f>+VLOOKUP(P59,Datos!$F:$G,2,FALSE)</f>
        <v>Karen Yamileth Rosales Alarcon</v>
      </c>
      <c r="R59" s="6" t="s">
        <v>29</v>
      </c>
      <c r="S59" s="6" t="s">
        <v>20</v>
      </c>
      <c r="T59" s="6">
        <f t="shared" si="0"/>
        <v>1</v>
      </c>
    </row>
    <row r="60" spans="1:20" hidden="1" x14ac:dyDescent="0.35">
      <c r="A60" s="6" t="s">
        <v>20</v>
      </c>
      <c r="B60" s="6" t="s">
        <v>21</v>
      </c>
      <c r="C60" s="6">
        <v>2</v>
      </c>
      <c r="D60" s="6" t="s">
        <v>22</v>
      </c>
      <c r="E60" s="6" t="s">
        <v>31</v>
      </c>
      <c r="F60" s="6">
        <v>1129</v>
      </c>
      <c r="G60" s="6" t="s">
        <v>96</v>
      </c>
      <c r="H60" s="8">
        <v>46269</v>
      </c>
      <c r="I60" s="8">
        <v>46269</v>
      </c>
      <c r="J60" s="9" t="str">
        <f>+VLOOKUP(K60,Datos!$A:$C,3,FALSE)</f>
        <v>NORTE</v>
      </c>
      <c r="K60" s="6">
        <v>162</v>
      </c>
      <c r="L60" s="9" t="str">
        <f>+VLOOKUP(K60,Datos!$A:$C,2,FALSE)</f>
        <v>CHISEC</v>
      </c>
      <c r="M60" s="6">
        <v>315497</v>
      </c>
      <c r="N60" s="9" t="str">
        <f>+VLOOKUP(M60,Datos!$F:$G,2,FALSE)</f>
        <v>Coc Coronado, Osman Ivan Boanerges</v>
      </c>
      <c r="O60" s="10">
        <f>IFERROR(IF(A60="SI",VLOOKUP(R60,Datos!$J$1:$K$50,2,FALSE)*C60,VLOOKUP(R60,Datos!$P$1:$T$50,2,FALSE)*C60),0)</f>
        <v>1632</v>
      </c>
      <c r="P60" s="6">
        <v>90082018</v>
      </c>
      <c r="Q60" s="9" t="str">
        <f>+VLOOKUP(P60,Datos!$F:$G,2,FALSE)</f>
        <v>PABLO ICO CO</v>
      </c>
      <c r="R60" s="6" t="s">
        <v>29</v>
      </c>
      <c r="S60" s="6" t="s">
        <v>20</v>
      </c>
      <c r="T60" s="6">
        <f t="shared" si="0"/>
        <v>1</v>
      </c>
    </row>
    <row r="61" spans="1:20" hidden="1" x14ac:dyDescent="0.35">
      <c r="A61" s="6" t="s">
        <v>20</v>
      </c>
      <c r="B61" s="6" t="s">
        <v>21</v>
      </c>
      <c r="C61" s="6">
        <v>1</v>
      </c>
      <c r="D61" s="6" t="s">
        <v>22</v>
      </c>
      <c r="E61" s="6" t="s">
        <v>27</v>
      </c>
      <c r="F61" s="6">
        <v>4274</v>
      </c>
      <c r="G61" s="6" t="s">
        <v>97</v>
      </c>
      <c r="H61" s="8">
        <v>46269</v>
      </c>
      <c r="I61" s="8">
        <v>46269</v>
      </c>
      <c r="J61" s="9" t="str">
        <f>+VLOOKUP(K61,Datos!$A:$C,3,FALSE)</f>
        <v>NORTE</v>
      </c>
      <c r="K61" s="6">
        <v>22</v>
      </c>
      <c r="L61" s="9" t="str">
        <f>+VLOOKUP(K61,Datos!$A:$C,2,FALSE)</f>
        <v>COBAN PLAZA DEL PARQUE</v>
      </c>
      <c r="M61" s="6">
        <v>90082305</v>
      </c>
      <c r="N61" s="9" t="str">
        <f>+VLOOKUP(M61,Datos!$F:$G,2,FALSE)</f>
        <v xml:space="preserve">JEFFERSON MAQUIN </v>
      </c>
      <c r="O61" s="10">
        <f>IFERROR(IF(A61="SI",VLOOKUP(R61,Datos!$J$1:$K$50,2,FALSE)*C61,VLOOKUP(R61,Datos!$P$1:$T$50,2,FALSE)*C61),0)</f>
        <v>816</v>
      </c>
      <c r="P61" s="6">
        <v>310872</v>
      </c>
      <c r="Q61" s="9" t="str">
        <f>+VLOOKUP(P61,Datos!$F:$G,2,FALSE)</f>
        <v>Loida Raquel Juarez Ixpata</v>
      </c>
      <c r="R61" s="6" t="s">
        <v>29</v>
      </c>
      <c r="S61" s="6" t="s">
        <v>20</v>
      </c>
      <c r="T61" s="6">
        <f t="shared" si="0"/>
        <v>1</v>
      </c>
    </row>
    <row r="62" spans="1:20" hidden="1" x14ac:dyDescent="0.35">
      <c r="A62" s="6" t="s">
        <v>20</v>
      </c>
      <c r="B62" s="6" t="s">
        <v>26</v>
      </c>
      <c r="C62" s="6">
        <v>2</v>
      </c>
      <c r="D62" s="6" t="s">
        <v>22</v>
      </c>
      <c r="E62" s="6" t="s">
        <v>31</v>
      </c>
      <c r="F62" s="6">
        <v>1127</v>
      </c>
      <c r="G62" s="6" t="s">
        <v>98</v>
      </c>
      <c r="H62" s="8">
        <v>46269</v>
      </c>
      <c r="I62" s="8">
        <v>46268</v>
      </c>
      <c r="J62" s="9" t="str">
        <f>+VLOOKUP(K62,Datos!$A:$C,3,FALSE)</f>
        <v>PETAPA</v>
      </c>
      <c r="K62" s="6">
        <v>86</v>
      </c>
      <c r="L62" s="9" t="str">
        <f>+VLOOKUP(K62,Datos!$A:$C,2,FALSE)</f>
        <v>EL FRUTAL</v>
      </c>
      <c r="M62" s="6">
        <v>90040768</v>
      </c>
      <c r="N62" s="9" t="str">
        <f>+VLOOKUP(M62,Datos!$F:$G,2,FALSE)</f>
        <v>Roxana Yanet Moreira Zacaris</v>
      </c>
      <c r="O62" s="10">
        <f>IFERROR(IF(A62="SI",VLOOKUP(R62,Datos!$J$1:$K$50,2,FALSE)*C62,VLOOKUP(R62,Datos!$P$1:$T$50,2,FALSE)*C62),0)</f>
        <v>2736</v>
      </c>
      <c r="P62" s="6">
        <v>313727</v>
      </c>
      <c r="Q62" s="9" t="str">
        <f>+VLOOKUP(P62,Datos!$F:$G,2,FALSE)</f>
        <v>Erwin Antonio Lorenzo Zamora</v>
      </c>
      <c r="R62" s="6" t="s">
        <v>25</v>
      </c>
      <c r="S62" s="6" t="s">
        <v>20</v>
      </c>
      <c r="T62" s="6">
        <f t="shared" si="0"/>
        <v>1</v>
      </c>
    </row>
    <row r="63" spans="1:20" hidden="1" x14ac:dyDescent="0.35">
      <c r="A63" s="6" t="s">
        <v>20</v>
      </c>
      <c r="B63" s="6" t="s">
        <v>26</v>
      </c>
      <c r="C63" s="6">
        <v>1</v>
      </c>
      <c r="D63" s="6" t="s">
        <v>22</v>
      </c>
      <c r="E63" s="6" t="s">
        <v>27</v>
      </c>
      <c r="F63" s="6">
        <v>4208</v>
      </c>
      <c r="G63" s="6" t="s">
        <v>99</v>
      </c>
      <c r="H63" s="8">
        <v>46269</v>
      </c>
      <c r="I63" s="8">
        <v>46267</v>
      </c>
      <c r="J63" s="9" t="str">
        <f>+VLOOKUP(K63,Datos!$A:$C,3,FALSE)</f>
        <v>NORTE</v>
      </c>
      <c r="K63" s="6">
        <v>188</v>
      </c>
      <c r="L63" s="9" t="str">
        <f>+VLOOKUP(K63,Datos!$A:$C,2,FALSE)</f>
        <v>SANTA ELENA CENTRO</v>
      </c>
      <c r="M63" s="6">
        <v>90064162</v>
      </c>
      <c r="N63" s="9" t="str">
        <f>+VLOOKUP(M63,Datos!$F:$G,2,FALSE)</f>
        <v>MARELYN JEANNTH BARRIOS ALFARO</v>
      </c>
      <c r="O63" s="10">
        <f>IFERROR(IF(A63="SI",VLOOKUP(R63,Datos!$J$1:$K$50,2,FALSE)*C63,VLOOKUP(R63,Datos!$P$1:$T$50,2,FALSE)*C63),0)</f>
        <v>816</v>
      </c>
      <c r="P63" s="6">
        <v>90070101</v>
      </c>
      <c r="Q63" s="9" t="str">
        <f>+VLOOKUP(P63,Datos!$F:$G,2,FALSE)</f>
        <v>Felipe De Jesus Hernandez Mejia</v>
      </c>
      <c r="R63" s="6" t="s">
        <v>29</v>
      </c>
      <c r="S63" s="6" t="s">
        <v>20</v>
      </c>
      <c r="T63" s="6">
        <f t="shared" si="0"/>
        <v>1</v>
      </c>
    </row>
    <row r="64" spans="1:20" hidden="1" x14ac:dyDescent="0.35">
      <c r="A64" s="6" t="s">
        <v>20</v>
      </c>
      <c r="B64" s="6" t="s">
        <v>26</v>
      </c>
      <c r="C64" s="6">
        <v>2</v>
      </c>
      <c r="D64" s="6" t="s">
        <v>22</v>
      </c>
      <c r="E64" s="6" t="s">
        <v>31</v>
      </c>
      <c r="F64" s="6">
        <v>1130</v>
      </c>
      <c r="G64" s="6" t="s">
        <v>100</v>
      </c>
      <c r="H64" s="8">
        <v>46269</v>
      </c>
      <c r="I64" s="8">
        <v>46269</v>
      </c>
      <c r="J64" s="9" t="str">
        <f>+VLOOKUP(K64,Datos!$A:$C,3,FALSE)</f>
        <v>NORTE</v>
      </c>
      <c r="K64" s="6">
        <v>188</v>
      </c>
      <c r="L64" s="9" t="str">
        <f>+VLOOKUP(K64,Datos!$A:$C,2,FALSE)</f>
        <v>SANTA ELENA CENTRO</v>
      </c>
      <c r="M64" s="6">
        <v>90064162</v>
      </c>
      <c r="N64" s="9" t="str">
        <f>+VLOOKUP(M64,Datos!$F:$G,2,FALSE)</f>
        <v>MARELYN JEANNTH BARRIOS ALFARO</v>
      </c>
      <c r="O64" s="10">
        <f>IFERROR(IF(A64="SI",VLOOKUP(R64,Datos!$J$1:$K$50,2,FALSE)*C64,VLOOKUP(R64,Datos!$P$1:$T$50,2,FALSE)*C64),0)</f>
        <v>1632</v>
      </c>
      <c r="P64" s="6">
        <v>90070101</v>
      </c>
      <c r="Q64" s="9" t="str">
        <f>+VLOOKUP(P64,Datos!$F:$G,2,FALSE)</f>
        <v>Felipe De Jesus Hernandez Mejia</v>
      </c>
      <c r="R64" s="6" t="s">
        <v>29</v>
      </c>
      <c r="S64" s="6" t="s">
        <v>20</v>
      </c>
      <c r="T64" s="6">
        <f t="shared" si="0"/>
        <v>1</v>
      </c>
    </row>
    <row r="65" spans="1:20" hidden="1" x14ac:dyDescent="0.35">
      <c r="A65" s="6" t="s">
        <v>20</v>
      </c>
      <c r="B65" s="6" t="s">
        <v>26</v>
      </c>
      <c r="C65" s="6">
        <v>1</v>
      </c>
      <c r="D65" s="6" t="s">
        <v>22</v>
      </c>
      <c r="E65" s="6" t="s">
        <v>27</v>
      </c>
      <c r="F65" s="6">
        <v>4283</v>
      </c>
      <c r="G65" s="6" t="s">
        <v>101</v>
      </c>
      <c r="H65" s="8">
        <v>46269</v>
      </c>
      <c r="I65" s="8">
        <v>46270</v>
      </c>
      <c r="J65" s="9" t="str">
        <f>+VLOOKUP(K65,Datos!$A:$C,3,FALSE)</f>
        <v>NORTE</v>
      </c>
      <c r="K65" s="6">
        <v>188</v>
      </c>
      <c r="L65" s="9" t="str">
        <f>+VLOOKUP(K65,Datos!$A:$C,2,FALSE)</f>
        <v>SANTA ELENA CENTRO</v>
      </c>
      <c r="M65" s="6">
        <v>90045957</v>
      </c>
      <c r="N65" s="9" t="str">
        <f>+VLOOKUP(M65,Datos!$F:$G,2,FALSE)</f>
        <v>Evelin Yadira Batz Choc    </v>
      </c>
      <c r="O65" s="10">
        <f>IFERROR(IF(A65="SI",VLOOKUP(R65,Datos!$J$1:$K$50,2,FALSE)*C65,VLOOKUP(R65,Datos!$P$1:$T$50,2,FALSE)*C65),0)</f>
        <v>5460</v>
      </c>
      <c r="P65" s="6">
        <v>90070101</v>
      </c>
      <c r="Q65" s="9" t="str">
        <f>+VLOOKUP(P65,Datos!$F:$G,2,FALSE)</f>
        <v>Felipe De Jesus Hernandez Mejia</v>
      </c>
      <c r="R65" s="6" t="s">
        <v>102</v>
      </c>
      <c r="S65" s="6" t="s">
        <v>20</v>
      </c>
      <c r="T65" s="6">
        <f t="shared" si="0"/>
        <v>1</v>
      </c>
    </row>
    <row r="66" spans="1:20" hidden="1" x14ac:dyDescent="0.35">
      <c r="A66" s="6" t="s">
        <v>20</v>
      </c>
      <c r="B66" s="6" t="s">
        <v>26</v>
      </c>
      <c r="C66" s="6">
        <v>2</v>
      </c>
      <c r="D66" s="6" t="s">
        <v>22</v>
      </c>
      <c r="E66" s="6" t="s">
        <v>31</v>
      </c>
      <c r="F66" s="6">
        <v>1137</v>
      </c>
      <c r="G66" s="6" t="s">
        <v>103</v>
      </c>
      <c r="H66" s="8">
        <v>46269</v>
      </c>
      <c r="I66" s="8">
        <v>46269</v>
      </c>
      <c r="J66" s="9" t="str">
        <f>+VLOOKUP(K66,Datos!$A:$C,3,FALSE)</f>
        <v>NORTE</v>
      </c>
      <c r="K66" s="6">
        <v>188</v>
      </c>
      <c r="L66" s="9" t="str">
        <f>+VLOOKUP(K66,Datos!$A:$C,2,FALSE)</f>
        <v>SANTA ELENA CENTRO</v>
      </c>
      <c r="M66" s="6">
        <v>90045957</v>
      </c>
      <c r="N66" s="9" t="str">
        <f>+VLOOKUP(M66,Datos!$F:$G,2,FALSE)</f>
        <v>Evelin Yadira Batz Choc    </v>
      </c>
      <c r="O66" s="10">
        <f>IFERROR(IF(A66="SI",VLOOKUP(R66,Datos!$J$1:$K$50,2,FALSE)*C66,VLOOKUP(R66,Datos!$P$1:$T$50,2,FALSE)*C66),0)</f>
        <v>1632</v>
      </c>
      <c r="P66" s="6">
        <v>90070101</v>
      </c>
      <c r="Q66" s="9" t="str">
        <f>+VLOOKUP(P66,Datos!$F:$G,2,FALSE)</f>
        <v>Felipe De Jesus Hernandez Mejia</v>
      </c>
      <c r="R66" s="6" t="s">
        <v>29</v>
      </c>
      <c r="S66" s="6" t="s">
        <v>20</v>
      </c>
      <c r="T66" s="6">
        <f t="shared" ref="T66:T101" si="1">+COUNTIFS($G$2:$G$623,G66)</f>
        <v>1</v>
      </c>
    </row>
    <row r="67" spans="1:20" hidden="1" x14ac:dyDescent="0.35">
      <c r="A67" s="6" t="s">
        <v>20</v>
      </c>
      <c r="B67" s="6" t="s">
        <v>26</v>
      </c>
      <c r="C67" s="6">
        <v>1</v>
      </c>
      <c r="D67" s="6" t="s">
        <v>22</v>
      </c>
      <c r="E67" s="6" t="s">
        <v>27</v>
      </c>
      <c r="F67" s="6">
        <v>4292</v>
      </c>
      <c r="G67" s="6" t="s">
        <v>104</v>
      </c>
      <c r="H67" s="7">
        <v>46270</v>
      </c>
      <c r="I67" s="8">
        <v>46270</v>
      </c>
      <c r="J67" s="9" t="str">
        <f>+VLOOKUP(K67,Datos!$A:$C,3,FALSE)</f>
        <v>AMERICAS</v>
      </c>
      <c r="K67" s="6">
        <v>346</v>
      </c>
      <c r="L67" s="9" t="str">
        <f>+VLOOKUP(K67,Datos!$A:$C,2,FALSE)</f>
        <v>PLAZA MADERO PROCERES</v>
      </c>
      <c r="M67" s="6">
        <v>90063198</v>
      </c>
      <c r="N67" s="9" t="str">
        <f>+VLOOKUP(M67,Datos!$F:$G,2,FALSE)</f>
        <v>KARLA ANGELICA PAN CHOCOOJ</v>
      </c>
      <c r="O67" s="10">
        <f>IFERROR(IF(A67="SI",VLOOKUP(R67,Datos!$J$1:$K$50,2,FALSE)*C67,VLOOKUP(R67,Datos!$P$1:$T$50,2,FALSE)*C67),0)</f>
        <v>816</v>
      </c>
      <c r="P67" s="6">
        <v>316193</v>
      </c>
      <c r="Q67" s="9" t="str">
        <f>+VLOOKUP(P67,Datos!$F:$G,2,FALSE)</f>
        <v>Maria De Lourdes Leb Nij</v>
      </c>
      <c r="R67" s="6" t="s">
        <v>29</v>
      </c>
      <c r="S67" s="6" t="s">
        <v>20</v>
      </c>
      <c r="T67" s="6">
        <f t="shared" si="1"/>
        <v>1</v>
      </c>
    </row>
    <row r="68" spans="1:20" hidden="1" x14ac:dyDescent="0.35">
      <c r="A68" s="6" t="s">
        <v>20</v>
      </c>
      <c r="B68" s="6" t="s">
        <v>21</v>
      </c>
      <c r="C68" s="6">
        <v>1</v>
      </c>
      <c r="D68" s="6" t="s">
        <v>22</v>
      </c>
      <c r="E68" s="6" t="s">
        <v>27</v>
      </c>
      <c r="F68" s="6">
        <v>4281</v>
      </c>
      <c r="G68" s="6" t="s">
        <v>105</v>
      </c>
      <c r="H68" s="8">
        <v>46270</v>
      </c>
      <c r="I68" s="8">
        <v>46270</v>
      </c>
      <c r="J68" s="9" t="str">
        <f>+VLOOKUP(K68,Datos!$A:$C,3,FALSE)</f>
        <v>ORIENTE</v>
      </c>
      <c r="K68" s="6">
        <v>182</v>
      </c>
      <c r="L68" s="9" t="str">
        <f>+VLOOKUP(K68,Datos!$A:$C,2,FALSE)</f>
        <v>ASUNCION MITA</v>
      </c>
      <c r="M68" s="6">
        <v>90009270</v>
      </c>
      <c r="N68" s="9" t="str">
        <f>+VLOOKUP(M68,Datos!$F:$G,2,FALSE)</f>
        <v xml:space="preserve">Laura Yessenia Trabanino Interiano </v>
      </c>
      <c r="O68" s="10">
        <f>IFERROR(IF(A68="SI",VLOOKUP(R68,Datos!$J$1:$K$50,2,FALSE)*C68,VLOOKUP(R68,Datos!$P$1:$T$50,2,FALSE)*C68),0)</f>
        <v>1368</v>
      </c>
      <c r="P68" s="6">
        <v>305070</v>
      </c>
      <c r="Q68" s="9" t="str">
        <f>+VLOOKUP(P68,Datos!$F:$G,2,FALSE)</f>
        <v>Beverly Walesca Morales Ibarra</v>
      </c>
      <c r="R68" s="6" t="s">
        <v>25</v>
      </c>
      <c r="S68" s="6" t="s">
        <v>20</v>
      </c>
      <c r="T68" s="6">
        <f t="shared" si="1"/>
        <v>1</v>
      </c>
    </row>
    <row r="69" spans="1:20" hidden="1" x14ac:dyDescent="0.35">
      <c r="A69" s="6" t="s">
        <v>20</v>
      </c>
      <c r="B69" s="6" t="s">
        <v>21</v>
      </c>
      <c r="C69" s="6">
        <v>2</v>
      </c>
      <c r="D69" s="6" t="s">
        <v>22</v>
      </c>
      <c r="E69" s="6" t="s">
        <v>31</v>
      </c>
      <c r="F69" s="6">
        <v>1145</v>
      </c>
      <c r="G69" s="6" t="s">
        <v>106</v>
      </c>
      <c r="H69" s="8">
        <v>46270</v>
      </c>
      <c r="I69" s="8">
        <v>46270</v>
      </c>
      <c r="J69" s="9" t="str">
        <f>+VLOOKUP(K69,Datos!$A:$C,3,FALSE)</f>
        <v>NORTE</v>
      </c>
      <c r="K69" s="6">
        <v>80</v>
      </c>
      <c r="L69" s="9" t="str">
        <f>+VLOOKUP(K69,Datos!$A:$C,2,FALSE)</f>
        <v>TACTIC</v>
      </c>
      <c r="M69" s="6">
        <v>315859</v>
      </c>
      <c r="N69" s="9" t="str">
        <f>+VLOOKUP(M69,Datos!$F:$G,2,FALSE)</f>
        <v>Claudia Roxana Beb Ac</v>
      </c>
      <c r="O69" s="10">
        <f>IFERROR(IF(A69="SI",VLOOKUP(R69,Datos!$J$1:$K$50,2,FALSE)*C69,VLOOKUP(R69,Datos!$P$1:$T$50,2,FALSE)*C69),0)</f>
        <v>2736</v>
      </c>
      <c r="P69" s="6">
        <v>309528</v>
      </c>
      <c r="Q69" s="9" t="str">
        <f>+VLOOKUP(P69,Datos!$F:$G,2,FALSE)</f>
        <v>Heydi Zuleyma Gue Cac</v>
      </c>
      <c r="R69" s="6" t="s">
        <v>25</v>
      </c>
      <c r="S69" s="6" t="s">
        <v>20</v>
      </c>
      <c r="T69" s="6">
        <f t="shared" si="1"/>
        <v>1</v>
      </c>
    </row>
    <row r="70" spans="1:20" hidden="1" x14ac:dyDescent="0.35">
      <c r="A70" s="6" t="s">
        <v>20</v>
      </c>
      <c r="B70" s="6" t="s">
        <v>26</v>
      </c>
      <c r="C70" s="6">
        <v>1</v>
      </c>
      <c r="D70" s="6" t="s">
        <v>22</v>
      </c>
      <c r="E70" s="6" t="s">
        <v>27</v>
      </c>
      <c r="F70" s="6">
        <v>4291</v>
      </c>
      <c r="G70" s="6" t="s">
        <v>107</v>
      </c>
      <c r="H70" s="8">
        <v>46270</v>
      </c>
      <c r="I70" s="8">
        <v>46270</v>
      </c>
      <c r="J70" s="9" t="str">
        <f>+VLOOKUP(K70,Datos!$A:$C,3,FALSE)</f>
        <v>ORIENTE</v>
      </c>
      <c r="K70" s="6">
        <v>180</v>
      </c>
      <c r="L70" s="9" t="str">
        <f>+VLOOKUP(K70,Datos!$A:$C,2,FALSE)</f>
        <v>MONJAS</v>
      </c>
      <c r="M70" s="6">
        <v>90040241</v>
      </c>
      <c r="N70" s="9" t="str">
        <f>+VLOOKUP(M70,Datos!$F:$G,2,FALSE)</f>
        <v>Jairo Alessandro Urbina Santiago</v>
      </c>
      <c r="O70" s="10">
        <f>IFERROR(IF(A70="SI",VLOOKUP(R70,Datos!$J$1:$K$50,2,FALSE)*C70,VLOOKUP(R70,Datos!$P$1:$T$50,2,FALSE)*C70),0)</f>
        <v>2736</v>
      </c>
      <c r="P70" s="6">
        <v>315038</v>
      </c>
      <c r="Q70" s="9" t="str">
        <f>+VLOOKUP(P70,Datos!$F:$G,2,FALSE)</f>
        <v>Flor Sylvestre Orellana Gonzalez</v>
      </c>
      <c r="R70" s="6" t="s">
        <v>73</v>
      </c>
      <c r="S70" s="6" t="s">
        <v>20</v>
      </c>
      <c r="T70" s="6">
        <f t="shared" si="1"/>
        <v>1</v>
      </c>
    </row>
    <row r="71" spans="1:20" hidden="1" x14ac:dyDescent="0.35">
      <c r="A71" s="6" t="s">
        <v>20</v>
      </c>
      <c r="B71" s="6" t="s">
        <v>21</v>
      </c>
      <c r="C71" s="6">
        <v>3</v>
      </c>
      <c r="D71" s="6" t="s">
        <v>22</v>
      </c>
      <c r="E71" s="6" t="s">
        <v>53</v>
      </c>
      <c r="F71" s="6">
        <v>605</v>
      </c>
      <c r="G71" s="6" t="s">
        <v>108</v>
      </c>
      <c r="H71" s="8">
        <v>46270</v>
      </c>
      <c r="I71" s="8">
        <v>46270</v>
      </c>
      <c r="J71" s="9" t="str">
        <f>+VLOOKUP(K71,Datos!$A:$C,3,FALSE)</f>
        <v>NORTE</v>
      </c>
      <c r="K71" s="6">
        <v>194</v>
      </c>
      <c r="L71" s="9" t="str">
        <f>+VLOOKUP(K71,Datos!$A:$C,2,FALSE)</f>
        <v>PLAYA GRANDE</v>
      </c>
      <c r="M71" s="6">
        <v>314945</v>
      </c>
      <c r="N71" s="9" t="str">
        <f>+VLOOKUP(M71,Datos!$F:$G,2,FALSE)</f>
        <v>Rolando Esau Solis Santos</v>
      </c>
      <c r="O71" s="10">
        <f>IFERROR(IF(A71="SI",VLOOKUP(R71,Datos!$J$1:$K$50,2,FALSE)*C71,VLOOKUP(R71,Datos!$P$1:$T$50,2,FALSE)*C71),0)</f>
        <v>16380</v>
      </c>
      <c r="P71" s="6">
        <v>311223</v>
      </c>
      <c r="Q71" s="9" t="str">
        <f>+VLOOKUP(P71,Datos!$F:$G,2,FALSE)</f>
        <v>Juan Francisco Gudiel Castillo</v>
      </c>
      <c r="R71" s="6" t="s">
        <v>102</v>
      </c>
      <c r="S71" s="6" t="s">
        <v>20</v>
      </c>
      <c r="T71" s="6">
        <f t="shared" si="1"/>
        <v>1</v>
      </c>
    </row>
    <row r="72" spans="1:20" hidden="1" x14ac:dyDescent="0.35">
      <c r="A72" s="6" t="s">
        <v>20</v>
      </c>
      <c r="B72" s="6" t="s">
        <v>21</v>
      </c>
      <c r="C72" s="6">
        <v>4</v>
      </c>
      <c r="D72" s="6" t="s">
        <v>22</v>
      </c>
      <c r="E72" s="6" t="s">
        <v>23</v>
      </c>
      <c r="F72" s="6">
        <v>664</v>
      </c>
      <c r="G72" s="6" t="s">
        <v>109</v>
      </c>
      <c r="H72" s="8">
        <v>46270</v>
      </c>
      <c r="I72" s="8">
        <v>46270</v>
      </c>
      <c r="J72" s="9" t="str">
        <f>+VLOOKUP(K72,Datos!$A:$C,3,FALSE)</f>
        <v>AMERICAS</v>
      </c>
      <c r="K72" s="6">
        <v>30</v>
      </c>
      <c r="L72" s="9" t="str">
        <f>+VLOOKUP(K72,Datos!$A:$C,2,FALSE)</f>
        <v>BARBERENA</v>
      </c>
      <c r="M72" s="6">
        <v>307706</v>
      </c>
      <c r="N72" s="9" t="str">
        <f>+VLOOKUP(M72,Datos!$F:$G,2,FALSE)</f>
        <v>Monica Guadalupe Garcia Rivera</v>
      </c>
      <c r="O72" s="10">
        <f>IFERROR(IF(A72="SI",VLOOKUP(R72,Datos!$J$1:$K$50,2,FALSE)*C72,VLOOKUP(R72,Datos!$P$1:$T$50,2,FALSE)*C72),0)</f>
        <v>3264</v>
      </c>
      <c r="P72" s="6">
        <v>300594</v>
      </c>
      <c r="Q72" s="9" t="str">
        <f>+VLOOKUP(P72,Datos!$F:$G,2,FALSE)</f>
        <v>Rosaura Grisleny Perez Rios</v>
      </c>
      <c r="R72" s="6" t="s">
        <v>29</v>
      </c>
      <c r="S72" s="6" t="s">
        <v>20</v>
      </c>
      <c r="T72" s="6">
        <f t="shared" si="1"/>
        <v>1</v>
      </c>
    </row>
    <row r="73" spans="1:20" hidden="1" x14ac:dyDescent="0.35">
      <c r="A73" s="6" t="s">
        <v>20</v>
      </c>
      <c r="B73" s="6" t="s">
        <v>26</v>
      </c>
      <c r="C73" s="6">
        <v>2</v>
      </c>
      <c r="D73" s="6" t="s">
        <v>22</v>
      </c>
      <c r="E73" s="6" t="s">
        <v>31</v>
      </c>
      <c r="F73" s="6">
        <v>1152</v>
      </c>
      <c r="G73" s="6" t="s">
        <v>110</v>
      </c>
      <c r="H73" s="8">
        <v>46270</v>
      </c>
      <c r="I73" s="8">
        <v>46270</v>
      </c>
      <c r="J73" s="9" t="str">
        <f>+VLOOKUP(K73,Datos!$A:$C,3,FALSE)</f>
        <v>PETAPA</v>
      </c>
      <c r="K73" s="6">
        <v>112</v>
      </c>
      <c r="L73" s="9" t="str">
        <f>+VLOOKUP(K73,Datos!$A:$C,2,FALSE)</f>
        <v>PACIFIC CENTER</v>
      </c>
      <c r="M73" s="6">
        <v>90080778</v>
      </c>
      <c r="N73" s="9" t="str">
        <f>+VLOOKUP(M73,Datos!$F:$G,2,FALSE)</f>
        <v>EMILY ANDREA DE LEON  LOPEZ</v>
      </c>
      <c r="O73" s="10">
        <f>IFERROR(IF(A73="SI",VLOOKUP(R73,Datos!$J$1:$K$50,2,FALSE)*C73,VLOOKUP(R73,Datos!$P$1:$T$50,2,FALSE)*C73),0)</f>
        <v>1632</v>
      </c>
      <c r="P73" s="6">
        <v>309744</v>
      </c>
      <c r="Q73" s="9" t="str">
        <f>+VLOOKUP(P73,Datos!$F:$G,2,FALSE)</f>
        <v>Odalis Ruby Garcia Siquina</v>
      </c>
      <c r="R73" s="6" t="s">
        <v>29</v>
      </c>
      <c r="S73" s="6" t="s">
        <v>20</v>
      </c>
      <c r="T73" s="6">
        <f t="shared" si="1"/>
        <v>1</v>
      </c>
    </row>
    <row r="74" spans="1:20" hidden="1" x14ac:dyDescent="0.35">
      <c r="A74" s="6" t="s">
        <v>20</v>
      </c>
      <c r="B74" s="6" t="s">
        <v>21</v>
      </c>
      <c r="C74" s="6">
        <v>4</v>
      </c>
      <c r="D74" s="6" t="s">
        <v>22</v>
      </c>
      <c r="E74" s="6" t="s">
        <v>23</v>
      </c>
      <c r="F74" s="6">
        <v>665</v>
      </c>
      <c r="G74" s="6" t="s">
        <v>111</v>
      </c>
      <c r="H74" s="8">
        <v>46270</v>
      </c>
      <c r="I74" s="8">
        <v>46270</v>
      </c>
      <c r="J74" s="9" t="str">
        <f>+VLOOKUP(K74,Datos!$A:$C,3,FALSE)</f>
        <v>ORIENTE</v>
      </c>
      <c r="K74" s="6">
        <v>228</v>
      </c>
      <c r="L74" s="9" t="str">
        <f>+VLOOKUP(K74,Datos!$A:$C,2,FALSE)</f>
        <v>PRADERA CHIQUIMULA</v>
      </c>
      <c r="M74" s="6">
        <v>314831</v>
      </c>
      <c r="N74" s="9" t="str">
        <f>+VLOOKUP(M74,Datos!$F:$G,2,FALSE)</f>
        <v>Karla Paola Solorzano Monroy</v>
      </c>
      <c r="O74" s="10">
        <f>IFERROR(IF(A74="SI",VLOOKUP(R74,Datos!$J$1:$K$50,2,FALSE)*C74,VLOOKUP(R74,Datos!$P$1:$T$50,2,FALSE)*C74),0)</f>
        <v>3264</v>
      </c>
      <c r="P74" s="6">
        <v>90040440</v>
      </c>
      <c r="Q74" s="9" t="str">
        <f>+VLOOKUP(P74,Datos!$F:$G,2,FALSE)</f>
        <v>Ericka Carolina Diaz Hernandez</v>
      </c>
      <c r="R74" s="6" t="s">
        <v>29</v>
      </c>
      <c r="S74" s="6" t="s">
        <v>20</v>
      </c>
      <c r="T74" s="6">
        <f t="shared" si="1"/>
        <v>1</v>
      </c>
    </row>
    <row r="75" spans="1:20" hidden="1" x14ac:dyDescent="0.35">
      <c r="A75" s="6" t="s">
        <v>20</v>
      </c>
      <c r="B75" s="6" t="s">
        <v>26</v>
      </c>
      <c r="C75" s="6">
        <v>1</v>
      </c>
      <c r="D75" s="6" t="s">
        <v>22</v>
      </c>
      <c r="E75" s="6" t="s">
        <v>112</v>
      </c>
      <c r="F75" s="6">
        <v>2582</v>
      </c>
      <c r="G75" s="6" t="s">
        <v>113</v>
      </c>
      <c r="H75" s="8">
        <v>46270</v>
      </c>
      <c r="I75" s="8">
        <v>46270</v>
      </c>
      <c r="J75" s="9" t="str">
        <f>+VLOOKUP(K75,Datos!$A:$C,3,FALSE)</f>
        <v>NORTE</v>
      </c>
      <c r="K75" s="6">
        <v>38</v>
      </c>
      <c r="L75" s="9" t="str">
        <f>+VLOOKUP(K75,Datos!$A:$C,2,FALSE)</f>
        <v>CARCHA</v>
      </c>
      <c r="M75" s="6">
        <v>90063386</v>
      </c>
      <c r="N75" s="9" t="str">
        <f>+VLOOKUP(M75,Datos!$F:$G,2,FALSE)</f>
        <v>NERY AYU</v>
      </c>
      <c r="O75" s="10">
        <f>IFERROR(IF(A75="SI",VLOOKUP(R75,Datos!$J$1:$K$50,2,FALSE)*C75,VLOOKUP(R75,Datos!$P$1:$T$50,2,FALSE)*C75),0)</f>
        <v>1008</v>
      </c>
      <c r="P75" s="6">
        <v>315962</v>
      </c>
      <c r="Q75" s="9" t="str">
        <f>+VLOOKUP(P75,Datos!$F:$G,2,FALSE)</f>
        <v>Jennifer Celeste Delgado Garcia</v>
      </c>
      <c r="R75" s="6" t="s">
        <v>114</v>
      </c>
      <c r="S75" s="6" t="s">
        <v>20</v>
      </c>
      <c r="T75" s="6">
        <f t="shared" si="1"/>
        <v>1</v>
      </c>
    </row>
    <row r="76" spans="1:20" hidden="1" x14ac:dyDescent="0.35">
      <c r="A76" s="6" t="s">
        <v>20</v>
      </c>
      <c r="B76" s="6" t="s">
        <v>21</v>
      </c>
      <c r="C76" s="6">
        <v>4</v>
      </c>
      <c r="D76" s="6" t="s">
        <v>22</v>
      </c>
      <c r="E76" s="6" t="s">
        <v>115</v>
      </c>
      <c r="F76" s="6">
        <v>176</v>
      </c>
      <c r="G76" s="6" t="s">
        <v>116</v>
      </c>
      <c r="H76" s="7">
        <v>46271</v>
      </c>
      <c r="I76" s="8">
        <v>46270</v>
      </c>
      <c r="J76" s="9" t="str">
        <f>+VLOOKUP(K76,Datos!$A:$C,3,FALSE)</f>
        <v>ORIENTE</v>
      </c>
      <c r="K76" s="6">
        <v>159</v>
      </c>
      <c r="L76" s="9" t="str">
        <f>+VLOOKUP(K76,Datos!$A:$C,2,FALSE)</f>
        <v>PRADERA PUERTO BARRIOS</v>
      </c>
      <c r="M76" s="6">
        <v>90083465</v>
      </c>
      <c r="N76" s="9" t="str">
        <f>+VLOOKUP(M76,Datos!$F:$G,2,FALSE)</f>
        <v>ROBINSON APOLONIO VARGAS RODRIGUEZ</v>
      </c>
      <c r="O76" s="10">
        <f>IFERROR(IF(A76="SI",VLOOKUP(R76,Datos!$J$1:$K$50,2,FALSE)*C76,VLOOKUP(R76,Datos!$P$1:$T$50,2,FALSE)*C76),0)</f>
        <v>4368</v>
      </c>
      <c r="P76" s="6">
        <v>311692</v>
      </c>
      <c r="Q76" s="9" t="str">
        <f>+VLOOKUP(P76,Datos!$F:$G,2,FALSE)</f>
        <v>Cesia Paola Marroquin Sanchez</v>
      </c>
      <c r="R76" s="6" t="s">
        <v>117</v>
      </c>
      <c r="S76" s="6" t="s">
        <v>20</v>
      </c>
      <c r="T76" s="6">
        <f t="shared" si="1"/>
        <v>1</v>
      </c>
    </row>
    <row r="77" spans="1:20" hidden="1" x14ac:dyDescent="0.35">
      <c r="A77" s="6" t="s">
        <v>20</v>
      </c>
      <c r="B77" s="6" t="s">
        <v>21</v>
      </c>
      <c r="C77" s="6">
        <v>4</v>
      </c>
      <c r="D77" s="6" t="s">
        <v>22</v>
      </c>
      <c r="E77" s="6" t="s">
        <v>115</v>
      </c>
      <c r="F77" s="6">
        <v>178</v>
      </c>
      <c r="G77" s="6" t="s">
        <v>118</v>
      </c>
      <c r="H77" s="8">
        <v>46271</v>
      </c>
      <c r="I77" s="8">
        <v>46270</v>
      </c>
      <c r="J77" s="9" t="str">
        <f>+VLOOKUP(K77,Datos!$A:$C,3,FALSE)</f>
        <v>ORIENTE</v>
      </c>
      <c r="K77" s="6">
        <v>159</v>
      </c>
      <c r="L77" s="9" t="str">
        <f>+VLOOKUP(K77,Datos!$A:$C,2,FALSE)</f>
        <v>PRADERA PUERTO BARRIOS</v>
      </c>
      <c r="M77" s="6">
        <v>90082959</v>
      </c>
      <c r="N77" s="9" t="str">
        <f>+VLOOKUP(M77,Datos!$F:$G,2,FALSE)</f>
        <v>OLGA ESPERANZA SOLIS MENDEZ</v>
      </c>
      <c r="O77" s="10">
        <f>IFERROR(IF(A77="SI",VLOOKUP(R77,Datos!$J$1:$K$50,2,FALSE)*C77,VLOOKUP(R77,Datos!$P$1:$T$50,2,FALSE)*C77),0)</f>
        <v>4368</v>
      </c>
      <c r="P77" s="6">
        <v>311692</v>
      </c>
      <c r="Q77" s="9" t="str">
        <f>+VLOOKUP(P77,Datos!$F:$G,2,FALSE)</f>
        <v>Cesia Paola Marroquin Sanchez</v>
      </c>
      <c r="R77" s="6" t="s">
        <v>117</v>
      </c>
      <c r="S77" s="6" t="s">
        <v>20</v>
      </c>
      <c r="T77" s="6">
        <f t="shared" si="1"/>
        <v>1</v>
      </c>
    </row>
    <row r="78" spans="1:20" hidden="1" x14ac:dyDescent="0.35">
      <c r="A78" s="6" t="s">
        <v>20</v>
      </c>
      <c r="B78" s="6" t="s">
        <v>21</v>
      </c>
      <c r="C78" s="6">
        <v>2</v>
      </c>
      <c r="D78" s="6" t="s">
        <v>22</v>
      </c>
      <c r="E78" s="6" t="s">
        <v>31</v>
      </c>
      <c r="F78" s="6">
        <v>1140</v>
      </c>
      <c r="G78" s="6" t="s">
        <v>119</v>
      </c>
      <c r="H78" s="8">
        <v>46271</v>
      </c>
      <c r="I78" s="8">
        <v>46270</v>
      </c>
      <c r="J78" s="9" t="str">
        <f>+VLOOKUP(K78,Datos!$A:$C,3,FALSE)</f>
        <v>ORIENTE</v>
      </c>
      <c r="K78" s="6">
        <v>159</v>
      </c>
      <c r="L78" s="9" t="str">
        <f>+VLOOKUP(K78,Datos!$A:$C,2,FALSE)</f>
        <v>PRADERA PUERTO BARRIOS</v>
      </c>
      <c r="M78" s="6">
        <v>90082959</v>
      </c>
      <c r="N78" s="9" t="str">
        <f>+VLOOKUP(M78,Datos!$F:$G,2,FALSE)</f>
        <v>OLGA ESPERANZA SOLIS MENDEZ</v>
      </c>
      <c r="O78" s="10">
        <f>IFERROR(IF(A78="SI",VLOOKUP(R78,Datos!$J$1:$K$50,2,FALSE)*C78,VLOOKUP(R78,Datos!$P$1:$T$50,2,FALSE)*C78),0)</f>
        <v>1632</v>
      </c>
      <c r="P78" s="6">
        <v>311692</v>
      </c>
      <c r="Q78" s="9" t="str">
        <f>+VLOOKUP(P78,Datos!$F:$G,2,FALSE)</f>
        <v>Cesia Paola Marroquin Sanchez</v>
      </c>
      <c r="R78" s="6" t="s">
        <v>29</v>
      </c>
      <c r="S78" s="6" t="s">
        <v>20</v>
      </c>
      <c r="T78" s="6">
        <f t="shared" si="1"/>
        <v>1</v>
      </c>
    </row>
    <row r="79" spans="1:20" hidden="1" x14ac:dyDescent="0.35">
      <c r="A79" s="6" t="s">
        <v>20</v>
      </c>
      <c r="B79" s="6" t="s">
        <v>26</v>
      </c>
      <c r="C79" s="6">
        <v>1</v>
      </c>
      <c r="D79" s="6" t="s">
        <v>22</v>
      </c>
      <c r="E79" s="6" t="s">
        <v>27</v>
      </c>
      <c r="F79" s="6">
        <v>4277</v>
      </c>
      <c r="G79" s="6" t="s">
        <v>120</v>
      </c>
      <c r="H79" s="8">
        <v>46271</v>
      </c>
      <c r="I79" s="8">
        <v>46269</v>
      </c>
      <c r="J79" s="9" t="str">
        <f>+VLOOKUP(K79,Datos!$A:$C,3,FALSE)</f>
        <v>AMERICAS</v>
      </c>
      <c r="K79" s="6">
        <v>92</v>
      </c>
      <c r="L79" s="9" t="str">
        <f>+VLOOKUP(K79,Datos!$A:$C,2,FALSE)</f>
        <v>CONDADO CONCEPCION</v>
      </c>
      <c r="M79" s="6">
        <v>314619</v>
      </c>
      <c r="N79" s="9" t="str">
        <f>+VLOOKUP(M79,Datos!$F:$G,2,FALSE)</f>
        <v>Glenda Isabel Perez Velasquez</v>
      </c>
      <c r="O79" s="10">
        <f>IFERROR(IF(A79="SI",VLOOKUP(R79,Datos!$J$1:$K$50,2,FALSE)*C79,VLOOKUP(R79,Datos!$P$1:$T$50,2,FALSE)*C79),0)</f>
        <v>816</v>
      </c>
      <c r="P79" s="6">
        <v>315128</v>
      </c>
      <c r="Q79" s="9" t="str">
        <f>+VLOOKUP(P79,Datos!$F:$G,2,FALSE)</f>
        <v>Maria Eugenia Alvarez Lopez</v>
      </c>
      <c r="R79" s="6" t="s">
        <v>29</v>
      </c>
      <c r="S79" s="6" t="s">
        <v>20</v>
      </c>
      <c r="T79" s="6">
        <f t="shared" si="1"/>
        <v>1</v>
      </c>
    </row>
    <row r="80" spans="1:20" hidden="1" x14ac:dyDescent="0.35">
      <c r="A80" s="6" t="s">
        <v>20</v>
      </c>
      <c r="B80" s="6" t="s">
        <v>26</v>
      </c>
      <c r="C80" s="6">
        <v>1</v>
      </c>
      <c r="D80" s="6" t="s">
        <v>22</v>
      </c>
      <c r="E80" s="6" t="s">
        <v>27</v>
      </c>
      <c r="F80" s="6">
        <v>4305</v>
      </c>
      <c r="G80" s="6" t="s">
        <v>121</v>
      </c>
      <c r="H80" s="8">
        <v>46271</v>
      </c>
      <c r="I80" s="8">
        <v>46271</v>
      </c>
      <c r="J80" s="9" t="str">
        <f>+VLOOKUP(K80,Datos!$A:$C,3,FALSE)</f>
        <v>AMERICAS</v>
      </c>
      <c r="K80" s="6">
        <v>92</v>
      </c>
      <c r="L80" s="9" t="str">
        <f>+VLOOKUP(K80,Datos!$A:$C,2,FALSE)</f>
        <v>CONDADO CONCEPCION</v>
      </c>
      <c r="M80" s="6">
        <v>314619</v>
      </c>
      <c r="N80" s="9" t="str">
        <f>+VLOOKUP(M80,Datos!$F:$G,2,FALSE)</f>
        <v>Glenda Isabel Perez Velasquez</v>
      </c>
      <c r="O80" s="10">
        <f>IFERROR(IF(A80="SI",VLOOKUP(R80,Datos!$J$1:$K$50,2,FALSE)*C80,VLOOKUP(R80,Datos!$P$1:$T$50,2,FALSE)*C80),0)</f>
        <v>816</v>
      </c>
      <c r="P80" s="6">
        <v>315128</v>
      </c>
      <c r="Q80" s="9" t="str">
        <f>+VLOOKUP(P80,Datos!$F:$G,2,FALSE)</f>
        <v>Maria Eugenia Alvarez Lopez</v>
      </c>
      <c r="R80" s="6" t="s">
        <v>29</v>
      </c>
      <c r="S80" s="6" t="s">
        <v>20</v>
      </c>
      <c r="T80" s="6">
        <f t="shared" si="1"/>
        <v>1</v>
      </c>
    </row>
    <row r="81" spans="1:20" hidden="1" x14ac:dyDescent="0.35">
      <c r="A81" s="6" t="s">
        <v>20</v>
      </c>
      <c r="B81" s="6" t="s">
        <v>26</v>
      </c>
      <c r="C81" s="6">
        <v>4</v>
      </c>
      <c r="D81" s="6" t="s">
        <v>22</v>
      </c>
      <c r="E81" s="6" t="s">
        <v>23</v>
      </c>
      <c r="F81" s="6">
        <v>661</v>
      </c>
      <c r="G81" s="6" t="s">
        <v>122</v>
      </c>
      <c r="H81" s="8">
        <v>46271</v>
      </c>
      <c r="I81" s="8">
        <v>46270</v>
      </c>
      <c r="J81" s="9" t="str">
        <f>+VLOOKUP(K81,Datos!$A:$C,3,FALSE)</f>
        <v>AMERICAS</v>
      </c>
      <c r="K81" s="6">
        <v>226</v>
      </c>
      <c r="L81" s="9" t="str">
        <f>+VLOOKUP(K81,Datos!$A:$C,2,FALSE)</f>
        <v>SAN JOSE PINULA</v>
      </c>
      <c r="M81" s="6">
        <v>315218</v>
      </c>
      <c r="N81" s="9" t="str">
        <f>+VLOOKUP(M81,Datos!$F:$G,2,FALSE)</f>
        <v>Herberth Alberto Barrios Perez</v>
      </c>
      <c r="O81" s="10">
        <f>IFERROR(IF(A81="SI",VLOOKUP(R81,Datos!$J$1:$K$50,2,FALSE)*C81,VLOOKUP(R81,Datos!$P$1:$T$50,2,FALSE)*C81),0)</f>
        <v>3264</v>
      </c>
      <c r="P81" s="6">
        <v>302592</v>
      </c>
      <c r="Q81" s="9" t="str">
        <f>+VLOOKUP(P81,Datos!$F:$G,2,FALSE)</f>
        <v>Nanci Paola Con Morales</v>
      </c>
      <c r="R81" s="6" t="s">
        <v>29</v>
      </c>
      <c r="S81" s="6" t="s">
        <v>20</v>
      </c>
      <c r="T81" s="6">
        <f t="shared" si="1"/>
        <v>1</v>
      </c>
    </row>
    <row r="82" spans="1:20" hidden="1" x14ac:dyDescent="0.35">
      <c r="A82" s="6" t="s">
        <v>20</v>
      </c>
      <c r="B82" s="6" t="s">
        <v>26</v>
      </c>
      <c r="C82" s="6">
        <v>1</v>
      </c>
      <c r="D82" s="6" t="s">
        <v>22</v>
      </c>
      <c r="E82" s="6" t="s">
        <v>27</v>
      </c>
      <c r="F82" s="6">
        <v>4295</v>
      </c>
      <c r="G82" s="6" t="s">
        <v>123</v>
      </c>
      <c r="H82" s="8">
        <v>46271</v>
      </c>
      <c r="I82" s="8">
        <v>46270</v>
      </c>
      <c r="J82" s="9" t="str">
        <f>+VLOOKUP(K82,Datos!$A:$C,3,FALSE)</f>
        <v>AMERICAS</v>
      </c>
      <c r="K82" s="6">
        <v>71</v>
      </c>
      <c r="L82" s="9" t="str">
        <f>+VLOOKUP(K82,Datos!$A:$C,2,FALSE)</f>
        <v>VISTA HERMOSA</v>
      </c>
      <c r="M82" s="6">
        <v>313648</v>
      </c>
      <c r="N82" s="9" t="str">
        <f>+VLOOKUP(M82,Datos!$F:$G,2,FALSE)</f>
        <v>Byron Veliz Vasquez</v>
      </c>
      <c r="O82" s="10">
        <f>IFERROR(IF(A82="SI",VLOOKUP(R82,Datos!$J$1:$K$50,2,FALSE)*C82,VLOOKUP(R82,Datos!$P$1:$T$50,2,FALSE)*C82),0)</f>
        <v>816</v>
      </c>
      <c r="P82" s="6">
        <v>308533</v>
      </c>
      <c r="Q82" s="9" t="str">
        <f>+VLOOKUP(P82,Datos!$F:$G,2,FALSE)</f>
        <v>Eduardo Antonio Sotoj Zepeda</v>
      </c>
      <c r="R82" s="6" t="s">
        <v>29</v>
      </c>
      <c r="S82" s="6" t="s">
        <v>20</v>
      </c>
      <c r="T82" s="6">
        <f t="shared" si="1"/>
        <v>1</v>
      </c>
    </row>
    <row r="83" spans="1:20" hidden="1" x14ac:dyDescent="0.35">
      <c r="A83" s="6" t="s">
        <v>20</v>
      </c>
      <c r="B83" s="6" t="s">
        <v>26</v>
      </c>
      <c r="C83" s="6">
        <v>4</v>
      </c>
      <c r="D83" s="6" t="s">
        <v>22</v>
      </c>
      <c r="E83" s="6" t="s">
        <v>23</v>
      </c>
      <c r="F83" s="6">
        <v>667</v>
      </c>
      <c r="G83" s="6" t="s">
        <v>124</v>
      </c>
      <c r="H83" s="8">
        <v>46271</v>
      </c>
      <c r="I83" s="8">
        <v>46271</v>
      </c>
      <c r="J83" s="9" t="str">
        <f>+VLOOKUP(K83,Datos!$A:$C,3,FALSE)</f>
        <v>AMERICAS</v>
      </c>
      <c r="K83" s="6">
        <v>92</v>
      </c>
      <c r="L83" s="9" t="str">
        <f>+VLOOKUP(K83,Datos!$A:$C,2,FALSE)</f>
        <v>CONDADO CONCEPCION</v>
      </c>
      <c r="M83" s="6">
        <v>314619</v>
      </c>
      <c r="N83" s="9" t="str">
        <f>+VLOOKUP(M83,Datos!$F:$G,2,FALSE)</f>
        <v>Glenda Isabel Perez Velasquez</v>
      </c>
      <c r="O83" s="10">
        <f>IFERROR(IF(A83="SI",VLOOKUP(R83,Datos!$J$1:$K$50,2,FALSE)*C83,VLOOKUP(R83,Datos!$P$1:$T$50,2,FALSE)*C83),0)</f>
        <v>3264</v>
      </c>
      <c r="P83" s="6">
        <v>315128</v>
      </c>
      <c r="Q83" s="9" t="str">
        <f>+VLOOKUP(P83,Datos!$F:$G,2,FALSE)</f>
        <v>Maria Eugenia Alvarez Lopez</v>
      </c>
      <c r="R83" s="6" t="s">
        <v>29</v>
      </c>
      <c r="S83" s="6" t="s">
        <v>20</v>
      </c>
      <c r="T83" s="6">
        <f t="shared" si="1"/>
        <v>1</v>
      </c>
    </row>
    <row r="84" spans="1:20" hidden="1" x14ac:dyDescent="0.35">
      <c r="A84" s="6" t="s">
        <v>20</v>
      </c>
      <c r="B84" s="6" t="s">
        <v>26</v>
      </c>
      <c r="C84" s="6">
        <v>4</v>
      </c>
      <c r="D84" s="6" t="s">
        <v>22</v>
      </c>
      <c r="E84" s="6" t="s">
        <v>23</v>
      </c>
      <c r="F84" s="6">
        <v>668</v>
      </c>
      <c r="G84" s="6" t="s">
        <v>125</v>
      </c>
      <c r="H84" s="8">
        <v>46271</v>
      </c>
      <c r="I84" s="8">
        <v>46271</v>
      </c>
      <c r="J84" s="9" t="str">
        <f>+VLOOKUP(K84,Datos!$A:$C,3,FALSE)</f>
        <v>AMERICAS</v>
      </c>
      <c r="K84" s="6">
        <v>92</v>
      </c>
      <c r="L84" s="9" t="str">
        <f>+VLOOKUP(K84,Datos!$A:$C,2,FALSE)</f>
        <v>CONDADO CONCEPCION</v>
      </c>
      <c r="M84" s="6">
        <v>314619</v>
      </c>
      <c r="N84" s="9" t="str">
        <f>+VLOOKUP(M84,Datos!$F:$G,2,FALSE)</f>
        <v>Glenda Isabel Perez Velasquez</v>
      </c>
      <c r="O84" s="10">
        <f>IFERROR(IF(A84="SI",VLOOKUP(R84,Datos!$J$1:$K$50,2,FALSE)*C84,VLOOKUP(R84,Datos!$P$1:$T$50,2,FALSE)*C84),0)</f>
        <v>5472</v>
      </c>
      <c r="P84" s="6">
        <v>315128</v>
      </c>
      <c r="Q84" s="9" t="str">
        <f>+VLOOKUP(P84,Datos!$F:$G,2,FALSE)</f>
        <v>Maria Eugenia Alvarez Lopez</v>
      </c>
      <c r="R84" s="6" t="s">
        <v>25</v>
      </c>
      <c r="S84" s="6" t="s">
        <v>20</v>
      </c>
      <c r="T84" s="6">
        <f t="shared" si="1"/>
        <v>1</v>
      </c>
    </row>
    <row r="85" spans="1:20" hidden="1" x14ac:dyDescent="0.35">
      <c r="A85" s="6" t="s">
        <v>20</v>
      </c>
      <c r="B85" s="6" t="s">
        <v>26</v>
      </c>
      <c r="C85" s="6">
        <v>1</v>
      </c>
      <c r="D85" s="6" t="s">
        <v>22</v>
      </c>
      <c r="E85" s="6" t="s">
        <v>27</v>
      </c>
      <c r="F85" s="6">
        <v>4246</v>
      </c>
      <c r="G85" s="6" t="s">
        <v>126</v>
      </c>
      <c r="H85" s="8">
        <v>46271</v>
      </c>
      <c r="I85" s="8">
        <v>46269</v>
      </c>
      <c r="J85" s="9" t="str">
        <f>+VLOOKUP(K85,Datos!$A:$C,3,FALSE)</f>
        <v>NORTE</v>
      </c>
      <c r="K85" s="6">
        <v>38</v>
      </c>
      <c r="L85" s="9" t="str">
        <f>+VLOOKUP(K85,Datos!$A:$C,2,FALSE)</f>
        <v>CARCHA</v>
      </c>
      <c r="M85" s="6">
        <v>309527</v>
      </c>
      <c r="N85" s="9" t="str">
        <f>+VLOOKUP(M85,Datos!$F:$G,2,FALSE)</f>
        <v>Ana Gabriela Caal Cruz</v>
      </c>
      <c r="O85" s="10">
        <f>IFERROR(IF(A85="SI",VLOOKUP(R85,Datos!$J$1:$K$50,2,FALSE)*C85,VLOOKUP(R85,Datos!$P$1:$T$50,2,FALSE)*C85),0)</f>
        <v>816</v>
      </c>
      <c r="P85" s="6">
        <v>306471</v>
      </c>
      <c r="Q85" s="9" t="str">
        <f>+VLOOKUP(P85,Datos!$F:$G,2,FALSE)</f>
        <v>Angel Enmanuel Quim Macz</v>
      </c>
      <c r="R85" s="6" t="s">
        <v>29</v>
      </c>
      <c r="S85" s="6" t="s">
        <v>20</v>
      </c>
      <c r="T85" s="6">
        <f t="shared" si="1"/>
        <v>1</v>
      </c>
    </row>
    <row r="86" spans="1:20" hidden="1" x14ac:dyDescent="0.35">
      <c r="A86" s="6" t="s">
        <v>20</v>
      </c>
      <c r="B86" s="6" t="s">
        <v>21</v>
      </c>
      <c r="C86" s="6">
        <v>3</v>
      </c>
      <c r="D86" s="6" t="s">
        <v>22</v>
      </c>
      <c r="E86" s="6" t="s">
        <v>127</v>
      </c>
      <c r="F86" s="6">
        <v>1</v>
      </c>
      <c r="G86" s="6" t="s">
        <v>128</v>
      </c>
      <c r="H86" s="7">
        <v>46272</v>
      </c>
      <c r="I86" s="8">
        <v>46272</v>
      </c>
      <c r="J86" s="9" t="str">
        <f>+VLOOKUP(K86,Datos!$A:$C,3,FALSE)</f>
        <v>AMERICAS</v>
      </c>
      <c r="K86" s="6">
        <v>58</v>
      </c>
      <c r="L86" s="9" t="str">
        <f>+VLOOKUP(K86,Datos!$A:$C,2,FALSE)</f>
        <v>EUROPLAZA</v>
      </c>
      <c r="M86" s="6">
        <v>315385</v>
      </c>
      <c r="N86" s="9" t="str">
        <f>+VLOOKUP(M86,Datos!$F:$G,2,FALSE)</f>
        <v>Xitimul Ramirez, Luis Carlos</v>
      </c>
      <c r="O86" s="10">
        <f>IFERROR(IF(A86="SI",VLOOKUP(R86,Datos!$J$1:$K$50,2,FALSE)*C86,VLOOKUP(R86,Datos!$P$1:$T$50,2,FALSE)*C86),0)</f>
        <v>6156</v>
      </c>
      <c r="P86" s="6">
        <v>310954</v>
      </c>
      <c r="Q86" s="9" t="str">
        <f>+VLOOKUP(P86,Datos!$F:$G,2,FALSE)</f>
        <v>Mildre Fabiola Gomez Barillas De Leonardo</v>
      </c>
      <c r="R86" s="6" t="s">
        <v>83</v>
      </c>
      <c r="S86" s="6" t="s">
        <v>20</v>
      </c>
      <c r="T86" s="6">
        <f t="shared" si="1"/>
        <v>1</v>
      </c>
    </row>
    <row r="87" spans="1:20" hidden="1" x14ac:dyDescent="0.35">
      <c r="A87" s="6" t="s">
        <v>20</v>
      </c>
      <c r="B87" s="6" t="s">
        <v>21</v>
      </c>
      <c r="C87" s="6">
        <v>1</v>
      </c>
      <c r="D87" s="6" t="s">
        <v>22</v>
      </c>
      <c r="E87" s="6" t="s">
        <v>27</v>
      </c>
      <c r="F87" s="6">
        <v>4290</v>
      </c>
      <c r="G87" s="6" t="s">
        <v>129</v>
      </c>
      <c r="H87" s="8">
        <v>46272</v>
      </c>
      <c r="I87" s="8">
        <v>46270</v>
      </c>
      <c r="J87" s="9" t="str">
        <f>+VLOOKUP(K87,Datos!$A:$C,3,FALSE)</f>
        <v>NORTE</v>
      </c>
      <c r="K87" s="6">
        <v>163</v>
      </c>
      <c r="L87" s="9" t="str">
        <f>+VLOOKUP(K87,Datos!$A:$C,2,FALSE)</f>
        <v>LA TINTA</v>
      </c>
      <c r="M87" s="6">
        <v>90038373</v>
      </c>
      <c r="N87" s="9" t="str">
        <f>+VLOOKUP(M87,Datos!$F:$G,2,FALSE)</f>
        <v>Bryan Sleyter Gabriel Coy Tercero</v>
      </c>
      <c r="O87" s="10">
        <f>IFERROR(IF(A87="SI",VLOOKUP(R87,Datos!$J$1:$K$50,2,FALSE)*C87,VLOOKUP(R87,Datos!$P$1:$T$50,2,FALSE)*C87),0)</f>
        <v>816</v>
      </c>
      <c r="P87" s="6">
        <v>90084233</v>
      </c>
      <c r="Q87" s="9" t="str">
        <f>+VLOOKUP(P87,Datos!$F:$G,2,FALSE)</f>
        <v>CECILIA DORCAS SIQUIC VELASQUEZ</v>
      </c>
      <c r="R87" s="6" t="s">
        <v>29</v>
      </c>
      <c r="S87" s="6" t="s">
        <v>20</v>
      </c>
      <c r="T87" s="6">
        <f t="shared" si="1"/>
        <v>1</v>
      </c>
    </row>
    <row r="88" spans="1:20" hidden="1" x14ac:dyDescent="0.35">
      <c r="A88" s="6" t="s">
        <v>20</v>
      </c>
      <c r="B88" s="6" t="s">
        <v>21</v>
      </c>
      <c r="C88" s="6">
        <v>1</v>
      </c>
      <c r="D88" s="6" t="s">
        <v>22</v>
      </c>
      <c r="E88" s="6" t="s">
        <v>27</v>
      </c>
      <c r="F88" s="6">
        <v>4300</v>
      </c>
      <c r="G88" s="6" t="s">
        <v>130</v>
      </c>
      <c r="H88" s="8">
        <v>46272</v>
      </c>
      <c r="I88" s="8">
        <v>46270</v>
      </c>
      <c r="J88" s="9" t="str">
        <f>+VLOOKUP(K88,Datos!$A:$C,3,FALSE)</f>
        <v>NORTE</v>
      </c>
      <c r="K88" s="6">
        <v>22</v>
      </c>
      <c r="L88" s="9" t="str">
        <f>+VLOOKUP(K88,Datos!$A:$C,2,FALSE)</f>
        <v>COBAN PLAZA DEL PARQUE</v>
      </c>
      <c r="M88" s="6">
        <v>90066624</v>
      </c>
      <c r="N88" s="9" t="str">
        <f>+VLOOKUP(M88,Datos!$F:$G,2,FALSE)</f>
        <v>AYRTON SALVADOR MORALES BUENAFE</v>
      </c>
      <c r="O88" s="10">
        <f>IFERROR(IF(A88="SI",VLOOKUP(R88,Datos!$J$1:$K$50,2,FALSE)*C88,VLOOKUP(R88,Datos!$P$1:$T$50,2,FALSE)*C88),0)</f>
        <v>816</v>
      </c>
      <c r="P88" s="6">
        <v>310872</v>
      </c>
      <c r="Q88" s="9" t="str">
        <f>+VLOOKUP(P88,Datos!$F:$G,2,FALSE)</f>
        <v>Loida Raquel Juarez Ixpata</v>
      </c>
      <c r="R88" s="6" t="s">
        <v>29</v>
      </c>
      <c r="S88" s="6" t="s">
        <v>20</v>
      </c>
      <c r="T88" s="6">
        <f t="shared" si="1"/>
        <v>1</v>
      </c>
    </row>
    <row r="89" spans="1:20" hidden="1" x14ac:dyDescent="0.35">
      <c r="A89" s="6" t="s">
        <v>20</v>
      </c>
      <c r="B89" s="6" t="s">
        <v>26</v>
      </c>
      <c r="C89" s="6">
        <v>1</v>
      </c>
      <c r="D89" s="6" t="s">
        <v>22</v>
      </c>
      <c r="E89" s="6" t="s">
        <v>27</v>
      </c>
      <c r="F89" s="6">
        <v>4284</v>
      </c>
      <c r="G89" s="6" t="s">
        <v>131</v>
      </c>
      <c r="H89" s="8">
        <v>46272</v>
      </c>
      <c r="I89" s="8">
        <v>46270</v>
      </c>
      <c r="J89" s="9" t="str">
        <f>+VLOOKUP(K89,Datos!$A:$C,3,FALSE)</f>
        <v>NORTE</v>
      </c>
      <c r="K89" s="6">
        <v>22</v>
      </c>
      <c r="L89" s="9" t="str">
        <f>+VLOOKUP(K89,Datos!$A:$C,2,FALSE)</f>
        <v>COBAN PLAZA DEL PARQUE</v>
      </c>
      <c r="M89" s="6">
        <v>315437</v>
      </c>
      <c r="N89" s="9" t="str">
        <f>+VLOOKUP(M89,Datos!$F:$G,2,FALSE)</f>
        <v>Deysi Liliana Caal Oxom</v>
      </c>
      <c r="O89" s="10">
        <f>IFERROR(IF(A89="SI",VLOOKUP(R89,Datos!$J$1:$K$50,2,FALSE)*C89,VLOOKUP(R89,Datos!$P$1:$T$50,2,FALSE)*C89),0)</f>
        <v>816</v>
      </c>
      <c r="P89" s="6">
        <v>310872</v>
      </c>
      <c r="Q89" s="9" t="str">
        <f>+VLOOKUP(P89,Datos!$F:$G,2,FALSE)</f>
        <v>Loida Raquel Juarez Ixpata</v>
      </c>
      <c r="R89" s="6" t="s">
        <v>29</v>
      </c>
      <c r="S89" s="6" t="s">
        <v>20</v>
      </c>
      <c r="T89" s="6">
        <f t="shared" si="1"/>
        <v>1</v>
      </c>
    </row>
    <row r="90" spans="1:20" hidden="1" x14ac:dyDescent="0.35">
      <c r="A90" s="6" t="s">
        <v>20</v>
      </c>
      <c r="B90" s="6" t="s">
        <v>21</v>
      </c>
      <c r="C90" s="6">
        <v>1</v>
      </c>
      <c r="D90" s="6" t="s">
        <v>22</v>
      </c>
      <c r="E90" s="6" t="s">
        <v>27</v>
      </c>
      <c r="F90" s="6">
        <v>4172</v>
      </c>
      <c r="G90" s="6" t="s">
        <v>132</v>
      </c>
      <c r="H90" s="8">
        <v>46272</v>
      </c>
      <c r="I90" s="8">
        <v>46266</v>
      </c>
      <c r="J90" s="9" t="str">
        <f>+VLOOKUP(K90,Datos!$A:$C,3,FALSE)</f>
        <v>NORTE</v>
      </c>
      <c r="K90" s="6">
        <v>162</v>
      </c>
      <c r="L90" s="9" t="str">
        <f>+VLOOKUP(K90,Datos!$A:$C,2,FALSE)</f>
        <v>CHISEC</v>
      </c>
      <c r="M90" s="6">
        <v>90040240</v>
      </c>
      <c r="N90" s="9" t="str">
        <f>+VLOOKUP(M90,Datos!$F:$G,2,FALSE)</f>
        <v>Rolando Evaristo Cu Moran</v>
      </c>
      <c r="O90" s="10">
        <f>IFERROR(IF(A90="SI",VLOOKUP(R90,Datos!$J$1:$K$50,2,FALSE)*C90,VLOOKUP(R90,Datos!$P$1:$T$50,2,FALSE)*C90),0)</f>
        <v>816</v>
      </c>
      <c r="P90" s="6">
        <v>315051</v>
      </c>
      <c r="Q90" s="9" t="str">
        <f>+VLOOKUP(P90,Datos!$F:$G,2,FALSE)</f>
        <v>Carlos Alfredo Catun Rax</v>
      </c>
      <c r="R90" s="6" t="s">
        <v>29</v>
      </c>
      <c r="S90" s="6" t="s">
        <v>20</v>
      </c>
      <c r="T90" s="6">
        <f t="shared" si="1"/>
        <v>1</v>
      </c>
    </row>
    <row r="91" spans="1:20" hidden="1" x14ac:dyDescent="0.35">
      <c r="A91" s="6" t="s">
        <v>20</v>
      </c>
      <c r="B91" s="6" t="s">
        <v>21</v>
      </c>
      <c r="C91" s="6">
        <v>1</v>
      </c>
      <c r="D91" s="6" t="s">
        <v>22</v>
      </c>
      <c r="E91" s="6" t="s">
        <v>27</v>
      </c>
      <c r="F91" s="6">
        <v>4286</v>
      </c>
      <c r="G91" s="6" t="s">
        <v>133</v>
      </c>
      <c r="H91" s="8">
        <v>46272</v>
      </c>
      <c r="I91" s="8">
        <v>46270</v>
      </c>
      <c r="J91" s="9" t="str">
        <f>+VLOOKUP(K91,Datos!$A:$C,3,FALSE)</f>
        <v>PETAPA</v>
      </c>
      <c r="K91" s="6">
        <v>250</v>
      </c>
      <c r="L91" s="9" t="str">
        <f>+VLOOKUP(K91,Datos!$A:$C,2,FALSE)</f>
        <v>BOCA DEL MONTE</v>
      </c>
      <c r="M91" s="6">
        <v>312542</v>
      </c>
      <c r="N91" s="9" t="str">
        <f>+VLOOKUP(M91,Datos!$F:$G,2,FALSE)</f>
        <v>Elba Eulalia Esquite Lemus</v>
      </c>
      <c r="O91" s="10">
        <f>IFERROR(IF(A91="SI",VLOOKUP(R91,Datos!$J$1:$K$50,2,FALSE)*C91,VLOOKUP(R91,Datos!$P$1:$T$50,2,FALSE)*C91),0)</f>
        <v>816</v>
      </c>
      <c r="P91" s="6">
        <v>310796</v>
      </c>
      <c r="Q91" s="9" t="str">
        <f>+VLOOKUP(P91,Datos!$F:$G,2,FALSE)</f>
        <v>Madelyn Estefany Vega Velasquez</v>
      </c>
      <c r="R91" s="6" t="s">
        <v>29</v>
      </c>
      <c r="S91" s="6" t="s">
        <v>20</v>
      </c>
      <c r="T91" s="6">
        <f t="shared" si="1"/>
        <v>1</v>
      </c>
    </row>
    <row r="92" spans="1:20" hidden="1" x14ac:dyDescent="0.35">
      <c r="A92" s="6" t="s">
        <v>20</v>
      </c>
      <c r="B92" s="6" t="s">
        <v>21</v>
      </c>
      <c r="C92" s="6">
        <v>4</v>
      </c>
      <c r="D92" s="6" t="s">
        <v>22</v>
      </c>
      <c r="E92" s="6" t="s">
        <v>23</v>
      </c>
      <c r="F92" s="6">
        <v>671</v>
      </c>
      <c r="G92" s="6" t="s">
        <v>134</v>
      </c>
      <c r="H92" s="8">
        <v>46272</v>
      </c>
      <c r="I92" s="8">
        <v>46272</v>
      </c>
      <c r="J92" s="9" t="str">
        <f>+VLOOKUP(K92,Datos!$A:$C,3,FALSE)</f>
        <v>ORIENTE</v>
      </c>
      <c r="K92" s="6">
        <v>128</v>
      </c>
      <c r="L92" s="9" t="str">
        <f>+VLOOKUP(K92,Datos!$A:$C,2,FALSE)</f>
        <v>CHIQUIMULA 2</v>
      </c>
      <c r="M92" s="6">
        <v>313864</v>
      </c>
      <c r="N92" s="9" t="str">
        <f>+VLOOKUP(M92,Datos!$F:$G,2,FALSE)</f>
        <v>Milena Maria Mendez Cheguen</v>
      </c>
      <c r="O92" s="10">
        <f>IFERROR(IF(A92="SI",VLOOKUP(R92,Datos!$J$1:$K$50,2,FALSE)*C92,VLOOKUP(R92,Datos!$P$1:$T$50,2,FALSE)*C92),0)</f>
        <v>3264</v>
      </c>
      <c r="P92" s="6">
        <v>312176</v>
      </c>
      <c r="Q92" s="9" t="str">
        <f>+VLOOKUP(P92,Datos!$F:$G,2,FALSE)</f>
        <v>Nestor Edgardo Gutierrez Lazaro</v>
      </c>
      <c r="R92" s="6" t="s">
        <v>29</v>
      </c>
      <c r="S92" s="6" t="s">
        <v>20</v>
      </c>
      <c r="T92" s="6">
        <f t="shared" si="1"/>
        <v>1</v>
      </c>
    </row>
    <row r="93" spans="1:20" hidden="1" x14ac:dyDescent="0.35">
      <c r="A93" s="6" t="s">
        <v>20</v>
      </c>
      <c r="B93" s="6" t="s">
        <v>21</v>
      </c>
      <c r="C93" s="6">
        <v>4</v>
      </c>
      <c r="D93" s="6" t="s">
        <v>22</v>
      </c>
      <c r="E93" s="6" t="s">
        <v>23</v>
      </c>
      <c r="F93" s="6">
        <v>630</v>
      </c>
      <c r="G93" s="6" t="s">
        <v>135</v>
      </c>
      <c r="H93" s="8">
        <v>46272</v>
      </c>
      <c r="I93" s="8">
        <v>46267</v>
      </c>
      <c r="J93" s="9" t="str">
        <f>+VLOOKUP(K93,Datos!$A:$C,3,FALSE)</f>
        <v>ORIENTE</v>
      </c>
      <c r="K93" s="6">
        <v>77</v>
      </c>
      <c r="L93" s="9" t="str">
        <f>+VLOOKUP(K93,Datos!$A:$C,2,FALSE)</f>
        <v>PUERTO BARRIOS</v>
      </c>
      <c r="M93" s="6">
        <v>90082479</v>
      </c>
      <c r="N93" s="9" t="str">
        <f>+VLOOKUP(M93,Datos!$F:$G,2,FALSE)</f>
        <v>JONATHAN OSORIO</v>
      </c>
      <c r="O93" s="10">
        <f>IFERROR(IF(A93="SI",VLOOKUP(R93,Datos!$J$1:$K$50,2,FALSE)*C93,VLOOKUP(R93,Datos!$P$1:$T$50,2,FALSE)*C93),0)</f>
        <v>3264</v>
      </c>
      <c r="P93" s="6">
        <v>312950</v>
      </c>
      <c r="Q93" s="9" t="str">
        <f>+VLOOKUP(P93,Datos!$F:$G,2,FALSE)</f>
        <v>Cindy Carolina Sandoval Ruiz</v>
      </c>
      <c r="R93" s="6" t="s">
        <v>29</v>
      </c>
      <c r="S93" s="6" t="s">
        <v>20</v>
      </c>
      <c r="T93" s="6">
        <f t="shared" si="1"/>
        <v>1</v>
      </c>
    </row>
    <row r="94" spans="1:20" hidden="1" x14ac:dyDescent="0.35">
      <c r="A94" s="6" t="s">
        <v>20</v>
      </c>
      <c r="B94" s="6" t="s">
        <v>21</v>
      </c>
      <c r="C94" s="6">
        <v>1</v>
      </c>
      <c r="D94" s="6" t="s">
        <v>22</v>
      </c>
      <c r="E94" s="6" t="s">
        <v>27</v>
      </c>
      <c r="F94" s="6">
        <v>4316</v>
      </c>
      <c r="G94" s="6" t="s">
        <v>136</v>
      </c>
      <c r="H94" s="8">
        <v>46272</v>
      </c>
      <c r="I94" s="8">
        <v>46272</v>
      </c>
      <c r="J94" s="9" t="str">
        <f>+VLOOKUP(K94,Datos!$A:$C,3,FALSE)</f>
        <v>ORIENTE</v>
      </c>
      <c r="K94" s="6">
        <v>182</v>
      </c>
      <c r="L94" s="9" t="str">
        <f>+VLOOKUP(K94,Datos!$A:$C,2,FALSE)</f>
        <v>ASUNCION MITA</v>
      </c>
      <c r="M94" s="6">
        <v>90009270</v>
      </c>
      <c r="N94" s="9" t="str">
        <f>+VLOOKUP(M94,Datos!$F:$G,2,FALSE)</f>
        <v xml:space="preserve">Laura Yessenia Trabanino Interiano </v>
      </c>
      <c r="O94" s="10">
        <f>IFERROR(IF(A94="SI",VLOOKUP(R94,Datos!$J$1:$K$50,2,FALSE)*C94,VLOOKUP(R94,Datos!$P$1:$T$50,2,FALSE)*C94),0)</f>
        <v>1368</v>
      </c>
      <c r="P94" s="6">
        <v>305070</v>
      </c>
      <c r="Q94" s="9" t="str">
        <f>+VLOOKUP(P94,Datos!$F:$G,2,FALSE)</f>
        <v>Beverly Walesca Morales Ibarra</v>
      </c>
      <c r="R94" s="6" t="s">
        <v>25</v>
      </c>
      <c r="S94" s="6" t="s">
        <v>20</v>
      </c>
      <c r="T94" s="6">
        <f t="shared" si="1"/>
        <v>1</v>
      </c>
    </row>
    <row r="95" spans="1:20" hidden="1" x14ac:dyDescent="0.35">
      <c r="A95" s="6" t="s">
        <v>20</v>
      </c>
      <c r="B95" s="6" t="s">
        <v>21</v>
      </c>
      <c r="C95" s="6">
        <v>2</v>
      </c>
      <c r="D95" s="6" t="s">
        <v>22</v>
      </c>
      <c r="E95" s="6" t="s">
        <v>31</v>
      </c>
      <c r="F95" s="6">
        <v>1160</v>
      </c>
      <c r="G95" s="6" t="s">
        <v>137</v>
      </c>
      <c r="H95" s="8">
        <v>46272</v>
      </c>
      <c r="I95" s="8">
        <v>46271</v>
      </c>
      <c r="J95" s="9" t="str">
        <f>+VLOOKUP(K95,Datos!$A:$C,3,FALSE)</f>
        <v>AMERICAS</v>
      </c>
      <c r="K95" s="6">
        <v>92</v>
      </c>
      <c r="L95" s="9" t="str">
        <f>+VLOOKUP(K95,Datos!$A:$C,2,FALSE)</f>
        <v>CONDADO CONCEPCION</v>
      </c>
      <c r="M95" s="6">
        <v>314619</v>
      </c>
      <c r="N95" s="9" t="str">
        <f>+VLOOKUP(M95,Datos!$F:$G,2,FALSE)</f>
        <v>Glenda Isabel Perez Velasquez</v>
      </c>
      <c r="O95" s="10">
        <f>IFERROR(IF(A95="SI",VLOOKUP(R95,Datos!$J$1:$K$50,2,FALSE)*C95,VLOOKUP(R95,Datos!$P$1:$T$50,2,FALSE)*C95),0)</f>
        <v>2736</v>
      </c>
      <c r="P95" s="6">
        <v>315128</v>
      </c>
      <c r="Q95" s="9" t="str">
        <f>+VLOOKUP(P95,Datos!$F:$G,2,FALSE)</f>
        <v>Maria Eugenia Alvarez Lopez</v>
      </c>
      <c r="R95" s="6" t="s">
        <v>25</v>
      </c>
      <c r="S95" s="6" t="s">
        <v>20</v>
      </c>
      <c r="T95" s="6">
        <f t="shared" si="1"/>
        <v>1</v>
      </c>
    </row>
    <row r="96" spans="1:20" hidden="1" x14ac:dyDescent="0.35">
      <c r="A96" s="6" t="s">
        <v>20</v>
      </c>
      <c r="B96" s="6" t="s">
        <v>21</v>
      </c>
      <c r="C96" s="6">
        <v>2</v>
      </c>
      <c r="D96" s="6" t="s">
        <v>22</v>
      </c>
      <c r="E96" s="6" t="s">
        <v>27</v>
      </c>
      <c r="F96" s="6">
        <v>4321</v>
      </c>
      <c r="G96" s="6" t="s">
        <v>138</v>
      </c>
      <c r="H96" s="8">
        <v>46272</v>
      </c>
      <c r="I96" s="8">
        <v>46272</v>
      </c>
      <c r="J96" s="9" t="str">
        <f>+VLOOKUP(K96,Datos!$A:$C,3,FALSE)</f>
        <v>PETAPA</v>
      </c>
      <c r="K96" s="6">
        <v>120</v>
      </c>
      <c r="L96" s="9" t="str">
        <f>+VLOOKUP(K96,Datos!$A:$C,2,FALSE)</f>
        <v>VILLA NUEVA 2</v>
      </c>
      <c r="M96" s="6">
        <v>90062512</v>
      </c>
      <c r="N96" s="9" t="str">
        <f>+VLOOKUP(M96,Datos!$F:$G,2,FALSE)</f>
        <v>MADELINE YAMILET MURALLES AGUSTIN</v>
      </c>
      <c r="O96" s="10">
        <f>IFERROR(IF(A96="SI",VLOOKUP(R96,Datos!$J$1:$K$50,2,FALSE)*C96,VLOOKUP(R96,Datos!$P$1:$T$50,2,FALSE)*C96),0)</f>
        <v>1632</v>
      </c>
      <c r="P96" s="6">
        <v>315576</v>
      </c>
      <c r="Q96" s="9" t="str">
        <f>+VLOOKUP(P96,Datos!$F:$G,2,FALSE)</f>
        <v>Heber Uziel Ruiz Escobar</v>
      </c>
      <c r="R96" s="6" t="s">
        <v>29</v>
      </c>
      <c r="S96" s="6" t="s">
        <v>20</v>
      </c>
      <c r="T96" s="6">
        <f t="shared" si="1"/>
        <v>1</v>
      </c>
    </row>
    <row r="97" spans="1:20" hidden="1" x14ac:dyDescent="0.35">
      <c r="A97" s="6" t="s">
        <v>20</v>
      </c>
      <c r="B97" s="6" t="s">
        <v>26</v>
      </c>
      <c r="C97" s="6">
        <v>1</v>
      </c>
      <c r="D97" s="6" t="s">
        <v>22</v>
      </c>
      <c r="E97" s="6" t="s">
        <v>139</v>
      </c>
      <c r="F97" s="6">
        <v>2579</v>
      </c>
      <c r="G97" s="6" t="s">
        <v>140</v>
      </c>
      <c r="H97" s="8">
        <v>46272</v>
      </c>
      <c r="I97" s="8">
        <v>46268</v>
      </c>
      <c r="J97" s="9" t="str">
        <f>+VLOOKUP(K97,Datos!$A:$C,3,FALSE)</f>
        <v>NORTE</v>
      </c>
      <c r="K97" s="6">
        <v>188</v>
      </c>
      <c r="L97" s="9" t="str">
        <f>+VLOOKUP(K97,Datos!$A:$C,2,FALSE)</f>
        <v>SANTA ELENA CENTRO</v>
      </c>
      <c r="M97" s="6">
        <v>90082554</v>
      </c>
      <c r="N97" s="9" t="str">
        <f>+VLOOKUP(M97,Datos!$F:$G,2,FALSE)</f>
        <v>MILTON AMINADAV FIGUEROA FLORES</v>
      </c>
      <c r="O97" s="10">
        <f>IFERROR(IF(A97="SI",VLOOKUP(R97,Datos!$J$1:$K$50,2,FALSE)*C97,VLOOKUP(R97,Datos!$P$1:$T$50,2,FALSE)*C97),0)</f>
        <v>1008</v>
      </c>
      <c r="P97" s="6">
        <v>90070101</v>
      </c>
      <c r="Q97" s="9" t="str">
        <f>+VLOOKUP(P97,Datos!$F:$G,2,FALSE)</f>
        <v>Felipe De Jesus Hernandez Mejia</v>
      </c>
      <c r="R97" s="6" t="s">
        <v>114</v>
      </c>
      <c r="S97" s="6" t="s">
        <v>20</v>
      </c>
      <c r="T97" s="6">
        <f t="shared" si="1"/>
        <v>1</v>
      </c>
    </row>
    <row r="98" spans="1:20" hidden="1" x14ac:dyDescent="0.35">
      <c r="A98" s="6" t="s">
        <v>20</v>
      </c>
      <c r="B98" s="6" t="s">
        <v>21</v>
      </c>
      <c r="C98" s="6">
        <v>4</v>
      </c>
      <c r="D98" s="6" t="s">
        <v>22</v>
      </c>
      <c r="E98" s="6" t="s">
        <v>23</v>
      </c>
      <c r="F98" s="6">
        <v>650</v>
      </c>
      <c r="G98" s="6" t="s">
        <v>141</v>
      </c>
      <c r="H98" s="8">
        <v>46272</v>
      </c>
      <c r="I98" s="8">
        <v>46269</v>
      </c>
      <c r="J98" s="9" t="str">
        <f>+VLOOKUP(K98,Datos!$A:$C,3,FALSE)</f>
        <v>ORIENTE</v>
      </c>
      <c r="K98" s="6">
        <v>179</v>
      </c>
      <c r="L98" s="9" t="str">
        <f>+VLOOKUP(K98,Datos!$A:$C,2,FALSE)</f>
        <v>ZACAPA CATEDRAL</v>
      </c>
      <c r="M98" s="6">
        <v>90051505</v>
      </c>
      <c r="N98" s="9" t="str">
        <f>+VLOOKUP(M98,Datos!$F:$G,2,FALSE)</f>
        <v>MARIA OFELIA SOSA</v>
      </c>
      <c r="O98" s="10">
        <f>IFERROR(IF(A98="SI",VLOOKUP(R98,Datos!$J$1:$K$50,2,FALSE)*C98,VLOOKUP(R98,Datos!$P$1:$T$50,2,FALSE)*C98),0)</f>
        <v>3264</v>
      </c>
      <c r="P98" s="6">
        <v>300280</v>
      </c>
      <c r="Q98" s="9" t="str">
        <f>+VLOOKUP(P98,Datos!$F:$G,2,FALSE)</f>
        <v>Lilian Del Carmen Franco Curin</v>
      </c>
      <c r="R98" s="6" t="s">
        <v>29</v>
      </c>
      <c r="S98" s="6" t="s">
        <v>20</v>
      </c>
      <c r="T98" s="6">
        <f t="shared" si="1"/>
        <v>1</v>
      </c>
    </row>
    <row r="99" spans="1:20" hidden="1" x14ac:dyDescent="0.35">
      <c r="A99" s="6" t="s">
        <v>20</v>
      </c>
      <c r="B99" s="6" t="s">
        <v>21</v>
      </c>
      <c r="C99" s="6">
        <v>4</v>
      </c>
      <c r="D99" s="6" t="s">
        <v>22</v>
      </c>
      <c r="E99" s="6" t="s">
        <v>23</v>
      </c>
      <c r="F99" s="6">
        <v>663</v>
      </c>
      <c r="G99" s="6" t="s">
        <v>142</v>
      </c>
      <c r="H99" s="8">
        <v>46272</v>
      </c>
      <c r="I99" s="8">
        <v>46270</v>
      </c>
      <c r="J99" s="9" t="str">
        <f>+VLOOKUP(K99,Datos!$A:$C,3,FALSE)</f>
        <v>ORIENTE</v>
      </c>
      <c r="K99" s="6">
        <v>179</v>
      </c>
      <c r="L99" s="9" t="str">
        <f>+VLOOKUP(K99,Datos!$A:$C,2,FALSE)</f>
        <v>ZACAPA CATEDRAL</v>
      </c>
      <c r="M99" s="6">
        <v>315570</v>
      </c>
      <c r="N99" s="9" t="str">
        <f>+VLOOKUP(M99,Datos!$F:$G,2,FALSE)</f>
        <v>Zecena Ramos, Kemberly Del Rosario</v>
      </c>
      <c r="O99" s="10">
        <f>IFERROR(IF(A99="SI",VLOOKUP(R99,Datos!$J$1:$K$50,2,FALSE)*C99,VLOOKUP(R99,Datos!$P$1:$T$50,2,FALSE)*C99),0)</f>
        <v>3264</v>
      </c>
      <c r="P99" s="6">
        <v>300280</v>
      </c>
      <c r="Q99" s="9" t="str">
        <f>+VLOOKUP(P99,Datos!$F:$G,2,FALSE)</f>
        <v>Lilian Del Carmen Franco Curin</v>
      </c>
      <c r="R99" s="6" t="s">
        <v>29</v>
      </c>
      <c r="S99" s="6" t="s">
        <v>20</v>
      </c>
      <c r="T99" s="6">
        <f t="shared" si="1"/>
        <v>1</v>
      </c>
    </row>
    <row r="100" spans="1:20" hidden="1" x14ac:dyDescent="0.35">
      <c r="A100" s="6" t="s">
        <v>20</v>
      </c>
      <c r="B100" s="6" t="s">
        <v>21</v>
      </c>
      <c r="C100" s="6">
        <v>1</v>
      </c>
      <c r="D100" s="6" t="s">
        <v>22</v>
      </c>
      <c r="E100" s="6" t="s">
        <v>27</v>
      </c>
      <c r="F100" s="6">
        <v>4327</v>
      </c>
      <c r="G100" s="6" t="s">
        <v>143</v>
      </c>
      <c r="H100" s="8">
        <v>46272</v>
      </c>
      <c r="I100" s="8">
        <v>46272</v>
      </c>
      <c r="J100" s="9" t="str">
        <f>+VLOOKUP(K100,Datos!$A:$C,3,FALSE)</f>
        <v>ORIENTE</v>
      </c>
      <c r="K100" s="6">
        <v>122</v>
      </c>
      <c r="L100" s="9" t="str">
        <f>+VLOOKUP(K100,Datos!$A:$C,2,FALSE)</f>
        <v>AGUA BLANCA</v>
      </c>
      <c r="M100" s="6">
        <v>90040423</v>
      </c>
      <c r="N100" s="9" t="str">
        <f>+VLOOKUP(M100,Datos!$F:$G,2,FALSE)</f>
        <v>Melany Valeska Juarez Carpio</v>
      </c>
      <c r="O100" s="10">
        <f>IFERROR(IF(A100="SI",VLOOKUP(R100,Datos!$J$1:$K$50,2,FALSE)*C100,VLOOKUP(R100,Datos!$P$1:$T$50,2,FALSE)*C100),0)</f>
        <v>1368</v>
      </c>
      <c r="P100" s="6">
        <v>306259</v>
      </c>
      <c r="Q100" s="9" t="str">
        <f>+VLOOKUP(P100,Datos!$F:$G,2,FALSE)</f>
        <v>Brenda Raquel Ramirez Sanchez</v>
      </c>
      <c r="R100" s="6" t="s">
        <v>25</v>
      </c>
      <c r="S100" s="6" t="s">
        <v>20</v>
      </c>
      <c r="T100" s="6">
        <f t="shared" si="1"/>
        <v>1</v>
      </c>
    </row>
    <row r="101" spans="1:20" hidden="1" x14ac:dyDescent="0.35">
      <c r="A101" s="6" t="s">
        <v>20</v>
      </c>
      <c r="B101" s="6" t="s">
        <v>21</v>
      </c>
      <c r="C101" s="6">
        <v>2</v>
      </c>
      <c r="D101" s="6" t="s">
        <v>22</v>
      </c>
      <c r="E101" s="6" t="s">
        <v>31</v>
      </c>
      <c r="F101" s="6">
        <v>1146</v>
      </c>
      <c r="G101" s="6" t="s">
        <v>144</v>
      </c>
      <c r="H101" s="8">
        <v>46272</v>
      </c>
      <c r="I101" s="8">
        <v>46270</v>
      </c>
      <c r="J101" s="9" t="str">
        <f>+VLOOKUP(K101,Datos!$A:$C,3,FALSE)</f>
        <v>NORTE</v>
      </c>
      <c r="K101" s="6">
        <v>162</v>
      </c>
      <c r="L101" s="9" t="str">
        <f>+VLOOKUP(K101,Datos!$A:$C,2,FALSE)</f>
        <v>CHISEC</v>
      </c>
      <c r="M101" s="6">
        <v>314417</v>
      </c>
      <c r="N101" s="9" t="str">
        <f>+VLOOKUP(M101,Datos!$F:$G,2,FALSE)</f>
        <v>Krisley Mary Dayana Mazariegos Vega</v>
      </c>
      <c r="O101" s="10">
        <f>IFERROR(IF(A101="SI",VLOOKUP(R101,Datos!$J$1:$K$50,2,FALSE)*C101,VLOOKUP(R101,Datos!$P$1:$T$50,2,FALSE)*C101),0)</f>
        <v>1632</v>
      </c>
      <c r="P101" s="6">
        <v>315051</v>
      </c>
      <c r="Q101" s="9" t="str">
        <f>+VLOOKUP(P101,Datos!$F:$G,2,FALSE)</f>
        <v>Carlos Alfredo Catun Rax</v>
      </c>
      <c r="R101" s="6" t="s">
        <v>29</v>
      </c>
      <c r="S101" s="6" t="s">
        <v>20</v>
      </c>
      <c r="T101" s="6">
        <f t="shared" si="1"/>
        <v>1</v>
      </c>
    </row>
    <row r="102" spans="1:20" hidden="1" x14ac:dyDescent="0.35">
      <c r="A102" s="6" t="s">
        <v>20</v>
      </c>
      <c r="B102" s="6" t="s">
        <v>21</v>
      </c>
      <c r="C102" s="6">
        <v>2</v>
      </c>
      <c r="D102" s="6" t="s">
        <v>22</v>
      </c>
      <c r="E102" s="6" t="s">
        <v>145</v>
      </c>
      <c r="F102" s="6">
        <v>156</v>
      </c>
      <c r="G102" s="6" t="s">
        <v>146</v>
      </c>
      <c r="H102" s="8">
        <v>46272</v>
      </c>
      <c r="I102" s="8">
        <v>46267</v>
      </c>
      <c r="J102" s="9" t="s">
        <v>147</v>
      </c>
      <c r="K102" s="6">
        <v>41</v>
      </c>
      <c r="L102" s="9" t="s">
        <v>148</v>
      </c>
      <c r="M102" s="6">
        <v>90048448</v>
      </c>
      <c r="N102" s="9" t="s">
        <v>149</v>
      </c>
      <c r="O102" s="10">
        <v>2016</v>
      </c>
      <c r="P102" s="6">
        <v>301658</v>
      </c>
      <c r="Q102" s="9" t="s">
        <v>150</v>
      </c>
      <c r="R102" s="6" t="s">
        <v>114</v>
      </c>
      <c r="S102" s="6" t="s">
        <v>20</v>
      </c>
      <c r="T102" s="6">
        <v>1</v>
      </c>
    </row>
    <row r="103" spans="1:20" hidden="1" x14ac:dyDescent="0.35">
      <c r="A103" s="6" t="s">
        <v>20</v>
      </c>
      <c r="B103" s="6" t="s">
        <v>21</v>
      </c>
      <c r="C103" s="6">
        <v>1</v>
      </c>
      <c r="D103" s="6" t="s">
        <v>22</v>
      </c>
      <c r="E103" s="6" t="s">
        <v>151</v>
      </c>
      <c r="F103" s="6">
        <v>410</v>
      </c>
      <c r="G103" s="6" t="s">
        <v>152</v>
      </c>
      <c r="H103" s="8">
        <v>46272</v>
      </c>
      <c r="I103" s="8">
        <v>46272</v>
      </c>
      <c r="J103" s="9" t="str">
        <f>+VLOOKUP(K103,Datos!$A:$C,3,FALSE)</f>
        <v>NORTE</v>
      </c>
      <c r="K103" s="6">
        <v>205</v>
      </c>
      <c r="L103" s="9" t="str">
        <f>+VLOOKUP(K103,Datos!$A:$C,2,FALSE)</f>
        <v>SAN CRISTOBAL VERAPAZ</v>
      </c>
      <c r="M103" s="6">
        <v>90081179</v>
      </c>
      <c r="N103" s="9" t="str">
        <f>+VLOOKUP(M103,Datos!$F:$G,2,FALSE)</f>
        <v>OSCAR MIGUEL QUEJ TILOM</v>
      </c>
      <c r="O103" s="10">
        <f>IFERROR(IF(A103="SI",VLOOKUP(R103,Datos!$J$1:$K$50,2,FALSE)*C103,VLOOKUP(R103,Datos!$P$1:$T$50,2,FALSE)*C103),0)</f>
        <v>1092</v>
      </c>
      <c r="P103" s="6">
        <v>300978</v>
      </c>
      <c r="Q103" s="9" t="str">
        <f>+VLOOKUP(P103,Datos!$F:$G,2,FALSE)</f>
        <v>Wuangler Geovane Cal Sucup</v>
      </c>
      <c r="R103" s="6" t="s">
        <v>117</v>
      </c>
      <c r="S103" s="6" t="s">
        <v>20</v>
      </c>
      <c r="T103" s="6">
        <f t="shared" ref="T103:T166" si="2">+COUNTIFS($G$2:$G$623,G103)</f>
        <v>1</v>
      </c>
    </row>
    <row r="104" spans="1:20" hidden="1" x14ac:dyDescent="0.35">
      <c r="A104" s="6" t="s">
        <v>20</v>
      </c>
      <c r="B104" s="6" t="s">
        <v>21</v>
      </c>
      <c r="C104" s="6">
        <v>4</v>
      </c>
      <c r="D104" s="6" t="s">
        <v>22</v>
      </c>
      <c r="E104" s="6" t="s">
        <v>23</v>
      </c>
      <c r="F104" s="6">
        <v>677</v>
      </c>
      <c r="G104" s="6" t="s">
        <v>153</v>
      </c>
      <c r="H104" s="8">
        <v>46272</v>
      </c>
      <c r="I104" s="8">
        <v>46272</v>
      </c>
      <c r="J104" s="9" t="str">
        <f>+VLOOKUP(K104,Datos!$A:$C,3,FALSE)</f>
        <v>NORTE</v>
      </c>
      <c r="K104" s="6">
        <v>194</v>
      </c>
      <c r="L104" s="9" t="str">
        <f>+VLOOKUP(K104,Datos!$A:$C,2,FALSE)</f>
        <v>PLAYA GRANDE</v>
      </c>
      <c r="M104" s="6">
        <v>90023865</v>
      </c>
      <c r="N104" s="9" t="str">
        <f>+VLOOKUP(M104,Datos!$F:$G,2,FALSE)</f>
        <v>Benito Abad Jimenez Carrillo</v>
      </c>
      <c r="O104" s="10">
        <f>IFERROR(IF(A104="SI",VLOOKUP(R104,Datos!$J$1:$K$50,2,FALSE)*C104,VLOOKUP(R104,Datos!$P$1:$T$50,2,FALSE)*C104),0)</f>
        <v>3264</v>
      </c>
      <c r="P104" s="6">
        <v>313593</v>
      </c>
      <c r="Q104" s="9" t="str">
        <f>+VLOOKUP(P104,Datos!$F:$G,2,FALSE)</f>
        <v>Slayker Andony Santiago Natareno</v>
      </c>
      <c r="R104" s="6" t="s">
        <v>29</v>
      </c>
      <c r="S104" s="6" t="s">
        <v>20</v>
      </c>
      <c r="T104" s="6">
        <f t="shared" si="2"/>
        <v>1</v>
      </c>
    </row>
    <row r="105" spans="1:20" hidden="1" x14ac:dyDescent="0.35">
      <c r="A105" s="6" t="s">
        <v>20</v>
      </c>
      <c r="B105" s="6" t="s">
        <v>21</v>
      </c>
      <c r="C105" s="6">
        <v>4</v>
      </c>
      <c r="D105" s="6" t="s">
        <v>22</v>
      </c>
      <c r="E105" s="6" t="s">
        <v>23</v>
      </c>
      <c r="F105" s="6">
        <v>662</v>
      </c>
      <c r="G105" s="6" t="s">
        <v>154</v>
      </c>
      <c r="H105" s="8">
        <v>46272</v>
      </c>
      <c r="I105" s="8">
        <v>46270</v>
      </c>
      <c r="J105" s="9" t="str">
        <f>+VLOOKUP(K105,Datos!$A:$C,3,FALSE)</f>
        <v>ORIENTE</v>
      </c>
      <c r="K105" s="6">
        <v>156</v>
      </c>
      <c r="L105" s="9" t="str">
        <f>+VLOOKUP(K105,Datos!$A:$C,2,FALSE)</f>
        <v>TECULUTAN</v>
      </c>
      <c r="M105" s="6">
        <v>315488</v>
      </c>
      <c r="N105" s="9" t="str">
        <f>+VLOOKUP(M105,Datos!$F:$G,2,FALSE)</f>
        <v>Maria Alejandra Lanuza Pérez</v>
      </c>
      <c r="O105" s="10">
        <f>IFERROR(IF(A105="SI",VLOOKUP(R105,Datos!$J$1:$K$50,2,FALSE)*C105,VLOOKUP(R105,Datos!$P$1:$T$50,2,FALSE)*C105),0)</f>
        <v>3264</v>
      </c>
      <c r="P105" s="6">
        <v>310483</v>
      </c>
      <c r="Q105" s="9" t="str">
        <f>+VLOOKUP(P105,Datos!$F:$G,2,FALSE)</f>
        <v>Astrid Ivone Hernandez</v>
      </c>
      <c r="R105" s="6" t="s">
        <v>29</v>
      </c>
      <c r="S105" s="6" t="s">
        <v>20</v>
      </c>
      <c r="T105" s="6">
        <f t="shared" si="2"/>
        <v>1</v>
      </c>
    </row>
    <row r="106" spans="1:20" hidden="1" x14ac:dyDescent="0.35">
      <c r="A106" s="6" t="s">
        <v>20</v>
      </c>
      <c r="B106" s="6" t="s">
        <v>21</v>
      </c>
      <c r="C106" s="6">
        <v>1</v>
      </c>
      <c r="D106" s="6" t="s">
        <v>22</v>
      </c>
      <c r="E106" s="6" t="s">
        <v>27</v>
      </c>
      <c r="F106" s="6">
        <v>4328</v>
      </c>
      <c r="G106" s="6" t="s">
        <v>155</v>
      </c>
      <c r="H106" s="8">
        <v>46272</v>
      </c>
      <c r="I106" s="8">
        <v>46273</v>
      </c>
      <c r="J106" s="9" t="str">
        <f>+VLOOKUP(K106,Datos!$A:$C,3,FALSE)</f>
        <v>NORTE</v>
      </c>
      <c r="K106" s="6">
        <v>195</v>
      </c>
      <c r="L106" s="9" t="str">
        <f>+VLOOKUP(K106,Datos!$A:$C,2,FALSE)</f>
        <v>TELEMAN</v>
      </c>
      <c r="M106" s="6">
        <v>310871</v>
      </c>
      <c r="N106" s="9" t="str">
        <f>+VLOOKUP(M106,Datos!$F:$G,2,FALSE)</f>
        <v>Yuri Vanessa Bac Caal De Gomez</v>
      </c>
      <c r="O106" s="10">
        <f>IFERROR(IF(A106="SI",VLOOKUP(R106,Datos!$J$1:$K$50,2,FALSE)*C106,VLOOKUP(R106,Datos!$P$1:$T$50,2,FALSE)*C106),0)</f>
        <v>1368</v>
      </c>
      <c r="P106" s="6">
        <v>315351</v>
      </c>
      <c r="Q106" s="9" t="str">
        <f>+VLOOKUP(P106,Datos!$F:$G,2,FALSE)</f>
        <v>Maria Vicenta Lopez Mancilla De De Del Valle</v>
      </c>
      <c r="R106" s="6" t="s">
        <v>25</v>
      </c>
      <c r="S106" s="6" t="s">
        <v>20</v>
      </c>
      <c r="T106" s="6">
        <f t="shared" si="2"/>
        <v>1</v>
      </c>
    </row>
    <row r="107" spans="1:20" hidden="1" x14ac:dyDescent="0.35">
      <c r="A107" s="6" t="s">
        <v>20</v>
      </c>
      <c r="B107" s="6" t="s">
        <v>21</v>
      </c>
      <c r="C107" s="6">
        <v>1</v>
      </c>
      <c r="D107" s="6" t="s">
        <v>22</v>
      </c>
      <c r="E107" s="6" t="s">
        <v>27</v>
      </c>
      <c r="F107" s="6">
        <v>4339</v>
      </c>
      <c r="G107" s="6" t="s">
        <v>156</v>
      </c>
      <c r="H107" s="8">
        <v>46272</v>
      </c>
      <c r="I107" s="8">
        <v>46272</v>
      </c>
      <c r="J107" s="9" t="str">
        <f>+VLOOKUP(K107,Datos!$A:$C,3,FALSE)</f>
        <v>NORTE</v>
      </c>
      <c r="K107" s="6">
        <v>195</v>
      </c>
      <c r="L107" s="9" t="str">
        <f>+VLOOKUP(K107,Datos!$A:$C,2,FALSE)</f>
        <v>TELEMAN</v>
      </c>
      <c r="M107" s="6">
        <v>90082179</v>
      </c>
      <c r="N107" s="9" t="str">
        <f>+VLOOKUP(M107,Datos!$F:$G,2,FALSE)</f>
        <v>REYNA ADELAIDA CHAMAN CAAL</v>
      </c>
      <c r="O107" s="10">
        <f>IFERROR(IF(A107="SI",VLOOKUP(R107,Datos!$J$1:$K$50,2,FALSE)*C107,VLOOKUP(R107,Datos!$P$1:$T$50,2,FALSE)*C107),0)</f>
        <v>1368</v>
      </c>
      <c r="P107" s="6">
        <v>315351</v>
      </c>
      <c r="Q107" s="9" t="str">
        <f>+VLOOKUP(P107,Datos!$F:$G,2,FALSE)</f>
        <v>Maria Vicenta Lopez Mancilla De De Del Valle</v>
      </c>
      <c r="R107" s="6" t="s">
        <v>25</v>
      </c>
      <c r="S107" s="6" t="s">
        <v>20</v>
      </c>
      <c r="T107" s="6">
        <f t="shared" si="2"/>
        <v>1</v>
      </c>
    </row>
    <row r="108" spans="1:20" hidden="1" x14ac:dyDescent="0.35">
      <c r="A108" s="6" t="s">
        <v>20</v>
      </c>
      <c r="B108" s="6" t="s">
        <v>26</v>
      </c>
      <c r="C108" s="6">
        <v>1</v>
      </c>
      <c r="D108" s="6" t="s">
        <v>22</v>
      </c>
      <c r="E108" s="6" t="s">
        <v>27</v>
      </c>
      <c r="F108" s="6">
        <v>4314</v>
      </c>
      <c r="G108" s="6" t="s">
        <v>157</v>
      </c>
      <c r="H108" s="8">
        <v>46272</v>
      </c>
      <c r="I108" s="8">
        <v>46272</v>
      </c>
      <c r="J108" s="9" t="str">
        <f>+VLOOKUP(K108,Datos!$A:$C,3,FALSE)</f>
        <v>NORTE</v>
      </c>
      <c r="K108" s="6">
        <v>38</v>
      </c>
      <c r="L108" s="9" t="str">
        <f>+VLOOKUP(K108,Datos!$A:$C,2,FALSE)</f>
        <v>CARCHA</v>
      </c>
      <c r="M108" s="6">
        <v>90064229</v>
      </c>
      <c r="N108" s="9" t="str">
        <f>+VLOOKUP(M108,Datos!$F:$G,2,FALSE)</f>
        <v>KRISHNA MORALES</v>
      </c>
      <c r="O108" s="10">
        <f>IFERROR(IF(A108="SI",VLOOKUP(R108,Datos!$J$1:$K$50,2,FALSE)*C108,VLOOKUP(R108,Datos!$P$1:$T$50,2,FALSE)*C108),0)</f>
        <v>816</v>
      </c>
      <c r="P108" s="6">
        <v>315962</v>
      </c>
      <c r="Q108" s="9" t="str">
        <f>+VLOOKUP(P108,Datos!$F:$G,2,FALSE)</f>
        <v>Jennifer Celeste Delgado Garcia</v>
      </c>
      <c r="R108" s="6" t="s">
        <v>29</v>
      </c>
      <c r="S108" s="6" t="s">
        <v>20</v>
      </c>
      <c r="T108" s="6">
        <f t="shared" si="2"/>
        <v>2</v>
      </c>
    </row>
    <row r="109" spans="1:20" hidden="1" x14ac:dyDescent="0.35">
      <c r="A109" s="6" t="s">
        <v>20</v>
      </c>
      <c r="B109" s="6" t="s">
        <v>21</v>
      </c>
      <c r="C109" s="6">
        <v>2</v>
      </c>
      <c r="D109" s="6" t="s">
        <v>22</v>
      </c>
      <c r="E109" s="6" t="s">
        <v>31</v>
      </c>
      <c r="F109" s="6">
        <v>1172</v>
      </c>
      <c r="G109" s="6" t="s">
        <v>158</v>
      </c>
      <c r="H109" s="8">
        <v>46272</v>
      </c>
      <c r="I109" s="8">
        <v>46272</v>
      </c>
      <c r="J109" s="9" t="str">
        <f>+VLOOKUP(K109,Datos!$A:$C,3,FALSE)</f>
        <v>PETAPA</v>
      </c>
      <c r="K109" s="6">
        <v>86</v>
      </c>
      <c r="L109" s="9" t="str">
        <f>+VLOOKUP(K109,Datos!$A:$C,2,FALSE)</f>
        <v>EL FRUTAL</v>
      </c>
      <c r="M109" s="6">
        <v>310719</v>
      </c>
      <c r="N109" s="9" t="str">
        <f>+VLOOKUP(M109,Datos!$F:$G,2,FALSE)</f>
        <v>Gladyz Ninett Sanchez Perez</v>
      </c>
      <c r="O109" s="10">
        <f>IFERROR(IF(A109="SI",VLOOKUP(R109,Datos!$J$1:$K$50,2,FALSE)*C109,VLOOKUP(R109,Datos!$P$1:$T$50,2,FALSE)*C109),0)</f>
        <v>2736</v>
      </c>
      <c r="P109" s="6">
        <v>313727</v>
      </c>
      <c r="Q109" s="9" t="str">
        <f>+VLOOKUP(P109,Datos!$F:$G,2,FALSE)</f>
        <v>Erwin Antonio Lorenzo Zamora</v>
      </c>
      <c r="R109" s="6" t="s">
        <v>25</v>
      </c>
      <c r="S109" s="6" t="s">
        <v>20</v>
      </c>
      <c r="T109" s="6">
        <f t="shared" si="2"/>
        <v>1</v>
      </c>
    </row>
    <row r="110" spans="1:20" hidden="1" x14ac:dyDescent="0.35">
      <c r="A110" s="6" t="s">
        <v>20</v>
      </c>
      <c r="B110" s="6" t="s">
        <v>21</v>
      </c>
      <c r="C110" s="6">
        <v>1</v>
      </c>
      <c r="D110" s="6" t="s">
        <v>22</v>
      </c>
      <c r="E110" s="6" t="s">
        <v>27</v>
      </c>
      <c r="F110" s="6">
        <v>4329</v>
      </c>
      <c r="G110" s="6" t="s">
        <v>159</v>
      </c>
      <c r="H110" s="8">
        <v>46272</v>
      </c>
      <c r="I110" s="8">
        <v>46270</v>
      </c>
      <c r="J110" s="9" t="str">
        <f>+VLOOKUP(K110,Datos!$A:$C,3,FALSE)</f>
        <v>AMERICAS</v>
      </c>
      <c r="K110" s="6">
        <v>231</v>
      </c>
      <c r="L110" s="9" t="str">
        <f>+VLOOKUP(K110,Datos!$A:$C,2,FALSE)</f>
        <v>SANTA AMELIA ZONA 16</v>
      </c>
      <c r="M110" s="6">
        <v>308152</v>
      </c>
      <c r="N110" s="9" t="str">
        <f>+VLOOKUP(M110,Datos!$F:$G,2,FALSE)</f>
        <v>Ericka Nathali Huitz Ortega</v>
      </c>
      <c r="O110" s="10">
        <f>IFERROR(IF(A110="SI",VLOOKUP(R110,Datos!$J$1:$K$50,2,FALSE)*C110,VLOOKUP(R110,Datos!$P$1:$T$50,2,FALSE)*C110),0)</f>
        <v>816</v>
      </c>
      <c r="P110" s="6">
        <v>311092</v>
      </c>
      <c r="Q110" s="9" t="str">
        <f>+VLOOKUP(P110,Datos!$F:$G,2,FALSE)</f>
        <v>Sandra Patricia Ochoa Sanchez</v>
      </c>
      <c r="R110" s="6" t="s">
        <v>29</v>
      </c>
      <c r="S110" s="6" t="s">
        <v>20</v>
      </c>
      <c r="T110" s="6">
        <f t="shared" si="2"/>
        <v>1</v>
      </c>
    </row>
    <row r="111" spans="1:20" hidden="1" x14ac:dyDescent="0.35">
      <c r="A111" s="6" t="s">
        <v>20</v>
      </c>
      <c r="B111" s="6" t="s">
        <v>21</v>
      </c>
      <c r="C111" s="6">
        <v>4</v>
      </c>
      <c r="D111" s="6" t="s">
        <v>22</v>
      </c>
      <c r="E111" s="6" t="s">
        <v>23</v>
      </c>
      <c r="F111" s="6">
        <v>686</v>
      </c>
      <c r="G111" s="6" t="s">
        <v>160</v>
      </c>
      <c r="H111" s="7">
        <v>46273</v>
      </c>
      <c r="I111" s="8">
        <v>46273</v>
      </c>
      <c r="J111" s="9" t="str">
        <f>+VLOOKUP(K111,Datos!$A:$C,3,FALSE)</f>
        <v>ORIENTE</v>
      </c>
      <c r="K111" s="6">
        <v>128</v>
      </c>
      <c r="L111" s="9" t="str">
        <f>+VLOOKUP(K111,Datos!$A:$C,2,FALSE)</f>
        <v>CHIQUIMULA 2</v>
      </c>
      <c r="M111" s="6">
        <v>313864</v>
      </c>
      <c r="N111" s="9" t="str">
        <f>+VLOOKUP(M111,Datos!$F:$G,2,FALSE)</f>
        <v>Milena Maria Mendez Cheguen</v>
      </c>
      <c r="O111" s="10">
        <f>IFERROR(IF(A111="SI",VLOOKUP(R111,Datos!$J$1:$K$50,2,FALSE)*C111,VLOOKUP(R111,Datos!$P$1:$T$50,2,FALSE)*C111),0)</f>
        <v>5472</v>
      </c>
      <c r="P111" s="6">
        <v>312176</v>
      </c>
      <c r="Q111" s="9" t="str">
        <f>+VLOOKUP(P111,Datos!$F:$G,2,FALSE)</f>
        <v>Nestor Edgardo Gutierrez Lazaro</v>
      </c>
      <c r="R111" s="6" t="s">
        <v>25</v>
      </c>
      <c r="S111" s="6" t="s">
        <v>20</v>
      </c>
      <c r="T111" s="6">
        <f t="shared" si="2"/>
        <v>1</v>
      </c>
    </row>
    <row r="112" spans="1:20" hidden="1" x14ac:dyDescent="0.35">
      <c r="A112" s="6" t="s">
        <v>20</v>
      </c>
      <c r="B112" s="6" t="s">
        <v>26</v>
      </c>
      <c r="C112" s="6">
        <v>1</v>
      </c>
      <c r="D112" s="6" t="s">
        <v>22</v>
      </c>
      <c r="E112" s="6" t="s">
        <v>151</v>
      </c>
      <c r="F112" s="6">
        <v>415</v>
      </c>
      <c r="G112" s="6" t="s">
        <v>161</v>
      </c>
      <c r="H112" s="8">
        <v>46273</v>
      </c>
      <c r="I112" s="8">
        <v>46273</v>
      </c>
      <c r="J112" s="9" t="str">
        <f>+VLOOKUP(K112,Datos!$A:$C,3,FALSE)</f>
        <v>AMERICAS</v>
      </c>
      <c r="K112" s="6">
        <v>231</v>
      </c>
      <c r="L112" s="9" t="str">
        <f>+VLOOKUP(K112,Datos!$A:$C,2,FALSE)</f>
        <v>SANTA AMELIA ZONA 16</v>
      </c>
      <c r="M112" s="6">
        <v>308152</v>
      </c>
      <c r="N112" s="9" t="str">
        <f>+VLOOKUP(M112,Datos!$F:$G,2,FALSE)</f>
        <v>Ericka Nathali Huitz Ortega</v>
      </c>
      <c r="O112" s="10">
        <f>IFERROR(IF(A112="SI",VLOOKUP(R112,Datos!$J$1:$K$50,2,FALSE)*C112,VLOOKUP(R112,Datos!$P$1:$T$50,2,FALSE)*C112),0)</f>
        <v>1092</v>
      </c>
      <c r="P112" s="6">
        <v>311092</v>
      </c>
      <c r="Q112" s="9" t="str">
        <f>+VLOOKUP(P112,Datos!$F:$G,2,FALSE)</f>
        <v>Sandra Patricia Ochoa Sanchez</v>
      </c>
      <c r="R112" s="6" t="s">
        <v>117</v>
      </c>
      <c r="S112" s="6" t="s">
        <v>78</v>
      </c>
      <c r="T112" s="6">
        <f t="shared" si="2"/>
        <v>1</v>
      </c>
    </row>
    <row r="113" spans="1:20" hidden="1" x14ac:dyDescent="0.35">
      <c r="A113" s="6" t="s">
        <v>20</v>
      </c>
      <c r="B113" s="6" t="s">
        <v>21</v>
      </c>
      <c r="C113" s="6">
        <v>4</v>
      </c>
      <c r="D113" s="6" t="s">
        <v>22</v>
      </c>
      <c r="E113" s="6" t="s">
        <v>23</v>
      </c>
      <c r="F113" s="6">
        <v>637</v>
      </c>
      <c r="G113" s="6" t="s">
        <v>162</v>
      </c>
      <c r="H113" s="8">
        <v>46273</v>
      </c>
      <c r="I113" s="8">
        <v>46268</v>
      </c>
      <c r="J113" s="9" t="str">
        <f>+VLOOKUP(K113,Datos!$A:$C,3,FALSE)</f>
        <v>ORIENTE</v>
      </c>
      <c r="K113" s="6">
        <v>156</v>
      </c>
      <c r="L113" s="9" t="str">
        <f>+VLOOKUP(K113,Datos!$A:$C,2,FALSE)</f>
        <v>TECULUTAN</v>
      </c>
      <c r="M113" s="6">
        <v>315488</v>
      </c>
      <c r="N113" s="9" t="str">
        <f>+VLOOKUP(M113,Datos!$F:$G,2,FALSE)</f>
        <v>Maria Alejandra Lanuza Pérez</v>
      </c>
      <c r="O113" s="10">
        <f>IFERROR(IF(A113="SI",VLOOKUP(R113,Datos!$J$1:$K$50,2,FALSE)*C113,VLOOKUP(R113,Datos!$P$1:$T$50,2,FALSE)*C113),0)</f>
        <v>27312</v>
      </c>
      <c r="P113" s="6">
        <v>310483</v>
      </c>
      <c r="Q113" s="9" t="str">
        <f>+VLOOKUP(P113,Datos!$F:$G,2,FALSE)</f>
        <v>Astrid Ivone Hernandez</v>
      </c>
      <c r="R113" s="6" t="s">
        <v>163</v>
      </c>
      <c r="S113" s="6" t="s">
        <v>20</v>
      </c>
      <c r="T113" s="6">
        <f t="shared" si="2"/>
        <v>1</v>
      </c>
    </row>
    <row r="114" spans="1:20" hidden="1" x14ac:dyDescent="0.35">
      <c r="A114" s="6" t="s">
        <v>20</v>
      </c>
      <c r="B114" s="6" t="s">
        <v>26</v>
      </c>
      <c r="C114" s="6">
        <v>1</v>
      </c>
      <c r="D114" s="6" t="s">
        <v>22</v>
      </c>
      <c r="E114" s="6" t="s">
        <v>27</v>
      </c>
      <c r="F114" s="6">
        <v>4345</v>
      </c>
      <c r="G114" s="6" t="s">
        <v>164</v>
      </c>
      <c r="H114" s="8">
        <v>46273</v>
      </c>
      <c r="I114" s="8">
        <v>46273</v>
      </c>
      <c r="J114" s="9" t="str">
        <f>+VLOOKUP(K114,Datos!$A:$C,3,FALSE)</f>
        <v>PETAPA</v>
      </c>
      <c r="K114" s="6">
        <v>112</v>
      </c>
      <c r="L114" s="9" t="str">
        <f>+VLOOKUP(K114,Datos!$A:$C,2,FALSE)</f>
        <v>PACIFIC CENTER</v>
      </c>
      <c r="M114" s="6">
        <v>90063387</v>
      </c>
      <c r="N114" s="9" t="str">
        <f>+VLOOKUP(M114,Datos!$F:$G,2,FALSE)</f>
        <v>ANA MARTINEZ</v>
      </c>
      <c r="O114" s="10">
        <f>IFERROR(IF(A114="SI",VLOOKUP(R114,Datos!$J$1:$K$50,2,FALSE)*C114,VLOOKUP(R114,Datos!$P$1:$T$50,2,FALSE)*C114),0)</f>
        <v>816</v>
      </c>
      <c r="P114" s="6">
        <v>309744</v>
      </c>
      <c r="Q114" s="9" t="str">
        <f>+VLOOKUP(P114,Datos!$F:$G,2,FALSE)</f>
        <v>Odalis Ruby Garcia Siquina</v>
      </c>
      <c r="R114" s="6" t="s">
        <v>29</v>
      </c>
      <c r="S114" s="6" t="s">
        <v>20</v>
      </c>
      <c r="T114" s="6">
        <f t="shared" si="2"/>
        <v>1</v>
      </c>
    </row>
    <row r="115" spans="1:20" hidden="1" x14ac:dyDescent="0.35">
      <c r="A115" s="6" t="s">
        <v>20</v>
      </c>
      <c r="B115" s="6" t="s">
        <v>21</v>
      </c>
      <c r="C115" s="6">
        <v>4</v>
      </c>
      <c r="D115" s="6" t="s">
        <v>22</v>
      </c>
      <c r="E115" s="6" t="s">
        <v>23</v>
      </c>
      <c r="F115" s="6">
        <v>643</v>
      </c>
      <c r="G115" s="6" t="s">
        <v>165</v>
      </c>
      <c r="H115" s="8">
        <v>46273</v>
      </c>
      <c r="I115" s="8">
        <v>46268</v>
      </c>
      <c r="J115" s="9" t="str">
        <f>+VLOOKUP(K115,Datos!$A:$C,3,FALSE)</f>
        <v>ORIENTE</v>
      </c>
      <c r="K115" s="6">
        <v>41</v>
      </c>
      <c r="L115" s="9" t="str">
        <f>+VLOOKUP(K115,Datos!$A:$C,2,FALSE)</f>
        <v>JUTIAPA</v>
      </c>
      <c r="M115" s="6">
        <v>90048448</v>
      </c>
      <c r="N115" s="9" t="str">
        <f>+VLOOKUP(M115,Datos!$F:$G,2,FALSE)</f>
        <v>Erick Cecilio Salvatierra García</v>
      </c>
      <c r="O115" s="10">
        <f>IFERROR(IF(A115="SI",VLOOKUP(R115,Datos!$J$1:$K$50,2,FALSE)*C115,VLOOKUP(R115,Datos!$P$1:$T$50,2,FALSE)*C115),0)</f>
        <v>5472</v>
      </c>
      <c r="P115" s="6">
        <v>301658</v>
      </c>
      <c r="Q115" s="9" t="str">
        <f>+VLOOKUP(P115,Datos!$F:$G,2,FALSE)</f>
        <v>Ruth Nohemi Contreras Hernandez</v>
      </c>
      <c r="R115" s="6" t="s">
        <v>25</v>
      </c>
      <c r="S115" s="6" t="s">
        <v>20</v>
      </c>
      <c r="T115" s="6">
        <f t="shared" si="2"/>
        <v>1</v>
      </c>
    </row>
    <row r="116" spans="1:20" hidden="1" x14ac:dyDescent="0.35">
      <c r="A116" s="6" t="s">
        <v>20</v>
      </c>
      <c r="B116" s="6" t="s">
        <v>21</v>
      </c>
      <c r="C116" s="6">
        <v>2</v>
      </c>
      <c r="D116" s="6" t="s">
        <v>22</v>
      </c>
      <c r="E116" s="6" t="s">
        <v>166</v>
      </c>
      <c r="F116" s="6">
        <v>324</v>
      </c>
      <c r="G116" s="6" t="s">
        <v>167</v>
      </c>
      <c r="H116" s="8">
        <v>46273</v>
      </c>
      <c r="I116" s="8">
        <v>46269</v>
      </c>
      <c r="J116" s="9" t="str">
        <f>+VLOOKUP(K116,Datos!$A:$C,3,FALSE)</f>
        <v>ORIENTE</v>
      </c>
      <c r="K116" s="6">
        <v>41</v>
      </c>
      <c r="L116" s="9" t="str">
        <f>+VLOOKUP(K116,Datos!$A:$C,2,FALSE)</f>
        <v>JUTIAPA</v>
      </c>
      <c r="M116" s="6">
        <v>90086174</v>
      </c>
      <c r="N116" s="9" t="str">
        <f>+VLOOKUP(M116,Datos!$F:$G,2,FALSE)</f>
        <v>DAILY ELIZABETH ALAY VANEGAS</v>
      </c>
      <c r="O116" s="10">
        <f>IFERROR(IF(A116="SI",VLOOKUP(R116,Datos!$J$1:$K$50,2,FALSE)*C116,VLOOKUP(R116,Datos!$P$1:$T$50,2,FALSE)*C116),0)</f>
        <v>2856</v>
      </c>
      <c r="P116" s="6">
        <v>311802</v>
      </c>
      <c r="Q116" s="9" t="str">
        <f>+VLOOKUP(P116,Datos!$F:$G,2,FALSE)</f>
        <v>Jose Roberto Samayoa Bernal</v>
      </c>
      <c r="R116" s="6" t="s">
        <v>168</v>
      </c>
      <c r="S116" s="6" t="s">
        <v>20</v>
      </c>
      <c r="T116" s="6">
        <f t="shared" si="2"/>
        <v>1</v>
      </c>
    </row>
    <row r="117" spans="1:20" hidden="1" x14ac:dyDescent="0.35">
      <c r="A117" s="6" t="s">
        <v>20</v>
      </c>
      <c r="B117" s="6" t="s">
        <v>21</v>
      </c>
      <c r="C117" s="6">
        <v>3</v>
      </c>
      <c r="D117" s="6" t="s">
        <v>22</v>
      </c>
      <c r="E117" s="6" t="s">
        <v>53</v>
      </c>
      <c r="F117" s="6">
        <v>617</v>
      </c>
      <c r="G117" s="6" t="s">
        <v>169</v>
      </c>
      <c r="H117" s="8">
        <v>46273</v>
      </c>
      <c r="I117" s="8">
        <v>46273</v>
      </c>
      <c r="J117" s="9" t="str">
        <f>+VLOOKUP(K117,Datos!$A:$C,3,FALSE)</f>
        <v>ORIENTE</v>
      </c>
      <c r="K117" s="6">
        <v>41</v>
      </c>
      <c r="L117" s="9" t="str">
        <f>+VLOOKUP(K117,Datos!$A:$C,2,FALSE)</f>
        <v>JUTIAPA</v>
      </c>
      <c r="M117" s="6">
        <v>90048448</v>
      </c>
      <c r="N117" s="9" t="str">
        <f>+VLOOKUP(M117,Datos!$F:$G,2,FALSE)</f>
        <v>Erick Cecilio Salvatierra García</v>
      </c>
      <c r="O117" s="10">
        <f>IFERROR(IF(A117="SI",VLOOKUP(R117,Datos!$J$1:$K$50,2,FALSE)*C117,VLOOKUP(R117,Datos!$P$1:$T$50,2,FALSE)*C117),0)</f>
        <v>2448</v>
      </c>
      <c r="P117" s="6">
        <v>301658</v>
      </c>
      <c r="Q117" s="9" t="str">
        <f>+VLOOKUP(P117,Datos!$F:$G,2,FALSE)</f>
        <v>Ruth Nohemi Contreras Hernandez</v>
      </c>
      <c r="R117" s="6" t="s">
        <v>29</v>
      </c>
      <c r="S117" s="6" t="s">
        <v>20</v>
      </c>
      <c r="T117" s="6">
        <f t="shared" si="2"/>
        <v>1</v>
      </c>
    </row>
    <row r="118" spans="1:20" hidden="1" x14ac:dyDescent="0.35">
      <c r="A118" s="6" t="s">
        <v>20</v>
      </c>
      <c r="B118" s="6" t="s">
        <v>21</v>
      </c>
      <c r="C118" s="6">
        <v>4</v>
      </c>
      <c r="D118" s="6" t="s">
        <v>22</v>
      </c>
      <c r="E118" s="6" t="s">
        <v>23</v>
      </c>
      <c r="F118" s="6">
        <v>676</v>
      </c>
      <c r="G118" s="6" t="s">
        <v>170</v>
      </c>
      <c r="H118" s="8">
        <v>46273</v>
      </c>
      <c r="I118" s="8">
        <v>46272</v>
      </c>
      <c r="J118" s="9" t="str">
        <f>+VLOOKUP(K118,Datos!$A:$C,3,FALSE)</f>
        <v>ORIENTE</v>
      </c>
      <c r="K118" s="6">
        <v>77</v>
      </c>
      <c r="L118" s="9" t="str">
        <f>+VLOOKUP(K118,Datos!$A:$C,2,FALSE)</f>
        <v>PUERTO BARRIOS</v>
      </c>
      <c r="M118" s="6">
        <v>312738</v>
      </c>
      <c r="N118" s="9" t="str">
        <f>+VLOOKUP(M118,Datos!$F:$G,2,FALSE)</f>
        <v>Wendoly Beatriz Morales Cornel</v>
      </c>
      <c r="O118" s="10">
        <f>IFERROR(IF(A118="SI",VLOOKUP(R118,Datos!$J$1:$K$50,2,FALSE)*C118,VLOOKUP(R118,Datos!$P$1:$T$50,2,FALSE)*C118),0)</f>
        <v>3264</v>
      </c>
      <c r="P118" s="6">
        <v>312950</v>
      </c>
      <c r="Q118" s="9" t="str">
        <f>+VLOOKUP(P118,Datos!$F:$G,2,FALSE)</f>
        <v>Cindy Carolina Sandoval Ruiz</v>
      </c>
      <c r="R118" s="6" t="s">
        <v>29</v>
      </c>
      <c r="S118" s="6" t="s">
        <v>20</v>
      </c>
      <c r="T118" s="6">
        <f t="shared" si="2"/>
        <v>1</v>
      </c>
    </row>
    <row r="119" spans="1:20" hidden="1" x14ac:dyDescent="0.35">
      <c r="A119" s="6" t="s">
        <v>20</v>
      </c>
      <c r="B119" s="6" t="s">
        <v>26</v>
      </c>
      <c r="C119" s="6">
        <v>1</v>
      </c>
      <c r="D119" s="6" t="s">
        <v>22</v>
      </c>
      <c r="E119" s="6" t="s">
        <v>27</v>
      </c>
      <c r="F119" s="6">
        <v>4326</v>
      </c>
      <c r="G119" s="6" t="s">
        <v>171</v>
      </c>
      <c r="H119" s="8">
        <v>46273</v>
      </c>
      <c r="I119" s="8">
        <v>46272</v>
      </c>
      <c r="J119" s="9" t="str">
        <f>+VLOOKUP(K119,Datos!$A:$C,3,FALSE)</f>
        <v>PETAPA</v>
      </c>
      <c r="K119" s="6">
        <v>213</v>
      </c>
      <c r="L119" s="9" t="str">
        <f>+VLOOKUP(K119,Datos!$A:$C,2,FALSE)</f>
        <v>AMATITLAN</v>
      </c>
      <c r="M119" s="6">
        <v>90034378</v>
      </c>
      <c r="N119" s="9" t="str">
        <f>+VLOOKUP(M119,Datos!$F:$G,2,FALSE)</f>
        <v>Caren Mishel Ceballos Marroquin</v>
      </c>
      <c r="O119" s="10">
        <f>IFERROR(IF(A119="SI",VLOOKUP(R119,Datos!$J$1:$K$50,2,FALSE)*C119,VLOOKUP(R119,Datos!$P$1:$T$50,2,FALSE)*C119),0)</f>
        <v>816</v>
      </c>
      <c r="P119" s="6">
        <v>314146</v>
      </c>
      <c r="Q119" s="9" t="str">
        <f>+VLOOKUP(P119,Datos!$F:$G,2,FALSE)</f>
        <v>Jairo Saul Lopez Quinteros</v>
      </c>
      <c r="R119" s="6" t="s">
        <v>29</v>
      </c>
      <c r="S119" s="6" t="s">
        <v>20</v>
      </c>
      <c r="T119" s="6">
        <f t="shared" si="2"/>
        <v>1</v>
      </c>
    </row>
    <row r="120" spans="1:20" hidden="1" x14ac:dyDescent="0.35">
      <c r="A120" s="6" t="s">
        <v>20</v>
      </c>
      <c r="B120" s="6" t="s">
        <v>21</v>
      </c>
      <c r="C120" s="6">
        <v>2</v>
      </c>
      <c r="D120" s="6" t="s">
        <v>22</v>
      </c>
      <c r="E120" s="6" t="s">
        <v>31</v>
      </c>
      <c r="F120" s="6">
        <v>1153</v>
      </c>
      <c r="G120" s="6" t="s">
        <v>172</v>
      </c>
      <c r="H120" s="8">
        <v>46273</v>
      </c>
      <c r="I120" s="8">
        <v>46270</v>
      </c>
      <c r="J120" s="9" t="str">
        <f>+VLOOKUP(K120,Datos!$A:$C,3,FALSE)</f>
        <v>PETAPA</v>
      </c>
      <c r="K120" s="6">
        <v>88</v>
      </c>
      <c r="L120" s="9" t="str">
        <f>+VLOOKUP(K120,Datos!$A:$C,2,FALSE)</f>
        <v>ATANASIO TZUL</v>
      </c>
      <c r="M120" s="6">
        <v>90035164</v>
      </c>
      <c r="N120" s="9" t="str">
        <f>+VLOOKUP(M120,Datos!$F:$G,2,FALSE)</f>
        <v>Gelver Valentin Gonzalez Bravo</v>
      </c>
      <c r="O120" s="10">
        <f>IFERROR(IF(A120="SI",VLOOKUP(R120,Datos!$J$1:$K$50,2,FALSE)*C120,VLOOKUP(R120,Datos!$P$1:$T$50,2,FALSE)*C120),0)</f>
        <v>1632</v>
      </c>
      <c r="P120" s="6">
        <v>306713</v>
      </c>
      <c r="Q120" s="9" t="str">
        <f>+VLOOKUP(P120,Datos!$F:$G,2,FALSE)</f>
        <v>Luis Fernando Santos Aguilar</v>
      </c>
      <c r="R120" s="6" t="s">
        <v>29</v>
      </c>
      <c r="S120" s="6" t="s">
        <v>20</v>
      </c>
      <c r="T120" s="6">
        <f t="shared" si="2"/>
        <v>1</v>
      </c>
    </row>
    <row r="121" spans="1:20" hidden="1" x14ac:dyDescent="0.35">
      <c r="A121" s="6" t="s">
        <v>20</v>
      </c>
      <c r="B121" s="6" t="s">
        <v>21</v>
      </c>
      <c r="C121" s="6">
        <v>4</v>
      </c>
      <c r="D121" s="6" t="s">
        <v>22</v>
      </c>
      <c r="E121" s="6" t="s">
        <v>115</v>
      </c>
      <c r="F121" s="6">
        <v>180</v>
      </c>
      <c r="G121" s="6" t="s">
        <v>173</v>
      </c>
      <c r="H121" s="8">
        <v>46273</v>
      </c>
      <c r="I121" s="8">
        <v>46273</v>
      </c>
      <c r="J121" s="9" t="str">
        <f>+VLOOKUP(K121,Datos!$A:$C,3,FALSE)</f>
        <v>ORIENTE</v>
      </c>
      <c r="K121" s="6">
        <v>42</v>
      </c>
      <c r="L121" s="9" t="str">
        <f>+VLOOKUP(K121,Datos!$A:$C,2,FALSE)</f>
        <v>JALAPA</v>
      </c>
      <c r="M121" s="6">
        <v>90039328</v>
      </c>
      <c r="N121" s="9" t="str">
        <f>+VLOOKUP(M121,Datos!$F:$G,2,FALSE)</f>
        <v xml:space="preserve">Libni Madai Lopez </v>
      </c>
      <c r="O121" s="10">
        <f>IFERROR(IF(A121="SI",VLOOKUP(R121,Datos!$J$1:$K$50,2,FALSE)*C121,VLOOKUP(R121,Datos!$P$1:$T$50,2,FALSE)*C121),0)</f>
        <v>4368</v>
      </c>
      <c r="P121" s="6">
        <v>313612</v>
      </c>
      <c r="Q121" s="9" t="str">
        <f>+VLOOKUP(P121,Datos!$F:$G,2,FALSE)</f>
        <v>Jose Baldemar Galicia Muñoz</v>
      </c>
      <c r="R121" s="6" t="s">
        <v>117</v>
      </c>
      <c r="S121" s="6" t="s">
        <v>20</v>
      </c>
      <c r="T121" s="6">
        <f t="shared" si="2"/>
        <v>1</v>
      </c>
    </row>
    <row r="122" spans="1:20" hidden="1" x14ac:dyDescent="0.35">
      <c r="A122" s="6" t="s">
        <v>20</v>
      </c>
      <c r="B122" s="6" t="s">
        <v>21</v>
      </c>
      <c r="C122" s="6">
        <v>1</v>
      </c>
      <c r="D122" s="6" t="s">
        <v>22</v>
      </c>
      <c r="E122" s="6" t="s">
        <v>27</v>
      </c>
      <c r="F122" s="6">
        <v>4166</v>
      </c>
      <c r="G122" s="6" t="s">
        <v>174</v>
      </c>
      <c r="H122" s="8">
        <v>46273</v>
      </c>
      <c r="I122" s="8">
        <v>46266</v>
      </c>
      <c r="J122" s="9" t="str">
        <f>+VLOOKUP(K122,Datos!$A:$C,3,FALSE)</f>
        <v>ORIENTE</v>
      </c>
      <c r="K122" s="6">
        <v>42</v>
      </c>
      <c r="L122" s="9" t="str">
        <f>+VLOOKUP(K122,Datos!$A:$C,2,FALSE)</f>
        <v>JALAPA</v>
      </c>
      <c r="M122" s="6">
        <v>90086432</v>
      </c>
      <c r="N122" s="9" t="str">
        <f>+VLOOKUP(M122,Datos!$F:$G,2,FALSE)</f>
        <v>HARLYN CECYLIA AJIN MORALES</v>
      </c>
      <c r="O122" s="10">
        <f>IFERROR(IF(A122="SI",VLOOKUP(R122,Datos!$J$1:$K$50,2,FALSE)*C122,VLOOKUP(R122,Datos!$P$1:$T$50,2,FALSE)*C122),0)</f>
        <v>816</v>
      </c>
      <c r="P122" s="6">
        <v>313612</v>
      </c>
      <c r="Q122" s="9" t="str">
        <f>+VLOOKUP(P122,Datos!$F:$G,2,FALSE)</f>
        <v>Jose Baldemar Galicia Muñoz</v>
      </c>
      <c r="R122" s="6" t="s">
        <v>29</v>
      </c>
      <c r="S122" s="6" t="s">
        <v>20</v>
      </c>
      <c r="T122" s="6">
        <f t="shared" si="2"/>
        <v>1</v>
      </c>
    </row>
    <row r="123" spans="1:20" hidden="1" x14ac:dyDescent="0.35">
      <c r="A123" s="6" t="s">
        <v>20</v>
      </c>
      <c r="B123" s="6" t="s">
        <v>21</v>
      </c>
      <c r="C123" s="6">
        <v>2</v>
      </c>
      <c r="D123" s="6" t="s">
        <v>22</v>
      </c>
      <c r="E123" s="6" t="s">
        <v>31</v>
      </c>
      <c r="F123" s="6">
        <v>1163</v>
      </c>
      <c r="G123" s="6" t="s">
        <v>175</v>
      </c>
      <c r="H123" s="8">
        <v>46273</v>
      </c>
      <c r="I123" s="8">
        <v>46272</v>
      </c>
      <c r="J123" s="9" t="str">
        <f>+VLOOKUP(K123,Datos!$A:$C,3,FALSE)</f>
        <v>ORIENTE</v>
      </c>
      <c r="K123" s="6">
        <v>42</v>
      </c>
      <c r="L123" s="9" t="str">
        <f>+VLOOKUP(K123,Datos!$A:$C,2,FALSE)</f>
        <v>JALAPA</v>
      </c>
      <c r="M123" s="6">
        <v>90086432</v>
      </c>
      <c r="N123" s="9" t="str">
        <f>+VLOOKUP(M123,Datos!$F:$G,2,FALSE)</f>
        <v>HARLYN CECYLIA AJIN MORALES</v>
      </c>
      <c r="O123" s="10">
        <f>IFERROR(IF(A123="SI",VLOOKUP(R123,Datos!$J$1:$K$50,2,FALSE)*C123,VLOOKUP(R123,Datos!$P$1:$T$50,2,FALSE)*C123),0)</f>
        <v>1632</v>
      </c>
      <c r="P123" s="6">
        <v>313612</v>
      </c>
      <c r="Q123" s="9" t="str">
        <f>+VLOOKUP(P123,Datos!$F:$G,2,FALSE)</f>
        <v>Jose Baldemar Galicia Muñoz</v>
      </c>
      <c r="R123" s="6" t="s">
        <v>29</v>
      </c>
      <c r="S123" s="6" t="s">
        <v>20</v>
      </c>
      <c r="T123" s="6">
        <f t="shared" si="2"/>
        <v>1</v>
      </c>
    </row>
    <row r="124" spans="1:20" hidden="1" x14ac:dyDescent="0.35">
      <c r="A124" s="6" t="s">
        <v>20</v>
      </c>
      <c r="B124" s="6" t="s">
        <v>26</v>
      </c>
      <c r="C124" s="6">
        <v>2</v>
      </c>
      <c r="D124" s="6" t="s">
        <v>22</v>
      </c>
      <c r="E124" s="6" t="s">
        <v>31</v>
      </c>
      <c r="F124" s="6">
        <v>1178</v>
      </c>
      <c r="G124" s="6" t="s">
        <v>176</v>
      </c>
      <c r="H124" s="8">
        <v>46273</v>
      </c>
      <c r="I124" s="8">
        <v>46273</v>
      </c>
      <c r="J124" s="9" t="str">
        <f>+VLOOKUP(K124,Datos!$A:$C,3,FALSE)</f>
        <v>PETAPA</v>
      </c>
      <c r="K124" s="6">
        <v>112</v>
      </c>
      <c r="L124" s="9" t="str">
        <f>+VLOOKUP(K124,Datos!$A:$C,2,FALSE)</f>
        <v>PACIFIC CENTER</v>
      </c>
      <c r="M124" s="6">
        <v>90084547</v>
      </c>
      <c r="N124" s="9" t="str">
        <f>+VLOOKUP(M124,Datos!$F:$G,2,FALSE)</f>
        <v>LUIS EDUARDO PEREIRA MALDONADO</v>
      </c>
      <c r="O124" s="10">
        <f>IFERROR(IF(A124="SI",VLOOKUP(R124,Datos!$J$1:$K$50,2,FALSE)*C124,VLOOKUP(R124,Datos!$P$1:$T$50,2,FALSE)*C124),0)</f>
        <v>1632</v>
      </c>
      <c r="P124" s="6">
        <v>309744</v>
      </c>
      <c r="Q124" s="9" t="str">
        <f>+VLOOKUP(P124,Datos!$F:$G,2,FALSE)</f>
        <v>Odalis Ruby Garcia Siquina</v>
      </c>
      <c r="R124" s="6" t="s">
        <v>29</v>
      </c>
      <c r="S124" s="6" t="s">
        <v>20</v>
      </c>
      <c r="T124" s="6">
        <f t="shared" si="2"/>
        <v>1</v>
      </c>
    </row>
    <row r="125" spans="1:20" hidden="1" x14ac:dyDescent="0.35">
      <c r="A125" s="6" t="s">
        <v>20</v>
      </c>
      <c r="B125" s="6" t="s">
        <v>26</v>
      </c>
      <c r="C125" s="6">
        <v>1</v>
      </c>
      <c r="D125" s="6" t="s">
        <v>22</v>
      </c>
      <c r="E125" s="6" t="s">
        <v>27</v>
      </c>
      <c r="F125" s="6">
        <v>4336</v>
      </c>
      <c r="G125" s="6" t="s">
        <v>177</v>
      </c>
      <c r="H125" s="8">
        <v>46273</v>
      </c>
      <c r="I125" s="8">
        <v>46272</v>
      </c>
      <c r="J125" s="9" t="str">
        <f>+VLOOKUP(K125,Datos!$A:$C,3,FALSE)</f>
        <v>PETAPA</v>
      </c>
      <c r="K125" s="6">
        <v>112</v>
      </c>
      <c r="L125" s="9" t="str">
        <f>+VLOOKUP(K125,Datos!$A:$C,2,FALSE)</f>
        <v>PACIFIC CENTER</v>
      </c>
      <c r="M125" s="6">
        <v>90084547</v>
      </c>
      <c r="N125" s="9" t="str">
        <f>+VLOOKUP(M125,Datos!$F:$G,2,FALSE)</f>
        <v>LUIS EDUARDO PEREIRA MALDONADO</v>
      </c>
      <c r="O125" s="10">
        <f>IFERROR(IF(A125="SI",VLOOKUP(R125,Datos!$J$1:$K$50,2,FALSE)*C125,VLOOKUP(R125,Datos!$P$1:$T$50,2,FALSE)*C125),0)</f>
        <v>816</v>
      </c>
      <c r="P125" s="6">
        <v>309744</v>
      </c>
      <c r="Q125" s="9" t="str">
        <f>+VLOOKUP(P125,Datos!$F:$G,2,FALSE)</f>
        <v>Odalis Ruby Garcia Siquina</v>
      </c>
      <c r="R125" s="6" t="s">
        <v>29</v>
      </c>
      <c r="S125" s="6" t="s">
        <v>20</v>
      </c>
      <c r="T125" s="6">
        <f t="shared" si="2"/>
        <v>1</v>
      </c>
    </row>
    <row r="126" spans="1:20" hidden="1" x14ac:dyDescent="0.35">
      <c r="A126" s="6" t="s">
        <v>20</v>
      </c>
      <c r="B126" s="6" t="s">
        <v>21</v>
      </c>
      <c r="C126" s="6">
        <v>4</v>
      </c>
      <c r="D126" s="6" t="s">
        <v>22</v>
      </c>
      <c r="E126" s="6" t="s">
        <v>23</v>
      </c>
      <c r="F126" s="6">
        <v>687</v>
      </c>
      <c r="G126" s="6" t="s">
        <v>178</v>
      </c>
      <c r="H126" s="8">
        <v>46273</v>
      </c>
      <c r="I126" s="8">
        <v>46273</v>
      </c>
      <c r="J126" s="9" t="str">
        <f>+VLOOKUP(K126,Datos!$A:$C,3,FALSE)</f>
        <v>ORIENTE</v>
      </c>
      <c r="K126" s="6">
        <v>77</v>
      </c>
      <c r="L126" s="9" t="str">
        <f>+VLOOKUP(K126,Datos!$A:$C,2,FALSE)</f>
        <v>PUERTO BARRIOS</v>
      </c>
      <c r="M126" s="6">
        <v>310105</v>
      </c>
      <c r="N126" s="9" t="str">
        <f>+VLOOKUP(M126,Datos!$F:$G,2,FALSE)</f>
        <v>Simeon Valentin Gomez Flores</v>
      </c>
      <c r="O126" s="10">
        <f>IFERROR(IF(A126="SI",VLOOKUP(R126,Datos!$J$1:$K$50,2,FALSE)*C126,VLOOKUP(R126,Datos!$P$1:$T$50,2,FALSE)*C126),0)</f>
        <v>3264</v>
      </c>
      <c r="P126" s="6">
        <v>312950</v>
      </c>
      <c r="Q126" s="9" t="str">
        <f>+VLOOKUP(P126,Datos!$F:$G,2,FALSE)</f>
        <v>Cindy Carolina Sandoval Ruiz</v>
      </c>
      <c r="R126" s="6" t="s">
        <v>29</v>
      </c>
      <c r="S126" s="6" t="s">
        <v>20</v>
      </c>
      <c r="T126" s="6">
        <f t="shared" si="2"/>
        <v>1</v>
      </c>
    </row>
    <row r="127" spans="1:20" hidden="1" x14ac:dyDescent="0.35">
      <c r="A127" s="6" t="s">
        <v>20</v>
      </c>
      <c r="B127" s="6" t="s">
        <v>21</v>
      </c>
      <c r="C127" s="6">
        <v>2</v>
      </c>
      <c r="D127" s="6" t="s">
        <v>22</v>
      </c>
      <c r="E127" s="6" t="s">
        <v>31</v>
      </c>
      <c r="F127" s="6">
        <v>1179</v>
      </c>
      <c r="G127" s="6" t="s">
        <v>179</v>
      </c>
      <c r="H127" s="8">
        <v>46273</v>
      </c>
      <c r="I127" s="8">
        <v>46273</v>
      </c>
      <c r="J127" s="9" t="str">
        <f>+VLOOKUP(K127,Datos!$A:$C,3,FALSE)</f>
        <v>NORTE</v>
      </c>
      <c r="K127" s="6">
        <v>215</v>
      </c>
      <c r="L127" s="9" t="str">
        <f>+VLOOKUP(K127,Datos!$A:$C,2,FALSE)</f>
        <v>FRAY BARTOLOME DE LAS CASAS</v>
      </c>
      <c r="M127" s="6">
        <v>315495</v>
      </c>
      <c r="N127" s="9" t="str">
        <f>+VLOOKUP(M127,Datos!$F:$G,2,FALSE)</f>
        <v>Heydee Johana Marisol Cho Del Valle</v>
      </c>
      <c r="O127" s="10">
        <f>IFERROR(IF(A127="SI",VLOOKUP(R127,Datos!$J$1:$K$50,2,FALSE)*C127,VLOOKUP(R127,Datos!$P$1:$T$50,2,FALSE)*C127),0)</f>
        <v>1632</v>
      </c>
      <c r="P127" s="6">
        <v>312557</v>
      </c>
      <c r="Q127" s="9" t="str">
        <f>+VLOOKUP(P127,Datos!$F:$G,2,FALSE)</f>
        <v>Edwin Romeo Eleazar Ochoa Lopez</v>
      </c>
      <c r="R127" s="6" t="s">
        <v>29</v>
      </c>
      <c r="S127" s="6" t="s">
        <v>20</v>
      </c>
      <c r="T127" s="6">
        <f t="shared" si="2"/>
        <v>1</v>
      </c>
    </row>
    <row r="128" spans="1:20" hidden="1" x14ac:dyDescent="0.35">
      <c r="A128" s="6" t="s">
        <v>20</v>
      </c>
      <c r="B128" s="6" t="s">
        <v>21</v>
      </c>
      <c r="C128" s="6">
        <v>3</v>
      </c>
      <c r="D128" s="6" t="s">
        <v>22</v>
      </c>
      <c r="E128" s="6" t="s">
        <v>53</v>
      </c>
      <c r="F128" s="6">
        <v>618</v>
      </c>
      <c r="G128" s="6" t="s">
        <v>180</v>
      </c>
      <c r="H128" s="8">
        <v>46273</v>
      </c>
      <c r="I128" s="8">
        <v>46273</v>
      </c>
      <c r="J128" s="9" t="str">
        <f>+VLOOKUP(K128,Datos!$A:$C,3,FALSE)</f>
        <v>ORIENTE</v>
      </c>
      <c r="K128" s="6">
        <v>180</v>
      </c>
      <c r="L128" s="9" t="str">
        <f>+VLOOKUP(K128,Datos!$A:$C,2,FALSE)</f>
        <v>MONJAS</v>
      </c>
      <c r="M128" s="6">
        <v>90040241</v>
      </c>
      <c r="N128" s="9" t="str">
        <f>+VLOOKUP(M128,Datos!$F:$G,2,FALSE)</f>
        <v>Jairo Alessandro Urbina Santiago</v>
      </c>
      <c r="O128" s="10">
        <f>IFERROR(IF(A128="SI",VLOOKUP(R128,Datos!$J$1:$K$50,2,FALSE)*C128,VLOOKUP(R128,Datos!$P$1:$T$50,2,FALSE)*C128),0)</f>
        <v>8208</v>
      </c>
      <c r="P128" s="6">
        <v>315038</v>
      </c>
      <c r="Q128" s="9" t="str">
        <f>+VLOOKUP(P128,Datos!$F:$G,2,FALSE)</f>
        <v>Flor Sylvestre Orellana Gonzalez</v>
      </c>
      <c r="R128" s="6" t="s">
        <v>73</v>
      </c>
      <c r="S128" s="6" t="s">
        <v>20</v>
      </c>
      <c r="T128" s="6">
        <f t="shared" si="2"/>
        <v>1</v>
      </c>
    </row>
    <row r="129" spans="1:20" hidden="1" x14ac:dyDescent="0.35">
      <c r="A129" s="6" t="s">
        <v>20</v>
      </c>
      <c r="B129" s="6" t="s">
        <v>21</v>
      </c>
      <c r="C129" s="6">
        <v>4</v>
      </c>
      <c r="D129" s="6" t="s">
        <v>22</v>
      </c>
      <c r="E129" s="6" t="s">
        <v>23</v>
      </c>
      <c r="F129" s="6">
        <v>679</v>
      </c>
      <c r="G129" s="6" t="s">
        <v>181</v>
      </c>
      <c r="H129" s="8">
        <v>46273</v>
      </c>
      <c r="I129" s="8">
        <v>46273</v>
      </c>
      <c r="J129" s="9" t="str">
        <f>+VLOOKUP(K129,Datos!$A:$C,3,FALSE)</f>
        <v>NORTE</v>
      </c>
      <c r="K129" s="6">
        <v>80</v>
      </c>
      <c r="L129" s="9" t="str">
        <f>+VLOOKUP(K129,Datos!$A:$C,2,FALSE)</f>
        <v>TACTIC</v>
      </c>
      <c r="M129" s="6">
        <v>315859</v>
      </c>
      <c r="N129" s="9" t="str">
        <f>+VLOOKUP(M129,Datos!$F:$G,2,FALSE)</f>
        <v>Claudia Roxana Beb Ac</v>
      </c>
      <c r="O129" s="10">
        <f>IFERROR(IF(A129="SI",VLOOKUP(R129,Datos!$J$1:$K$50,2,FALSE)*C129,VLOOKUP(R129,Datos!$P$1:$T$50,2,FALSE)*C129),0)</f>
        <v>3264</v>
      </c>
      <c r="P129" s="6">
        <v>309528</v>
      </c>
      <c r="Q129" s="9" t="str">
        <f>+VLOOKUP(P129,Datos!$F:$G,2,FALSE)</f>
        <v>Heydi Zuleyma Gue Cac</v>
      </c>
      <c r="R129" s="6" t="s">
        <v>29</v>
      </c>
      <c r="S129" s="6" t="s">
        <v>20</v>
      </c>
      <c r="T129" s="6">
        <f t="shared" si="2"/>
        <v>1</v>
      </c>
    </row>
    <row r="130" spans="1:20" hidden="1" x14ac:dyDescent="0.35">
      <c r="A130" s="6" t="s">
        <v>20</v>
      </c>
      <c r="B130" s="6" t="s">
        <v>26</v>
      </c>
      <c r="C130" s="6">
        <v>1</v>
      </c>
      <c r="D130" s="6" t="s">
        <v>22</v>
      </c>
      <c r="E130" s="6" t="s">
        <v>27</v>
      </c>
      <c r="F130" s="6">
        <v>4361</v>
      </c>
      <c r="G130" s="6" t="s">
        <v>182</v>
      </c>
      <c r="H130" s="8">
        <v>46273</v>
      </c>
      <c r="I130" s="8">
        <v>46273</v>
      </c>
      <c r="J130" s="9" t="str">
        <f>+VLOOKUP(K130,Datos!$A:$C,3,FALSE)</f>
        <v>AMERICAS</v>
      </c>
      <c r="K130" s="6">
        <v>30</v>
      </c>
      <c r="L130" s="9" t="str">
        <f>+VLOOKUP(K130,Datos!$A:$C,2,FALSE)</f>
        <v>BARBERENA</v>
      </c>
      <c r="M130" s="6">
        <v>90068816</v>
      </c>
      <c r="N130" s="9" t="str">
        <f>+VLOOKUP(M130,Datos!$F:$G,2,FALSE)</f>
        <v>BRAYAN ELI GARCIA DONIS</v>
      </c>
      <c r="O130" s="10">
        <f>IFERROR(IF(A130="SI",VLOOKUP(R130,Datos!$J$1:$K$50,2,FALSE)*C130,VLOOKUP(R130,Datos!$P$1:$T$50,2,FALSE)*C130),0)</f>
        <v>1368</v>
      </c>
      <c r="P130" s="6">
        <v>300594</v>
      </c>
      <c r="Q130" s="9" t="str">
        <f>+VLOOKUP(P130,Datos!$F:$G,2,FALSE)</f>
        <v>Rosaura Grisleny Perez Rios</v>
      </c>
      <c r="R130" s="6" t="s">
        <v>25</v>
      </c>
      <c r="S130" s="6" t="s">
        <v>20</v>
      </c>
      <c r="T130" s="6">
        <f t="shared" si="2"/>
        <v>1</v>
      </c>
    </row>
    <row r="131" spans="1:20" hidden="1" x14ac:dyDescent="0.35">
      <c r="A131" s="6" t="s">
        <v>20</v>
      </c>
      <c r="B131" s="6" t="s">
        <v>26</v>
      </c>
      <c r="C131" s="6">
        <v>1</v>
      </c>
      <c r="D131" s="6" t="s">
        <v>22</v>
      </c>
      <c r="E131" s="6" t="s">
        <v>27</v>
      </c>
      <c r="F131" s="6">
        <v>4349</v>
      </c>
      <c r="G131" s="6" t="s">
        <v>183</v>
      </c>
      <c r="H131" s="8">
        <v>46273</v>
      </c>
      <c r="I131" s="8">
        <v>46273</v>
      </c>
      <c r="J131" s="9" t="str">
        <f>+VLOOKUP(K131,Datos!$A:$C,3,FALSE)</f>
        <v>NORTE</v>
      </c>
      <c r="K131" s="6">
        <v>38</v>
      </c>
      <c r="L131" s="9" t="str">
        <f>+VLOOKUP(K131,Datos!$A:$C,2,FALSE)</f>
        <v>CARCHA</v>
      </c>
      <c r="M131" s="6">
        <v>309527</v>
      </c>
      <c r="N131" s="9" t="str">
        <f>+VLOOKUP(M131,Datos!$F:$G,2,FALSE)</f>
        <v>Ana Gabriela Caal Cruz</v>
      </c>
      <c r="O131" s="10">
        <f>IFERROR(IF(A131="SI",VLOOKUP(R131,Datos!$J$1:$K$50,2,FALSE)*C131,VLOOKUP(R131,Datos!$P$1:$T$50,2,FALSE)*C131),0)</f>
        <v>816</v>
      </c>
      <c r="P131" s="6">
        <v>306471</v>
      </c>
      <c r="Q131" s="9" t="str">
        <f>+VLOOKUP(P131,Datos!$F:$G,2,FALSE)</f>
        <v>Angel Enmanuel Quim Macz</v>
      </c>
      <c r="R131" s="6" t="s">
        <v>29</v>
      </c>
      <c r="S131" s="6" t="s">
        <v>20</v>
      </c>
      <c r="T131" s="6">
        <f t="shared" si="2"/>
        <v>1</v>
      </c>
    </row>
    <row r="132" spans="1:20" hidden="1" x14ac:dyDescent="0.35">
      <c r="A132" s="6" t="s">
        <v>20</v>
      </c>
      <c r="B132" s="6" t="s">
        <v>26</v>
      </c>
      <c r="C132" s="6">
        <v>1</v>
      </c>
      <c r="D132" s="6" t="s">
        <v>22</v>
      </c>
      <c r="E132" s="6" t="s">
        <v>27</v>
      </c>
      <c r="F132" s="6">
        <v>4363</v>
      </c>
      <c r="G132" s="6" t="s">
        <v>184</v>
      </c>
      <c r="H132" s="8">
        <v>46273</v>
      </c>
      <c r="I132" s="8">
        <v>46273</v>
      </c>
      <c r="J132" s="9" t="str">
        <f>+VLOOKUP(K132,Datos!$A:$C,3,FALSE)</f>
        <v>NORTE</v>
      </c>
      <c r="K132" s="6">
        <v>38</v>
      </c>
      <c r="L132" s="9" t="str">
        <f>+VLOOKUP(K132,Datos!$A:$C,2,FALSE)</f>
        <v>CARCHA</v>
      </c>
      <c r="M132" s="6">
        <v>305736</v>
      </c>
      <c r="N132" s="9" t="str">
        <f>+VLOOKUP(M132,Datos!$F:$G,2,FALSE)</f>
        <v>Edvin Estuardo Ordoñez Gonzalez</v>
      </c>
      <c r="O132" s="10">
        <f>IFERROR(IF(A132="SI",VLOOKUP(R132,Datos!$J$1:$K$50,2,FALSE)*C132,VLOOKUP(R132,Datos!$P$1:$T$50,2,FALSE)*C132),0)</f>
        <v>816</v>
      </c>
      <c r="P132" s="6">
        <v>306471</v>
      </c>
      <c r="Q132" s="9" t="str">
        <f>+VLOOKUP(P132,Datos!$F:$G,2,FALSE)</f>
        <v>Angel Enmanuel Quim Macz</v>
      </c>
      <c r="R132" s="6" t="s">
        <v>29</v>
      </c>
      <c r="S132" s="6" t="s">
        <v>20</v>
      </c>
      <c r="T132" s="6">
        <f t="shared" si="2"/>
        <v>1</v>
      </c>
    </row>
    <row r="133" spans="1:20" hidden="1" x14ac:dyDescent="0.35">
      <c r="A133" s="6" t="s">
        <v>20</v>
      </c>
      <c r="B133" s="6" t="s">
        <v>26</v>
      </c>
      <c r="C133" s="6">
        <v>2</v>
      </c>
      <c r="D133" s="6" t="s">
        <v>22</v>
      </c>
      <c r="E133" s="6" t="s">
        <v>31</v>
      </c>
      <c r="F133" s="6">
        <v>1181</v>
      </c>
      <c r="G133" s="6" t="s">
        <v>185</v>
      </c>
      <c r="H133" s="7">
        <v>46274</v>
      </c>
      <c r="I133" s="8">
        <v>46274</v>
      </c>
      <c r="J133" s="9" t="str">
        <f>+VLOOKUP(K133,Datos!$A:$C,3,FALSE)</f>
        <v>PETAPA</v>
      </c>
      <c r="K133" s="6">
        <v>112</v>
      </c>
      <c r="L133" s="9" t="str">
        <f>+VLOOKUP(K133,Datos!$A:$C,2,FALSE)</f>
        <v>PACIFIC CENTER</v>
      </c>
      <c r="M133" s="6">
        <v>90063387</v>
      </c>
      <c r="N133" s="9" t="str">
        <f>+VLOOKUP(M133,Datos!$F:$G,2,FALSE)</f>
        <v>ANA MARTINEZ</v>
      </c>
      <c r="O133" s="10">
        <f>IFERROR(IF(A133="SI",VLOOKUP(R133,Datos!$J$1:$K$50,2,FALSE)*C133,VLOOKUP(R133,Datos!$P$1:$T$50,2,FALSE)*C133),0)</f>
        <v>1632</v>
      </c>
      <c r="P133" s="6">
        <v>309744</v>
      </c>
      <c r="Q133" s="9" t="str">
        <f>+VLOOKUP(P133,Datos!$F:$G,2,FALSE)</f>
        <v>Odalis Ruby Garcia Siquina</v>
      </c>
      <c r="R133" s="6" t="s">
        <v>29</v>
      </c>
      <c r="S133" s="6" t="s">
        <v>20</v>
      </c>
      <c r="T133" s="6">
        <f t="shared" si="2"/>
        <v>1</v>
      </c>
    </row>
    <row r="134" spans="1:20" hidden="1" x14ac:dyDescent="0.35">
      <c r="A134" s="6" t="s">
        <v>20</v>
      </c>
      <c r="B134" s="6" t="s">
        <v>21</v>
      </c>
      <c r="C134" s="6">
        <v>1</v>
      </c>
      <c r="D134" s="6" t="s">
        <v>22</v>
      </c>
      <c r="E134" s="6" t="s">
        <v>27</v>
      </c>
      <c r="F134" s="6">
        <v>4231</v>
      </c>
      <c r="G134" s="6" t="s">
        <v>186</v>
      </c>
      <c r="H134" s="8">
        <v>46274</v>
      </c>
      <c r="I134" s="8">
        <v>46268</v>
      </c>
      <c r="J134" s="9" t="str">
        <f>+VLOOKUP(K134,Datos!$A:$C,3,FALSE)</f>
        <v>AMERICAS</v>
      </c>
      <c r="K134" s="6">
        <v>53</v>
      </c>
      <c r="L134" s="9" t="str">
        <f>+VLOOKUP(K134,Datos!$A:$C,2,FALSE)</f>
        <v>PUERTA PARADA</v>
      </c>
      <c r="M134" s="6">
        <v>314320</v>
      </c>
      <c r="N134" s="9" t="str">
        <f>+VLOOKUP(M134,Datos!$F:$G,2,FALSE)</f>
        <v>Evelin Maria Padilla Garcia</v>
      </c>
      <c r="O134" s="10">
        <f>IFERROR(IF(A134="SI",VLOOKUP(R134,Datos!$J$1:$K$50,2,FALSE)*C134,VLOOKUP(R134,Datos!$P$1:$T$50,2,FALSE)*C134),0)</f>
        <v>5460</v>
      </c>
      <c r="P134" s="6">
        <v>300919</v>
      </c>
      <c r="Q134" s="9" t="str">
        <f>+VLOOKUP(P134,Datos!$F:$G,2,FALSE)</f>
        <v>Juan Jose Rodriguez Catu</v>
      </c>
      <c r="R134" s="6" t="s">
        <v>102</v>
      </c>
      <c r="S134" s="6" t="s">
        <v>20</v>
      </c>
      <c r="T134" s="6">
        <f t="shared" si="2"/>
        <v>1</v>
      </c>
    </row>
    <row r="135" spans="1:20" hidden="1" x14ac:dyDescent="0.35">
      <c r="A135" s="6" t="s">
        <v>20</v>
      </c>
      <c r="B135" s="6" t="s">
        <v>21</v>
      </c>
      <c r="C135" s="6">
        <v>1</v>
      </c>
      <c r="D135" s="6" t="s">
        <v>22</v>
      </c>
      <c r="E135" s="6" t="s">
        <v>27</v>
      </c>
      <c r="F135" s="6">
        <v>4348</v>
      </c>
      <c r="G135" s="6" t="s">
        <v>187</v>
      </c>
      <c r="H135" s="8">
        <v>46274</v>
      </c>
      <c r="I135" s="8">
        <v>46273</v>
      </c>
      <c r="J135" s="9" t="str">
        <f>+VLOOKUP(K135,Datos!$A:$C,3,FALSE)</f>
        <v>NORTE</v>
      </c>
      <c r="K135" s="6">
        <v>195</v>
      </c>
      <c r="L135" s="9" t="str">
        <f>+VLOOKUP(K135,Datos!$A:$C,2,FALSE)</f>
        <v>TELEMAN</v>
      </c>
      <c r="M135" s="6">
        <v>90086215</v>
      </c>
      <c r="N135" s="9" t="str">
        <f>+VLOOKUP(M135,Datos!$F:$G,2,FALSE)</f>
        <v>MARCELLO JARED VELIZ CAZ</v>
      </c>
      <c r="O135" s="10">
        <f>IFERROR(IF(A135="SI",VLOOKUP(R135,Datos!$J$1:$K$50,2,FALSE)*C135,VLOOKUP(R135,Datos!$P$1:$T$50,2,FALSE)*C135),0)</f>
        <v>816</v>
      </c>
      <c r="P135" s="6">
        <v>315351</v>
      </c>
      <c r="Q135" s="9" t="str">
        <f>+VLOOKUP(P135,Datos!$F:$G,2,FALSE)</f>
        <v>Maria Vicenta Lopez Mancilla De De Del Valle</v>
      </c>
      <c r="R135" s="6" t="s">
        <v>29</v>
      </c>
      <c r="S135" s="6" t="s">
        <v>20</v>
      </c>
      <c r="T135" s="6">
        <f t="shared" si="2"/>
        <v>1</v>
      </c>
    </row>
    <row r="136" spans="1:20" hidden="1" x14ac:dyDescent="0.35">
      <c r="A136" s="6" t="s">
        <v>20</v>
      </c>
      <c r="B136" s="6" t="s">
        <v>21</v>
      </c>
      <c r="C136" s="6">
        <v>1</v>
      </c>
      <c r="D136" s="6" t="s">
        <v>22</v>
      </c>
      <c r="E136" s="6" t="s">
        <v>27</v>
      </c>
      <c r="F136" s="6">
        <v>4360</v>
      </c>
      <c r="G136" s="6" t="s">
        <v>188</v>
      </c>
      <c r="H136" s="8">
        <v>46274</v>
      </c>
      <c r="I136" s="8">
        <v>46273</v>
      </c>
      <c r="J136" s="9" t="str">
        <f>+VLOOKUP(K136,Datos!$A:$C,3,FALSE)</f>
        <v>NORTE</v>
      </c>
      <c r="K136" s="6">
        <v>195</v>
      </c>
      <c r="L136" s="9" t="str">
        <f>+VLOOKUP(K136,Datos!$A:$C,2,FALSE)</f>
        <v>TELEMAN</v>
      </c>
      <c r="M136" s="6">
        <v>310871</v>
      </c>
      <c r="N136" s="9" t="str">
        <f>+VLOOKUP(M136,Datos!$F:$G,2,FALSE)</f>
        <v>Yuri Vanessa Bac Caal De Gomez</v>
      </c>
      <c r="O136" s="10">
        <f>IFERROR(IF(A136="SI",VLOOKUP(R136,Datos!$J$1:$K$50,2,FALSE)*C136,VLOOKUP(R136,Datos!$P$1:$T$50,2,FALSE)*C136),0)</f>
        <v>816</v>
      </c>
      <c r="P136" s="6">
        <v>315351</v>
      </c>
      <c r="Q136" s="9" t="str">
        <f>+VLOOKUP(P136,Datos!$F:$G,2,FALSE)</f>
        <v>Maria Vicenta Lopez Mancilla De De Del Valle</v>
      </c>
      <c r="R136" s="6" t="s">
        <v>29</v>
      </c>
      <c r="S136" s="6" t="s">
        <v>20</v>
      </c>
      <c r="T136" s="6">
        <f t="shared" si="2"/>
        <v>1</v>
      </c>
    </row>
    <row r="137" spans="1:20" hidden="1" x14ac:dyDescent="0.35">
      <c r="A137" s="6" t="s">
        <v>20</v>
      </c>
      <c r="B137" s="6" t="s">
        <v>21</v>
      </c>
      <c r="C137" s="6">
        <v>4</v>
      </c>
      <c r="D137" s="6" t="s">
        <v>22</v>
      </c>
      <c r="E137" s="6" t="s">
        <v>23</v>
      </c>
      <c r="F137" s="6">
        <v>676</v>
      </c>
      <c r="G137" s="6" t="s">
        <v>189</v>
      </c>
      <c r="H137" s="8">
        <v>46274</v>
      </c>
      <c r="I137" s="8">
        <v>46272</v>
      </c>
      <c r="J137" s="9" t="str">
        <f>+VLOOKUP(K137,Datos!$A:$C,3,FALSE)</f>
        <v>ORIENTE</v>
      </c>
      <c r="K137" s="6">
        <v>77</v>
      </c>
      <c r="L137" s="9" t="str">
        <f>+VLOOKUP(K137,Datos!$A:$C,2,FALSE)</f>
        <v>PUERTO BARRIOS</v>
      </c>
      <c r="M137" s="6">
        <v>312738</v>
      </c>
      <c r="N137" s="9" t="str">
        <f>+VLOOKUP(M137,Datos!$F:$G,2,FALSE)</f>
        <v>Wendoly Beatriz Morales Cornel</v>
      </c>
      <c r="O137" s="10">
        <f>IFERROR(IF(A137="SI",VLOOKUP(R137,Datos!$J$1:$K$50,2,FALSE)*C137,VLOOKUP(R137,Datos!$P$1:$T$50,2,FALSE)*C137),0)</f>
        <v>3264</v>
      </c>
      <c r="P137" s="6">
        <v>312950</v>
      </c>
      <c r="Q137" s="9" t="str">
        <f>+VLOOKUP(P137,Datos!$F:$G,2,FALSE)</f>
        <v>Cindy Carolina Sandoval Ruiz</v>
      </c>
      <c r="R137" s="6" t="s">
        <v>29</v>
      </c>
      <c r="S137" s="6" t="s">
        <v>20</v>
      </c>
      <c r="T137" s="6">
        <f t="shared" si="2"/>
        <v>1</v>
      </c>
    </row>
    <row r="138" spans="1:20" hidden="1" x14ac:dyDescent="0.35">
      <c r="A138" s="6" t="s">
        <v>20</v>
      </c>
      <c r="B138" s="6" t="s">
        <v>26</v>
      </c>
      <c r="C138" s="6">
        <v>2</v>
      </c>
      <c r="D138" s="6" t="s">
        <v>22</v>
      </c>
      <c r="E138" s="6" t="s">
        <v>190</v>
      </c>
      <c r="F138" s="6">
        <v>1</v>
      </c>
      <c r="G138" s="6" t="s">
        <v>191</v>
      </c>
      <c r="H138" s="8">
        <v>46274</v>
      </c>
      <c r="I138" s="8">
        <v>46272</v>
      </c>
      <c r="J138" s="9" t="str">
        <f>+VLOOKUP(K138,Datos!$A:$C,3,FALSE)</f>
        <v>PETAPA</v>
      </c>
      <c r="K138" s="6">
        <v>213</v>
      </c>
      <c r="L138" s="9" t="str">
        <f>+VLOOKUP(K138,Datos!$A:$C,2,FALSE)</f>
        <v>AMATITLAN</v>
      </c>
      <c r="M138" s="6">
        <v>90034379</v>
      </c>
      <c r="N138" s="9" t="str">
        <f>+VLOOKUP(M138,Datos!$F:$G,2,FALSE)</f>
        <v>Leysi Lissett Ramirez Figueroa</v>
      </c>
      <c r="O138" s="10">
        <f>IFERROR(IF(A138="SI",VLOOKUP(R138,Datos!$J$1:$K$50,2,FALSE)*C138,VLOOKUP(R138,Datos!$P$1:$T$50,2,FALSE)*C138),0)</f>
        <v>4104</v>
      </c>
      <c r="P138" s="6">
        <v>314146</v>
      </c>
      <c r="Q138" s="9" t="str">
        <f>+VLOOKUP(P138,Datos!$F:$G,2,FALSE)</f>
        <v>Jairo Saul Lopez Quinteros</v>
      </c>
      <c r="R138" s="6" t="s">
        <v>83</v>
      </c>
      <c r="S138" s="6" t="s">
        <v>20</v>
      </c>
      <c r="T138" s="6">
        <f t="shared" si="2"/>
        <v>1</v>
      </c>
    </row>
    <row r="139" spans="1:20" hidden="1" x14ac:dyDescent="0.35">
      <c r="A139" s="6" t="s">
        <v>20</v>
      </c>
      <c r="B139" s="6" t="s">
        <v>21</v>
      </c>
      <c r="C139" s="6">
        <v>3</v>
      </c>
      <c r="D139" s="6" t="s">
        <v>22</v>
      </c>
      <c r="E139" s="6" t="s">
        <v>53</v>
      </c>
      <c r="F139" s="6">
        <v>621</v>
      </c>
      <c r="G139" s="6" t="s">
        <v>192</v>
      </c>
      <c r="H139" s="8">
        <v>46274</v>
      </c>
      <c r="I139" s="8">
        <v>46274</v>
      </c>
      <c r="J139" s="9" t="str">
        <f>+VLOOKUP(K139,Datos!$A:$C,3,FALSE)</f>
        <v>ORIENTE</v>
      </c>
      <c r="K139" s="6">
        <v>182</v>
      </c>
      <c r="L139" s="9" t="str">
        <f>+VLOOKUP(K139,Datos!$A:$C,2,FALSE)</f>
        <v>ASUNCION MITA</v>
      </c>
      <c r="M139" s="6">
        <v>90009270</v>
      </c>
      <c r="N139" s="9" t="str">
        <f>+VLOOKUP(M139,Datos!$F:$G,2,FALSE)</f>
        <v xml:space="preserve">Laura Yessenia Trabanino Interiano </v>
      </c>
      <c r="O139" s="10">
        <f>IFERROR(IF(A139="SI",VLOOKUP(R139,Datos!$J$1:$K$50,2,FALSE)*C139,VLOOKUP(R139,Datos!$P$1:$T$50,2,FALSE)*C139),0)</f>
        <v>4104</v>
      </c>
      <c r="P139" s="6">
        <v>305070</v>
      </c>
      <c r="Q139" s="9" t="str">
        <f>+VLOOKUP(P139,Datos!$F:$G,2,FALSE)</f>
        <v>Beverly Walesca Morales Ibarra</v>
      </c>
      <c r="R139" s="6" t="s">
        <v>25</v>
      </c>
      <c r="S139" s="6" t="s">
        <v>20</v>
      </c>
      <c r="T139" s="6">
        <f t="shared" si="2"/>
        <v>1</v>
      </c>
    </row>
    <row r="140" spans="1:20" hidden="1" x14ac:dyDescent="0.35">
      <c r="A140" s="6" t="s">
        <v>20</v>
      </c>
      <c r="B140" s="6" t="s">
        <v>21</v>
      </c>
      <c r="C140" s="6">
        <v>1</v>
      </c>
      <c r="D140" s="6" t="s">
        <v>22</v>
      </c>
      <c r="E140" s="6" t="s">
        <v>27</v>
      </c>
      <c r="F140" s="6">
        <v>4365</v>
      </c>
      <c r="G140" s="6" t="s">
        <v>193</v>
      </c>
      <c r="H140" s="8">
        <v>46274</v>
      </c>
      <c r="I140" s="8">
        <v>46274</v>
      </c>
      <c r="J140" s="9" t="str">
        <f>+VLOOKUP(K140,Datos!$A:$C,3,FALSE)</f>
        <v>AMERICAS</v>
      </c>
      <c r="K140" s="6">
        <v>58</v>
      </c>
      <c r="L140" s="9" t="str">
        <f>+VLOOKUP(K140,Datos!$A:$C,2,FALSE)</f>
        <v>EUROPLAZA</v>
      </c>
      <c r="M140" s="6">
        <v>90087262</v>
      </c>
      <c r="N140" s="9" t="str">
        <f>+VLOOKUP(M140,Datos!$F:$G,2,FALSE)</f>
        <v>JOSUE EMANUEL DAVID REYES YUMAN</v>
      </c>
      <c r="O140" s="10">
        <f>IFERROR(IF(A140="SI",VLOOKUP(R140,Datos!$J$1:$K$50,2,FALSE)*C140,VLOOKUP(R140,Datos!$P$1:$T$50,2,FALSE)*C140),0)</f>
        <v>816</v>
      </c>
      <c r="P140" s="6">
        <v>90019931</v>
      </c>
      <c r="Q140" s="9" t="str">
        <f>+VLOOKUP(P140,Datos!$F:$G,2,FALSE)</f>
        <v>Erik Alexander Quezada De Leon</v>
      </c>
      <c r="R140" s="6" t="s">
        <v>29</v>
      </c>
      <c r="S140" s="6" t="s">
        <v>20</v>
      </c>
      <c r="T140" s="6">
        <f t="shared" si="2"/>
        <v>1</v>
      </c>
    </row>
    <row r="141" spans="1:20" hidden="1" x14ac:dyDescent="0.35">
      <c r="A141" s="6" t="s">
        <v>20</v>
      </c>
      <c r="B141" s="6" t="s">
        <v>26</v>
      </c>
      <c r="C141" s="6">
        <v>1</v>
      </c>
      <c r="D141" s="6" t="s">
        <v>22</v>
      </c>
      <c r="E141" s="6" t="s">
        <v>194</v>
      </c>
      <c r="F141" s="6">
        <v>2947</v>
      </c>
      <c r="G141" s="6" t="s">
        <v>195</v>
      </c>
      <c r="H141" s="8">
        <v>46274</v>
      </c>
      <c r="I141" s="8">
        <v>46274</v>
      </c>
      <c r="J141" s="9" t="str">
        <f>+VLOOKUP(K141,Datos!$A:$C,3,FALSE)</f>
        <v>AMERICAS</v>
      </c>
      <c r="K141" s="6">
        <v>226</v>
      </c>
      <c r="L141" s="9" t="str">
        <f>+VLOOKUP(K141,Datos!$A:$C,2,FALSE)</f>
        <v>SAN JOSE PINULA</v>
      </c>
      <c r="M141" s="6">
        <v>90086061</v>
      </c>
      <c r="N141" s="9" t="str">
        <f>+VLOOKUP(M141,Datos!$F:$G,2,FALSE)</f>
        <v xml:space="preserve">KIMBERLY XIOMARA HERNANDEZ RUANO </v>
      </c>
      <c r="O141" s="10">
        <f>IFERROR(IF(A141="SI",VLOOKUP(R141,Datos!$J$1:$K$50,2,FALSE)*C141,VLOOKUP(R141,Datos!$P$1:$T$50,2,FALSE)*C141),0)</f>
        <v>1908</v>
      </c>
      <c r="P141" s="6">
        <v>302592</v>
      </c>
      <c r="Q141" s="9" t="str">
        <f>+VLOOKUP(P141,Datos!$F:$G,2,FALSE)</f>
        <v>Nanci Paola Con Morales</v>
      </c>
      <c r="R141" s="6" t="s">
        <v>196</v>
      </c>
      <c r="S141" s="6" t="s">
        <v>20</v>
      </c>
      <c r="T141" s="6">
        <f t="shared" si="2"/>
        <v>1</v>
      </c>
    </row>
    <row r="142" spans="1:20" hidden="1" x14ac:dyDescent="0.35">
      <c r="A142" s="6" t="s">
        <v>20</v>
      </c>
      <c r="B142" s="6" t="s">
        <v>21</v>
      </c>
      <c r="C142" s="6">
        <v>2</v>
      </c>
      <c r="D142" s="6" t="s">
        <v>22</v>
      </c>
      <c r="E142" s="6" t="s">
        <v>31</v>
      </c>
      <c r="F142" s="6">
        <v>1182</v>
      </c>
      <c r="G142" s="6" t="s">
        <v>197</v>
      </c>
      <c r="H142" s="8">
        <v>46274</v>
      </c>
      <c r="I142" s="8">
        <v>46274</v>
      </c>
      <c r="J142" s="9" t="str">
        <f>+VLOOKUP(K142,Datos!$A:$C,3,FALSE)</f>
        <v>NORTE</v>
      </c>
      <c r="K142" s="6">
        <v>205</v>
      </c>
      <c r="L142" s="9" t="str">
        <f>+VLOOKUP(K142,Datos!$A:$C,2,FALSE)</f>
        <v>SAN CRISTOBAL VERAPAZ</v>
      </c>
      <c r="M142" s="6">
        <v>90061599</v>
      </c>
      <c r="N142" s="9" t="str">
        <f>+VLOOKUP(M142,Datos!$F:$G,2,FALSE)</f>
        <v>SILVIA CAROLINA CAC CORTEZ</v>
      </c>
      <c r="O142" s="10">
        <f>IFERROR(IF(A142="SI",VLOOKUP(R142,Datos!$J$1:$K$50,2,FALSE)*C142,VLOOKUP(R142,Datos!$P$1:$T$50,2,FALSE)*C142),0)</f>
        <v>1632</v>
      </c>
      <c r="P142" s="6">
        <v>300978</v>
      </c>
      <c r="Q142" s="9" t="str">
        <f>+VLOOKUP(P142,Datos!$F:$G,2,FALSE)</f>
        <v>Wuangler Geovane Cal Sucup</v>
      </c>
      <c r="R142" s="6" t="s">
        <v>29</v>
      </c>
      <c r="S142" s="6" t="s">
        <v>20</v>
      </c>
      <c r="T142" s="6">
        <f t="shared" si="2"/>
        <v>1</v>
      </c>
    </row>
    <row r="143" spans="1:20" hidden="1" x14ac:dyDescent="0.35">
      <c r="A143" s="6" t="s">
        <v>20</v>
      </c>
      <c r="B143" s="6" t="s">
        <v>26</v>
      </c>
      <c r="C143" s="6">
        <v>1</v>
      </c>
      <c r="D143" s="6" t="s">
        <v>22</v>
      </c>
      <c r="E143" s="6" t="s">
        <v>27</v>
      </c>
      <c r="F143" s="6">
        <v>4317</v>
      </c>
      <c r="G143" s="6" t="s">
        <v>198</v>
      </c>
      <c r="H143" s="8">
        <v>46274</v>
      </c>
      <c r="I143" s="8">
        <v>46266</v>
      </c>
      <c r="J143" s="9" t="str">
        <f>+VLOOKUP(K143,Datos!$A:$C,3,FALSE)</f>
        <v>AMERICAS</v>
      </c>
      <c r="K143" s="6">
        <v>58</v>
      </c>
      <c r="L143" s="9" t="str">
        <f>+VLOOKUP(K143,Datos!$A:$C,2,FALSE)</f>
        <v>EUROPLAZA</v>
      </c>
      <c r="M143" s="6">
        <v>90086051</v>
      </c>
      <c r="N143" s="9" t="str">
        <f>+VLOOKUP(M143,Datos!$F:$G,2,FALSE)</f>
        <v xml:space="preserve">ESMERALDA ABIGAIL COTTA SANCHEZ </v>
      </c>
      <c r="O143" s="10">
        <f>IFERROR(IF(A143="SI",VLOOKUP(R143,Datos!$J$1:$K$50,2,FALSE)*C143,VLOOKUP(R143,Datos!$P$1:$T$50,2,FALSE)*C143),0)</f>
        <v>816</v>
      </c>
      <c r="P143" s="6">
        <v>90019931</v>
      </c>
      <c r="Q143" s="9" t="str">
        <f>+VLOOKUP(P143,Datos!$F:$G,2,FALSE)</f>
        <v>Erik Alexander Quezada De Leon</v>
      </c>
      <c r="R143" s="6" t="s">
        <v>29</v>
      </c>
      <c r="S143" s="6" t="s">
        <v>20</v>
      </c>
      <c r="T143" s="6">
        <f t="shared" si="2"/>
        <v>1</v>
      </c>
    </row>
    <row r="144" spans="1:20" hidden="1" x14ac:dyDescent="0.35">
      <c r="A144" s="6" t="s">
        <v>20</v>
      </c>
      <c r="B144" s="6" t="s">
        <v>21</v>
      </c>
      <c r="C144" s="6">
        <v>1</v>
      </c>
      <c r="D144" s="6" t="s">
        <v>22</v>
      </c>
      <c r="E144" s="6" t="s">
        <v>27</v>
      </c>
      <c r="F144" s="6">
        <v>4372</v>
      </c>
      <c r="G144" s="6" t="s">
        <v>199</v>
      </c>
      <c r="H144" s="8">
        <v>46274</v>
      </c>
      <c r="I144" s="8">
        <v>46274</v>
      </c>
      <c r="J144" s="9" t="str">
        <f>+VLOOKUP(K144,Datos!$A:$C,3,FALSE)</f>
        <v>NORTE</v>
      </c>
      <c r="K144" s="6">
        <v>205</v>
      </c>
      <c r="L144" s="9" t="str">
        <f>+VLOOKUP(K144,Datos!$A:$C,2,FALSE)</f>
        <v>SAN CRISTOBAL VERAPAZ</v>
      </c>
      <c r="M144" s="6">
        <v>316316</v>
      </c>
      <c r="N144" s="9" t="str">
        <f>+VLOOKUP(M144,Datos!$F:$G,2,FALSE)</f>
        <v>Alida Elizabeth Caj Amalem</v>
      </c>
      <c r="O144" s="10">
        <f>IFERROR(IF(A144="SI",VLOOKUP(R144,Datos!$J$1:$K$50,2,FALSE)*C144,VLOOKUP(R144,Datos!$P$1:$T$50,2,FALSE)*C144),0)</f>
        <v>816</v>
      </c>
      <c r="P144" s="6">
        <v>314913</v>
      </c>
      <c r="Q144" s="9" t="str">
        <f>+VLOOKUP(P144,Datos!$F:$G,2,FALSE)</f>
        <v>Nelson Humberto Caal Güe</v>
      </c>
      <c r="R144" s="6" t="s">
        <v>29</v>
      </c>
      <c r="S144" s="6" t="s">
        <v>20</v>
      </c>
      <c r="T144" s="6">
        <f t="shared" si="2"/>
        <v>1</v>
      </c>
    </row>
    <row r="145" spans="1:20" hidden="1" x14ac:dyDescent="0.35">
      <c r="A145" s="6" t="s">
        <v>20</v>
      </c>
      <c r="B145" s="6" t="s">
        <v>21</v>
      </c>
      <c r="C145" s="6">
        <v>4</v>
      </c>
      <c r="D145" s="6" t="s">
        <v>22</v>
      </c>
      <c r="E145" s="6" t="s">
        <v>115</v>
      </c>
      <c r="F145" s="6">
        <v>181</v>
      </c>
      <c r="G145" s="6" t="s">
        <v>200</v>
      </c>
      <c r="H145" s="8">
        <v>46274</v>
      </c>
      <c r="I145" s="8">
        <v>46274</v>
      </c>
      <c r="J145" s="9" t="str">
        <f>+VLOOKUP(K145,Datos!$A:$C,3,FALSE)</f>
        <v>ORIENTE</v>
      </c>
      <c r="K145" s="6">
        <v>122</v>
      </c>
      <c r="L145" s="9" t="str">
        <f>+VLOOKUP(K145,Datos!$A:$C,2,FALSE)</f>
        <v>AGUA BLANCA</v>
      </c>
      <c r="M145" s="6">
        <v>90040423</v>
      </c>
      <c r="N145" s="9" t="str">
        <f>+VLOOKUP(M145,Datos!$F:$G,2,FALSE)</f>
        <v>Melany Valeska Juarez Carpio</v>
      </c>
      <c r="O145" s="10">
        <f>IFERROR(IF(A145="SI",VLOOKUP(R145,Datos!$J$1:$K$50,2,FALSE)*C145,VLOOKUP(R145,Datos!$P$1:$T$50,2,FALSE)*C145),0)</f>
        <v>4368</v>
      </c>
      <c r="P145" s="6">
        <v>90016326</v>
      </c>
      <c r="Q145" s="9" t="str">
        <f>+VLOOKUP(P145,Datos!$F:$G,2,FALSE)</f>
        <v>Brenda Yessenia Monroy Amado</v>
      </c>
      <c r="R145" s="6" t="s">
        <v>117</v>
      </c>
      <c r="S145" s="6" t="s">
        <v>20</v>
      </c>
      <c r="T145" s="6">
        <f t="shared" si="2"/>
        <v>1</v>
      </c>
    </row>
    <row r="146" spans="1:20" hidden="1" x14ac:dyDescent="0.35">
      <c r="A146" s="6" t="s">
        <v>20</v>
      </c>
      <c r="B146" s="6" t="s">
        <v>26</v>
      </c>
      <c r="C146" s="6">
        <v>2</v>
      </c>
      <c r="D146" s="6" t="s">
        <v>22</v>
      </c>
      <c r="E146" s="6" t="s">
        <v>31</v>
      </c>
      <c r="F146" s="6">
        <v>1184</v>
      </c>
      <c r="G146" s="6" t="s">
        <v>201</v>
      </c>
      <c r="H146" s="8">
        <v>46274</v>
      </c>
      <c r="I146" s="8">
        <v>46274</v>
      </c>
      <c r="J146" s="9" t="str">
        <f>+VLOOKUP(K146,Datos!$A:$C,3,FALSE)</f>
        <v>NORTE</v>
      </c>
      <c r="K146" s="6">
        <v>240</v>
      </c>
      <c r="L146" s="9" t="str">
        <f>+VLOOKUP(K146,Datos!$A:$C,2,FALSE)</f>
        <v>SALAMA</v>
      </c>
      <c r="M146" s="6">
        <v>90061561</v>
      </c>
      <c r="N146" s="9" t="str">
        <f>+VLOOKUP(M146,Datos!$F:$G,2,FALSE)</f>
        <v>KENIA ALEJANDRINA GUADALUPE DIAZ REYNA</v>
      </c>
      <c r="O146" s="10">
        <f>IFERROR(IF(A146="SI",VLOOKUP(R146,Datos!$J$1:$K$50,2,FALSE)*C146,VLOOKUP(R146,Datos!$P$1:$T$50,2,FALSE)*C146),0)</f>
        <v>1632</v>
      </c>
      <c r="P146" s="6">
        <v>313707</v>
      </c>
      <c r="Q146" s="9" t="str">
        <f>+VLOOKUP(P146,Datos!$F:$G,2,FALSE)</f>
        <v>Wendy Paola Rodriguez Gonzalez</v>
      </c>
      <c r="R146" s="6" t="s">
        <v>29</v>
      </c>
      <c r="S146" s="6" t="s">
        <v>20</v>
      </c>
      <c r="T146" s="6">
        <f t="shared" si="2"/>
        <v>1</v>
      </c>
    </row>
    <row r="147" spans="1:20" hidden="1" x14ac:dyDescent="0.35">
      <c r="A147" s="6" t="s">
        <v>20</v>
      </c>
      <c r="B147" s="6" t="s">
        <v>21</v>
      </c>
      <c r="C147" s="6">
        <v>1</v>
      </c>
      <c r="D147" s="6" t="s">
        <v>22</v>
      </c>
      <c r="E147" s="6" t="s">
        <v>27</v>
      </c>
      <c r="F147" s="6">
        <v>4356</v>
      </c>
      <c r="G147" s="6" t="s">
        <v>202</v>
      </c>
      <c r="H147" s="8">
        <v>46274</v>
      </c>
      <c r="I147" s="8">
        <v>46273</v>
      </c>
      <c r="J147" s="9" t="str">
        <f>+VLOOKUP(K147,Datos!$A:$C,3,FALSE)</f>
        <v>ORIENTE</v>
      </c>
      <c r="K147" s="6">
        <v>128</v>
      </c>
      <c r="L147" s="9" t="str">
        <f>+VLOOKUP(K147,Datos!$A:$C,2,FALSE)</f>
        <v>CHIQUIMULA 2</v>
      </c>
      <c r="M147" s="6">
        <v>315812</v>
      </c>
      <c r="N147" s="9" t="str">
        <f>+VLOOKUP(M147,Datos!$F:$G,2,FALSE)</f>
        <v>Josue Felipe Lopez Tojin</v>
      </c>
      <c r="O147" s="10">
        <f>IFERROR(IF(A147="SI",VLOOKUP(R147,Datos!$J$1:$K$50,2,FALSE)*C147,VLOOKUP(R147,Datos!$P$1:$T$50,2,FALSE)*C147),0)</f>
        <v>816</v>
      </c>
      <c r="P147" s="6">
        <v>312176</v>
      </c>
      <c r="Q147" s="9" t="str">
        <f>+VLOOKUP(P147,Datos!$F:$G,2,FALSE)</f>
        <v>Nestor Edgardo Gutierrez Lazaro</v>
      </c>
      <c r="R147" s="6" t="s">
        <v>29</v>
      </c>
      <c r="S147" s="6" t="s">
        <v>20</v>
      </c>
      <c r="T147" s="6">
        <f t="shared" si="2"/>
        <v>1</v>
      </c>
    </row>
    <row r="148" spans="1:20" hidden="1" x14ac:dyDescent="0.35">
      <c r="A148" s="6" t="s">
        <v>20</v>
      </c>
      <c r="B148" s="6" t="s">
        <v>21</v>
      </c>
      <c r="C148" s="6">
        <v>1</v>
      </c>
      <c r="D148" s="6" t="s">
        <v>22</v>
      </c>
      <c r="E148" s="6" t="s">
        <v>27</v>
      </c>
      <c r="F148" s="6">
        <v>4380</v>
      </c>
      <c r="G148" s="6" t="s">
        <v>203</v>
      </c>
      <c r="H148" s="8">
        <v>46274</v>
      </c>
      <c r="I148" s="8">
        <v>46274</v>
      </c>
      <c r="J148" s="9" t="str">
        <f>+VLOOKUP(K148,Datos!$A:$C,3,FALSE)</f>
        <v>ORIENTE</v>
      </c>
      <c r="K148" s="6">
        <v>128</v>
      </c>
      <c r="L148" s="9" t="str">
        <f>+VLOOKUP(K148,Datos!$A:$C,2,FALSE)</f>
        <v>CHIQUIMULA 2</v>
      </c>
      <c r="M148" s="6">
        <v>315812</v>
      </c>
      <c r="N148" s="9" t="str">
        <f>+VLOOKUP(M148,Datos!$F:$G,2,FALSE)</f>
        <v>Josue Felipe Lopez Tojin</v>
      </c>
      <c r="O148" s="10">
        <f>IFERROR(IF(A148="SI",VLOOKUP(R148,Datos!$J$1:$K$50,2,FALSE)*C148,VLOOKUP(R148,Datos!$P$1:$T$50,2,FALSE)*C148),0)</f>
        <v>816</v>
      </c>
      <c r="P148" s="6">
        <v>312176</v>
      </c>
      <c r="Q148" s="9" t="str">
        <f>+VLOOKUP(P148,Datos!$F:$G,2,FALSE)</f>
        <v>Nestor Edgardo Gutierrez Lazaro</v>
      </c>
      <c r="R148" s="6" t="s">
        <v>29</v>
      </c>
      <c r="S148" s="6" t="s">
        <v>20</v>
      </c>
      <c r="T148" s="6">
        <f t="shared" si="2"/>
        <v>1</v>
      </c>
    </row>
    <row r="149" spans="1:20" hidden="1" x14ac:dyDescent="0.35">
      <c r="A149" s="6" t="s">
        <v>20</v>
      </c>
      <c r="B149" s="6" t="s">
        <v>26</v>
      </c>
      <c r="C149" s="6">
        <v>3</v>
      </c>
      <c r="D149" s="6" t="s">
        <v>22</v>
      </c>
      <c r="E149" s="6" t="s">
        <v>53</v>
      </c>
      <c r="F149" s="6">
        <v>624</v>
      </c>
      <c r="G149" s="6" t="s">
        <v>204</v>
      </c>
      <c r="H149" s="8">
        <v>46274</v>
      </c>
      <c r="I149" s="8">
        <v>46274</v>
      </c>
      <c r="J149" s="9" t="str">
        <f>+VLOOKUP(K149,Datos!$A:$C,3,FALSE)</f>
        <v>AMERICAS</v>
      </c>
      <c r="K149" s="6">
        <v>53</v>
      </c>
      <c r="L149" s="9" t="str">
        <f>+VLOOKUP(K149,Datos!$A:$C,2,FALSE)</f>
        <v>PUERTA PARADA</v>
      </c>
      <c r="M149" s="6">
        <v>314320</v>
      </c>
      <c r="N149" s="9" t="str">
        <f>+VLOOKUP(M149,Datos!$F:$G,2,FALSE)</f>
        <v>Evelin Maria Padilla Garcia</v>
      </c>
      <c r="O149" s="10">
        <f>IFERROR(IF(A149="SI",VLOOKUP(R149,Datos!$J$1:$K$50,2,FALSE)*C149,VLOOKUP(R149,Datos!$P$1:$T$50,2,FALSE)*C149),0)</f>
        <v>8208</v>
      </c>
      <c r="P149" s="6">
        <v>300919</v>
      </c>
      <c r="Q149" s="9" t="str">
        <f>+VLOOKUP(P149,Datos!$F:$G,2,FALSE)</f>
        <v>Juan Jose Rodriguez Catu</v>
      </c>
      <c r="R149" s="6" t="s">
        <v>73</v>
      </c>
      <c r="S149" s="6" t="s">
        <v>20</v>
      </c>
      <c r="T149" s="6">
        <f t="shared" si="2"/>
        <v>1</v>
      </c>
    </row>
    <row r="150" spans="1:20" hidden="1" x14ac:dyDescent="0.35">
      <c r="A150" s="6" t="s">
        <v>20</v>
      </c>
      <c r="B150" s="6" t="s">
        <v>21</v>
      </c>
      <c r="C150" s="6">
        <v>4</v>
      </c>
      <c r="D150" s="6" t="s">
        <v>22</v>
      </c>
      <c r="E150" s="6" t="s">
        <v>23</v>
      </c>
      <c r="F150" s="6">
        <v>696</v>
      </c>
      <c r="G150" s="6" t="s">
        <v>205</v>
      </c>
      <c r="H150" s="8">
        <v>46274</v>
      </c>
      <c r="I150" s="8">
        <v>46274</v>
      </c>
      <c r="J150" s="9" t="str">
        <f>+VLOOKUP(K150,Datos!$A:$C,3,FALSE)</f>
        <v>ORIENTE</v>
      </c>
      <c r="K150" s="6">
        <v>180</v>
      </c>
      <c r="L150" s="9" t="str">
        <f>+VLOOKUP(K150,Datos!$A:$C,2,FALSE)</f>
        <v>MONJAS</v>
      </c>
      <c r="M150" s="6">
        <v>90040241</v>
      </c>
      <c r="N150" s="9" t="str">
        <f>+VLOOKUP(M150,Datos!$F:$G,2,FALSE)</f>
        <v>Jairo Alessandro Urbina Santiago</v>
      </c>
      <c r="O150" s="10">
        <f>IFERROR(IF(A150="SI",VLOOKUP(R150,Datos!$J$1:$K$50,2,FALSE)*C150,VLOOKUP(R150,Datos!$P$1:$T$50,2,FALSE)*C150),0)</f>
        <v>27312</v>
      </c>
      <c r="P150" s="6">
        <v>315038</v>
      </c>
      <c r="Q150" s="9" t="str">
        <f>+VLOOKUP(P150,Datos!$F:$G,2,FALSE)</f>
        <v>Flor Sylvestre Orellana Gonzalez</v>
      </c>
      <c r="R150" s="6" t="s">
        <v>163</v>
      </c>
      <c r="S150" s="6" t="s">
        <v>20</v>
      </c>
      <c r="T150" s="6">
        <f t="shared" si="2"/>
        <v>1</v>
      </c>
    </row>
    <row r="151" spans="1:20" hidden="1" x14ac:dyDescent="0.35">
      <c r="A151" s="6" t="s">
        <v>20</v>
      </c>
      <c r="B151" s="6" t="s">
        <v>21</v>
      </c>
      <c r="C151" s="6">
        <v>4</v>
      </c>
      <c r="D151" s="6" t="s">
        <v>22</v>
      </c>
      <c r="E151" s="6" t="s">
        <v>23</v>
      </c>
      <c r="F151" s="6">
        <v>693</v>
      </c>
      <c r="G151" s="6" t="s">
        <v>206</v>
      </c>
      <c r="H151" s="8">
        <v>46274</v>
      </c>
      <c r="I151" s="8">
        <v>46274</v>
      </c>
      <c r="J151" s="9" t="str">
        <f>+VLOOKUP(K151,Datos!$A:$C,3,FALSE)</f>
        <v>ORIENTE</v>
      </c>
      <c r="K151" s="6">
        <v>180</v>
      </c>
      <c r="L151" s="9" t="str">
        <f>+VLOOKUP(K151,Datos!$A:$C,2,FALSE)</f>
        <v>MONJAS</v>
      </c>
      <c r="M151" s="6">
        <v>90040241</v>
      </c>
      <c r="N151" s="9" t="str">
        <f>+VLOOKUP(M151,Datos!$F:$G,2,FALSE)</f>
        <v>Jairo Alessandro Urbina Santiago</v>
      </c>
      <c r="O151" s="10">
        <f>IFERROR(IF(A151="SI",VLOOKUP(R151,Datos!$J$1:$K$50,2,FALSE)*C151,VLOOKUP(R151,Datos!$P$1:$T$50,2,FALSE)*C151),0)</f>
        <v>3264</v>
      </c>
      <c r="P151" s="6">
        <v>315038</v>
      </c>
      <c r="Q151" s="9" t="str">
        <f>+VLOOKUP(P151,Datos!$F:$G,2,FALSE)</f>
        <v>Flor Sylvestre Orellana Gonzalez</v>
      </c>
      <c r="R151" s="6" t="s">
        <v>29</v>
      </c>
      <c r="S151" s="6" t="s">
        <v>20</v>
      </c>
      <c r="T151" s="6">
        <f t="shared" si="2"/>
        <v>1</v>
      </c>
    </row>
    <row r="152" spans="1:20" hidden="1" x14ac:dyDescent="0.35">
      <c r="A152" s="6" t="s">
        <v>80</v>
      </c>
      <c r="B152" s="6" t="s">
        <v>21</v>
      </c>
      <c r="C152" s="6">
        <v>4</v>
      </c>
      <c r="D152" s="6" t="s">
        <v>22</v>
      </c>
      <c r="E152" s="6" t="s">
        <v>23</v>
      </c>
      <c r="F152" s="6">
        <v>699</v>
      </c>
      <c r="G152" s="6" t="s">
        <v>207</v>
      </c>
      <c r="H152" s="8">
        <v>46274</v>
      </c>
      <c r="I152" s="8">
        <v>46274</v>
      </c>
      <c r="J152" s="9" t="str">
        <f>+VLOOKUP(K152,Datos!$A:$C,3,FALSE)</f>
        <v>ORIENTE</v>
      </c>
      <c r="K152" s="6">
        <v>156</v>
      </c>
      <c r="L152" s="9" t="str">
        <f>+VLOOKUP(K152,Datos!$A:$C,2,FALSE)</f>
        <v>TECULUTAN</v>
      </c>
      <c r="M152" s="6">
        <v>315488</v>
      </c>
      <c r="N152" s="9" t="str">
        <f>+VLOOKUP(M152,Datos!$F:$G,2,FALSE)</f>
        <v>Maria Alejandra Lanuza Pérez</v>
      </c>
      <c r="O152" s="10">
        <f>IFERROR(IF(A152="SI",VLOOKUP(R152,Datos!$J$1:$K$50,2,FALSE)*C152,VLOOKUP(R152,Datos!$P$1:$T$50,2,FALSE)*C152),0)</f>
        <v>3552</v>
      </c>
      <c r="P152" s="6">
        <v>310483</v>
      </c>
      <c r="Q152" s="9" t="str">
        <f>+VLOOKUP(P152,Datos!$F:$G,2,FALSE)</f>
        <v>Astrid Ivone Hernandez</v>
      </c>
      <c r="R152" s="6" t="s">
        <v>29</v>
      </c>
      <c r="S152" s="6" t="s">
        <v>20</v>
      </c>
      <c r="T152" s="6">
        <f t="shared" si="2"/>
        <v>1</v>
      </c>
    </row>
    <row r="153" spans="1:20" hidden="1" x14ac:dyDescent="0.35">
      <c r="A153" s="6" t="s">
        <v>20</v>
      </c>
      <c r="B153" s="6" t="s">
        <v>21</v>
      </c>
      <c r="C153" s="6">
        <v>1</v>
      </c>
      <c r="D153" s="6" t="s">
        <v>22</v>
      </c>
      <c r="E153" s="6" t="s">
        <v>27</v>
      </c>
      <c r="F153" s="6">
        <v>4379</v>
      </c>
      <c r="G153" s="6" t="s">
        <v>208</v>
      </c>
      <c r="H153" s="8">
        <v>46274</v>
      </c>
      <c r="I153" s="8">
        <v>46274</v>
      </c>
      <c r="J153" s="9" t="str">
        <f>+VLOOKUP(K153,Datos!$A:$C,3,FALSE)</f>
        <v>AMERICAS</v>
      </c>
      <c r="K153" s="6">
        <v>30</v>
      </c>
      <c r="L153" s="9" t="str">
        <f>+VLOOKUP(K153,Datos!$A:$C,2,FALSE)</f>
        <v>BARBERENA</v>
      </c>
      <c r="M153" s="6">
        <v>305035</v>
      </c>
      <c r="N153" s="9" t="str">
        <f>+VLOOKUP(M153,Datos!$F:$G,2,FALSE)</f>
        <v>Lilian Nohemi Santos Bailon</v>
      </c>
      <c r="O153" s="10">
        <f>IFERROR(IF(A153="SI",VLOOKUP(R153,Datos!$J$1:$K$50,2,FALSE)*C153,VLOOKUP(R153,Datos!$P$1:$T$50,2,FALSE)*C153),0)</f>
        <v>1368</v>
      </c>
      <c r="P153" s="6">
        <v>300594</v>
      </c>
      <c r="Q153" s="9" t="str">
        <f>+VLOOKUP(P153,Datos!$F:$G,2,FALSE)</f>
        <v>Rosaura Grisleny Perez Rios</v>
      </c>
      <c r="R153" s="6" t="s">
        <v>25</v>
      </c>
      <c r="S153" s="6" t="s">
        <v>20</v>
      </c>
      <c r="T153" s="6">
        <f t="shared" si="2"/>
        <v>2</v>
      </c>
    </row>
    <row r="154" spans="1:20" hidden="1" x14ac:dyDescent="0.35">
      <c r="A154" s="6" t="s">
        <v>20</v>
      </c>
      <c r="B154" s="6" t="s">
        <v>26</v>
      </c>
      <c r="C154" s="6">
        <v>2</v>
      </c>
      <c r="D154" s="6" t="s">
        <v>22</v>
      </c>
      <c r="E154" s="6" t="s">
        <v>209</v>
      </c>
      <c r="F154" s="6">
        <v>1</v>
      </c>
      <c r="G154" s="6" t="s">
        <v>210</v>
      </c>
      <c r="H154" s="8">
        <v>46274</v>
      </c>
      <c r="I154" s="8">
        <v>46274</v>
      </c>
      <c r="J154" s="9" t="str">
        <f>+VLOOKUP(K154,Datos!$A:$C,3,FALSE)</f>
        <v>NORTE</v>
      </c>
      <c r="K154" s="6">
        <v>203</v>
      </c>
      <c r="L154" s="9" t="str">
        <f>+VLOOKUP(K154,Datos!$A:$C,2,FALSE)</f>
        <v>PLAZA MAGDALENA</v>
      </c>
      <c r="M154" s="6">
        <v>310535</v>
      </c>
      <c r="N154" s="9" t="str">
        <f>+VLOOKUP(M154,Datos!$F:$G,2,FALSE)</f>
        <v>Carlos Oliverio Ortiz Villalobos</v>
      </c>
      <c r="O154" s="10">
        <f>IFERROR(IF(A154="SI",VLOOKUP(R154,Datos!$J$1:$K$50,2,FALSE)*C154,VLOOKUP(R154,Datos!$P$1:$T$50,2,FALSE)*C154),0)</f>
        <v>4104</v>
      </c>
      <c r="P154" s="6">
        <v>314223</v>
      </c>
      <c r="Q154" s="9" t="str">
        <f>+VLOOKUP(P154,Datos!$F:$G,2,FALSE)</f>
        <v>Nadia Estefania Gramajo Archila</v>
      </c>
      <c r="R154" s="6" t="s">
        <v>83</v>
      </c>
      <c r="S154" s="6" t="s">
        <v>20</v>
      </c>
      <c r="T154" s="6">
        <f t="shared" si="2"/>
        <v>1</v>
      </c>
    </row>
    <row r="155" spans="1:20" hidden="1" x14ac:dyDescent="0.35">
      <c r="A155" s="6" t="s">
        <v>20</v>
      </c>
      <c r="B155" s="6" t="s">
        <v>21</v>
      </c>
      <c r="C155" s="6">
        <v>4</v>
      </c>
      <c r="D155" s="6" t="s">
        <v>22</v>
      </c>
      <c r="E155" s="6" t="s">
        <v>211</v>
      </c>
      <c r="F155" s="6">
        <v>183</v>
      </c>
      <c r="G155" s="6" t="s">
        <v>212</v>
      </c>
      <c r="H155" s="7">
        <v>46275</v>
      </c>
      <c r="I155" s="8">
        <v>46275</v>
      </c>
      <c r="J155" s="9" t="str">
        <f>+VLOOKUP(K155,Datos!$A:$C,3,FALSE)</f>
        <v>AMERICAS</v>
      </c>
      <c r="K155" s="6">
        <v>226</v>
      </c>
      <c r="L155" s="9" t="str">
        <f>+VLOOKUP(K155,Datos!$A:$C,2,FALSE)</f>
        <v>SAN JOSE PINULA</v>
      </c>
      <c r="M155" s="6">
        <v>315218</v>
      </c>
      <c r="N155" s="9" t="str">
        <f>+VLOOKUP(M155,Datos!$F:$G,2,FALSE)</f>
        <v>Herberth Alberto Barrios Perez</v>
      </c>
      <c r="O155" s="10">
        <f>IFERROR(IF(A155="SI",VLOOKUP(R155,Datos!$J$1:$K$50,2,FALSE)*C155,VLOOKUP(R155,Datos!$P$1:$T$50,2,FALSE)*C155),0)</f>
        <v>4368</v>
      </c>
      <c r="P155" s="6">
        <v>302592</v>
      </c>
      <c r="Q155" s="9" t="str">
        <f>+VLOOKUP(P155,Datos!$F:$G,2,FALSE)</f>
        <v>Nanci Paola Con Morales</v>
      </c>
      <c r="R155" s="6" t="s">
        <v>117</v>
      </c>
      <c r="S155" s="6" t="s">
        <v>20</v>
      </c>
      <c r="T155" s="6">
        <f t="shared" si="2"/>
        <v>1</v>
      </c>
    </row>
    <row r="156" spans="1:20" hidden="1" x14ac:dyDescent="0.35">
      <c r="A156" s="6" t="s">
        <v>20</v>
      </c>
      <c r="B156" s="6" t="s">
        <v>26</v>
      </c>
      <c r="C156" s="6">
        <v>1</v>
      </c>
      <c r="D156" s="6" t="s">
        <v>22</v>
      </c>
      <c r="E156" s="6" t="s">
        <v>27</v>
      </c>
      <c r="F156" s="6">
        <v>4401</v>
      </c>
      <c r="G156" s="6" t="s">
        <v>213</v>
      </c>
      <c r="H156" s="8">
        <v>46275</v>
      </c>
      <c r="I156" s="8">
        <v>46275</v>
      </c>
      <c r="J156" s="9" t="str">
        <f>+VLOOKUP(K156,Datos!$A:$C,3,FALSE)</f>
        <v>AMERICAS</v>
      </c>
      <c r="K156" s="6">
        <v>71</v>
      </c>
      <c r="L156" s="9" t="str">
        <f>+VLOOKUP(K156,Datos!$A:$C,2,FALSE)</f>
        <v>VISTA HERMOSA</v>
      </c>
      <c r="M156" s="6">
        <v>313648</v>
      </c>
      <c r="N156" s="9" t="str">
        <f>+VLOOKUP(M156,Datos!$F:$G,2,FALSE)</f>
        <v>Byron Veliz Vasquez</v>
      </c>
      <c r="O156" s="10">
        <f>IFERROR(IF(A156="SI",VLOOKUP(R156,Datos!$J$1:$K$50,2,FALSE)*C156,VLOOKUP(R156,Datos!$P$1:$T$50,2,FALSE)*C156),0)</f>
        <v>2736</v>
      </c>
      <c r="P156" s="6">
        <v>308533</v>
      </c>
      <c r="Q156" s="9" t="str">
        <f>+VLOOKUP(P156,Datos!$F:$G,2,FALSE)</f>
        <v>Eduardo Antonio Sotoj Zepeda</v>
      </c>
      <c r="R156" s="6" t="s">
        <v>73</v>
      </c>
      <c r="S156" s="6" t="s">
        <v>20</v>
      </c>
      <c r="T156" s="6">
        <f t="shared" si="2"/>
        <v>1</v>
      </c>
    </row>
    <row r="157" spans="1:20" hidden="1" x14ac:dyDescent="0.35">
      <c r="A157" s="6" t="s">
        <v>20</v>
      </c>
      <c r="B157" s="6" t="s">
        <v>26</v>
      </c>
      <c r="C157" s="6">
        <v>4</v>
      </c>
      <c r="D157" s="6" t="s">
        <v>22</v>
      </c>
      <c r="E157" s="6" t="s">
        <v>23</v>
      </c>
      <c r="F157" s="6">
        <v>708</v>
      </c>
      <c r="G157" s="6" t="s">
        <v>214</v>
      </c>
      <c r="H157" s="8">
        <v>46275</v>
      </c>
      <c r="I157" s="8">
        <v>46275</v>
      </c>
      <c r="J157" s="9" t="str">
        <f>+VLOOKUP(K157,Datos!$A:$C,3,FALSE)</f>
        <v>AMERICAS</v>
      </c>
      <c r="K157" s="6">
        <v>58</v>
      </c>
      <c r="L157" s="9" t="str">
        <f>+VLOOKUP(K157,Datos!$A:$C,2,FALSE)</f>
        <v>EUROPLAZA</v>
      </c>
      <c r="M157" s="6">
        <v>315385</v>
      </c>
      <c r="N157" s="9" t="str">
        <f>+VLOOKUP(M157,Datos!$F:$G,2,FALSE)</f>
        <v>Xitimul Ramirez, Luis Carlos</v>
      </c>
      <c r="O157" s="10">
        <f>IFERROR(IF(A157="SI",VLOOKUP(R157,Datos!$J$1:$K$50,2,FALSE)*C157,VLOOKUP(R157,Datos!$P$1:$T$50,2,FALSE)*C157),0)</f>
        <v>10944</v>
      </c>
      <c r="P157" s="6">
        <v>310954</v>
      </c>
      <c r="Q157" s="9" t="str">
        <f>+VLOOKUP(P157,Datos!$F:$G,2,FALSE)</f>
        <v>Mildre Fabiola Gomez Barillas De Leonardo</v>
      </c>
      <c r="R157" s="6" t="s">
        <v>73</v>
      </c>
      <c r="S157" s="6" t="s">
        <v>20</v>
      </c>
      <c r="T157" s="6">
        <f t="shared" si="2"/>
        <v>1</v>
      </c>
    </row>
    <row r="158" spans="1:20" hidden="1" x14ac:dyDescent="0.35">
      <c r="A158" s="6" t="s">
        <v>20</v>
      </c>
      <c r="B158" s="6" t="s">
        <v>26</v>
      </c>
      <c r="C158" s="6">
        <v>1</v>
      </c>
      <c r="D158" s="6" t="s">
        <v>22</v>
      </c>
      <c r="E158" s="6" t="s">
        <v>27</v>
      </c>
      <c r="F158" s="6">
        <v>4406</v>
      </c>
      <c r="G158" s="6" t="s">
        <v>215</v>
      </c>
      <c r="H158" s="8">
        <v>46275</v>
      </c>
      <c r="I158" s="8">
        <v>46275</v>
      </c>
      <c r="J158" s="9" t="str">
        <f>+VLOOKUP(K158,Datos!$A:$C,3,FALSE)</f>
        <v>ORIENTE</v>
      </c>
      <c r="K158" s="6">
        <v>144</v>
      </c>
      <c r="L158" s="9" t="str">
        <f>+VLOOKUP(K158,Datos!$A:$C,2,FALSE)</f>
        <v>RIO DULCE 2</v>
      </c>
      <c r="M158" s="6">
        <v>90086041</v>
      </c>
      <c r="N158" s="9" t="str">
        <f>+VLOOKUP(M158,Datos!$F:$G,2,FALSE)</f>
        <v>JORGE RONALDO CHOC CAAL</v>
      </c>
      <c r="O158" s="10">
        <f>IFERROR(IF(A158="SI",VLOOKUP(R158,Datos!$J$1:$K$50,2,FALSE)*C158,VLOOKUP(R158,Datos!$P$1:$T$50,2,FALSE)*C158),0)</f>
        <v>816</v>
      </c>
      <c r="P158" s="6">
        <v>90068230</v>
      </c>
      <c r="Q158" s="9" t="str">
        <f>+VLOOKUP(P158,Datos!$F:$G,2,FALSE)</f>
        <v>FIELFER OMAR TUN CHOC</v>
      </c>
      <c r="R158" s="6" t="s">
        <v>29</v>
      </c>
      <c r="S158" s="6" t="s">
        <v>20</v>
      </c>
      <c r="T158" s="6">
        <f t="shared" si="2"/>
        <v>1</v>
      </c>
    </row>
    <row r="159" spans="1:20" hidden="1" x14ac:dyDescent="0.35">
      <c r="A159" s="6" t="s">
        <v>20</v>
      </c>
      <c r="B159" s="6" t="s">
        <v>26</v>
      </c>
      <c r="C159" s="6">
        <v>4</v>
      </c>
      <c r="D159" s="6" t="s">
        <v>22</v>
      </c>
      <c r="E159" s="6" t="s">
        <v>23</v>
      </c>
      <c r="F159" s="6">
        <v>716</v>
      </c>
      <c r="G159" s="6" t="s">
        <v>216</v>
      </c>
      <c r="H159" s="8">
        <v>46275</v>
      </c>
      <c r="I159" s="8">
        <v>46275</v>
      </c>
      <c r="J159" s="9" t="str">
        <f>+VLOOKUP(K159,Datos!$A:$C,3,FALSE)</f>
        <v>NORTE</v>
      </c>
      <c r="K159" s="6">
        <v>162</v>
      </c>
      <c r="L159" s="9" t="str">
        <f>+VLOOKUP(K159,Datos!$A:$C,2,FALSE)</f>
        <v>CHISEC</v>
      </c>
      <c r="M159" s="6">
        <v>314417</v>
      </c>
      <c r="N159" s="9" t="str">
        <f>+VLOOKUP(M159,Datos!$F:$G,2,FALSE)</f>
        <v>Krisley Mary Dayana Mazariegos Vega</v>
      </c>
      <c r="O159" s="10">
        <f>IFERROR(IF(A159="SI",VLOOKUP(R159,Datos!$J$1:$K$50,2,FALSE)*C159,VLOOKUP(R159,Datos!$P$1:$T$50,2,FALSE)*C159),0)</f>
        <v>5472</v>
      </c>
      <c r="P159" s="6">
        <v>315051</v>
      </c>
      <c r="Q159" s="9" t="str">
        <f>+VLOOKUP(P159,Datos!$F:$G,2,FALSE)</f>
        <v>Carlos Alfredo Catun Rax</v>
      </c>
      <c r="R159" s="6" t="s">
        <v>25</v>
      </c>
      <c r="S159" s="6" t="s">
        <v>20</v>
      </c>
      <c r="T159" s="6">
        <f t="shared" si="2"/>
        <v>1</v>
      </c>
    </row>
    <row r="160" spans="1:20" hidden="1" x14ac:dyDescent="0.35">
      <c r="A160" s="6" t="s">
        <v>20</v>
      </c>
      <c r="B160" s="6" t="s">
        <v>26</v>
      </c>
      <c r="C160" s="6">
        <v>1</v>
      </c>
      <c r="D160" s="6" t="s">
        <v>22</v>
      </c>
      <c r="E160" s="6" t="s">
        <v>27</v>
      </c>
      <c r="F160" s="6">
        <v>4410</v>
      </c>
      <c r="G160" s="6" t="s">
        <v>217</v>
      </c>
      <c r="H160" s="8">
        <v>46275</v>
      </c>
      <c r="I160" s="8">
        <v>46275</v>
      </c>
      <c r="J160" s="9" t="str">
        <f>+VLOOKUP(K160,Datos!$A:$C,3,FALSE)</f>
        <v>PETAPA</v>
      </c>
      <c r="K160" s="6">
        <v>250</v>
      </c>
      <c r="L160" s="9" t="str">
        <f>+VLOOKUP(K160,Datos!$A:$C,2,FALSE)</f>
        <v>BOCA DEL MONTE</v>
      </c>
      <c r="M160" s="6">
        <v>312542</v>
      </c>
      <c r="N160" s="9" t="str">
        <f>+VLOOKUP(M160,Datos!$F:$G,2,FALSE)</f>
        <v>Elba Eulalia Esquite Lemus</v>
      </c>
      <c r="O160" s="10">
        <f>IFERROR(IF(A160="SI",VLOOKUP(R160,Datos!$J$1:$K$50,2,FALSE)*C160,VLOOKUP(R160,Datos!$P$1:$T$50,2,FALSE)*C160),0)</f>
        <v>816</v>
      </c>
      <c r="P160" s="6">
        <v>310796</v>
      </c>
      <c r="Q160" s="9" t="str">
        <f>+VLOOKUP(P160,Datos!$F:$G,2,FALSE)</f>
        <v>Madelyn Estefany Vega Velasquez</v>
      </c>
      <c r="R160" s="6" t="s">
        <v>29</v>
      </c>
      <c r="S160" s="6" t="s">
        <v>20</v>
      </c>
      <c r="T160" s="6">
        <f t="shared" si="2"/>
        <v>1</v>
      </c>
    </row>
    <row r="161" spans="1:20" hidden="1" x14ac:dyDescent="0.35">
      <c r="A161" s="6" t="s">
        <v>20</v>
      </c>
      <c r="B161" s="6" t="s">
        <v>21</v>
      </c>
      <c r="C161" s="6">
        <v>4</v>
      </c>
      <c r="D161" s="6" t="s">
        <v>22</v>
      </c>
      <c r="E161" s="6" t="s">
        <v>23</v>
      </c>
      <c r="F161" s="6">
        <v>697</v>
      </c>
      <c r="G161" s="6" t="s">
        <v>218</v>
      </c>
      <c r="H161" s="8">
        <v>46275</v>
      </c>
      <c r="I161" s="8">
        <v>46274</v>
      </c>
      <c r="J161" s="9" t="str">
        <f>+VLOOKUP(K161,Datos!$A:$C,3,FALSE)</f>
        <v>NORTE</v>
      </c>
      <c r="K161" s="6">
        <v>194</v>
      </c>
      <c r="L161" s="9" t="str">
        <f>+VLOOKUP(K161,Datos!$A:$C,2,FALSE)</f>
        <v>PLAYA GRANDE</v>
      </c>
      <c r="M161" s="6">
        <v>314945</v>
      </c>
      <c r="N161" s="9" t="str">
        <f>+VLOOKUP(M161,Datos!$F:$G,2,FALSE)</f>
        <v>Rolando Esau Solis Santos</v>
      </c>
      <c r="O161" s="10">
        <f>IFERROR(IF(A161="SI",VLOOKUP(R161,Datos!$J$1:$K$50,2,FALSE)*C161,VLOOKUP(R161,Datos!$P$1:$T$50,2,FALSE)*C161),0)</f>
        <v>3264</v>
      </c>
      <c r="P161" s="6">
        <v>313593</v>
      </c>
      <c r="Q161" s="9" t="str">
        <f>+VLOOKUP(P161,Datos!$F:$G,2,FALSE)</f>
        <v>Slayker Andony Santiago Natareno</v>
      </c>
      <c r="R161" s="6" t="s">
        <v>29</v>
      </c>
      <c r="S161" s="6" t="s">
        <v>20</v>
      </c>
      <c r="T161" s="6">
        <f t="shared" si="2"/>
        <v>1</v>
      </c>
    </row>
    <row r="162" spans="1:20" hidden="1" x14ac:dyDescent="0.35">
      <c r="A162" s="6" t="s">
        <v>20</v>
      </c>
      <c r="B162" s="6" t="s">
        <v>21</v>
      </c>
      <c r="C162" s="6">
        <v>4</v>
      </c>
      <c r="D162" s="6" t="s">
        <v>22</v>
      </c>
      <c r="E162" s="6" t="s">
        <v>23</v>
      </c>
      <c r="F162" s="6">
        <v>709</v>
      </c>
      <c r="G162" s="6" t="s">
        <v>219</v>
      </c>
      <c r="H162" s="8">
        <v>46275</v>
      </c>
      <c r="I162" s="8">
        <v>46274</v>
      </c>
      <c r="J162" s="9" t="str">
        <f>+VLOOKUP(K162,Datos!$A:$C,3,FALSE)</f>
        <v>NORTE</v>
      </c>
      <c r="K162" s="6">
        <v>194</v>
      </c>
      <c r="L162" s="9" t="str">
        <f>+VLOOKUP(K162,Datos!$A:$C,2,FALSE)</f>
        <v>PLAYA GRANDE</v>
      </c>
      <c r="M162" s="6">
        <v>90023865</v>
      </c>
      <c r="N162" s="9" t="str">
        <f>+VLOOKUP(M162,Datos!$F:$G,2,FALSE)</f>
        <v>Benito Abad Jimenez Carrillo</v>
      </c>
      <c r="O162" s="10">
        <f>IFERROR(IF(A162="SI",VLOOKUP(R162,Datos!$J$1:$K$50,2,FALSE)*C162,VLOOKUP(R162,Datos!$P$1:$T$50,2,FALSE)*C162),0)</f>
        <v>3264</v>
      </c>
      <c r="P162" s="6">
        <v>313593</v>
      </c>
      <c r="Q162" s="9" t="str">
        <f>+VLOOKUP(P162,Datos!$F:$G,2,FALSE)</f>
        <v>Slayker Andony Santiago Natareno</v>
      </c>
      <c r="R162" s="6" t="s">
        <v>29</v>
      </c>
      <c r="S162" s="6" t="s">
        <v>20</v>
      </c>
      <c r="T162" s="6">
        <f t="shared" si="2"/>
        <v>1</v>
      </c>
    </row>
    <row r="163" spans="1:20" hidden="1" x14ac:dyDescent="0.35">
      <c r="A163" s="6" t="s">
        <v>20</v>
      </c>
      <c r="B163" s="6" t="s">
        <v>21</v>
      </c>
      <c r="C163" s="6">
        <v>1</v>
      </c>
      <c r="D163" s="6" t="s">
        <v>22</v>
      </c>
      <c r="E163" s="6" t="s">
        <v>27</v>
      </c>
      <c r="F163" s="6">
        <v>4393</v>
      </c>
      <c r="G163" s="6" t="s">
        <v>220</v>
      </c>
      <c r="H163" s="8">
        <v>46275</v>
      </c>
      <c r="I163" s="8">
        <v>46275</v>
      </c>
      <c r="J163" s="9" t="str">
        <f>+VLOOKUP(K163,Datos!$A:$C,3,FALSE)</f>
        <v>AMERICAS</v>
      </c>
      <c r="K163" s="6">
        <v>30</v>
      </c>
      <c r="L163" s="9" t="str">
        <f>+VLOOKUP(K163,Datos!$A:$C,2,FALSE)</f>
        <v>BARBERENA</v>
      </c>
      <c r="M163" s="6">
        <v>305035</v>
      </c>
      <c r="N163" s="9" t="str">
        <f>+VLOOKUP(M163,Datos!$F:$G,2,FALSE)</f>
        <v>Lilian Nohemi Santos Bailon</v>
      </c>
      <c r="O163" s="10">
        <f>IFERROR(IF(A163="SI",VLOOKUP(R163,Datos!$J$1:$K$50,2,FALSE)*C163,VLOOKUP(R163,Datos!$P$1:$T$50,2,FALSE)*C163),0)</f>
        <v>1368</v>
      </c>
      <c r="P163" s="6">
        <v>300594</v>
      </c>
      <c r="Q163" s="9" t="str">
        <f>+VLOOKUP(P163,Datos!$F:$G,2,FALSE)</f>
        <v>Rosaura Grisleny Perez Rios</v>
      </c>
      <c r="R163" s="6" t="s">
        <v>25</v>
      </c>
      <c r="S163" s="6" t="s">
        <v>20</v>
      </c>
      <c r="T163" s="6">
        <f t="shared" si="2"/>
        <v>1</v>
      </c>
    </row>
    <row r="164" spans="1:20" hidden="1" x14ac:dyDescent="0.35">
      <c r="A164" s="6" t="s">
        <v>20</v>
      </c>
      <c r="B164" s="6" t="s">
        <v>21</v>
      </c>
      <c r="C164" s="6">
        <v>3</v>
      </c>
      <c r="D164" s="6" t="s">
        <v>22</v>
      </c>
      <c r="E164" s="6" t="s">
        <v>53</v>
      </c>
      <c r="F164" s="6">
        <v>629</v>
      </c>
      <c r="G164" s="6" t="s">
        <v>221</v>
      </c>
      <c r="H164" s="8">
        <v>46275</v>
      </c>
      <c r="I164" s="8">
        <v>46275</v>
      </c>
      <c r="J164" s="9" t="str">
        <f>+VLOOKUP(K164,Datos!$A:$C,3,FALSE)</f>
        <v>NORTE</v>
      </c>
      <c r="K164" s="6">
        <v>195</v>
      </c>
      <c r="L164" s="9" t="str">
        <f>+VLOOKUP(K164,Datos!$A:$C,2,FALSE)</f>
        <v>TELEMAN</v>
      </c>
      <c r="M164" s="6">
        <v>90082179</v>
      </c>
      <c r="N164" s="9" t="str">
        <f>+VLOOKUP(M164,Datos!$F:$G,2,FALSE)</f>
        <v>REYNA ADELAIDA CHAMAN CAAL</v>
      </c>
      <c r="O164" s="10">
        <f>IFERROR(IF(A164="SI",VLOOKUP(R164,Datos!$J$1:$K$50,2,FALSE)*C164,VLOOKUP(R164,Datos!$P$1:$T$50,2,FALSE)*C164),0)</f>
        <v>2448</v>
      </c>
      <c r="P164" s="6">
        <v>315351</v>
      </c>
      <c r="Q164" s="9" t="str">
        <f>+VLOOKUP(P164,Datos!$F:$G,2,FALSE)</f>
        <v>Maria Vicenta Lopez Mancilla De De Del Valle</v>
      </c>
      <c r="R164" s="6" t="s">
        <v>29</v>
      </c>
      <c r="S164" s="6" t="s">
        <v>20</v>
      </c>
      <c r="T164" s="6">
        <f t="shared" si="2"/>
        <v>1</v>
      </c>
    </row>
    <row r="165" spans="1:20" hidden="1" x14ac:dyDescent="0.35">
      <c r="A165" s="6" t="s">
        <v>20</v>
      </c>
      <c r="B165" s="6" t="s">
        <v>26</v>
      </c>
      <c r="C165" s="6">
        <v>1</v>
      </c>
      <c r="D165" s="6" t="s">
        <v>22</v>
      </c>
      <c r="E165" s="6" t="s">
        <v>27</v>
      </c>
      <c r="F165" s="6">
        <v>4409</v>
      </c>
      <c r="G165" s="6" t="s">
        <v>222</v>
      </c>
      <c r="H165" s="8">
        <v>46275</v>
      </c>
      <c r="I165" s="8">
        <v>46275</v>
      </c>
      <c r="J165" s="9" t="str">
        <f>+VLOOKUP(K165,Datos!$A:$C,3,FALSE)</f>
        <v>NORTE</v>
      </c>
      <c r="K165" s="6">
        <v>38</v>
      </c>
      <c r="L165" s="9" t="str">
        <f>+VLOOKUP(K165,Datos!$A:$C,2,FALSE)</f>
        <v>CARCHA</v>
      </c>
      <c r="M165" s="6">
        <v>305736</v>
      </c>
      <c r="N165" s="9" t="str">
        <f>+VLOOKUP(M165,Datos!$F:$G,2,FALSE)</f>
        <v>Edvin Estuardo Ordoñez Gonzalez</v>
      </c>
      <c r="O165" s="10">
        <f>IFERROR(IF(A165="SI",VLOOKUP(R165,Datos!$J$1:$K$50,2,FALSE)*C165,VLOOKUP(R165,Datos!$P$1:$T$50,2,FALSE)*C165),0)</f>
        <v>816</v>
      </c>
      <c r="P165" s="6">
        <v>306471</v>
      </c>
      <c r="Q165" s="9" t="str">
        <f>+VLOOKUP(P165,Datos!$F:$G,2,FALSE)</f>
        <v>Angel Enmanuel Quim Macz</v>
      </c>
      <c r="R165" s="6" t="s">
        <v>29</v>
      </c>
      <c r="S165" s="6" t="s">
        <v>20</v>
      </c>
      <c r="T165" s="6">
        <f t="shared" si="2"/>
        <v>1</v>
      </c>
    </row>
    <row r="166" spans="1:20" hidden="1" x14ac:dyDescent="0.35">
      <c r="A166" s="6" t="s">
        <v>20</v>
      </c>
      <c r="B166" s="6" t="s">
        <v>26</v>
      </c>
      <c r="C166" s="6">
        <v>1</v>
      </c>
      <c r="D166" s="6" t="s">
        <v>22</v>
      </c>
      <c r="E166" s="6" t="s">
        <v>112</v>
      </c>
      <c r="F166" s="6">
        <v>2585</v>
      </c>
      <c r="G166" s="6" t="s">
        <v>223</v>
      </c>
      <c r="H166" s="8">
        <v>46275</v>
      </c>
      <c r="I166" s="8">
        <v>46275</v>
      </c>
      <c r="J166" s="9" t="str">
        <f>+VLOOKUP(K166,Datos!$A:$C,3,FALSE)</f>
        <v>NORTE</v>
      </c>
      <c r="K166" s="6">
        <v>38</v>
      </c>
      <c r="L166" s="9" t="str">
        <f>+VLOOKUP(K166,Datos!$A:$C,2,FALSE)</f>
        <v>CARCHA</v>
      </c>
      <c r="M166" s="6">
        <v>309527</v>
      </c>
      <c r="N166" s="9" t="str">
        <f>+VLOOKUP(M166,Datos!$F:$G,2,FALSE)</f>
        <v>Ana Gabriela Caal Cruz</v>
      </c>
      <c r="O166" s="10">
        <f>IFERROR(IF(A166="SI",VLOOKUP(R166,Datos!$J$1:$K$50,2,FALSE)*C166,VLOOKUP(R166,Datos!$P$1:$T$50,2,FALSE)*C166),0)</f>
        <v>1008</v>
      </c>
      <c r="P166" s="6">
        <v>306471</v>
      </c>
      <c r="Q166" s="9" t="str">
        <f>+VLOOKUP(P166,Datos!$F:$G,2,FALSE)</f>
        <v>Angel Enmanuel Quim Macz</v>
      </c>
      <c r="R166" s="6" t="s">
        <v>114</v>
      </c>
      <c r="S166" s="6" t="s">
        <v>20</v>
      </c>
      <c r="T166" s="6">
        <f t="shared" si="2"/>
        <v>1</v>
      </c>
    </row>
    <row r="167" spans="1:20" hidden="1" x14ac:dyDescent="0.35">
      <c r="A167" s="6" t="s">
        <v>20</v>
      </c>
      <c r="B167" s="6" t="s">
        <v>21</v>
      </c>
      <c r="C167" s="6">
        <v>4</v>
      </c>
      <c r="D167" s="6" t="s">
        <v>22</v>
      </c>
      <c r="E167" s="6" t="s">
        <v>224</v>
      </c>
      <c r="F167" s="6">
        <v>1</v>
      </c>
      <c r="G167" s="6" t="s">
        <v>225</v>
      </c>
      <c r="H167" s="7">
        <v>46276</v>
      </c>
      <c r="I167" s="8">
        <v>46275</v>
      </c>
      <c r="J167" s="9" t="str">
        <f>+VLOOKUP(K167,Datos!$A:$C,3,FALSE)</f>
        <v>ORIENTE</v>
      </c>
      <c r="K167" s="6">
        <v>182</v>
      </c>
      <c r="L167" s="9" t="str">
        <f>+VLOOKUP(K167,Datos!$A:$C,2,FALSE)</f>
        <v>ASUNCION MITA</v>
      </c>
      <c r="M167" s="6">
        <v>90085722</v>
      </c>
      <c r="N167" s="9" t="str">
        <f>+VLOOKUP(M167,Datos!$F:$G,2,FALSE)</f>
        <v>DANIA LINARES GOMEZ</v>
      </c>
      <c r="O167" s="10">
        <f>IFERROR(IF(A167="SI",VLOOKUP(R167,Datos!$J$1:$K$50,2,FALSE)*C167,VLOOKUP(R167,Datos!$P$1:$T$50,2,FALSE)*C167),0)</f>
        <v>9120</v>
      </c>
      <c r="P167" s="6">
        <v>305070</v>
      </c>
      <c r="Q167" s="9" t="str">
        <f>+VLOOKUP(P167,Datos!$F:$G,2,FALSE)</f>
        <v>Beverly Walesca Morales Ibarra</v>
      </c>
      <c r="R167" s="6" t="s">
        <v>226</v>
      </c>
      <c r="S167" s="6" t="s">
        <v>20</v>
      </c>
      <c r="T167" s="6">
        <f t="shared" ref="T167:T230" si="3">+COUNTIFS($G$2:$G$623,G167)</f>
        <v>1</v>
      </c>
    </row>
    <row r="168" spans="1:20" hidden="1" x14ac:dyDescent="0.35">
      <c r="A168" s="6" t="s">
        <v>20</v>
      </c>
      <c r="B168" s="6" t="s">
        <v>21</v>
      </c>
      <c r="C168" s="6">
        <v>1</v>
      </c>
      <c r="D168" s="6" t="s">
        <v>22</v>
      </c>
      <c r="E168" s="6" t="s">
        <v>151</v>
      </c>
      <c r="F168" s="6">
        <v>423</v>
      </c>
      <c r="G168" s="6" t="s">
        <v>227</v>
      </c>
      <c r="H168" s="8">
        <v>46276</v>
      </c>
      <c r="I168" s="8">
        <v>46276</v>
      </c>
      <c r="J168" s="9" t="str">
        <f>+VLOOKUP(K168,Datos!$A:$C,3,FALSE)</f>
        <v>PETAPA</v>
      </c>
      <c r="K168" s="6">
        <v>120</v>
      </c>
      <c r="L168" s="9" t="str">
        <f>+VLOOKUP(K168,Datos!$A:$C,2,FALSE)</f>
        <v>VILLA NUEVA 2</v>
      </c>
      <c r="M168" s="6">
        <v>90062512</v>
      </c>
      <c r="N168" s="9" t="str">
        <f>+VLOOKUP(M168,Datos!$F:$G,2,FALSE)</f>
        <v>MADELINE YAMILET MURALLES AGUSTIN</v>
      </c>
      <c r="O168" s="10">
        <f>IFERROR(IF(A168="SI",VLOOKUP(R168,Datos!$J$1:$K$50,2,FALSE)*C168,VLOOKUP(R168,Datos!$P$1:$T$50,2,FALSE)*C168),0)</f>
        <v>1092</v>
      </c>
      <c r="P168" s="6">
        <v>315576</v>
      </c>
      <c r="Q168" s="9" t="str">
        <f>+VLOOKUP(P168,Datos!$F:$G,2,FALSE)</f>
        <v>Heber Uziel Ruiz Escobar</v>
      </c>
      <c r="R168" s="6" t="s">
        <v>117</v>
      </c>
      <c r="S168" s="6" t="s">
        <v>20</v>
      </c>
      <c r="T168" s="6">
        <f t="shared" si="3"/>
        <v>1</v>
      </c>
    </row>
    <row r="169" spans="1:20" hidden="1" x14ac:dyDescent="0.35">
      <c r="A169" s="6" t="s">
        <v>20</v>
      </c>
      <c r="B169" s="6" t="s">
        <v>21</v>
      </c>
      <c r="C169" s="6">
        <v>1</v>
      </c>
      <c r="D169" s="6" t="s">
        <v>22</v>
      </c>
      <c r="E169" s="6" t="s">
        <v>27</v>
      </c>
      <c r="F169" s="6">
        <v>4426</v>
      </c>
      <c r="G169" s="6" t="s">
        <v>228</v>
      </c>
      <c r="H169" s="8">
        <v>46276</v>
      </c>
      <c r="I169" s="8">
        <v>46276</v>
      </c>
      <c r="J169" s="9" t="str">
        <f>+VLOOKUP(K169,Datos!$A:$C,3,FALSE)</f>
        <v>PETAPA</v>
      </c>
      <c r="K169" s="6">
        <v>11</v>
      </c>
      <c r="L169" s="9" t="str">
        <f>+VLOOKUP(K169,Datos!$A:$C,2,FALSE)</f>
        <v>PETAPA</v>
      </c>
      <c r="M169" s="6">
        <v>90086485</v>
      </c>
      <c r="N169" s="9" t="str">
        <f>+VLOOKUP(M169,Datos!$F:$G,2,FALSE)</f>
        <v xml:space="preserve">SHAROL STEFANY YOC GOMEZ </v>
      </c>
      <c r="O169" s="10">
        <f>IFERROR(IF(A169="SI",VLOOKUP(R169,Datos!$J$1:$K$50,2,FALSE)*C169,VLOOKUP(R169,Datos!$P$1:$T$50,2,FALSE)*C169),0)</f>
        <v>816</v>
      </c>
      <c r="P169" s="6">
        <v>314077</v>
      </c>
      <c r="Q169" s="9" t="str">
        <f>+VLOOKUP(P169,Datos!$F:$G,2,FALSE)</f>
        <v>Eddy Estuardo Lool Calderon</v>
      </c>
      <c r="R169" s="6" t="s">
        <v>29</v>
      </c>
      <c r="S169" s="6" t="s">
        <v>20</v>
      </c>
      <c r="T169" s="6">
        <f t="shared" si="3"/>
        <v>1</v>
      </c>
    </row>
    <row r="170" spans="1:20" hidden="1" x14ac:dyDescent="0.35">
      <c r="A170" s="6" t="s">
        <v>20</v>
      </c>
      <c r="B170" s="6" t="s">
        <v>21</v>
      </c>
      <c r="C170" s="6">
        <v>1</v>
      </c>
      <c r="D170" s="6" t="s">
        <v>22</v>
      </c>
      <c r="E170" s="6" t="s">
        <v>194</v>
      </c>
      <c r="F170" s="6">
        <v>2949</v>
      </c>
      <c r="G170" s="6" t="s">
        <v>229</v>
      </c>
      <c r="H170" s="8">
        <v>46276</v>
      </c>
      <c r="I170" s="8">
        <v>46276</v>
      </c>
      <c r="J170" s="9" t="str">
        <f>+VLOOKUP(K170,Datos!$A:$C,3,FALSE)</f>
        <v>NORTE</v>
      </c>
      <c r="K170" s="6">
        <v>205</v>
      </c>
      <c r="L170" s="9" t="str">
        <f>+VLOOKUP(K170,Datos!$A:$C,2,FALSE)</f>
        <v>SAN CRISTOBAL VERAPAZ</v>
      </c>
      <c r="M170" s="6">
        <v>90081179</v>
      </c>
      <c r="N170" s="9" t="str">
        <f>+VLOOKUP(M170,Datos!$F:$G,2,FALSE)</f>
        <v>OSCAR MIGUEL QUEJ TILOM</v>
      </c>
      <c r="O170" s="10">
        <f>IFERROR(IF(A170="SI",VLOOKUP(R170,Datos!$J$1:$K$50,2,FALSE)*C170,VLOOKUP(R170,Datos!$P$1:$T$50,2,FALSE)*C170),0)</f>
        <v>2472</v>
      </c>
      <c r="P170" s="6">
        <v>300978</v>
      </c>
      <c r="Q170" s="9" t="str">
        <f>+VLOOKUP(P170,Datos!$F:$G,2,FALSE)</f>
        <v>Wuangler Geovane Cal Sucup</v>
      </c>
      <c r="R170" s="6" t="s">
        <v>230</v>
      </c>
      <c r="S170" s="6" t="s">
        <v>20</v>
      </c>
      <c r="T170" s="6">
        <f t="shared" si="3"/>
        <v>1</v>
      </c>
    </row>
    <row r="171" spans="1:20" hidden="1" x14ac:dyDescent="0.35">
      <c r="A171" s="6" t="s">
        <v>20</v>
      </c>
      <c r="B171" s="6" t="s">
        <v>21</v>
      </c>
      <c r="C171" s="6">
        <v>1</v>
      </c>
      <c r="D171" s="6" t="s">
        <v>22</v>
      </c>
      <c r="E171" s="6" t="s">
        <v>27</v>
      </c>
      <c r="F171" s="6">
        <v>4430</v>
      </c>
      <c r="G171" s="6" t="s">
        <v>231</v>
      </c>
      <c r="H171" s="8">
        <v>46276</v>
      </c>
      <c r="I171" s="8">
        <v>46276</v>
      </c>
      <c r="J171" s="9" t="str">
        <f>+VLOOKUP(K171,Datos!$A:$C,3,FALSE)</f>
        <v>NORTE</v>
      </c>
      <c r="K171" s="6">
        <v>215</v>
      </c>
      <c r="L171" s="9" t="str">
        <f>+VLOOKUP(K171,Datos!$A:$C,2,FALSE)</f>
        <v>FRAY BARTOLOME DE LAS CASAS</v>
      </c>
      <c r="M171" s="6">
        <v>310692</v>
      </c>
      <c r="N171" s="9" t="str">
        <f>+VLOOKUP(M171,Datos!$F:$G,2,FALSE)</f>
        <v>Leidy Ana Macz Valey</v>
      </c>
      <c r="O171" s="10">
        <f>IFERROR(IF(A171="SI",VLOOKUP(R171,Datos!$J$1:$K$50,2,FALSE)*C171,VLOOKUP(R171,Datos!$P$1:$T$50,2,FALSE)*C171),0)</f>
        <v>816</v>
      </c>
      <c r="P171" s="6">
        <v>312557</v>
      </c>
      <c r="Q171" s="9" t="str">
        <f>+VLOOKUP(P171,Datos!$F:$G,2,FALSE)</f>
        <v>Edwin Romeo Eleazar Ochoa Lopez</v>
      </c>
      <c r="R171" s="6" t="s">
        <v>29</v>
      </c>
      <c r="S171" s="6" t="s">
        <v>20</v>
      </c>
      <c r="T171" s="6">
        <f t="shared" si="3"/>
        <v>1</v>
      </c>
    </row>
    <row r="172" spans="1:20" hidden="1" x14ac:dyDescent="0.35">
      <c r="A172" s="6" t="s">
        <v>20</v>
      </c>
      <c r="B172" s="6" t="s">
        <v>21</v>
      </c>
      <c r="C172" s="6">
        <v>1</v>
      </c>
      <c r="D172" s="6" t="s">
        <v>22</v>
      </c>
      <c r="E172" s="6" t="s">
        <v>27</v>
      </c>
      <c r="F172" s="6">
        <v>4427</v>
      </c>
      <c r="G172" s="6" t="s">
        <v>232</v>
      </c>
      <c r="H172" s="8">
        <v>46276</v>
      </c>
      <c r="I172" s="8">
        <v>46276</v>
      </c>
      <c r="J172" s="9" t="str">
        <f>+VLOOKUP(K172,Datos!$A:$C,3,FALSE)</f>
        <v>PETAPA</v>
      </c>
      <c r="K172" s="6">
        <v>88</v>
      </c>
      <c r="L172" s="9" t="str">
        <f>+VLOOKUP(K172,Datos!$A:$C,2,FALSE)</f>
        <v>ATANASIO TZUL</v>
      </c>
      <c r="M172" s="6">
        <v>315364</v>
      </c>
      <c r="N172" s="9" t="str">
        <f>+VLOOKUP(M172,Datos!$F:$G,2,FALSE)</f>
        <v>Wendy Corina Najera Vasquez De De Jocol</v>
      </c>
      <c r="O172" s="10">
        <f>IFERROR(IF(A172="SI",VLOOKUP(R172,Datos!$J$1:$K$50,2,FALSE)*C172,VLOOKUP(R172,Datos!$P$1:$T$50,2,FALSE)*C172),0)</f>
        <v>816</v>
      </c>
      <c r="P172" s="6">
        <v>306713</v>
      </c>
      <c r="Q172" s="9" t="str">
        <f>+VLOOKUP(P172,Datos!$F:$G,2,FALSE)</f>
        <v>Luis Fernando Santos Aguilar</v>
      </c>
      <c r="R172" s="6" t="s">
        <v>29</v>
      </c>
      <c r="S172" s="6" t="s">
        <v>20</v>
      </c>
      <c r="T172" s="6">
        <f t="shared" si="3"/>
        <v>1</v>
      </c>
    </row>
    <row r="173" spans="1:20" hidden="1" x14ac:dyDescent="0.35">
      <c r="A173" s="6" t="s">
        <v>20</v>
      </c>
      <c r="B173" s="6" t="s">
        <v>21</v>
      </c>
      <c r="C173" s="6">
        <v>1</v>
      </c>
      <c r="D173" s="6" t="s">
        <v>22</v>
      </c>
      <c r="E173" s="6" t="s">
        <v>27</v>
      </c>
      <c r="F173" s="6">
        <v>4416</v>
      </c>
      <c r="G173" s="6" t="s">
        <v>157</v>
      </c>
      <c r="H173" s="8">
        <v>46276</v>
      </c>
      <c r="I173" s="8">
        <v>46276</v>
      </c>
      <c r="J173" s="9" t="str">
        <f>+VLOOKUP(K173,Datos!$A:$C,3,FALSE)</f>
        <v>NORTE</v>
      </c>
      <c r="K173" s="6">
        <v>38</v>
      </c>
      <c r="L173" s="9" t="str">
        <f>+VLOOKUP(K173,Datos!$A:$C,2,FALSE)</f>
        <v>CARCHA</v>
      </c>
      <c r="M173" s="6">
        <v>90063386</v>
      </c>
      <c r="N173" s="9" t="str">
        <f>+VLOOKUP(M173,Datos!$F:$G,2,FALSE)</f>
        <v>NERY AYU</v>
      </c>
      <c r="O173" s="10">
        <f>IFERROR(IF(A173="SI",VLOOKUP(R173,Datos!$J$1:$K$50,2,FALSE)*C173,VLOOKUP(R173,Datos!$P$1:$T$50,2,FALSE)*C173),0)</f>
        <v>816</v>
      </c>
      <c r="P173" s="6">
        <v>306471</v>
      </c>
      <c r="Q173" s="9" t="str">
        <f>+VLOOKUP(P173,Datos!$F:$G,2,FALSE)</f>
        <v>Angel Enmanuel Quim Macz</v>
      </c>
      <c r="R173" s="6" t="s">
        <v>29</v>
      </c>
      <c r="S173" s="6" t="s">
        <v>20</v>
      </c>
      <c r="T173" s="6">
        <f t="shared" si="3"/>
        <v>2</v>
      </c>
    </row>
    <row r="174" spans="1:20" hidden="1" x14ac:dyDescent="0.35">
      <c r="A174" s="6" t="s">
        <v>20</v>
      </c>
      <c r="B174" s="6" t="s">
        <v>26</v>
      </c>
      <c r="C174" s="6">
        <v>1</v>
      </c>
      <c r="D174" s="6" t="s">
        <v>22</v>
      </c>
      <c r="E174" s="6" t="s">
        <v>27</v>
      </c>
      <c r="F174" s="6">
        <v>4436</v>
      </c>
      <c r="G174" s="6" t="s">
        <v>233</v>
      </c>
      <c r="H174" s="7">
        <v>46277</v>
      </c>
      <c r="I174" s="8">
        <v>46277</v>
      </c>
      <c r="J174" s="9" t="str">
        <f>+VLOOKUP(K174,Datos!$A:$C,3,FALSE)</f>
        <v>AMERICAS</v>
      </c>
      <c r="K174" s="6">
        <v>224</v>
      </c>
      <c r="L174" s="9" t="str">
        <f>+VLOOKUP(K174,Datos!$A:$C,2,FALSE)</f>
        <v>MINUTO CARRETERA A EL SALVADOR</v>
      </c>
      <c r="M174" s="6">
        <v>90087185</v>
      </c>
      <c r="N174" s="9" t="str">
        <f>+VLOOKUP(M174,Datos!$F:$G,2,FALSE)</f>
        <v>JACKELINE KARINA CON VASQUEZ</v>
      </c>
      <c r="O174" s="10">
        <f>IFERROR(IF(A174="SI",VLOOKUP(R174,Datos!$J$1:$K$50,2,FALSE)*C174,VLOOKUP(R174,Datos!$P$1:$T$50,2,FALSE)*C174),0)</f>
        <v>816</v>
      </c>
      <c r="P174" s="6">
        <v>313918</v>
      </c>
      <c r="Q174" s="9" t="str">
        <f>+VLOOKUP(P174,Datos!$F:$G,2,FALSE)</f>
        <v>Karina Lizeth Pineda Ortiz</v>
      </c>
      <c r="R174" s="6" t="s">
        <v>29</v>
      </c>
      <c r="S174" s="6" t="s">
        <v>20</v>
      </c>
      <c r="T174" s="6">
        <f t="shared" si="3"/>
        <v>1</v>
      </c>
    </row>
    <row r="175" spans="1:20" hidden="1" x14ac:dyDescent="0.35">
      <c r="A175" s="6" t="s">
        <v>20</v>
      </c>
      <c r="B175" s="6" t="s">
        <v>21</v>
      </c>
      <c r="C175" s="6">
        <v>3</v>
      </c>
      <c r="D175" s="6" t="s">
        <v>22</v>
      </c>
      <c r="E175" s="6" t="s">
        <v>53</v>
      </c>
      <c r="F175" s="6">
        <v>637</v>
      </c>
      <c r="G175" s="6" t="s">
        <v>234</v>
      </c>
      <c r="H175" s="8">
        <v>46277</v>
      </c>
      <c r="I175" s="8">
        <v>46277</v>
      </c>
      <c r="J175" s="9" t="str">
        <f>+VLOOKUP(K175,Datos!$A:$C,3,FALSE)</f>
        <v>NORTE</v>
      </c>
      <c r="K175" s="6">
        <v>162</v>
      </c>
      <c r="L175" s="9" t="str">
        <f>+VLOOKUP(K175,Datos!$A:$C,2,FALSE)</f>
        <v>CHISEC</v>
      </c>
      <c r="M175" s="6">
        <v>314417</v>
      </c>
      <c r="N175" s="9" t="str">
        <f>+VLOOKUP(M175,Datos!$F:$G,2,FALSE)</f>
        <v>Krisley Mary Dayana Mazariegos Vega</v>
      </c>
      <c r="O175" s="10">
        <f>IFERROR(IF(A175="SI",VLOOKUP(R175,Datos!$J$1:$K$50,2,FALSE)*C175,VLOOKUP(R175,Datos!$P$1:$T$50,2,FALSE)*C175),0)</f>
        <v>2448</v>
      </c>
      <c r="P175" s="6">
        <v>315051</v>
      </c>
      <c r="Q175" s="9" t="str">
        <f>+VLOOKUP(P175,Datos!$F:$G,2,FALSE)</f>
        <v>Carlos Alfredo Catun Rax</v>
      </c>
      <c r="R175" s="6" t="s">
        <v>29</v>
      </c>
      <c r="S175" s="6" t="s">
        <v>20</v>
      </c>
      <c r="T175" s="6">
        <f t="shared" si="3"/>
        <v>1</v>
      </c>
    </row>
    <row r="176" spans="1:20" hidden="1" x14ac:dyDescent="0.35">
      <c r="A176" s="6" t="s">
        <v>20</v>
      </c>
      <c r="B176" s="6" t="s">
        <v>21</v>
      </c>
      <c r="C176" s="6">
        <v>1</v>
      </c>
      <c r="D176" s="6" t="s">
        <v>22</v>
      </c>
      <c r="E176" s="6" t="s">
        <v>27</v>
      </c>
      <c r="F176" s="6">
        <v>4443</v>
      </c>
      <c r="G176" s="6" t="s">
        <v>235</v>
      </c>
      <c r="H176" s="8">
        <v>46277</v>
      </c>
      <c r="I176" s="8">
        <v>46277</v>
      </c>
      <c r="J176" s="9" t="str">
        <f>+VLOOKUP(K176,Datos!$A:$C,3,FALSE)</f>
        <v>ORIENTE</v>
      </c>
      <c r="K176" s="6">
        <v>128</v>
      </c>
      <c r="L176" s="9" t="str">
        <f>+VLOOKUP(K176,Datos!$A:$C,2,FALSE)</f>
        <v>CHIQUIMULA 2</v>
      </c>
      <c r="M176" s="6">
        <v>315812</v>
      </c>
      <c r="N176" s="9" t="str">
        <f>+VLOOKUP(M176,Datos!$F:$G,2,FALSE)</f>
        <v>Josue Felipe Lopez Tojin</v>
      </c>
      <c r="O176" s="10">
        <f>IFERROR(IF(A176="SI",VLOOKUP(R176,Datos!$J$1:$K$50,2,FALSE)*C176,VLOOKUP(R176,Datos!$P$1:$T$50,2,FALSE)*C176),0)</f>
        <v>816</v>
      </c>
      <c r="P176" s="6">
        <v>312176</v>
      </c>
      <c r="Q176" s="9" t="str">
        <f>+VLOOKUP(P176,Datos!$F:$G,2,FALSE)</f>
        <v>Nestor Edgardo Gutierrez Lazaro</v>
      </c>
      <c r="R176" s="6" t="s">
        <v>29</v>
      </c>
      <c r="S176" s="6" t="s">
        <v>20</v>
      </c>
      <c r="T176" s="6">
        <f t="shared" si="3"/>
        <v>1</v>
      </c>
    </row>
    <row r="177" spans="1:20" hidden="1" x14ac:dyDescent="0.35">
      <c r="A177" s="6" t="s">
        <v>20</v>
      </c>
      <c r="B177" s="6" t="s">
        <v>26</v>
      </c>
      <c r="C177" s="6">
        <v>1</v>
      </c>
      <c r="D177" s="6" t="s">
        <v>22</v>
      </c>
      <c r="E177" s="6" t="s">
        <v>27</v>
      </c>
      <c r="F177" s="6">
        <v>4447</v>
      </c>
      <c r="G177" s="6" t="s">
        <v>236</v>
      </c>
      <c r="H177" s="8">
        <v>46277</v>
      </c>
      <c r="I177" s="8">
        <v>46277</v>
      </c>
      <c r="J177" s="9" t="str">
        <f>+VLOOKUP(K177,Datos!$A:$C,3,FALSE)</f>
        <v>NORTE</v>
      </c>
      <c r="K177" s="6">
        <v>195</v>
      </c>
      <c r="L177" s="9" t="str">
        <f>+VLOOKUP(K177,Datos!$A:$C,2,FALSE)</f>
        <v>TELEMAN</v>
      </c>
      <c r="M177" s="6">
        <v>90082179</v>
      </c>
      <c r="N177" s="9" t="str">
        <f>+VLOOKUP(M177,Datos!$F:$G,2,FALSE)</f>
        <v>REYNA ADELAIDA CHAMAN CAAL</v>
      </c>
      <c r="O177" s="10">
        <f>IFERROR(IF(A177="SI",VLOOKUP(R177,Datos!$J$1:$K$50,2,FALSE)*C177,VLOOKUP(R177,Datos!$P$1:$T$50,2,FALSE)*C177),0)</f>
        <v>816</v>
      </c>
      <c r="P177" s="6">
        <v>315351</v>
      </c>
      <c r="Q177" s="9" t="str">
        <f>+VLOOKUP(P177,Datos!$F:$G,2,FALSE)</f>
        <v>Maria Vicenta Lopez Mancilla De De Del Valle</v>
      </c>
      <c r="R177" s="6" t="s">
        <v>29</v>
      </c>
      <c r="S177" s="6" t="s">
        <v>20</v>
      </c>
      <c r="T177" s="6">
        <f t="shared" si="3"/>
        <v>1</v>
      </c>
    </row>
    <row r="178" spans="1:20" hidden="1" x14ac:dyDescent="0.35">
      <c r="A178" s="6" t="s">
        <v>20</v>
      </c>
      <c r="B178" s="6" t="s">
        <v>21</v>
      </c>
      <c r="C178" s="6">
        <v>2</v>
      </c>
      <c r="D178" s="6" t="s">
        <v>22</v>
      </c>
      <c r="E178" s="6" t="s">
        <v>237</v>
      </c>
      <c r="F178" s="6">
        <v>50</v>
      </c>
      <c r="G178" s="6" t="s">
        <v>238</v>
      </c>
      <c r="H178" s="8">
        <v>46277</v>
      </c>
      <c r="I178" s="8">
        <v>46277</v>
      </c>
      <c r="J178" s="9" t="str">
        <f>+VLOOKUP(K178,Datos!$A:$C,3,FALSE)</f>
        <v>NORTE</v>
      </c>
      <c r="K178" s="6">
        <v>162</v>
      </c>
      <c r="L178" s="9" t="str">
        <f>+VLOOKUP(K178,Datos!$A:$C,2,FALSE)</f>
        <v>CHISEC</v>
      </c>
      <c r="M178" s="6">
        <v>90082018</v>
      </c>
      <c r="N178" s="9" t="str">
        <f>+VLOOKUP(M178,Datos!$F:$G,2,FALSE)</f>
        <v>PABLO ICO CO</v>
      </c>
      <c r="O178" s="10">
        <f>IFERROR(IF(A178="SI",VLOOKUP(R178,Datos!$J$1:$K$50,2,FALSE)*C178,VLOOKUP(R178,Datos!$P$1:$T$50,2,FALSE)*C178),0)</f>
        <v>3408</v>
      </c>
      <c r="P178" s="6">
        <v>315051</v>
      </c>
      <c r="Q178" s="9" t="str">
        <f>+VLOOKUP(P178,Datos!$F:$G,2,FALSE)</f>
        <v>Carlos Alfredo Catun Rax</v>
      </c>
      <c r="R178" s="6" t="s">
        <v>239</v>
      </c>
      <c r="S178" s="6" t="s">
        <v>20</v>
      </c>
      <c r="T178" s="6">
        <f t="shared" si="3"/>
        <v>1</v>
      </c>
    </row>
    <row r="179" spans="1:20" hidden="1" x14ac:dyDescent="0.35">
      <c r="A179" s="6" t="s">
        <v>20</v>
      </c>
      <c r="B179" s="6" t="s">
        <v>21</v>
      </c>
      <c r="C179" s="6">
        <v>1</v>
      </c>
      <c r="D179" s="6" t="s">
        <v>22</v>
      </c>
      <c r="E179" s="6" t="s">
        <v>27</v>
      </c>
      <c r="F179" s="6">
        <v>4449</v>
      </c>
      <c r="G179" s="6" t="s">
        <v>240</v>
      </c>
      <c r="H179" s="8">
        <v>46277</v>
      </c>
      <c r="I179" s="8">
        <v>46277</v>
      </c>
      <c r="J179" s="9" t="str">
        <f>+VLOOKUP(K179,Datos!$A:$C,3,FALSE)</f>
        <v>ORIENTE</v>
      </c>
      <c r="K179" s="6">
        <v>182</v>
      </c>
      <c r="L179" s="9" t="str">
        <f>+VLOOKUP(K179,Datos!$A:$C,2,FALSE)</f>
        <v>ASUNCION MITA</v>
      </c>
      <c r="M179" s="6">
        <v>90009270</v>
      </c>
      <c r="N179" s="9" t="str">
        <f>+VLOOKUP(M179,Datos!$F:$G,2,FALSE)</f>
        <v xml:space="preserve">Laura Yessenia Trabanino Interiano </v>
      </c>
      <c r="O179" s="10">
        <f>IFERROR(IF(A179="SI",VLOOKUP(R179,Datos!$J$1:$K$50,2,FALSE)*C179,VLOOKUP(R179,Datos!$P$1:$T$50,2,FALSE)*C179),0)</f>
        <v>1368</v>
      </c>
      <c r="P179" s="6">
        <v>305070</v>
      </c>
      <c r="Q179" s="9" t="str">
        <f>+VLOOKUP(P179,Datos!$F:$G,2,FALSE)</f>
        <v>Beverly Walesca Morales Ibarra</v>
      </c>
      <c r="R179" s="6" t="s">
        <v>25</v>
      </c>
      <c r="S179" s="6" t="s">
        <v>20</v>
      </c>
      <c r="T179" s="6">
        <f t="shared" si="3"/>
        <v>1</v>
      </c>
    </row>
    <row r="180" spans="1:20" hidden="1" x14ac:dyDescent="0.35">
      <c r="A180" s="6" t="s">
        <v>20</v>
      </c>
      <c r="B180" s="6" t="s">
        <v>21</v>
      </c>
      <c r="C180" s="6">
        <v>1</v>
      </c>
      <c r="D180" s="6" t="s">
        <v>22</v>
      </c>
      <c r="E180" s="6" t="s">
        <v>27</v>
      </c>
      <c r="F180" s="6">
        <v>4451</v>
      </c>
      <c r="G180" s="6" t="s">
        <v>241</v>
      </c>
      <c r="H180" s="8">
        <v>46277</v>
      </c>
      <c r="I180" s="8">
        <v>46277</v>
      </c>
      <c r="J180" s="9" t="str">
        <f>+VLOOKUP(K180,Datos!$A:$C,3,FALSE)</f>
        <v>NORTE</v>
      </c>
      <c r="K180" s="6">
        <v>163</v>
      </c>
      <c r="L180" s="9" t="str">
        <f>+VLOOKUP(K180,Datos!$A:$C,2,FALSE)</f>
        <v>LA TINTA</v>
      </c>
      <c r="M180" s="6">
        <v>90038373</v>
      </c>
      <c r="N180" s="9" t="str">
        <f>+VLOOKUP(M180,Datos!$F:$G,2,FALSE)</f>
        <v>Bryan Sleyter Gabriel Coy Tercero</v>
      </c>
      <c r="O180" s="10">
        <f>IFERROR(IF(A180="SI",VLOOKUP(R180,Datos!$J$1:$K$50,2,FALSE)*C180,VLOOKUP(R180,Datos!$P$1:$T$50,2,FALSE)*C180),0)</f>
        <v>816</v>
      </c>
      <c r="P180" s="6">
        <v>90084233</v>
      </c>
      <c r="Q180" s="9" t="str">
        <f>+VLOOKUP(P180,Datos!$F:$G,2,FALSE)</f>
        <v>CECILIA DORCAS SIQUIC VELASQUEZ</v>
      </c>
      <c r="R180" s="6" t="s">
        <v>29</v>
      </c>
      <c r="S180" s="6" t="s">
        <v>20</v>
      </c>
      <c r="T180" s="6">
        <f t="shared" si="3"/>
        <v>1</v>
      </c>
    </row>
    <row r="181" spans="1:20" hidden="1" x14ac:dyDescent="0.35">
      <c r="A181" s="6" t="s">
        <v>20</v>
      </c>
      <c r="B181" s="6" t="s">
        <v>21</v>
      </c>
      <c r="C181" s="6">
        <v>4</v>
      </c>
      <c r="D181" s="6" t="s">
        <v>22</v>
      </c>
      <c r="E181" s="6" t="s">
        <v>23</v>
      </c>
      <c r="F181" s="6">
        <v>726</v>
      </c>
      <c r="G181" s="6" t="s">
        <v>242</v>
      </c>
      <c r="H181" s="8">
        <v>46277</v>
      </c>
      <c r="I181" s="8">
        <v>46277</v>
      </c>
      <c r="J181" s="9" t="str">
        <f>+VLOOKUP(K181,Datos!$A:$C,3,FALSE)</f>
        <v>ORIENTE</v>
      </c>
      <c r="K181" s="6">
        <v>77</v>
      </c>
      <c r="L181" s="9" t="str">
        <f>+VLOOKUP(K181,Datos!$A:$C,2,FALSE)</f>
        <v>PUERTO BARRIOS</v>
      </c>
      <c r="M181" s="6">
        <v>310105</v>
      </c>
      <c r="N181" s="9" t="str">
        <f>+VLOOKUP(M181,Datos!$F:$G,2,FALSE)</f>
        <v>Simeon Valentin Gomez Flores</v>
      </c>
      <c r="O181" s="10">
        <f>IFERROR(IF(A181="SI",VLOOKUP(R181,Datos!$J$1:$K$50,2,FALSE)*C181,VLOOKUP(R181,Datos!$P$1:$T$50,2,FALSE)*C181),0)</f>
        <v>10944</v>
      </c>
      <c r="P181" s="6">
        <v>312950</v>
      </c>
      <c r="Q181" s="9" t="str">
        <f>+VLOOKUP(P181,Datos!$F:$G,2,FALSE)</f>
        <v>Cindy Carolina Sandoval Ruiz</v>
      </c>
      <c r="R181" s="6" t="s">
        <v>73</v>
      </c>
      <c r="S181" s="6" t="s">
        <v>20</v>
      </c>
      <c r="T181" s="6">
        <f t="shared" si="3"/>
        <v>1</v>
      </c>
    </row>
    <row r="182" spans="1:20" hidden="1" x14ac:dyDescent="0.35">
      <c r="A182" s="6" t="s">
        <v>20</v>
      </c>
      <c r="B182" s="6" t="s">
        <v>26</v>
      </c>
      <c r="C182" s="6">
        <v>2</v>
      </c>
      <c r="D182" s="6" t="s">
        <v>22</v>
      </c>
      <c r="E182" s="6" t="s">
        <v>31</v>
      </c>
      <c r="F182" s="6">
        <v>1216</v>
      </c>
      <c r="G182" s="6" t="s">
        <v>243</v>
      </c>
      <c r="H182" s="8">
        <v>46277</v>
      </c>
      <c r="I182" s="8">
        <v>46277</v>
      </c>
      <c r="J182" s="9" t="str">
        <f>+VLOOKUP(K182,Datos!$A:$C,3,FALSE)</f>
        <v>AMERICAS</v>
      </c>
      <c r="K182" s="6">
        <v>30</v>
      </c>
      <c r="L182" s="9" t="str">
        <f>+VLOOKUP(K182,Datos!$A:$C,2,FALSE)</f>
        <v>BARBERENA</v>
      </c>
      <c r="M182" s="6">
        <v>90068816</v>
      </c>
      <c r="N182" s="9" t="str">
        <f>+VLOOKUP(M182,Datos!$F:$G,2,FALSE)</f>
        <v>BRAYAN ELI GARCIA DONIS</v>
      </c>
      <c r="O182" s="10">
        <f>IFERROR(IF(A182="SI",VLOOKUP(R182,Datos!$J$1:$K$50,2,FALSE)*C182,VLOOKUP(R182,Datos!$P$1:$T$50,2,FALSE)*C182),0)</f>
        <v>2736</v>
      </c>
      <c r="P182" s="6">
        <v>300594</v>
      </c>
      <c r="Q182" s="9" t="str">
        <f>+VLOOKUP(P182,Datos!$F:$G,2,FALSE)</f>
        <v>Rosaura Grisleny Perez Rios</v>
      </c>
      <c r="R182" s="6" t="s">
        <v>25</v>
      </c>
      <c r="S182" s="6" t="s">
        <v>20</v>
      </c>
      <c r="T182" s="6">
        <f t="shared" si="3"/>
        <v>1</v>
      </c>
    </row>
    <row r="183" spans="1:20" hidden="1" x14ac:dyDescent="0.35">
      <c r="A183" s="6" t="s">
        <v>20</v>
      </c>
      <c r="B183" s="6" t="s">
        <v>26</v>
      </c>
      <c r="C183" s="6">
        <v>2</v>
      </c>
      <c r="D183" s="6" t="s">
        <v>22</v>
      </c>
      <c r="E183" s="6" t="s">
        <v>31</v>
      </c>
      <c r="F183" s="6">
        <v>1223</v>
      </c>
      <c r="G183" s="6" t="s">
        <v>244</v>
      </c>
      <c r="H183" s="8">
        <v>46277</v>
      </c>
      <c r="I183" s="8">
        <v>46277</v>
      </c>
      <c r="J183" s="9" t="str">
        <f>+VLOOKUP(K183,Datos!$A:$C,3,FALSE)</f>
        <v>NORTE</v>
      </c>
      <c r="K183" s="6">
        <v>203</v>
      </c>
      <c r="L183" s="9" t="str">
        <f>+VLOOKUP(K183,Datos!$A:$C,2,FALSE)</f>
        <v>PLAZA MAGDALENA</v>
      </c>
      <c r="M183" s="6">
        <v>90028367</v>
      </c>
      <c r="N183" s="9" t="str">
        <f>+VLOOKUP(M183,Datos!$F:$G,2,FALSE)</f>
        <v>Maria Del Carmen Ical Putul</v>
      </c>
      <c r="O183" s="10">
        <f>IFERROR(IF(A183="SI",VLOOKUP(R183,Datos!$J$1:$K$50,2,FALSE)*C183,VLOOKUP(R183,Datos!$P$1:$T$50,2,FALSE)*C183),0)</f>
        <v>1632</v>
      </c>
      <c r="P183" s="6">
        <v>314223</v>
      </c>
      <c r="Q183" s="9" t="str">
        <f>+VLOOKUP(P183,Datos!$F:$G,2,FALSE)</f>
        <v>Nadia Estefania Gramajo Archila</v>
      </c>
      <c r="R183" s="6" t="s">
        <v>29</v>
      </c>
      <c r="S183" s="6" t="s">
        <v>20</v>
      </c>
      <c r="T183" s="6">
        <f t="shared" si="3"/>
        <v>1</v>
      </c>
    </row>
    <row r="184" spans="1:20" hidden="1" x14ac:dyDescent="0.35">
      <c r="A184" s="6" t="s">
        <v>20</v>
      </c>
      <c r="B184" s="6" t="s">
        <v>26</v>
      </c>
      <c r="C184" s="6">
        <v>1</v>
      </c>
      <c r="D184" s="6" t="s">
        <v>22</v>
      </c>
      <c r="E184" s="6" t="s">
        <v>27</v>
      </c>
      <c r="F184" s="6">
        <v>4465</v>
      </c>
      <c r="G184" s="6" t="s">
        <v>245</v>
      </c>
      <c r="H184" s="7">
        <v>46278</v>
      </c>
      <c r="I184" s="8">
        <v>46278</v>
      </c>
      <c r="J184" s="9" t="str">
        <f>+VLOOKUP(K184,Datos!$A:$C,3,FALSE)</f>
        <v>AMERICAS</v>
      </c>
      <c r="K184" s="6">
        <v>92</v>
      </c>
      <c r="L184" s="9" t="str">
        <f>+VLOOKUP(K184,Datos!$A:$C,2,FALSE)</f>
        <v>CONDADO CONCEPCION</v>
      </c>
      <c r="M184" s="6">
        <v>90046426</v>
      </c>
      <c r="N184" s="9" t="str">
        <f>+VLOOKUP(M184,Datos!$F:$G,2,FALSE)</f>
        <v>ANDREA MISHELLE MALDONADO LÓPEZ</v>
      </c>
      <c r="O184" s="10">
        <f>IFERROR(IF(A184="SI",VLOOKUP(R184,Datos!$J$1:$K$50,2,FALSE)*C184,VLOOKUP(R184,Datos!$P$1:$T$50,2,FALSE)*C184),0)</f>
        <v>816</v>
      </c>
      <c r="P184" s="6">
        <v>313655</v>
      </c>
      <c r="Q184" s="9" t="str">
        <f>+VLOOKUP(P184,Datos!$F:$G,2,FALSE)</f>
        <v>Brandon Antonio Alvarez Lopez</v>
      </c>
      <c r="R184" s="6" t="s">
        <v>29</v>
      </c>
      <c r="S184" s="6" t="s">
        <v>20</v>
      </c>
      <c r="T184" s="6">
        <f t="shared" si="3"/>
        <v>1</v>
      </c>
    </row>
    <row r="185" spans="1:20" hidden="1" x14ac:dyDescent="0.35">
      <c r="A185" s="6" t="s">
        <v>20</v>
      </c>
      <c r="B185" s="6" t="s">
        <v>26</v>
      </c>
      <c r="C185" s="6">
        <v>4</v>
      </c>
      <c r="D185" s="6" t="s">
        <v>22</v>
      </c>
      <c r="E185" s="6" t="s">
        <v>23</v>
      </c>
      <c r="F185" s="6">
        <v>735</v>
      </c>
      <c r="G185" s="6" t="s">
        <v>246</v>
      </c>
      <c r="H185" s="8">
        <v>46278</v>
      </c>
      <c r="I185" s="8">
        <v>46278</v>
      </c>
      <c r="J185" s="9" t="str">
        <f>+VLOOKUP(K185,Datos!$A:$C,3,FALSE)</f>
        <v>AMERICAS</v>
      </c>
      <c r="K185" s="6">
        <v>92</v>
      </c>
      <c r="L185" s="9" t="str">
        <f>+VLOOKUP(K185,Datos!$A:$C,2,FALSE)</f>
        <v>CONDADO CONCEPCION</v>
      </c>
      <c r="M185" s="6">
        <v>314619</v>
      </c>
      <c r="N185" s="9" t="str">
        <f>+VLOOKUP(M185,Datos!$F:$G,2,FALSE)</f>
        <v>Glenda Isabel Perez Velasquez</v>
      </c>
      <c r="O185" s="10">
        <f>IFERROR(IF(A185="SI",VLOOKUP(R185,Datos!$J$1:$K$50,2,FALSE)*C185,VLOOKUP(R185,Datos!$P$1:$T$50,2,FALSE)*C185),0)</f>
        <v>3264</v>
      </c>
      <c r="P185" s="6">
        <v>315128</v>
      </c>
      <c r="Q185" s="9" t="str">
        <f>+VLOOKUP(P185,Datos!$F:$G,2,FALSE)</f>
        <v>Maria Eugenia Alvarez Lopez</v>
      </c>
      <c r="R185" s="6" t="s">
        <v>29</v>
      </c>
      <c r="S185" s="6" t="s">
        <v>20</v>
      </c>
      <c r="T185" s="6">
        <f t="shared" si="3"/>
        <v>1</v>
      </c>
    </row>
    <row r="186" spans="1:20" hidden="1" x14ac:dyDescent="0.35">
      <c r="A186" s="6" t="s">
        <v>20</v>
      </c>
      <c r="B186" s="6" t="s">
        <v>21</v>
      </c>
      <c r="C186" s="6">
        <v>1</v>
      </c>
      <c r="D186" s="6" t="s">
        <v>22</v>
      </c>
      <c r="E186" s="6" t="s">
        <v>27</v>
      </c>
      <c r="F186" s="6">
        <v>4444</v>
      </c>
      <c r="G186" s="6" t="s">
        <v>247</v>
      </c>
      <c r="H186" s="7">
        <v>46279</v>
      </c>
      <c r="I186" s="8">
        <v>46276</v>
      </c>
      <c r="J186" s="9" t="str">
        <f>+VLOOKUP(K186,Datos!$A:$C,3,FALSE)</f>
        <v>ORIENTE</v>
      </c>
      <c r="K186" s="6">
        <v>122</v>
      </c>
      <c r="L186" s="9" t="str">
        <f>+VLOOKUP(K186,Datos!$A:$C,2,FALSE)</f>
        <v>AGUA BLANCA</v>
      </c>
      <c r="M186" s="6">
        <v>313981</v>
      </c>
      <c r="N186" s="9" t="str">
        <f>+VLOOKUP(M186,Datos!$F:$G,2,FALSE)</f>
        <v>Sindy Beatriz Perez Sanchez</v>
      </c>
      <c r="O186" s="10">
        <f>IFERROR(IF(A186="SI",VLOOKUP(R186,Datos!$J$1:$K$50,2,FALSE)*C186,VLOOKUP(R186,Datos!$P$1:$T$50,2,FALSE)*C186),0)</f>
        <v>5460</v>
      </c>
      <c r="P186" s="6">
        <v>306259</v>
      </c>
      <c r="Q186" s="9" t="str">
        <f>+VLOOKUP(P186,Datos!$F:$G,2,FALSE)</f>
        <v>Brenda Raquel Ramirez Sanchez</v>
      </c>
      <c r="R186" s="6" t="s">
        <v>102</v>
      </c>
      <c r="S186" s="6" t="s">
        <v>20</v>
      </c>
      <c r="T186" s="6">
        <f t="shared" si="3"/>
        <v>1</v>
      </c>
    </row>
    <row r="187" spans="1:20" hidden="1" x14ac:dyDescent="0.35">
      <c r="A187" s="6" t="s">
        <v>20</v>
      </c>
      <c r="B187" s="6" t="s">
        <v>21</v>
      </c>
      <c r="C187" s="6">
        <v>1</v>
      </c>
      <c r="D187" s="6" t="s">
        <v>22</v>
      </c>
      <c r="E187" s="6" t="s">
        <v>27</v>
      </c>
      <c r="F187" s="6">
        <v>4452</v>
      </c>
      <c r="G187" s="6" t="s">
        <v>248</v>
      </c>
      <c r="H187" s="8">
        <v>46279</v>
      </c>
      <c r="I187" s="8">
        <v>46277</v>
      </c>
      <c r="J187" s="9" t="str">
        <f>+VLOOKUP(K187,Datos!$A:$C,3,FALSE)</f>
        <v>NORTE</v>
      </c>
      <c r="K187" s="6">
        <v>205</v>
      </c>
      <c r="L187" s="9" t="str">
        <f>+VLOOKUP(K187,Datos!$A:$C,2,FALSE)</f>
        <v>SAN CRISTOBAL VERAPAZ</v>
      </c>
      <c r="M187" s="6">
        <v>90061599</v>
      </c>
      <c r="N187" s="9" t="str">
        <f>+VLOOKUP(M187,Datos!$F:$G,2,FALSE)</f>
        <v>SILVIA CAROLINA CAC CORTEZ</v>
      </c>
      <c r="O187" s="10">
        <f>IFERROR(IF(A187="SI",VLOOKUP(R187,Datos!$J$1:$K$50,2,FALSE)*C187,VLOOKUP(R187,Datos!$P$1:$T$50,2,FALSE)*C187),0)</f>
        <v>816</v>
      </c>
      <c r="P187" s="6">
        <v>300978</v>
      </c>
      <c r="Q187" s="9" t="str">
        <f>+VLOOKUP(P187,Datos!$F:$G,2,FALSE)</f>
        <v>Wuangler Geovane Cal Sucup</v>
      </c>
      <c r="R187" s="6" t="s">
        <v>29</v>
      </c>
      <c r="S187" s="6" t="s">
        <v>20</v>
      </c>
      <c r="T187" s="6">
        <f t="shared" si="3"/>
        <v>1</v>
      </c>
    </row>
    <row r="188" spans="1:20" hidden="1" x14ac:dyDescent="0.35">
      <c r="A188" s="6" t="s">
        <v>20</v>
      </c>
      <c r="B188" s="6" t="s">
        <v>26</v>
      </c>
      <c r="C188" s="6">
        <v>3</v>
      </c>
      <c r="D188" s="6" t="s">
        <v>22</v>
      </c>
      <c r="E188" s="6" t="s">
        <v>53</v>
      </c>
      <c r="F188" s="6">
        <v>594</v>
      </c>
      <c r="G188" s="6" t="s">
        <v>249</v>
      </c>
      <c r="H188" s="8">
        <v>46279</v>
      </c>
      <c r="I188" s="8">
        <v>46266</v>
      </c>
      <c r="J188" s="9" t="str">
        <f>+VLOOKUP(K188,Datos!$A:$C,3,FALSE)</f>
        <v>PETAPA</v>
      </c>
      <c r="K188" s="6">
        <v>119</v>
      </c>
      <c r="L188" s="9" t="str">
        <f>+VLOOKUP(K188,Datos!$A:$C,2,FALSE)</f>
        <v>VILLA HERMOSA</v>
      </c>
      <c r="M188" s="6">
        <v>90080429</v>
      </c>
      <c r="N188" s="9" t="str">
        <f>+VLOOKUP(M188,Datos!$F:$G,2,FALSE)</f>
        <v>GREYBIS PAOLA DE LA CRUZ ESTRADA</v>
      </c>
      <c r="O188" s="10">
        <f>IFERROR(IF(A188="SI",VLOOKUP(R188,Datos!$J$1:$K$50,2,FALSE)*C188,VLOOKUP(R188,Datos!$P$1:$T$50,2,FALSE)*C188),0)</f>
        <v>2448</v>
      </c>
      <c r="P188" s="6">
        <v>90050633</v>
      </c>
      <c r="Q188" s="9" t="str">
        <f>+VLOOKUP(P188,Datos!$F:$G,2,FALSE)</f>
        <v>DIANA RIVERA</v>
      </c>
      <c r="R188" s="6" t="s">
        <v>29</v>
      </c>
      <c r="S188" s="6" t="s">
        <v>20</v>
      </c>
      <c r="T188" s="6">
        <f t="shared" si="3"/>
        <v>1</v>
      </c>
    </row>
    <row r="189" spans="1:20" hidden="1" x14ac:dyDescent="0.35">
      <c r="A189" s="6" t="s">
        <v>20</v>
      </c>
      <c r="B189" s="6" t="s">
        <v>26</v>
      </c>
      <c r="C189" s="6">
        <v>3</v>
      </c>
      <c r="D189" s="6" t="s">
        <v>22</v>
      </c>
      <c r="E189" s="6" t="s">
        <v>53</v>
      </c>
      <c r="F189" s="6">
        <v>634</v>
      </c>
      <c r="G189" s="6" t="s">
        <v>250</v>
      </c>
      <c r="H189" s="8">
        <v>46279</v>
      </c>
      <c r="I189" s="8">
        <v>46276</v>
      </c>
      <c r="J189" s="9" t="str">
        <f>+VLOOKUP(K189,Datos!$A:$C,3,FALSE)</f>
        <v>AMERICAS</v>
      </c>
      <c r="K189" s="6">
        <v>58</v>
      </c>
      <c r="L189" s="9" t="str">
        <f>+VLOOKUP(K189,Datos!$A:$C,2,FALSE)</f>
        <v>EUROPLAZA</v>
      </c>
      <c r="M189" s="6">
        <v>315385</v>
      </c>
      <c r="N189" s="9" t="str">
        <f>+VLOOKUP(M189,Datos!$F:$G,2,FALSE)</f>
        <v>Xitimul Ramirez, Luis Carlos</v>
      </c>
      <c r="O189" s="10">
        <f>IFERROR(IF(A189="SI",VLOOKUP(R189,Datos!$J$1:$K$50,2,FALSE)*C189,VLOOKUP(R189,Datos!$P$1:$T$50,2,FALSE)*C189),0)</f>
        <v>2448</v>
      </c>
      <c r="P189" s="6">
        <v>310954</v>
      </c>
      <c r="Q189" s="9" t="str">
        <f>+VLOOKUP(P189,Datos!$F:$G,2,FALSE)</f>
        <v>Mildre Fabiola Gomez Barillas De Leonardo</v>
      </c>
      <c r="R189" s="6" t="s">
        <v>29</v>
      </c>
      <c r="S189" s="6" t="s">
        <v>20</v>
      </c>
      <c r="T189" s="6">
        <f t="shared" si="3"/>
        <v>1</v>
      </c>
    </row>
    <row r="190" spans="1:20" hidden="1" x14ac:dyDescent="0.35">
      <c r="A190" s="6" t="s">
        <v>20</v>
      </c>
      <c r="B190" s="6" t="s">
        <v>26</v>
      </c>
      <c r="C190" s="6">
        <v>1</v>
      </c>
      <c r="D190" s="6" t="s">
        <v>22</v>
      </c>
      <c r="E190" s="6" t="s">
        <v>27</v>
      </c>
      <c r="F190" s="6">
        <v>4235</v>
      </c>
      <c r="G190" s="6" t="s">
        <v>251</v>
      </c>
      <c r="H190" s="8">
        <v>46279</v>
      </c>
      <c r="I190" s="8">
        <v>46268</v>
      </c>
      <c r="J190" s="9" t="str">
        <f>+VLOOKUP(K190,Datos!$A:$C,3,FALSE)</f>
        <v>PETAPA</v>
      </c>
      <c r="K190" s="6">
        <v>119</v>
      </c>
      <c r="L190" s="9" t="str">
        <f>+VLOOKUP(K190,Datos!$A:$C,2,FALSE)</f>
        <v>VILLA HERMOSA</v>
      </c>
      <c r="M190" s="6">
        <v>90085536</v>
      </c>
      <c r="N190" s="9" t="str">
        <f>+VLOOKUP(M190,Datos!$F:$G,2,FALSE)</f>
        <v xml:space="preserve">SANDY BARRIOS </v>
      </c>
      <c r="O190" s="10">
        <f>IFERROR(IF(A190="SI",VLOOKUP(R190,Datos!$J$1:$K$50,2,FALSE)*C190,VLOOKUP(R190,Datos!$P$1:$T$50,2,FALSE)*C190),0)</f>
        <v>816</v>
      </c>
      <c r="P190" s="6">
        <v>90087137</v>
      </c>
      <c r="Q190" s="9" t="str">
        <f>+VLOOKUP(P190,Datos!$F:$G,2,FALSE)</f>
        <v xml:space="preserve">MIGUEL FERNANDO  QUIÑONEZ </v>
      </c>
      <c r="R190" s="6" t="s">
        <v>29</v>
      </c>
      <c r="S190" s="6" t="s">
        <v>20</v>
      </c>
      <c r="T190" s="6">
        <f t="shared" si="3"/>
        <v>1</v>
      </c>
    </row>
    <row r="191" spans="1:20" hidden="1" x14ac:dyDescent="0.35">
      <c r="A191" s="6" t="s">
        <v>20</v>
      </c>
      <c r="B191" s="6" t="s">
        <v>21</v>
      </c>
      <c r="C191" s="6">
        <v>2</v>
      </c>
      <c r="D191" s="6" t="s">
        <v>22</v>
      </c>
      <c r="E191" s="6" t="s">
        <v>23</v>
      </c>
      <c r="F191" s="6">
        <v>1220</v>
      </c>
      <c r="G191" s="6" t="s">
        <v>252</v>
      </c>
      <c r="H191" s="8">
        <v>46279</v>
      </c>
      <c r="I191" s="8">
        <v>46277</v>
      </c>
      <c r="J191" s="9" t="str">
        <f>+VLOOKUP(K191,Datos!$A:$C,3,FALSE)</f>
        <v>ORIENTE</v>
      </c>
      <c r="K191" s="6">
        <v>179</v>
      </c>
      <c r="L191" s="9" t="str">
        <f>+VLOOKUP(K191,Datos!$A:$C,2,FALSE)</f>
        <v>ZACAPA CATEDRAL</v>
      </c>
      <c r="M191" s="6">
        <v>310728</v>
      </c>
      <c r="N191" s="9" t="str">
        <f>+VLOOKUP(M191,Datos!$F:$G,2,FALSE)</f>
        <v>Ana Rita Morales Mata</v>
      </c>
      <c r="O191" s="10">
        <f>IFERROR(IF(A191="SI",VLOOKUP(R191,Datos!$J$1:$K$50,2,FALSE)*C191,VLOOKUP(R191,Datos!$P$1:$T$50,2,FALSE)*C191),0)</f>
        <v>1632</v>
      </c>
      <c r="P191" s="6">
        <v>300280</v>
      </c>
      <c r="Q191" s="9" t="str">
        <f>+VLOOKUP(P191,Datos!$F:$G,2,FALSE)</f>
        <v>Lilian Del Carmen Franco Curin</v>
      </c>
      <c r="R191" s="6" t="s">
        <v>29</v>
      </c>
      <c r="S191" s="6" t="s">
        <v>20</v>
      </c>
      <c r="T191" s="6">
        <f t="shared" si="3"/>
        <v>1</v>
      </c>
    </row>
    <row r="192" spans="1:20" hidden="1" x14ac:dyDescent="0.35">
      <c r="A192" s="6" t="s">
        <v>20</v>
      </c>
      <c r="B192" s="6" t="s">
        <v>21</v>
      </c>
      <c r="C192" s="6">
        <v>3</v>
      </c>
      <c r="D192" s="6" t="s">
        <v>22</v>
      </c>
      <c r="E192" s="6" t="s">
        <v>53</v>
      </c>
      <c r="F192" s="6">
        <v>645</v>
      </c>
      <c r="G192" s="6" t="s">
        <v>253</v>
      </c>
      <c r="H192" s="8">
        <v>46279</v>
      </c>
      <c r="I192" s="8">
        <v>46279</v>
      </c>
      <c r="J192" s="9" t="str">
        <f>+VLOOKUP(K192,Datos!$A:$C,3,FALSE)</f>
        <v>AMERICAS</v>
      </c>
      <c r="K192" s="6">
        <v>53</v>
      </c>
      <c r="L192" s="9" t="str">
        <f>+VLOOKUP(K192,Datos!$A:$C,2,FALSE)</f>
        <v>PUERTA PARADA</v>
      </c>
      <c r="M192" s="6">
        <v>314320</v>
      </c>
      <c r="N192" s="9" t="str">
        <f>+VLOOKUP(M192,Datos!$F:$G,2,FALSE)</f>
        <v>Evelin Maria Padilla Garcia</v>
      </c>
      <c r="O192" s="10">
        <f>IFERROR(IF(A192="SI",VLOOKUP(R192,Datos!$J$1:$K$50,2,FALSE)*C192,VLOOKUP(R192,Datos!$P$1:$T$50,2,FALSE)*C192),0)</f>
        <v>4104</v>
      </c>
      <c r="P192" s="6">
        <v>300919</v>
      </c>
      <c r="Q192" s="9" t="str">
        <f>+VLOOKUP(P192,Datos!$F:$G,2,FALSE)</f>
        <v>Juan Jose Rodriguez Catu</v>
      </c>
      <c r="R192" s="6" t="s">
        <v>25</v>
      </c>
      <c r="S192" s="6" t="s">
        <v>20</v>
      </c>
      <c r="T192" s="6">
        <f t="shared" si="3"/>
        <v>1</v>
      </c>
    </row>
    <row r="193" spans="1:20" hidden="1" x14ac:dyDescent="0.35">
      <c r="A193" s="6" t="s">
        <v>20</v>
      </c>
      <c r="B193" s="6" t="s">
        <v>21</v>
      </c>
      <c r="C193" s="6">
        <v>3</v>
      </c>
      <c r="D193" s="6" t="s">
        <v>22</v>
      </c>
      <c r="E193" s="6" t="s">
        <v>53</v>
      </c>
      <c r="F193" s="6">
        <v>632</v>
      </c>
      <c r="G193" s="6" t="s">
        <v>254</v>
      </c>
      <c r="H193" s="8">
        <v>46279</v>
      </c>
      <c r="I193" s="8">
        <v>46276</v>
      </c>
      <c r="J193" s="9" t="str">
        <f>+VLOOKUP(K193,Datos!$A:$C,3,FALSE)</f>
        <v>AMERICAS</v>
      </c>
      <c r="K193" s="6">
        <v>53</v>
      </c>
      <c r="L193" s="9" t="str">
        <f>+VLOOKUP(K193,Datos!$A:$C,2,FALSE)</f>
        <v>PUERTA PARADA</v>
      </c>
      <c r="M193" s="6">
        <v>314320</v>
      </c>
      <c r="N193" s="9" t="str">
        <f>+VLOOKUP(M193,Datos!$F:$G,2,FALSE)</f>
        <v>Evelin Maria Padilla Garcia</v>
      </c>
      <c r="O193" s="10">
        <f>IFERROR(IF(A193="SI",VLOOKUP(R193,Datos!$J$1:$K$50,2,FALSE)*C193,VLOOKUP(R193,Datos!$P$1:$T$50,2,FALSE)*C193),0)</f>
        <v>4104</v>
      </c>
      <c r="P193" s="6">
        <v>300919</v>
      </c>
      <c r="Q193" s="9" t="str">
        <f>+VLOOKUP(P193,Datos!$F:$G,2,FALSE)</f>
        <v>Juan Jose Rodriguez Catu</v>
      </c>
      <c r="R193" s="6" t="s">
        <v>25</v>
      </c>
      <c r="S193" s="6" t="s">
        <v>20</v>
      </c>
      <c r="T193" s="6">
        <f t="shared" si="3"/>
        <v>1</v>
      </c>
    </row>
    <row r="194" spans="1:20" hidden="1" x14ac:dyDescent="0.35">
      <c r="A194" s="6" t="s">
        <v>20</v>
      </c>
      <c r="B194" s="6" t="s">
        <v>21</v>
      </c>
      <c r="C194" s="6">
        <v>1</v>
      </c>
      <c r="D194" s="6" t="s">
        <v>22</v>
      </c>
      <c r="E194" s="6" t="s">
        <v>27</v>
      </c>
      <c r="F194" s="6">
        <v>4470</v>
      </c>
      <c r="G194" s="6" t="s">
        <v>255</v>
      </c>
      <c r="H194" s="8">
        <v>46279</v>
      </c>
      <c r="I194" s="8">
        <v>46279</v>
      </c>
      <c r="J194" s="9" t="str">
        <f>+VLOOKUP(K194,Datos!$A:$C,3,FALSE)</f>
        <v>ORIENTE</v>
      </c>
      <c r="K194" s="6">
        <v>128</v>
      </c>
      <c r="L194" s="9" t="str">
        <f>+VLOOKUP(K194,Datos!$A:$C,2,FALSE)</f>
        <v>CHIQUIMULA 2</v>
      </c>
      <c r="M194" s="6">
        <v>313864</v>
      </c>
      <c r="N194" s="9" t="str">
        <f>+VLOOKUP(M194,Datos!$F:$G,2,FALSE)</f>
        <v>Milena Maria Mendez Cheguen</v>
      </c>
      <c r="O194" s="10">
        <f>IFERROR(IF(A194="SI",VLOOKUP(R194,Datos!$J$1:$K$50,2,FALSE)*C194,VLOOKUP(R194,Datos!$P$1:$T$50,2,FALSE)*C194),0)</f>
        <v>816</v>
      </c>
      <c r="P194" s="6">
        <v>312176</v>
      </c>
      <c r="Q194" s="9" t="str">
        <f>+VLOOKUP(P194,Datos!$F:$G,2,FALSE)</f>
        <v>Nestor Edgardo Gutierrez Lazaro</v>
      </c>
      <c r="R194" s="6" t="s">
        <v>29</v>
      </c>
      <c r="S194" s="6" t="s">
        <v>20</v>
      </c>
      <c r="T194" s="6">
        <f t="shared" si="3"/>
        <v>1</v>
      </c>
    </row>
    <row r="195" spans="1:20" hidden="1" x14ac:dyDescent="0.35">
      <c r="A195" s="6" t="s">
        <v>20</v>
      </c>
      <c r="B195" s="6" t="s">
        <v>21</v>
      </c>
      <c r="C195" s="6">
        <v>1</v>
      </c>
      <c r="D195" s="6" t="s">
        <v>22</v>
      </c>
      <c r="E195" s="6" t="s">
        <v>53</v>
      </c>
      <c r="F195" s="6">
        <v>647</v>
      </c>
      <c r="G195" s="6" t="s">
        <v>256</v>
      </c>
      <c r="H195" s="8">
        <v>46279</v>
      </c>
      <c r="I195" s="8">
        <v>46279</v>
      </c>
      <c r="J195" s="9" t="str">
        <f>+VLOOKUP(K195,Datos!$A:$C,3,FALSE)</f>
        <v>PETAPA</v>
      </c>
      <c r="K195" s="6">
        <v>119</v>
      </c>
      <c r="L195" s="9" t="str">
        <f>+VLOOKUP(K195,Datos!$A:$C,2,FALSE)</f>
        <v>VILLA HERMOSA</v>
      </c>
      <c r="M195" s="6">
        <v>90035213</v>
      </c>
      <c r="N195" s="9" t="str">
        <f>+VLOOKUP(M195,Datos!$F:$G,2,FALSE)</f>
        <v>Cindi Paola Zepeda Irineo</v>
      </c>
      <c r="O195" s="10">
        <f>IFERROR(IF(A195="SI",VLOOKUP(R195,Datos!$J$1:$K$50,2,FALSE)*C195,VLOOKUP(R195,Datos!$P$1:$T$50,2,FALSE)*C195),0)</f>
        <v>816</v>
      </c>
      <c r="P195" s="6">
        <v>90087137</v>
      </c>
      <c r="Q195" s="9" t="str">
        <f>+VLOOKUP(P195,Datos!$F:$G,2,FALSE)</f>
        <v xml:space="preserve">MIGUEL FERNANDO  QUIÑONEZ </v>
      </c>
      <c r="R195" s="6" t="s">
        <v>29</v>
      </c>
      <c r="S195" s="6" t="s">
        <v>20</v>
      </c>
      <c r="T195" s="6">
        <f t="shared" si="3"/>
        <v>1</v>
      </c>
    </row>
    <row r="196" spans="1:20" hidden="1" x14ac:dyDescent="0.35">
      <c r="A196" s="6" t="s">
        <v>20</v>
      </c>
      <c r="B196" s="6" t="s">
        <v>21</v>
      </c>
      <c r="C196" s="6">
        <v>4</v>
      </c>
      <c r="D196" s="6" t="s">
        <v>22</v>
      </c>
      <c r="E196" s="6" t="s">
        <v>23</v>
      </c>
      <c r="F196" s="6">
        <v>741</v>
      </c>
      <c r="G196" s="6" t="s">
        <v>257</v>
      </c>
      <c r="H196" s="8">
        <v>46279</v>
      </c>
      <c r="I196" s="8">
        <v>46279</v>
      </c>
      <c r="J196" s="9" t="str">
        <f>+VLOOKUP(K196,Datos!$A:$C,3,FALSE)</f>
        <v>ORIENTE</v>
      </c>
      <c r="K196" s="6">
        <v>180</v>
      </c>
      <c r="L196" s="9" t="str">
        <f>+VLOOKUP(K196,Datos!$A:$C,2,FALSE)</f>
        <v>MONJAS</v>
      </c>
      <c r="M196" s="6">
        <v>90040241</v>
      </c>
      <c r="N196" s="9" t="str">
        <f>+VLOOKUP(M196,Datos!$F:$G,2,FALSE)</f>
        <v>Jairo Alessandro Urbina Santiago</v>
      </c>
      <c r="O196" s="10">
        <f>IFERROR(IF(A196="SI",VLOOKUP(R196,Datos!$J$1:$K$50,2,FALSE)*C196,VLOOKUP(R196,Datos!$P$1:$T$50,2,FALSE)*C196),0)</f>
        <v>5472</v>
      </c>
      <c r="P196" s="6">
        <v>311039</v>
      </c>
      <c r="Q196" s="9" t="str">
        <f>+VLOOKUP(P196,Datos!$F:$G,2,FALSE)</f>
        <v>Karolyn Gisselle Palma Ramirez</v>
      </c>
      <c r="R196" s="6" t="s">
        <v>25</v>
      </c>
      <c r="S196" s="6" t="s">
        <v>20</v>
      </c>
      <c r="T196" s="6">
        <f t="shared" si="3"/>
        <v>1</v>
      </c>
    </row>
    <row r="197" spans="1:20" hidden="1" x14ac:dyDescent="0.35">
      <c r="A197" s="6" t="s">
        <v>20</v>
      </c>
      <c r="B197" s="6" t="s">
        <v>26</v>
      </c>
      <c r="C197" s="6">
        <v>1</v>
      </c>
      <c r="D197" s="6" t="s">
        <v>22</v>
      </c>
      <c r="E197" s="6" t="s">
        <v>27</v>
      </c>
      <c r="F197" s="6">
        <v>4478</v>
      </c>
      <c r="G197" s="6" t="s">
        <v>258</v>
      </c>
      <c r="H197" s="8">
        <v>46279</v>
      </c>
      <c r="I197" s="8">
        <v>46279</v>
      </c>
      <c r="J197" s="9" t="str">
        <f>+VLOOKUP(K197,Datos!$A:$C,3,FALSE)</f>
        <v>PETAPA</v>
      </c>
      <c r="K197" s="6">
        <v>120</v>
      </c>
      <c r="L197" s="9" t="str">
        <f>+VLOOKUP(K197,Datos!$A:$C,2,FALSE)</f>
        <v>VILLA NUEVA 2</v>
      </c>
      <c r="M197" s="6">
        <v>90064687</v>
      </c>
      <c r="N197" s="9" t="str">
        <f>+VLOOKUP(M197,Datos!$F:$G,2,FALSE)</f>
        <v>LUIS ENRIQUE ACABAL QUIEJ</v>
      </c>
      <c r="O197" s="10">
        <f>IFERROR(IF(A197="SI",VLOOKUP(R197,Datos!$J$1:$K$50,2,FALSE)*C197,VLOOKUP(R197,Datos!$P$1:$T$50,2,FALSE)*C197),0)</f>
        <v>816</v>
      </c>
      <c r="P197" s="6">
        <v>90085280</v>
      </c>
      <c r="Q197" s="9" t="str">
        <f>+VLOOKUP(P197,Datos!$F:$G,2,FALSE)</f>
        <v>MARIA NOJ</v>
      </c>
      <c r="R197" s="6" t="s">
        <v>29</v>
      </c>
      <c r="S197" s="6" t="s">
        <v>20</v>
      </c>
      <c r="T197" s="6">
        <f t="shared" si="3"/>
        <v>1</v>
      </c>
    </row>
    <row r="198" spans="1:20" hidden="1" x14ac:dyDescent="0.35">
      <c r="A198" s="6" t="s">
        <v>20</v>
      </c>
      <c r="B198" s="6" t="s">
        <v>26</v>
      </c>
      <c r="C198" s="6">
        <v>2</v>
      </c>
      <c r="D198" s="6" t="s">
        <v>22</v>
      </c>
      <c r="E198" s="6" t="s">
        <v>31</v>
      </c>
      <c r="F198" s="6">
        <v>1239</v>
      </c>
      <c r="G198" s="6" t="s">
        <v>259</v>
      </c>
      <c r="H198" s="8">
        <v>46279</v>
      </c>
      <c r="I198" s="8">
        <v>46279</v>
      </c>
      <c r="J198" s="9" t="str">
        <f>+VLOOKUP(K198,Datos!$A:$C,3,FALSE)</f>
        <v>AMERICAS</v>
      </c>
      <c r="K198" s="6">
        <v>58</v>
      </c>
      <c r="L198" s="9" t="str">
        <f>+VLOOKUP(K198,Datos!$A:$C,2,FALSE)</f>
        <v>EUROPLAZA</v>
      </c>
      <c r="M198" s="6">
        <v>315385</v>
      </c>
      <c r="N198" s="9" t="str">
        <f>+VLOOKUP(M198,Datos!$F:$G,2,FALSE)</f>
        <v>Xitimul Ramirez, Luis Carlos</v>
      </c>
      <c r="O198" s="10">
        <f>IFERROR(IF(A198="SI",VLOOKUP(R198,Datos!$J$1:$K$50,2,FALSE)*C198,VLOOKUP(R198,Datos!$P$1:$T$50,2,FALSE)*C198),0)</f>
        <v>1632</v>
      </c>
      <c r="P198" s="6">
        <v>310954</v>
      </c>
      <c r="Q198" s="9" t="str">
        <f>+VLOOKUP(P198,Datos!$F:$G,2,FALSE)</f>
        <v>Mildre Fabiola Gomez Barillas De Leonardo</v>
      </c>
      <c r="R198" s="6" t="s">
        <v>29</v>
      </c>
      <c r="S198" s="6" t="s">
        <v>20</v>
      </c>
      <c r="T198" s="6">
        <f t="shared" si="3"/>
        <v>1</v>
      </c>
    </row>
    <row r="199" spans="1:20" hidden="1" x14ac:dyDescent="0.35">
      <c r="A199" s="6" t="s">
        <v>20</v>
      </c>
      <c r="B199" s="6" t="s">
        <v>21</v>
      </c>
      <c r="C199" s="6">
        <v>4</v>
      </c>
      <c r="D199" s="6" t="s">
        <v>22</v>
      </c>
      <c r="E199" s="6" t="s">
        <v>23</v>
      </c>
      <c r="F199" s="6">
        <v>743</v>
      </c>
      <c r="G199" s="6" t="s">
        <v>260</v>
      </c>
      <c r="H199" s="8">
        <v>46279</v>
      </c>
      <c r="I199" s="8">
        <v>46279</v>
      </c>
      <c r="J199" s="9" t="str">
        <f>+VLOOKUP(K199,Datos!$A:$C,3,FALSE)</f>
        <v>NORTE</v>
      </c>
      <c r="K199" s="6">
        <v>215</v>
      </c>
      <c r="L199" s="9" t="str">
        <f>+VLOOKUP(K199,Datos!$A:$C,2,FALSE)</f>
        <v>FRAY BARTOLOME DE LAS CASAS</v>
      </c>
      <c r="M199" s="6">
        <v>310692</v>
      </c>
      <c r="N199" s="9" t="str">
        <f>+VLOOKUP(M199,Datos!$F:$G,2,FALSE)</f>
        <v>Leidy Ana Macz Valey</v>
      </c>
      <c r="O199" s="10">
        <f>IFERROR(IF(A199="SI",VLOOKUP(R199,Datos!$J$1:$K$50,2,FALSE)*C199,VLOOKUP(R199,Datos!$P$1:$T$50,2,FALSE)*C199),0)</f>
        <v>3264</v>
      </c>
      <c r="P199" s="6">
        <v>312557</v>
      </c>
      <c r="Q199" s="9" t="str">
        <f>+VLOOKUP(P199,Datos!$F:$G,2,FALSE)</f>
        <v>Edwin Romeo Eleazar Ochoa Lopez</v>
      </c>
      <c r="R199" s="6" t="s">
        <v>29</v>
      </c>
      <c r="S199" s="6" t="s">
        <v>20</v>
      </c>
      <c r="T199" s="6">
        <f t="shared" si="3"/>
        <v>1</v>
      </c>
    </row>
    <row r="200" spans="1:20" hidden="1" x14ac:dyDescent="0.35">
      <c r="A200" s="6" t="s">
        <v>20</v>
      </c>
      <c r="B200" s="6" t="s">
        <v>21</v>
      </c>
      <c r="C200" s="6">
        <v>1</v>
      </c>
      <c r="D200" s="6" t="s">
        <v>22</v>
      </c>
      <c r="E200" s="6" t="s">
        <v>27</v>
      </c>
      <c r="F200" s="6">
        <v>4494</v>
      </c>
      <c r="G200" s="6" t="s">
        <v>261</v>
      </c>
      <c r="H200" s="8">
        <v>46279</v>
      </c>
      <c r="I200" s="8">
        <v>46279</v>
      </c>
      <c r="J200" s="9" t="str">
        <f>+VLOOKUP(K200,Datos!$A:$C,3,FALSE)</f>
        <v>AMERICAS</v>
      </c>
      <c r="K200" s="6">
        <v>71</v>
      </c>
      <c r="L200" s="9" t="str">
        <f>+VLOOKUP(K200,Datos!$A:$C,2,FALSE)</f>
        <v>VISTA HERMOSA</v>
      </c>
      <c r="M200" s="6">
        <v>313648</v>
      </c>
      <c r="N200" s="9" t="str">
        <f>+VLOOKUP(M200,Datos!$F:$G,2,FALSE)</f>
        <v>Byron Veliz Vasquez</v>
      </c>
      <c r="O200" s="10">
        <f>IFERROR(IF(A200="SI",VLOOKUP(R200,Datos!$J$1:$K$50,2,FALSE)*C200,VLOOKUP(R200,Datos!$P$1:$T$50,2,FALSE)*C200),0)</f>
        <v>1368</v>
      </c>
      <c r="P200" s="6">
        <v>308533</v>
      </c>
      <c r="Q200" s="9" t="str">
        <f>+VLOOKUP(P200,Datos!$F:$G,2,FALSE)</f>
        <v>Eduardo Antonio Sotoj Zepeda</v>
      </c>
      <c r="R200" s="6" t="s">
        <v>25</v>
      </c>
      <c r="S200" s="6" t="s">
        <v>20</v>
      </c>
      <c r="T200" s="6">
        <f t="shared" si="3"/>
        <v>1</v>
      </c>
    </row>
    <row r="201" spans="1:20" hidden="1" x14ac:dyDescent="0.35">
      <c r="A201" s="6" t="s">
        <v>20</v>
      </c>
      <c r="B201" s="6" t="s">
        <v>21</v>
      </c>
      <c r="C201" s="6">
        <v>2</v>
      </c>
      <c r="D201" s="6" t="s">
        <v>22</v>
      </c>
      <c r="E201" s="6" t="s">
        <v>166</v>
      </c>
      <c r="F201" s="6">
        <v>325</v>
      </c>
      <c r="G201" s="6" t="s">
        <v>262</v>
      </c>
      <c r="H201" s="8">
        <v>46279</v>
      </c>
      <c r="I201" s="8">
        <v>46279</v>
      </c>
      <c r="J201" s="9" t="str">
        <f>+VLOOKUP(K201,Datos!$A:$C,3,FALSE)</f>
        <v>NORTE</v>
      </c>
      <c r="K201" s="6">
        <v>162</v>
      </c>
      <c r="L201" s="9" t="str">
        <f>+VLOOKUP(K201,Datos!$A:$C,2,FALSE)</f>
        <v>CHISEC</v>
      </c>
      <c r="M201" s="6">
        <v>314417</v>
      </c>
      <c r="N201" s="9" t="str">
        <f>+VLOOKUP(M201,Datos!$F:$G,2,FALSE)</f>
        <v>Krisley Mary Dayana Mazariegos Vega</v>
      </c>
      <c r="O201" s="10">
        <f>IFERROR(IF(A201="SI",VLOOKUP(R201,Datos!$J$1:$K$50,2,FALSE)*C201,VLOOKUP(R201,Datos!$P$1:$T$50,2,FALSE)*C201),0)</f>
        <v>3816</v>
      </c>
      <c r="P201" s="6">
        <v>315051</v>
      </c>
      <c r="Q201" s="9" t="str">
        <f>+VLOOKUP(P201,Datos!$F:$G,2,FALSE)</f>
        <v>Carlos Alfredo Catun Rax</v>
      </c>
      <c r="R201" s="6" t="s">
        <v>196</v>
      </c>
      <c r="S201" s="6" t="s">
        <v>20</v>
      </c>
      <c r="T201" s="6">
        <f t="shared" si="3"/>
        <v>1</v>
      </c>
    </row>
    <row r="202" spans="1:20" hidden="1" x14ac:dyDescent="0.35">
      <c r="A202" s="6" t="s">
        <v>20</v>
      </c>
      <c r="B202" s="6" t="s">
        <v>26</v>
      </c>
      <c r="C202" s="6">
        <v>1</v>
      </c>
      <c r="D202" s="6" t="s">
        <v>22</v>
      </c>
      <c r="E202" s="6" t="s">
        <v>27</v>
      </c>
      <c r="F202" s="6">
        <v>4476</v>
      </c>
      <c r="G202" s="6" t="s">
        <v>263</v>
      </c>
      <c r="H202" s="8">
        <v>46279</v>
      </c>
      <c r="I202" s="8">
        <v>46279</v>
      </c>
      <c r="J202" s="9" t="str">
        <f>+VLOOKUP(K202,Datos!$A:$C,3,FALSE)</f>
        <v>NORTE</v>
      </c>
      <c r="K202" s="6">
        <v>195</v>
      </c>
      <c r="L202" s="9" t="str">
        <f>+VLOOKUP(K202,Datos!$A:$C,2,FALSE)</f>
        <v>TELEMAN</v>
      </c>
      <c r="M202" s="6">
        <v>90082179</v>
      </c>
      <c r="N202" s="9" t="str">
        <f>+VLOOKUP(M202,Datos!$F:$G,2,FALSE)</f>
        <v>REYNA ADELAIDA CHAMAN CAAL</v>
      </c>
      <c r="O202" s="10">
        <f>IFERROR(IF(A202="SI",VLOOKUP(R202,Datos!$J$1:$K$50,2,FALSE)*C202,VLOOKUP(R202,Datos!$P$1:$T$50,2,FALSE)*C202),0)</f>
        <v>816</v>
      </c>
      <c r="P202" s="6">
        <v>315351</v>
      </c>
      <c r="Q202" s="9" t="str">
        <f>+VLOOKUP(P202,Datos!$F:$G,2,FALSE)</f>
        <v>Maria Vicenta Lopez Mancilla De De Del Valle</v>
      </c>
      <c r="R202" s="6" t="s">
        <v>29</v>
      </c>
      <c r="S202" s="6" t="s">
        <v>20</v>
      </c>
      <c r="T202" s="6">
        <f t="shared" si="3"/>
        <v>1</v>
      </c>
    </row>
    <row r="203" spans="1:20" hidden="1" x14ac:dyDescent="0.35">
      <c r="A203" s="6" t="s">
        <v>20</v>
      </c>
      <c r="B203" s="6" t="s">
        <v>21</v>
      </c>
      <c r="C203" s="6">
        <v>1</v>
      </c>
      <c r="D203" s="6" t="s">
        <v>22</v>
      </c>
      <c r="E203" s="6" t="s">
        <v>27</v>
      </c>
      <c r="F203" s="6">
        <v>4469</v>
      </c>
      <c r="G203" s="6" t="s">
        <v>264</v>
      </c>
      <c r="H203" s="8">
        <v>46279</v>
      </c>
      <c r="I203" s="8">
        <v>46279</v>
      </c>
      <c r="J203" s="9" t="str">
        <f>+VLOOKUP(K203,Datos!$A:$C,3,FALSE)</f>
        <v>ORIENTE</v>
      </c>
      <c r="K203" s="6">
        <v>77</v>
      </c>
      <c r="L203" s="9" t="str">
        <f>+VLOOKUP(K203,Datos!$A:$C,2,FALSE)</f>
        <v>PUERTO BARRIOS</v>
      </c>
      <c r="M203" s="6">
        <v>90082479</v>
      </c>
      <c r="N203" s="9" t="str">
        <f>+VLOOKUP(M203,Datos!$F:$G,2,FALSE)</f>
        <v>JONATHAN OSORIO</v>
      </c>
      <c r="O203" s="10">
        <f>IFERROR(IF(A203="SI",VLOOKUP(R203,Datos!$J$1:$K$50,2,FALSE)*C203,VLOOKUP(R203,Datos!$P$1:$T$50,2,FALSE)*C203),0)</f>
        <v>816</v>
      </c>
      <c r="P203" s="6">
        <v>312950</v>
      </c>
      <c r="Q203" s="9" t="str">
        <f>+VLOOKUP(P203,Datos!$F:$G,2,FALSE)</f>
        <v>Cindy Carolina Sandoval Ruiz</v>
      </c>
      <c r="R203" s="6" t="s">
        <v>29</v>
      </c>
      <c r="S203" s="6" t="s">
        <v>20</v>
      </c>
      <c r="T203" s="6">
        <f t="shared" si="3"/>
        <v>1</v>
      </c>
    </row>
    <row r="204" spans="1:20" hidden="1" x14ac:dyDescent="0.35">
      <c r="A204" s="6" t="s">
        <v>20</v>
      </c>
      <c r="B204" s="6" t="s">
        <v>26</v>
      </c>
      <c r="C204" s="6">
        <v>2</v>
      </c>
      <c r="D204" s="6" t="s">
        <v>22</v>
      </c>
      <c r="E204" s="6" t="s">
        <v>31</v>
      </c>
      <c r="F204" s="6">
        <v>1204</v>
      </c>
      <c r="G204" s="6" t="s">
        <v>265</v>
      </c>
      <c r="H204" s="8">
        <v>46279</v>
      </c>
      <c r="I204" s="8">
        <v>46275</v>
      </c>
      <c r="J204" s="9" t="str">
        <f>+VLOOKUP(K204,Datos!$A:$C,3,FALSE)</f>
        <v>PETAPA</v>
      </c>
      <c r="K204" s="6">
        <v>88</v>
      </c>
      <c r="L204" s="9" t="str">
        <f>+VLOOKUP(K204,Datos!$A:$C,2,FALSE)</f>
        <v>ATANASIO TZUL</v>
      </c>
      <c r="M204" s="6">
        <v>90035164</v>
      </c>
      <c r="N204" s="9" t="str">
        <f>+VLOOKUP(M204,Datos!$F:$G,2,FALSE)</f>
        <v>Gelver Valentin Gonzalez Bravo</v>
      </c>
      <c r="O204" s="10">
        <f>IFERROR(IF(A204="SI",VLOOKUP(R204,Datos!$J$1:$K$50,2,FALSE)*C204,VLOOKUP(R204,Datos!$P$1:$T$50,2,FALSE)*C204),0)</f>
        <v>1632</v>
      </c>
      <c r="P204" s="6">
        <v>306713</v>
      </c>
      <c r="Q204" s="9" t="str">
        <f>+VLOOKUP(P204,Datos!$F:$G,2,FALSE)</f>
        <v>Luis Fernando Santos Aguilar</v>
      </c>
      <c r="R204" s="6" t="s">
        <v>29</v>
      </c>
      <c r="S204" s="6" t="s">
        <v>20</v>
      </c>
      <c r="T204" s="6">
        <f t="shared" si="3"/>
        <v>1</v>
      </c>
    </row>
    <row r="205" spans="1:20" hidden="1" x14ac:dyDescent="0.35">
      <c r="A205" s="6" t="s">
        <v>20</v>
      </c>
      <c r="B205" s="6" t="s">
        <v>26</v>
      </c>
      <c r="C205" s="6">
        <v>1</v>
      </c>
      <c r="D205" s="6" t="s">
        <v>22</v>
      </c>
      <c r="E205" s="6" t="s">
        <v>27</v>
      </c>
      <c r="F205" s="6">
        <v>4495</v>
      </c>
      <c r="G205" s="6" t="s">
        <v>266</v>
      </c>
      <c r="H205" s="8">
        <v>46279</v>
      </c>
      <c r="I205" s="8">
        <v>46279</v>
      </c>
      <c r="J205" s="9" t="str">
        <f>+VLOOKUP(K205,Datos!$A:$C,3,FALSE)</f>
        <v>PETAPA</v>
      </c>
      <c r="K205" s="6">
        <v>88</v>
      </c>
      <c r="L205" s="9" t="str">
        <f>+VLOOKUP(K205,Datos!$A:$C,2,FALSE)</f>
        <v>ATANASIO TZUL</v>
      </c>
      <c r="M205" s="6">
        <v>314191</v>
      </c>
      <c r="N205" s="9" t="str">
        <f>+VLOOKUP(M205,Datos!$F:$G,2,FALSE)</f>
        <v>Ana Patricia Escobar Cardona</v>
      </c>
      <c r="O205" s="10">
        <f>IFERROR(IF(A205="SI",VLOOKUP(R205,Datos!$J$1:$K$50,2,FALSE)*C205,VLOOKUP(R205,Datos!$P$1:$T$50,2,FALSE)*C205),0)</f>
        <v>816</v>
      </c>
      <c r="P205" s="6">
        <v>306713</v>
      </c>
      <c r="Q205" s="9" t="str">
        <f>+VLOOKUP(P205,Datos!$F:$G,2,FALSE)</f>
        <v>Luis Fernando Santos Aguilar</v>
      </c>
      <c r="R205" s="6" t="s">
        <v>29</v>
      </c>
      <c r="S205" s="6" t="s">
        <v>20</v>
      </c>
      <c r="T205" s="6">
        <f t="shared" si="3"/>
        <v>1</v>
      </c>
    </row>
    <row r="206" spans="1:20" hidden="1" x14ac:dyDescent="0.35">
      <c r="A206" s="6" t="s">
        <v>20</v>
      </c>
      <c r="B206" s="6" t="s">
        <v>26</v>
      </c>
      <c r="C206" s="6">
        <v>1</v>
      </c>
      <c r="D206" s="6" t="s">
        <v>22</v>
      </c>
      <c r="E206" s="6" t="s">
        <v>27</v>
      </c>
      <c r="F206" s="6">
        <v>4272</v>
      </c>
      <c r="G206" s="6" t="s">
        <v>267</v>
      </c>
      <c r="H206" s="8">
        <v>46279</v>
      </c>
      <c r="I206" s="8">
        <v>46269</v>
      </c>
      <c r="J206" s="9" t="str">
        <f>+VLOOKUP(K206,Datos!$A:$C,3,FALSE)</f>
        <v>PETAPA</v>
      </c>
      <c r="K206" s="6">
        <v>120</v>
      </c>
      <c r="L206" s="9" t="str">
        <f>+VLOOKUP(K206,Datos!$A:$C,2,FALSE)</f>
        <v>VILLA NUEVA 2</v>
      </c>
      <c r="M206" s="6">
        <v>90064687</v>
      </c>
      <c r="N206" s="9" t="str">
        <f>+VLOOKUP(M206,Datos!$F:$G,2,FALSE)</f>
        <v>LUIS ENRIQUE ACABAL QUIEJ</v>
      </c>
      <c r="O206" s="10">
        <f>IFERROR(IF(A206="SI",VLOOKUP(R206,Datos!$J$1:$K$50,2,FALSE)*C206,VLOOKUP(R206,Datos!$P$1:$T$50,2,FALSE)*C206),0)</f>
        <v>816</v>
      </c>
      <c r="P206" s="6">
        <v>90085280</v>
      </c>
      <c r="Q206" s="9" t="str">
        <f>+VLOOKUP(P206,Datos!$F:$G,2,FALSE)</f>
        <v>MARIA NOJ</v>
      </c>
      <c r="R206" s="6" t="s">
        <v>29</v>
      </c>
      <c r="S206" s="6" t="s">
        <v>20</v>
      </c>
      <c r="T206" s="6">
        <f t="shared" si="3"/>
        <v>1</v>
      </c>
    </row>
    <row r="207" spans="1:20" hidden="1" x14ac:dyDescent="0.35">
      <c r="A207" s="6" t="s">
        <v>20</v>
      </c>
      <c r="B207" s="6" t="s">
        <v>26</v>
      </c>
      <c r="C207" s="6">
        <v>1</v>
      </c>
      <c r="D207" s="6" t="s">
        <v>22</v>
      </c>
      <c r="E207" s="6" t="s">
        <v>27</v>
      </c>
      <c r="F207" s="6">
        <v>4455</v>
      </c>
      <c r="G207" s="6" t="s">
        <v>268</v>
      </c>
      <c r="H207" s="8">
        <v>46279</v>
      </c>
      <c r="I207" s="8">
        <v>46277</v>
      </c>
      <c r="J207" s="9" t="str">
        <f>+VLOOKUP(K207,Datos!$A:$C,3,FALSE)</f>
        <v>PETAPA</v>
      </c>
      <c r="K207" s="6">
        <v>88</v>
      </c>
      <c r="L207" s="9" t="str">
        <f>+VLOOKUP(K207,Datos!$A:$C,2,FALSE)</f>
        <v>ATANASIO TZUL</v>
      </c>
      <c r="M207" s="6">
        <v>314191</v>
      </c>
      <c r="N207" s="9" t="str">
        <f>+VLOOKUP(M207,Datos!$F:$G,2,FALSE)</f>
        <v>Ana Patricia Escobar Cardona</v>
      </c>
      <c r="O207" s="10">
        <f>IFERROR(IF(A207="SI",VLOOKUP(R207,Datos!$J$1:$K$50,2,FALSE)*C207,VLOOKUP(R207,Datos!$P$1:$T$50,2,FALSE)*C207),0)</f>
        <v>816</v>
      </c>
      <c r="P207" s="6">
        <v>306713</v>
      </c>
      <c r="Q207" s="9" t="str">
        <f>+VLOOKUP(P207,Datos!$F:$G,2,FALSE)</f>
        <v>Luis Fernando Santos Aguilar</v>
      </c>
      <c r="R207" s="6" t="s">
        <v>29</v>
      </c>
      <c r="S207" s="6" t="s">
        <v>20</v>
      </c>
      <c r="T207" s="6">
        <f t="shared" si="3"/>
        <v>1</v>
      </c>
    </row>
    <row r="208" spans="1:20" hidden="1" x14ac:dyDescent="0.35">
      <c r="A208" s="6" t="s">
        <v>20</v>
      </c>
      <c r="B208" s="6" t="s">
        <v>21</v>
      </c>
      <c r="C208" s="6">
        <v>2</v>
      </c>
      <c r="D208" s="6" t="s">
        <v>22</v>
      </c>
      <c r="E208" s="6" t="s">
        <v>31</v>
      </c>
      <c r="F208" s="6">
        <v>1234</v>
      </c>
      <c r="G208" s="6" t="s">
        <v>269</v>
      </c>
      <c r="H208" s="8">
        <v>46279</v>
      </c>
      <c r="I208" s="8">
        <v>46279</v>
      </c>
      <c r="J208" s="9" t="str">
        <f>+VLOOKUP(K208,Datos!$A:$C,3,FALSE)</f>
        <v>PETAPA</v>
      </c>
      <c r="K208" s="6">
        <v>213</v>
      </c>
      <c r="L208" s="9" t="str">
        <f>+VLOOKUP(K208,Datos!$A:$C,2,FALSE)</f>
        <v>AMATITLAN</v>
      </c>
      <c r="M208" s="6">
        <v>90034379</v>
      </c>
      <c r="N208" s="9" t="str">
        <f>+VLOOKUP(M208,Datos!$F:$G,2,FALSE)</f>
        <v>Leysi Lissett Ramirez Figueroa</v>
      </c>
      <c r="O208" s="10">
        <f>IFERROR(IF(A208="SI",VLOOKUP(R208,Datos!$J$1:$K$50,2,FALSE)*C208,VLOOKUP(R208,Datos!$P$1:$T$50,2,FALSE)*C208),0)</f>
        <v>1632</v>
      </c>
      <c r="P208" s="6">
        <v>314146</v>
      </c>
      <c r="Q208" s="9" t="str">
        <f>+VLOOKUP(P208,Datos!$F:$G,2,FALSE)</f>
        <v>Jairo Saul Lopez Quinteros</v>
      </c>
      <c r="R208" s="6" t="s">
        <v>29</v>
      </c>
      <c r="S208" s="6" t="s">
        <v>20</v>
      </c>
      <c r="T208" s="6">
        <f t="shared" si="3"/>
        <v>1</v>
      </c>
    </row>
    <row r="209" spans="1:20" hidden="1" x14ac:dyDescent="0.35">
      <c r="A209" s="6" t="s">
        <v>20</v>
      </c>
      <c r="B209" s="6" t="s">
        <v>21</v>
      </c>
      <c r="C209" s="6">
        <v>2</v>
      </c>
      <c r="D209" s="6" t="s">
        <v>22</v>
      </c>
      <c r="E209" s="6" t="s">
        <v>31</v>
      </c>
      <c r="F209" s="6">
        <v>1228</v>
      </c>
      <c r="G209" s="6" t="s">
        <v>270</v>
      </c>
      <c r="H209" s="8">
        <v>46279</v>
      </c>
      <c r="I209" s="8">
        <v>46279</v>
      </c>
      <c r="J209" s="9" t="str">
        <f>+VLOOKUP(K209,Datos!$A:$C,3,FALSE)</f>
        <v>NORTE</v>
      </c>
      <c r="K209" s="6">
        <v>194</v>
      </c>
      <c r="L209" s="9" t="str">
        <f>+VLOOKUP(K209,Datos!$A:$C,2,FALSE)</f>
        <v>PLAYA GRANDE</v>
      </c>
      <c r="M209" s="6">
        <v>314945</v>
      </c>
      <c r="N209" s="9" t="str">
        <f>+VLOOKUP(M209,Datos!$F:$G,2,FALSE)</f>
        <v>Rolando Esau Solis Santos</v>
      </c>
      <c r="O209" s="10">
        <f>IFERROR(IF(A209="SI",VLOOKUP(R209,Datos!$J$1:$K$50,2,FALSE)*C209,VLOOKUP(R209,Datos!$P$1:$T$50,2,FALSE)*C209),0)</f>
        <v>8208</v>
      </c>
      <c r="P209" s="6">
        <v>313593</v>
      </c>
      <c r="Q209" s="9" t="str">
        <f>+VLOOKUP(P209,Datos!$F:$G,2,FALSE)</f>
        <v>Slayker Andony Santiago Natareno</v>
      </c>
      <c r="R209" s="6" t="s">
        <v>271</v>
      </c>
      <c r="S209" s="6" t="s">
        <v>20</v>
      </c>
      <c r="T209" s="6">
        <f t="shared" si="3"/>
        <v>1</v>
      </c>
    </row>
    <row r="210" spans="1:20" hidden="1" x14ac:dyDescent="0.35">
      <c r="A210" s="6" t="s">
        <v>20</v>
      </c>
      <c r="B210" s="6" t="s">
        <v>21</v>
      </c>
      <c r="C210" s="6">
        <v>2</v>
      </c>
      <c r="D210" s="6" t="s">
        <v>22</v>
      </c>
      <c r="E210" s="6" t="s">
        <v>31</v>
      </c>
      <c r="F210" s="6">
        <v>1232</v>
      </c>
      <c r="G210" s="6" t="s">
        <v>272</v>
      </c>
      <c r="H210" s="8">
        <v>46279</v>
      </c>
      <c r="I210" s="8">
        <v>46279</v>
      </c>
      <c r="J210" s="9" t="str">
        <f>+VLOOKUP(K210,Datos!$A:$C,3,FALSE)</f>
        <v>NORTE</v>
      </c>
      <c r="K210" s="6">
        <v>194</v>
      </c>
      <c r="L210" s="9" t="str">
        <f>+VLOOKUP(K210,Datos!$A:$C,2,FALSE)</f>
        <v>PLAYA GRANDE</v>
      </c>
      <c r="M210" s="6">
        <v>314945</v>
      </c>
      <c r="N210" s="9" t="str">
        <f>+VLOOKUP(M210,Datos!$F:$G,2,FALSE)</f>
        <v>Rolando Esau Solis Santos</v>
      </c>
      <c r="O210" s="10">
        <f>IFERROR(IF(A210="SI",VLOOKUP(R210,Datos!$J$1:$K$50,2,FALSE)*C210,VLOOKUP(R210,Datos!$P$1:$T$50,2,FALSE)*C210),0)</f>
        <v>2736</v>
      </c>
      <c r="P210" s="6">
        <v>313593</v>
      </c>
      <c r="Q210" s="9" t="str">
        <f>+VLOOKUP(P210,Datos!$F:$G,2,FALSE)</f>
        <v>Slayker Andony Santiago Natareno</v>
      </c>
      <c r="R210" s="6" t="s">
        <v>25</v>
      </c>
      <c r="S210" s="6" t="s">
        <v>20</v>
      </c>
      <c r="T210" s="6">
        <f t="shared" si="3"/>
        <v>1</v>
      </c>
    </row>
    <row r="211" spans="1:20" hidden="1" x14ac:dyDescent="0.35">
      <c r="A211" s="6" t="s">
        <v>20</v>
      </c>
      <c r="B211" s="6" t="s">
        <v>21</v>
      </c>
      <c r="C211" s="6">
        <v>1</v>
      </c>
      <c r="D211" s="6" t="s">
        <v>22</v>
      </c>
      <c r="E211" s="6" t="s">
        <v>27</v>
      </c>
      <c r="F211" s="6">
        <v>4497</v>
      </c>
      <c r="G211" s="6" t="s">
        <v>273</v>
      </c>
      <c r="H211" s="8">
        <v>46279</v>
      </c>
      <c r="I211" s="8">
        <v>46279</v>
      </c>
      <c r="J211" s="9" t="str">
        <f>+VLOOKUP(K211,Datos!$A:$C,3,FALSE)</f>
        <v>NORTE</v>
      </c>
      <c r="K211" s="6">
        <v>194</v>
      </c>
      <c r="L211" s="9" t="str">
        <f>+VLOOKUP(K211,Datos!$A:$C,2,FALSE)</f>
        <v>PLAYA GRANDE</v>
      </c>
      <c r="M211" s="6">
        <v>90023865</v>
      </c>
      <c r="N211" s="9" t="str">
        <f>+VLOOKUP(M211,Datos!$F:$G,2,FALSE)</f>
        <v>Benito Abad Jimenez Carrillo</v>
      </c>
      <c r="O211" s="10">
        <f>IFERROR(IF(A211="SI",VLOOKUP(R211,Datos!$J$1:$K$50,2,FALSE)*C211,VLOOKUP(R211,Datos!$P$1:$T$50,2,FALSE)*C211),0)</f>
        <v>816</v>
      </c>
      <c r="P211" s="6">
        <v>313593</v>
      </c>
      <c r="Q211" s="9" t="str">
        <f>+VLOOKUP(P211,Datos!$F:$G,2,FALSE)</f>
        <v>Slayker Andony Santiago Natareno</v>
      </c>
      <c r="R211" s="6" t="s">
        <v>29</v>
      </c>
      <c r="S211" s="6" t="s">
        <v>20</v>
      </c>
      <c r="T211" s="6">
        <f t="shared" si="3"/>
        <v>1</v>
      </c>
    </row>
    <row r="212" spans="1:20" hidden="1" x14ac:dyDescent="0.35">
      <c r="A212" s="6" t="s">
        <v>20</v>
      </c>
      <c r="B212" s="6" t="s">
        <v>21</v>
      </c>
      <c r="C212" s="6">
        <v>2</v>
      </c>
      <c r="D212" s="6" t="s">
        <v>22</v>
      </c>
      <c r="E212" s="6" t="s">
        <v>31</v>
      </c>
      <c r="F212" s="6">
        <v>1241</v>
      </c>
      <c r="G212" s="6" t="s">
        <v>208</v>
      </c>
      <c r="H212" s="8">
        <v>46279</v>
      </c>
      <c r="I212" s="8">
        <v>46279</v>
      </c>
      <c r="J212" s="9" t="str">
        <f>+VLOOKUP(K212,Datos!$A:$C,3,FALSE)</f>
        <v>AMERICAS</v>
      </c>
      <c r="K212" s="6">
        <v>30</v>
      </c>
      <c r="L212" s="9" t="str">
        <f>+VLOOKUP(K212,Datos!$A:$C,2,FALSE)</f>
        <v>BARBERENA</v>
      </c>
      <c r="M212" s="6">
        <v>307706</v>
      </c>
      <c r="N212" s="9" t="str">
        <f>+VLOOKUP(M212,Datos!$F:$G,2,FALSE)</f>
        <v>Monica Guadalupe Garcia Rivera</v>
      </c>
      <c r="O212" s="10">
        <f>IFERROR(IF(A212="SI",VLOOKUP(R212,Datos!$J$1:$K$50,2,FALSE)*C212,VLOOKUP(R212,Datos!$P$1:$T$50,2,FALSE)*C212),0)</f>
        <v>5472</v>
      </c>
      <c r="P212" s="6">
        <v>300594</v>
      </c>
      <c r="Q212" s="9" t="str">
        <f>+VLOOKUP(P212,Datos!$F:$G,2,FALSE)</f>
        <v>Rosaura Grisleny Perez Rios</v>
      </c>
      <c r="R212" s="6" t="s">
        <v>73</v>
      </c>
      <c r="S212" s="6" t="s">
        <v>20</v>
      </c>
      <c r="T212" s="6">
        <f t="shared" si="3"/>
        <v>2</v>
      </c>
    </row>
    <row r="213" spans="1:20" hidden="1" x14ac:dyDescent="0.35">
      <c r="A213" s="6" t="s">
        <v>20</v>
      </c>
      <c r="B213" s="6" t="s">
        <v>21</v>
      </c>
      <c r="C213" s="6">
        <v>1</v>
      </c>
      <c r="D213" s="6" t="s">
        <v>22</v>
      </c>
      <c r="E213" s="6" t="s">
        <v>27</v>
      </c>
      <c r="F213" s="6">
        <v>4500</v>
      </c>
      <c r="G213" s="6" t="s">
        <v>274</v>
      </c>
      <c r="H213" s="8">
        <v>46279</v>
      </c>
      <c r="I213" s="8">
        <v>46279</v>
      </c>
      <c r="J213" s="9" t="str">
        <f>+VLOOKUP(K213,Datos!$A:$C,3,FALSE)</f>
        <v>AMERICAS</v>
      </c>
      <c r="K213" s="6">
        <v>30</v>
      </c>
      <c r="L213" s="9" t="str">
        <f>+VLOOKUP(K213,Datos!$A:$C,2,FALSE)</f>
        <v>BARBERENA</v>
      </c>
      <c r="M213" s="6">
        <v>90068816</v>
      </c>
      <c r="N213" s="9" t="str">
        <f>+VLOOKUP(M213,Datos!$F:$G,2,FALSE)</f>
        <v>BRAYAN ELI GARCIA DONIS</v>
      </c>
      <c r="O213" s="10">
        <f>IFERROR(IF(A213="SI",VLOOKUP(R213,Datos!$J$1:$K$50,2,FALSE)*C213,VLOOKUP(R213,Datos!$P$1:$T$50,2,FALSE)*C213),0)</f>
        <v>816</v>
      </c>
      <c r="P213" s="6">
        <v>300594</v>
      </c>
      <c r="Q213" s="9" t="str">
        <f>+VLOOKUP(P213,Datos!$F:$G,2,FALSE)</f>
        <v>Rosaura Grisleny Perez Rios</v>
      </c>
      <c r="R213" s="6" t="s">
        <v>29</v>
      </c>
      <c r="S213" s="6" t="s">
        <v>20</v>
      </c>
      <c r="T213" s="6">
        <f t="shared" si="3"/>
        <v>1</v>
      </c>
    </row>
    <row r="214" spans="1:20" hidden="1" x14ac:dyDescent="0.35">
      <c r="A214" s="6" t="s">
        <v>20</v>
      </c>
      <c r="B214" s="6" t="s">
        <v>26</v>
      </c>
      <c r="C214" s="6">
        <v>1</v>
      </c>
      <c r="D214" s="6" t="s">
        <v>22</v>
      </c>
      <c r="E214" s="6" t="s">
        <v>27</v>
      </c>
      <c r="F214" s="6">
        <v>4334</v>
      </c>
      <c r="G214" s="6" t="s">
        <v>275</v>
      </c>
      <c r="H214" s="8">
        <v>46279</v>
      </c>
      <c r="I214" s="8">
        <v>46272</v>
      </c>
      <c r="J214" s="9" t="str">
        <f>+VLOOKUP(K214,Datos!$A:$C,3,FALSE)</f>
        <v>NORTE</v>
      </c>
      <c r="K214" s="6">
        <v>334</v>
      </c>
      <c r="L214" s="9" t="str">
        <f>+VLOOKUP(K214,Datos!$A:$C,2,FALSE)</f>
        <v>COBAN LA PISTA</v>
      </c>
      <c r="M214" s="6">
        <v>90081010</v>
      </c>
      <c r="N214" s="9" t="str">
        <f>+VLOOKUP(M214,Datos!$F:$G,2,FALSE)</f>
        <v>JAIRO OBED ALEXANDER TUL CHO</v>
      </c>
      <c r="O214" s="10">
        <f>IFERROR(IF(A214="SI",VLOOKUP(R214,Datos!$J$1:$K$50,2,FALSE)*C214,VLOOKUP(R214,Datos!$P$1:$T$50,2,FALSE)*C214),0)</f>
        <v>816</v>
      </c>
      <c r="P214" s="6">
        <v>315801</v>
      </c>
      <c r="Q214" s="9" t="str">
        <f>+VLOOKUP(P214,Datos!$F:$G,2,FALSE)</f>
        <v>Yeniffer Guadalupe Chiquin Carbonell</v>
      </c>
      <c r="R214" s="6" t="s">
        <v>29</v>
      </c>
      <c r="S214" s="6" t="s">
        <v>20</v>
      </c>
      <c r="T214" s="6">
        <f t="shared" si="3"/>
        <v>1</v>
      </c>
    </row>
    <row r="215" spans="1:20" hidden="1" x14ac:dyDescent="0.35">
      <c r="A215" s="6" t="s">
        <v>20</v>
      </c>
      <c r="B215" s="6" t="s">
        <v>21</v>
      </c>
      <c r="C215" s="6">
        <v>4</v>
      </c>
      <c r="D215" s="6" t="s">
        <v>22</v>
      </c>
      <c r="E215" s="6" t="s">
        <v>115</v>
      </c>
      <c r="F215" s="6">
        <v>184</v>
      </c>
      <c r="G215" s="6" t="s">
        <v>276</v>
      </c>
      <c r="H215" s="8">
        <v>46279</v>
      </c>
      <c r="I215" s="8">
        <v>46275</v>
      </c>
      <c r="J215" s="9" t="str">
        <f>+VLOOKUP(K215,Datos!$A:$C,3,FALSE)</f>
        <v>ORIENTE</v>
      </c>
      <c r="K215" s="6">
        <v>159</v>
      </c>
      <c r="L215" s="9" t="str">
        <f>+VLOOKUP(K215,Datos!$A:$C,2,FALSE)</f>
        <v>PRADERA PUERTO BARRIOS</v>
      </c>
      <c r="M215" s="6">
        <v>90082959</v>
      </c>
      <c r="N215" s="9" t="str">
        <f>+VLOOKUP(M215,Datos!$F:$G,2,FALSE)</f>
        <v>OLGA ESPERANZA SOLIS MENDEZ</v>
      </c>
      <c r="O215" s="10">
        <f>IFERROR(IF(A215="SI",VLOOKUP(R215,Datos!$J$1:$K$50,2,FALSE)*C215,VLOOKUP(R215,Datos!$P$1:$T$50,2,FALSE)*C215),0)</f>
        <v>4368</v>
      </c>
      <c r="P215" s="6">
        <v>311692</v>
      </c>
      <c r="Q215" s="9" t="str">
        <f>+VLOOKUP(P215,Datos!$F:$G,2,FALSE)</f>
        <v>Cesia Paola Marroquin Sanchez</v>
      </c>
      <c r="R215" s="6" t="s">
        <v>117</v>
      </c>
      <c r="S215" s="6" t="s">
        <v>20</v>
      </c>
      <c r="T215" s="6">
        <f t="shared" si="3"/>
        <v>1</v>
      </c>
    </row>
    <row r="216" spans="1:20" hidden="1" x14ac:dyDescent="0.35">
      <c r="A216" s="6" t="s">
        <v>20</v>
      </c>
      <c r="B216" s="6" t="s">
        <v>21</v>
      </c>
      <c r="C216" s="6">
        <v>4</v>
      </c>
      <c r="D216" s="6" t="s">
        <v>22</v>
      </c>
      <c r="E216" s="6" t="s">
        <v>115</v>
      </c>
      <c r="F216" s="6">
        <v>185</v>
      </c>
      <c r="G216" s="6" t="s">
        <v>277</v>
      </c>
      <c r="H216" s="8">
        <v>46279</v>
      </c>
      <c r="I216" s="8">
        <v>46275</v>
      </c>
      <c r="J216" s="9" t="str">
        <f>+VLOOKUP(K216,Datos!$A:$C,3,FALSE)</f>
        <v>ORIENTE</v>
      </c>
      <c r="K216" s="6">
        <v>159</v>
      </c>
      <c r="L216" s="9" t="str">
        <f>+VLOOKUP(K216,Datos!$A:$C,2,FALSE)</f>
        <v>PRADERA PUERTO BARRIOS</v>
      </c>
      <c r="M216" s="6">
        <v>90083587</v>
      </c>
      <c r="N216" s="9" t="str">
        <f>+VLOOKUP(M216,Datos!$F:$G,2,FALSE)</f>
        <v>JOSE ARNOLDO RUANO CARDENAS</v>
      </c>
      <c r="O216" s="10">
        <f>IFERROR(IF(A216="SI",VLOOKUP(R216,Datos!$J$1:$K$50,2,FALSE)*C216,VLOOKUP(R216,Datos!$P$1:$T$50,2,FALSE)*C216),0)</f>
        <v>4368</v>
      </c>
      <c r="P216" s="6">
        <v>306569</v>
      </c>
      <c r="Q216" s="9" t="str">
        <f>+VLOOKUP(P216,Datos!$F:$G,2,FALSE)</f>
        <v>Claudia Susana Garcia</v>
      </c>
      <c r="R216" s="6" t="s">
        <v>117</v>
      </c>
      <c r="S216" s="6" t="s">
        <v>20</v>
      </c>
      <c r="T216" s="6">
        <f t="shared" si="3"/>
        <v>1</v>
      </c>
    </row>
    <row r="217" spans="1:20" hidden="1" x14ac:dyDescent="0.35">
      <c r="A217" s="6" t="s">
        <v>20</v>
      </c>
      <c r="B217" s="6" t="s">
        <v>26</v>
      </c>
      <c r="C217" s="6">
        <v>2</v>
      </c>
      <c r="D217" s="6" t="s">
        <v>22</v>
      </c>
      <c r="E217" s="6" t="s">
        <v>31</v>
      </c>
      <c r="F217" s="6">
        <v>1240</v>
      </c>
      <c r="G217" s="6" t="s">
        <v>278</v>
      </c>
      <c r="H217" s="8">
        <v>46279</v>
      </c>
      <c r="I217" s="8">
        <v>46279</v>
      </c>
      <c r="J217" s="9" t="str">
        <f>+VLOOKUP(K217,Datos!$A:$C,3,FALSE)</f>
        <v>PETAPA</v>
      </c>
      <c r="K217" s="6">
        <v>86</v>
      </c>
      <c r="L217" s="9" t="str">
        <f>+VLOOKUP(K217,Datos!$A:$C,2,FALSE)</f>
        <v>EL FRUTAL</v>
      </c>
      <c r="M217" s="6">
        <v>90040768</v>
      </c>
      <c r="N217" s="9" t="str">
        <f>+VLOOKUP(M217,Datos!$F:$G,2,FALSE)</f>
        <v>Roxana Yanet Moreira Zacaris</v>
      </c>
      <c r="O217" s="10">
        <f>IFERROR(IF(A217="SI",VLOOKUP(R217,Datos!$J$1:$K$50,2,FALSE)*C217,VLOOKUP(R217,Datos!$P$1:$T$50,2,FALSE)*C217),0)</f>
        <v>2736</v>
      </c>
      <c r="P217" s="6">
        <v>313727</v>
      </c>
      <c r="Q217" s="9" t="str">
        <f>+VLOOKUP(P217,Datos!$F:$G,2,FALSE)</f>
        <v>Erwin Antonio Lorenzo Zamora</v>
      </c>
      <c r="R217" s="6" t="s">
        <v>25</v>
      </c>
      <c r="S217" s="6" t="s">
        <v>20</v>
      </c>
      <c r="T217" s="6">
        <f t="shared" si="3"/>
        <v>1</v>
      </c>
    </row>
    <row r="218" spans="1:20" hidden="1" x14ac:dyDescent="0.35">
      <c r="A218" s="6" t="s">
        <v>20</v>
      </c>
      <c r="B218" s="6" t="s">
        <v>26</v>
      </c>
      <c r="C218" s="6">
        <v>3</v>
      </c>
      <c r="D218" s="6" t="s">
        <v>22</v>
      </c>
      <c r="E218" s="6" t="s">
        <v>53</v>
      </c>
      <c r="F218" s="6">
        <v>642</v>
      </c>
      <c r="G218" s="6" t="s">
        <v>279</v>
      </c>
      <c r="H218" s="8">
        <v>46279</v>
      </c>
      <c r="I218" s="8">
        <v>46279</v>
      </c>
      <c r="J218" s="9" t="str">
        <f>+VLOOKUP(K218,Datos!$A:$C,3,FALSE)</f>
        <v>NORTE</v>
      </c>
      <c r="K218" s="6">
        <v>38</v>
      </c>
      <c r="L218" s="9" t="str">
        <f>+VLOOKUP(K218,Datos!$A:$C,2,FALSE)</f>
        <v>CARCHA</v>
      </c>
      <c r="M218" s="6">
        <v>90063386</v>
      </c>
      <c r="N218" s="9" t="str">
        <f>+VLOOKUP(M218,Datos!$F:$G,2,FALSE)</f>
        <v>NERY AYU</v>
      </c>
      <c r="O218" s="10">
        <f>IFERROR(IF(A218="SI",VLOOKUP(R218,Datos!$J$1:$K$50,2,FALSE)*C218,VLOOKUP(R218,Datos!$P$1:$T$50,2,FALSE)*C218),0)</f>
        <v>2448</v>
      </c>
      <c r="P218" s="6">
        <v>306471</v>
      </c>
      <c r="Q218" s="9" t="str">
        <f>+VLOOKUP(P218,Datos!$F:$G,2,FALSE)</f>
        <v>Angel Enmanuel Quim Macz</v>
      </c>
      <c r="R218" s="6" t="s">
        <v>29</v>
      </c>
      <c r="S218" s="6" t="s">
        <v>20</v>
      </c>
      <c r="T218" s="6">
        <f t="shared" si="3"/>
        <v>1</v>
      </c>
    </row>
    <row r="219" spans="1:20" hidden="1" x14ac:dyDescent="0.35">
      <c r="A219" s="6" t="s">
        <v>20</v>
      </c>
      <c r="B219" s="6" t="s">
        <v>26</v>
      </c>
      <c r="C219" s="6">
        <v>2</v>
      </c>
      <c r="D219" s="6" t="s">
        <v>22</v>
      </c>
      <c r="E219" s="6" t="s">
        <v>31</v>
      </c>
      <c r="F219" s="6">
        <v>1231</v>
      </c>
      <c r="G219" s="6" t="s">
        <v>280</v>
      </c>
      <c r="H219" s="8">
        <v>46279</v>
      </c>
      <c r="I219" s="8">
        <v>46279</v>
      </c>
      <c r="J219" s="9" t="str">
        <f>+VLOOKUP(K219,Datos!$A:$C,3,FALSE)</f>
        <v>NORTE</v>
      </c>
      <c r="K219" s="6">
        <v>38</v>
      </c>
      <c r="L219" s="9" t="str">
        <f>+VLOOKUP(K219,Datos!$A:$C,2,FALSE)</f>
        <v>CARCHA</v>
      </c>
      <c r="M219" s="6">
        <v>309527</v>
      </c>
      <c r="N219" s="9" t="str">
        <f>+VLOOKUP(M219,Datos!$F:$G,2,FALSE)</f>
        <v>Ana Gabriela Caal Cruz</v>
      </c>
      <c r="O219" s="10">
        <f>IFERROR(IF(A219="SI",VLOOKUP(R219,Datos!$J$1:$K$50,2,FALSE)*C219,VLOOKUP(R219,Datos!$P$1:$T$50,2,FALSE)*C219),0)</f>
        <v>5472</v>
      </c>
      <c r="P219" s="6">
        <v>306471</v>
      </c>
      <c r="Q219" s="9" t="str">
        <f>+VLOOKUP(P219,Datos!$F:$G,2,FALSE)</f>
        <v>Angel Enmanuel Quim Macz</v>
      </c>
      <c r="R219" s="6" t="s">
        <v>73</v>
      </c>
      <c r="S219" s="6" t="s">
        <v>20</v>
      </c>
      <c r="T219" s="6">
        <f t="shared" si="3"/>
        <v>1</v>
      </c>
    </row>
    <row r="220" spans="1:20" hidden="1" x14ac:dyDescent="0.35">
      <c r="A220" s="6" t="s">
        <v>20</v>
      </c>
      <c r="B220" s="6" t="s">
        <v>26</v>
      </c>
      <c r="C220" s="6">
        <v>4</v>
      </c>
      <c r="D220" s="6" t="s">
        <v>22</v>
      </c>
      <c r="E220" s="6" t="s">
        <v>23</v>
      </c>
      <c r="F220" s="6">
        <v>750</v>
      </c>
      <c r="G220" s="6" t="s">
        <v>281</v>
      </c>
      <c r="H220" s="8">
        <v>46279</v>
      </c>
      <c r="I220" s="8">
        <v>46279</v>
      </c>
      <c r="J220" s="9" t="str">
        <f>+VLOOKUP(K220,Datos!$A:$C,3,FALSE)</f>
        <v>NORTE</v>
      </c>
      <c r="K220" s="6">
        <v>38</v>
      </c>
      <c r="L220" s="9" t="str">
        <f>+VLOOKUP(K220,Datos!$A:$C,2,FALSE)</f>
        <v>CARCHA</v>
      </c>
      <c r="M220" s="6">
        <v>309527</v>
      </c>
      <c r="N220" s="9" t="str">
        <f>+VLOOKUP(M220,Datos!$F:$G,2,FALSE)</f>
        <v>Ana Gabriela Caal Cruz</v>
      </c>
      <c r="O220" s="10">
        <f>IFERROR(IF(A220="SI",VLOOKUP(R220,Datos!$J$1:$K$50,2,FALSE)*C220,VLOOKUP(R220,Datos!$P$1:$T$50,2,FALSE)*C220),0)</f>
        <v>3264</v>
      </c>
      <c r="P220" s="6">
        <v>306471</v>
      </c>
      <c r="Q220" s="9" t="str">
        <f>+VLOOKUP(P220,Datos!$F:$G,2,FALSE)</f>
        <v>Angel Enmanuel Quim Macz</v>
      </c>
      <c r="R220" s="6" t="s">
        <v>29</v>
      </c>
      <c r="S220" s="6" t="s">
        <v>20</v>
      </c>
      <c r="T220" s="6">
        <f t="shared" si="3"/>
        <v>1</v>
      </c>
    </row>
    <row r="221" spans="1:20" hidden="1" x14ac:dyDescent="0.35">
      <c r="A221" s="6" t="s">
        <v>20</v>
      </c>
      <c r="B221" s="6" t="s">
        <v>26</v>
      </c>
      <c r="C221" s="6">
        <v>4</v>
      </c>
      <c r="D221" s="6" t="s">
        <v>22</v>
      </c>
      <c r="E221" s="6" t="s">
        <v>23</v>
      </c>
      <c r="F221" s="6">
        <v>755</v>
      </c>
      <c r="G221" s="6" t="s">
        <v>282</v>
      </c>
      <c r="H221" s="8">
        <v>46279</v>
      </c>
      <c r="I221" s="8">
        <v>46279</v>
      </c>
      <c r="J221" s="9" t="str">
        <f>+VLOOKUP(K221,Datos!$A:$C,3,FALSE)</f>
        <v>NORTE</v>
      </c>
      <c r="K221" s="6">
        <v>38</v>
      </c>
      <c r="L221" s="9" t="str">
        <f>+VLOOKUP(K221,Datos!$A:$C,2,FALSE)</f>
        <v>CARCHA</v>
      </c>
      <c r="M221" s="6">
        <v>305736</v>
      </c>
      <c r="N221" s="9" t="str">
        <f>+VLOOKUP(M221,Datos!$F:$G,2,FALSE)</f>
        <v>Edvin Estuardo Ordoñez Gonzalez</v>
      </c>
      <c r="O221" s="10">
        <f>IFERROR(IF(A221="SI",VLOOKUP(R221,Datos!$J$1:$K$50,2,FALSE)*C221,VLOOKUP(R221,Datos!$P$1:$T$50,2,FALSE)*C221),0)</f>
        <v>3264</v>
      </c>
      <c r="P221" s="6">
        <v>306471</v>
      </c>
      <c r="Q221" s="9" t="str">
        <f>+VLOOKUP(P221,Datos!$F:$G,2,FALSE)</f>
        <v>Angel Enmanuel Quim Macz</v>
      </c>
      <c r="R221" s="6" t="s">
        <v>29</v>
      </c>
      <c r="S221" s="6" t="s">
        <v>20</v>
      </c>
      <c r="T221" s="6">
        <f t="shared" si="3"/>
        <v>1</v>
      </c>
    </row>
    <row r="222" spans="1:20" hidden="1" x14ac:dyDescent="0.35">
      <c r="A222" s="6" t="s">
        <v>20</v>
      </c>
      <c r="B222" s="6" t="s">
        <v>26</v>
      </c>
      <c r="C222" s="6">
        <v>1</v>
      </c>
      <c r="D222" s="6" t="s">
        <v>22</v>
      </c>
      <c r="E222" s="6" t="s">
        <v>112</v>
      </c>
      <c r="F222" s="6">
        <v>2592</v>
      </c>
      <c r="G222" s="6" t="s">
        <v>283</v>
      </c>
      <c r="H222" s="8">
        <v>46279</v>
      </c>
      <c r="I222" s="8">
        <v>46279</v>
      </c>
      <c r="J222" s="9" t="str">
        <f>+VLOOKUP(K222,Datos!$A:$C,3,FALSE)</f>
        <v>AMERICAS</v>
      </c>
      <c r="K222" s="6">
        <v>92</v>
      </c>
      <c r="L222" s="9" t="str">
        <f>+VLOOKUP(K222,Datos!$A:$C,2,FALSE)</f>
        <v>CONDADO CONCEPCION</v>
      </c>
      <c r="M222" s="6">
        <v>90046426</v>
      </c>
      <c r="N222" s="9" t="str">
        <f>+VLOOKUP(M222,Datos!$F:$G,2,FALSE)</f>
        <v>ANDREA MISHELLE MALDONADO LÓPEZ</v>
      </c>
      <c r="O222" s="10">
        <f>IFERROR(IF(A222="SI",VLOOKUP(R222,Datos!$J$1:$K$50,2,FALSE)*C222,VLOOKUP(R222,Datos!$P$1:$T$50,2,FALSE)*C222),0)</f>
        <v>1008</v>
      </c>
      <c r="P222" s="6">
        <v>313655</v>
      </c>
      <c r="Q222" s="9" t="str">
        <f>+VLOOKUP(P222,Datos!$F:$G,2,FALSE)</f>
        <v>Brandon Antonio Alvarez Lopez</v>
      </c>
      <c r="R222" s="6" t="s">
        <v>114</v>
      </c>
      <c r="S222" s="6" t="s">
        <v>20</v>
      </c>
      <c r="T222" s="6">
        <f t="shared" si="3"/>
        <v>1</v>
      </c>
    </row>
    <row r="223" spans="1:20" hidden="1" x14ac:dyDescent="0.35">
      <c r="A223" s="6" t="s">
        <v>20</v>
      </c>
      <c r="B223" s="6" t="s">
        <v>26</v>
      </c>
      <c r="C223" s="6">
        <v>1</v>
      </c>
      <c r="D223" s="6" t="s">
        <v>22</v>
      </c>
      <c r="E223" s="6" t="s">
        <v>112</v>
      </c>
      <c r="F223" s="6">
        <v>2594</v>
      </c>
      <c r="G223" s="6" t="s">
        <v>284</v>
      </c>
      <c r="H223" s="7">
        <v>46280</v>
      </c>
      <c r="I223" s="8">
        <v>46280</v>
      </c>
      <c r="J223" s="9" t="str">
        <f>+VLOOKUP(K223,Datos!$A:$C,3,FALSE)</f>
        <v>AMERICAS</v>
      </c>
      <c r="K223" s="6">
        <v>92</v>
      </c>
      <c r="L223" s="9" t="str">
        <f>+VLOOKUP(K223,Datos!$A:$C,2,FALSE)</f>
        <v>CONDADO CONCEPCION</v>
      </c>
      <c r="M223" s="6">
        <v>90046426</v>
      </c>
      <c r="N223" s="9" t="str">
        <f>+VLOOKUP(M223,Datos!$F:$G,2,FALSE)</f>
        <v>ANDREA MISHELLE MALDONADO LÓPEZ</v>
      </c>
      <c r="O223" s="10">
        <f>IFERROR(IF(A223="SI",VLOOKUP(R223,Datos!$J$1:$K$50,2,FALSE)*C223,VLOOKUP(R223,Datos!$P$1:$T$50,2,FALSE)*C223),0)</f>
        <v>1008</v>
      </c>
      <c r="P223" s="6">
        <v>313655</v>
      </c>
      <c r="Q223" s="9" t="str">
        <f>+VLOOKUP(P223,Datos!$F:$G,2,FALSE)</f>
        <v>Brandon Antonio Alvarez Lopez</v>
      </c>
      <c r="R223" s="6" t="s">
        <v>114</v>
      </c>
      <c r="S223" s="6" t="s">
        <v>20</v>
      </c>
      <c r="T223" s="6">
        <f t="shared" si="3"/>
        <v>1</v>
      </c>
    </row>
    <row r="224" spans="1:20" hidden="1" x14ac:dyDescent="0.35">
      <c r="A224" s="6" t="s">
        <v>20</v>
      </c>
      <c r="B224" s="6" t="s">
        <v>26</v>
      </c>
      <c r="C224" s="6">
        <v>1</v>
      </c>
      <c r="D224" s="6" t="s">
        <v>22</v>
      </c>
      <c r="E224" s="6" t="s">
        <v>27</v>
      </c>
      <c r="F224" s="6">
        <v>4506</v>
      </c>
      <c r="G224" s="6" t="s">
        <v>285</v>
      </c>
      <c r="H224" s="8">
        <v>46280</v>
      </c>
      <c r="I224" s="8">
        <v>46280</v>
      </c>
      <c r="J224" s="9" t="str">
        <f>+VLOOKUP(K224,Datos!$A:$C,3,FALSE)</f>
        <v>NORTE</v>
      </c>
      <c r="K224" s="6">
        <v>38</v>
      </c>
      <c r="L224" s="9" t="str">
        <f>+VLOOKUP(K224,Datos!$A:$C,2,FALSE)</f>
        <v>CARCHA</v>
      </c>
      <c r="M224" s="6">
        <v>90064229</v>
      </c>
      <c r="N224" s="9" t="str">
        <f>+VLOOKUP(M224,Datos!$F:$G,2,FALSE)</f>
        <v>KRISHNA MORALES</v>
      </c>
      <c r="O224" s="10">
        <f>IFERROR(IF(A224="SI",VLOOKUP(R224,Datos!$J$1:$K$50,2,FALSE)*C224,VLOOKUP(R224,Datos!$P$1:$T$50,2,FALSE)*C224),0)</f>
        <v>816</v>
      </c>
      <c r="P224" s="6">
        <v>315962</v>
      </c>
      <c r="Q224" s="9" t="str">
        <f>+VLOOKUP(P224,Datos!$F:$G,2,FALSE)</f>
        <v>Jennifer Celeste Delgado Garcia</v>
      </c>
      <c r="R224" s="6" t="s">
        <v>29</v>
      </c>
      <c r="S224" s="6" t="s">
        <v>20</v>
      </c>
      <c r="T224" s="6">
        <f t="shared" si="3"/>
        <v>1</v>
      </c>
    </row>
    <row r="225" spans="1:20" hidden="1" x14ac:dyDescent="0.35">
      <c r="A225" s="6" t="s">
        <v>20</v>
      </c>
      <c r="B225" s="6" t="s">
        <v>26</v>
      </c>
      <c r="C225" s="6">
        <v>1</v>
      </c>
      <c r="D225" s="6" t="s">
        <v>22</v>
      </c>
      <c r="E225" s="6" t="s">
        <v>27</v>
      </c>
      <c r="F225" s="6">
        <v>4485</v>
      </c>
      <c r="G225" s="6" t="s">
        <v>286</v>
      </c>
      <c r="H225" s="8">
        <v>46280</v>
      </c>
      <c r="I225" s="8">
        <v>46279</v>
      </c>
      <c r="J225" s="9" t="str">
        <f>+VLOOKUP(K225,Datos!$A:$C,3,FALSE)</f>
        <v>AMERICAS</v>
      </c>
      <c r="K225" s="6">
        <v>231</v>
      </c>
      <c r="L225" s="9" t="str">
        <f>+VLOOKUP(K225,Datos!$A:$C,2,FALSE)</f>
        <v>SANTA AMELIA ZONA 16</v>
      </c>
      <c r="M225" s="6">
        <v>90048712</v>
      </c>
      <c r="N225" s="9" t="str">
        <f>+VLOOKUP(M225,Datos!$F:$G,2,FALSE)</f>
        <v>BERTHA ANYELY AQUINO</v>
      </c>
      <c r="O225" s="10">
        <f>IFERROR(IF(A225="SI",VLOOKUP(R225,Datos!$J$1:$K$50,2,FALSE)*C225,VLOOKUP(R225,Datos!$P$1:$T$50,2,FALSE)*C225),0)</f>
        <v>816</v>
      </c>
      <c r="P225" s="6">
        <v>314169</v>
      </c>
      <c r="Q225" s="9" t="str">
        <f>+VLOOKUP(P225,Datos!$F:$G,2,FALSE)</f>
        <v>Mariano Jose Lopez Cojon</v>
      </c>
      <c r="R225" s="6" t="s">
        <v>29</v>
      </c>
      <c r="S225" s="6" t="s">
        <v>20</v>
      </c>
      <c r="T225" s="6">
        <f t="shared" si="3"/>
        <v>1</v>
      </c>
    </row>
    <row r="226" spans="1:20" hidden="1" x14ac:dyDescent="0.35">
      <c r="A226" s="6" t="s">
        <v>20</v>
      </c>
      <c r="B226" s="6" t="s">
        <v>21</v>
      </c>
      <c r="C226" s="6">
        <v>4</v>
      </c>
      <c r="D226" s="6" t="s">
        <v>22</v>
      </c>
      <c r="E226" s="6" t="s">
        <v>23</v>
      </c>
      <c r="F226" s="6">
        <v>730</v>
      </c>
      <c r="G226" s="6" t="s">
        <v>287</v>
      </c>
      <c r="H226" s="8">
        <v>46280</v>
      </c>
      <c r="I226" s="8">
        <v>46277</v>
      </c>
      <c r="J226" s="9" t="str">
        <f>+VLOOKUP(K226,Datos!$A:$C,3,FALSE)</f>
        <v>PETAPA</v>
      </c>
      <c r="K226" s="6">
        <v>11</v>
      </c>
      <c r="L226" s="9" t="str">
        <f>+VLOOKUP(K226,Datos!$A:$C,2,FALSE)</f>
        <v>PETAPA</v>
      </c>
      <c r="M226" s="6">
        <v>90034295</v>
      </c>
      <c r="N226" s="9" t="str">
        <f>+VLOOKUP(M226,Datos!$F:$G,2,FALSE)</f>
        <v>Braulio Antonio Chimil Escobedo</v>
      </c>
      <c r="O226" s="10">
        <f>IFERROR(IF(A226="SI",VLOOKUP(R226,Datos!$J$1:$K$50,2,FALSE)*C226,VLOOKUP(R226,Datos!$P$1:$T$50,2,FALSE)*C226),0)</f>
        <v>3264</v>
      </c>
      <c r="P226" s="6">
        <v>314077</v>
      </c>
      <c r="Q226" s="9" t="str">
        <f>+VLOOKUP(P226,Datos!$F:$G,2,FALSE)</f>
        <v>Eddy Estuardo Lool Calderon</v>
      </c>
      <c r="R226" s="6" t="s">
        <v>29</v>
      </c>
      <c r="S226" s="6" t="s">
        <v>20</v>
      </c>
      <c r="T226" s="6">
        <f t="shared" si="3"/>
        <v>1</v>
      </c>
    </row>
    <row r="227" spans="1:20" hidden="1" x14ac:dyDescent="0.35">
      <c r="A227" s="6" t="s">
        <v>20</v>
      </c>
      <c r="B227" s="6" t="s">
        <v>21</v>
      </c>
      <c r="C227" s="6">
        <v>4</v>
      </c>
      <c r="D227" s="6" t="s">
        <v>22</v>
      </c>
      <c r="E227" s="6" t="s">
        <v>23</v>
      </c>
      <c r="F227" s="6">
        <v>739</v>
      </c>
      <c r="G227" s="6" t="s">
        <v>288</v>
      </c>
      <c r="H227" s="7">
        <v>46281</v>
      </c>
      <c r="I227" s="8">
        <v>46281</v>
      </c>
      <c r="J227" s="9" t="str">
        <f>+VLOOKUP(K227,Datos!$A:$C,3,FALSE)</f>
        <v>NORTE</v>
      </c>
      <c r="K227" s="6">
        <v>163</v>
      </c>
      <c r="L227" s="9" t="str">
        <f>+VLOOKUP(K227,Datos!$A:$C,2,FALSE)</f>
        <v>LA TINTA</v>
      </c>
      <c r="M227" s="6">
        <v>90038373</v>
      </c>
      <c r="N227" s="9" t="str">
        <f>+VLOOKUP(M227,Datos!$F:$G,2,FALSE)</f>
        <v>Bryan Sleyter Gabriel Coy Tercero</v>
      </c>
      <c r="O227" s="10">
        <f>IFERROR(IF(A227="SI",VLOOKUP(R227,Datos!$J$1:$K$50,2,FALSE)*C227,VLOOKUP(R227,Datos!$P$1:$T$50,2,FALSE)*C227),0)</f>
        <v>3264</v>
      </c>
      <c r="P227" s="6">
        <v>90084233</v>
      </c>
      <c r="Q227" s="9" t="str">
        <f>+VLOOKUP(P227,Datos!$F:$G,2,FALSE)</f>
        <v>CECILIA DORCAS SIQUIC VELASQUEZ</v>
      </c>
      <c r="R227" s="6" t="s">
        <v>29</v>
      </c>
      <c r="S227" s="6" t="s">
        <v>20</v>
      </c>
      <c r="T227" s="6">
        <f t="shared" si="3"/>
        <v>1</v>
      </c>
    </row>
    <row r="228" spans="1:20" hidden="1" x14ac:dyDescent="0.35">
      <c r="A228" s="6" t="s">
        <v>20</v>
      </c>
      <c r="B228" s="6" t="s">
        <v>21</v>
      </c>
      <c r="C228" s="6">
        <v>4</v>
      </c>
      <c r="D228" s="6" t="s">
        <v>22</v>
      </c>
      <c r="E228" s="6" t="s">
        <v>23</v>
      </c>
      <c r="F228" s="6">
        <v>761</v>
      </c>
      <c r="G228" s="6" t="s">
        <v>289</v>
      </c>
      <c r="H228" s="8">
        <v>46281</v>
      </c>
      <c r="I228" s="8">
        <v>46281</v>
      </c>
      <c r="J228" s="9" t="str">
        <f>+VLOOKUP(K228,Datos!$A:$C,3,FALSE)</f>
        <v>ORIENTE</v>
      </c>
      <c r="K228" s="6">
        <v>128</v>
      </c>
      <c r="L228" s="9" t="str">
        <f>+VLOOKUP(K228,Datos!$A:$C,2,FALSE)</f>
        <v>CHIQUIMULA 2</v>
      </c>
      <c r="M228" s="6">
        <v>90080725</v>
      </c>
      <c r="N228" s="9" t="str">
        <f>+VLOOKUP(M228,Datos!$F:$G,2,FALSE)</f>
        <v>CRISTHIAN ALEXANDER LOPEZ SUCHITE</v>
      </c>
      <c r="O228" s="10">
        <f>IFERROR(IF(A228="SI",VLOOKUP(R228,Datos!$J$1:$K$50,2,FALSE)*C228,VLOOKUP(R228,Datos!$P$1:$T$50,2,FALSE)*C228),0)</f>
        <v>3264</v>
      </c>
      <c r="P228" s="6">
        <v>303265</v>
      </c>
      <c r="Q228" s="9" t="str">
        <f>+VLOOKUP(P228,Datos!$F:$G,2,FALSE)</f>
        <v>Claudia Yesenia Pinto Picen</v>
      </c>
      <c r="R228" s="6" t="s">
        <v>29</v>
      </c>
      <c r="S228" s="6" t="s">
        <v>20</v>
      </c>
      <c r="T228" s="6">
        <f t="shared" si="3"/>
        <v>1</v>
      </c>
    </row>
    <row r="229" spans="1:20" hidden="1" x14ac:dyDescent="0.35">
      <c r="A229" s="6" t="s">
        <v>80</v>
      </c>
      <c r="B229" s="6" t="s">
        <v>21</v>
      </c>
      <c r="C229" s="6">
        <v>1</v>
      </c>
      <c r="D229" s="6" t="s">
        <v>22</v>
      </c>
      <c r="E229" s="6" t="s">
        <v>151</v>
      </c>
      <c r="F229" s="6">
        <v>418</v>
      </c>
      <c r="G229" s="6" t="s">
        <v>290</v>
      </c>
      <c r="H229" s="8">
        <v>46281</v>
      </c>
      <c r="I229" s="8">
        <v>46273</v>
      </c>
      <c r="J229" s="9" t="str">
        <f>+VLOOKUP(K229,Datos!$A:$C,3,FALSE)</f>
        <v>ORIENTE</v>
      </c>
      <c r="K229" s="6">
        <v>132</v>
      </c>
      <c r="L229" s="9" t="str">
        <f>+VLOOKUP(K229,Datos!$A:$C,2,FALSE)</f>
        <v>ESQUIPULAS</v>
      </c>
      <c r="M229" s="6">
        <v>90087167</v>
      </c>
      <c r="N229" s="9" t="str">
        <f>+VLOOKUP(M229,Datos!$F:$G,2,FALSE)</f>
        <v>DARWIN OTTO JOSE CHEN MACZ</v>
      </c>
      <c r="O229" s="10">
        <f>IFERROR(IF(A229="SI",VLOOKUP(R229,Datos!$J$1:$K$50,2,FALSE)*C229,VLOOKUP(R229,Datos!$P$1:$T$50,2,FALSE)*C229),0)</f>
        <v>888</v>
      </c>
      <c r="P229" s="6">
        <v>315321</v>
      </c>
      <c r="Q229" s="9" t="str">
        <f>+VLOOKUP(P229,Datos!$F:$G,2,FALSE)</f>
        <v>Reina Lorena Canán</v>
      </c>
      <c r="R229" s="6" t="s">
        <v>29</v>
      </c>
      <c r="S229" s="6" t="s">
        <v>20</v>
      </c>
      <c r="T229" s="6">
        <f t="shared" si="3"/>
        <v>1</v>
      </c>
    </row>
    <row r="230" spans="1:20" hidden="1" x14ac:dyDescent="0.35">
      <c r="A230" s="6" t="s">
        <v>20</v>
      </c>
      <c r="B230" s="6" t="s">
        <v>26</v>
      </c>
      <c r="C230" s="6">
        <v>1</v>
      </c>
      <c r="D230" s="6" t="s">
        <v>22</v>
      </c>
      <c r="E230" s="6" t="s">
        <v>27</v>
      </c>
      <c r="F230" s="6">
        <v>4532</v>
      </c>
      <c r="G230" s="6" t="s">
        <v>291</v>
      </c>
      <c r="H230" s="8">
        <v>46281</v>
      </c>
      <c r="I230" s="8">
        <v>46281</v>
      </c>
      <c r="J230" s="9" t="str">
        <f>+VLOOKUP(K230,Datos!$A:$C,3,FALSE)</f>
        <v>AMERICAS</v>
      </c>
      <c r="K230" s="6">
        <v>226</v>
      </c>
      <c r="L230" s="9" t="str">
        <f>+VLOOKUP(K230,Datos!$A:$C,2,FALSE)</f>
        <v>SAN JOSE PINULA</v>
      </c>
      <c r="M230" s="6">
        <v>90086061</v>
      </c>
      <c r="N230" s="9" t="str">
        <f>+VLOOKUP(M230,Datos!$F:$G,2,FALSE)</f>
        <v xml:space="preserve">KIMBERLY XIOMARA HERNANDEZ RUANO </v>
      </c>
      <c r="O230" s="10">
        <f>IFERROR(IF(A230="SI",VLOOKUP(R230,Datos!$J$1:$K$50,2,FALSE)*C230,VLOOKUP(R230,Datos!$P$1:$T$50,2,FALSE)*C230),0)</f>
        <v>816</v>
      </c>
      <c r="P230" s="6">
        <v>302592</v>
      </c>
      <c r="Q230" s="9" t="str">
        <f>+VLOOKUP(P230,Datos!$F:$G,2,FALSE)</f>
        <v>Nanci Paola Con Morales</v>
      </c>
      <c r="R230" s="6" t="s">
        <v>29</v>
      </c>
      <c r="S230" s="6" t="s">
        <v>20</v>
      </c>
      <c r="T230" s="6">
        <f t="shared" si="3"/>
        <v>1</v>
      </c>
    </row>
    <row r="231" spans="1:20" hidden="1" x14ac:dyDescent="0.35">
      <c r="A231" s="6" t="s">
        <v>20</v>
      </c>
      <c r="B231" s="6" t="s">
        <v>26</v>
      </c>
      <c r="C231" s="6">
        <v>2</v>
      </c>
      <c r="D231" s="6" t="s">
        <v>22</v>
      </c>
      <c r="E231" s="6" t="s">
        <v>31</v>
      </c>
      <c r="F231" s="6">
        <v>1242</v>
      </c>
      <c r="G231" s="6" t="s">
        <v>292</v>
      </c>
      <c r="H231" s="8">
        <v>46281</v>
      </c>
      <c r="I231" s="8">
        <v>46279</v>
      </c>
      <c r="J231" s="9" t="str">
        <f>+VLOOKUP(K231,Datos!$A:$C,3,FALSE)</f>
        <v>PETAPA</v>
      </c>
      <c r="K231" s="6">
        <v>120</v>
      </c>
      <c r="L231" s="9" t="str">
        <f>+VLOOKUP(K231,Datos!$A:$C,2,FALSE)</f>
        <v>VILLA NUEVA 2</v>
      </c>
      <c r="M231" s="6">
        <v>90064687</v>
      </c>
      <c r="N231" s="9" t="str">
        <f>+VLOOKUP(M231,Datos!$F:$G,2,FALSE)</f>
        <v>LUIS ENRIQUE ACABAL QUIEJ</v>
      </c>
      <c r="O231" s="10">
        <f>IFERROR(IF(A231="SI",VLOOKUP(R231,Datos!$J$1:$K$50,2,FALSE)*C231,VLOOKUP(R231,Datos!$P$1:$T$50,2,FALSE)*C231),0)</f>
        <v>1632</v>
      </c>
      <c r="P231" s="6">
        <v>90085280</v>
      </c>
      <c r="Q231" s="9" t="str">
        <f>+VLOOKUP(P231,Datos!$F:$G,2,FALSE)</f>
        <v>MARIA NOJ</v>
      </c>
      <c r="R231" s="6" t="s">
        <v>29</v>
      </c>
      <c r="S231" s="6" t="s">
        <v>20</v>
      </c>
      <c r="T231" s="6">
        <f t="shared" ref="T231:T294" si="4">+COUNTIFS($G$2:$G$623,G231)</f>
        <v>1</v>
      </c>
    </row>
    <row r="232" spans="1:20" hidden="1" x14ac:dyDescent="0.35">
      <c r="A232" s="6" t="s">
        <v>20</v>
      </c>
      <c r="B232" s="6" t="s">
        <v>21</v>
      </c>
      <c r="C232" s="6">
        <v>3</v>
      </c>
      <c r="D232" s="6" t="s">
        <v>22</v>
      </c>
      <c r="E232" s="6" t="s">
        <v>53</v>
      </c>
      <c r="F232" s="6">
        <v>659</v>
      </c>
      <c r="G232" s="6" t="s">
        <v>293</v>
      </c>
      <c r="H232" s="8">
        <v>46281</v>
      </c>
      <c r="I232" s="8">
        <v>46281</v>
      </c>
      <c r="J232" s="9" t="str">
        <f>+VLOOKUP(K232,Datos!$A:$C,3,FALSE)</f>
        <v>NORTE</v>
      </c>
      <c r="K232" s="6">
        <v>162</v>
      </c>
      <c r="L232" s="9" t="str">
        <f>+VLOOKUP(K232,Datos!$A:$C,2,FALSE)</f>
        <v>CHISEC</v>
      </c>
      <c r="M232" s="6">
        <v>314417</v>
      </c>
      <c r="N232" s="9" t="str">
        <f>+VLOOKUP(M232,Datos!$F:$G,2,FALSE)</f>
        <v>Krisley Mary Dayana Mazariegos Vega</v>
      </c>
      <c r="O232" s="10">
        <f>IFERROR(IF(A232="SI",VLOOKUP(R232,Datos!$J$1:$K$50,2,FALSE)*C232,VLOOKUP(R232,Datos!$P$1:$T$50,2,FALSE)*C232),0)</f>
        <v>2448</v>
      </c>
      <c r="P232" s="6">
        <v>315051</v>
      </c>
      <c r="Q232" s="9" t="str">
        <f>+VLOOKUP(P232,Datos!$F:$G,2,FALSE)</f>
        <v>Carlos Alfredo Catun Rax</v>
      </c>
      <c r="R232" s="6" t="s">
        <v>29</v>
      </c>
      <c r="S232" s="6" t="s">
        <v>20</v>
      </c>
      <c r="T232" s="6">
        <f t="shared" si="4"/>
        <v>1</v>
      </c>
    </row>
    <row r="233" spans="1:20" hidden="1" x14ac:dyDescent="0.35">
      <c r="A233" s="6" t="s">
        <v>20</v>
      </c>
      <c r="B233" s="6" t="s">
        <v>21</v>
      </c>
      <c r="C233" s="6">
        <v>3</v>
      </c>
      <c r="D233" s="6" t="s">
        <v>22</v>
      </c>
      <c r="E233" s="6" t="s">
        <v>53</v>
      </c>
      <c r="F233" s="6">
        <v>654</v>
      </c>
      <c r="G233" s="6" t="s">
        <v>294</v>
      </c>
      <c r="H233" s="8">
        <v>46281</v>
      </c>
      <c r="I233" s="8">
        <v>46281</v>
      </c>
      <c r="J233" s="9" t="str">
        <f>+VLOOKUP(K233,Datos!$A:$C,3,FALSE)</f>
        <v>NORTE</v>
      </c>
      <c r="K233" s="6">
        <v>80</v>
      </c>
      <c r="L233" s="9" t="str">
        <f>+VLOOKUP(K233,Datos!$A:$C,2,FALSE)</f>
        <v>TACTIC</v>
      </c>
      <c r="M233" s="6">
        <v>90083159</v>
      </c>
      <c r="N233" s="9" t="str">
        <f>+VLOOKUP(M233,Datos!$F:$G,2,FALSE)</f>
        <v>MERCEDES QUEJ ISEM</v>
      </c>
      <c r="O233" s="10">
        <f>IFERROR(IF(A233="SI",VLOOKUP(R233,Datos!$J$1:$K$50,2,FALSE)*C233,VLOOKUP(R233,Datos!$P$1:$T$50,2,FALSE)*C233),0)</f>
        <v>2448</v>
      </c>
      <c r="P233" s="6">
        <v>309528</v>
      </c>
      <c r="Q233" s="9" t="str">
        <f>+VLOOKUP(P233,Datos!$F:$G,2,FALSE)</f>
        <v>Heydi Zuleyma Gue Cac</v>
      </c>
      <c r="R233" s="6" t="s">
        <v>29</v>
      </c>
      <c r="S233" s="6" t="s">
        <v>20</v>
      </c>
      <c r="T233" s="6">
        <f t="shared" si="4"/>
        <v>1</v>
      </c>
    </row>
    <row r="234" spans="1:20" hidden="1" x14ac:dyDescent="0.35">
      <c r="A234" s="6" t="s">
        <v>20</v>
      </c>
      <c r="B234" s="6" t="s">
        <v>21</v>
      </c>
      <c r="C234" s="6">
        <v>3</v>
      </c>
      <c r="D234" s="6" t="s">
        <v>22</v>
      </c>
      <c r="E234" s="6" t="s">
        <v>53</v>
      </c>
      <c r="F234" s="6">
        <v>655</v>
      </c>
      <c r="G234" s="6" t="s">
        <v>295</v>
      </c>
      <c r="H234" s="8">
        <v>46281</v>
      </c>
      <c r="I234" s="8">
        <v>46281</v>
      </c>
      <c r="J234" s="9" t="str">
        <f>+VLOOKUP(K234,Datos!$A:$C,3,FALSE)</f>
        <v>NORTE</v>
      </c>
      <c r="K234" s="6">
        <v>80</v>
      </c>
      <c r="L234" s="9" t="str">
        <f>+VLOOKUP(K234,Datos!$A:$C,2,FALSE)</f>
        <v>TACTIC</v>
      </c>
      <c r="M234" s="6">
        <v>90083159</v>
      </c>
      <c r="N234" s="9" t="str">
        <f>+VLOOKUP(M234,Datos!$F:$G,2,FALSE)</f>
        <v>MERCEDES QUEJ ISEM</v>
      </c>
      <c r="O234" s="10">
        <f>IFERROR(IF(A234="SI",VLOOKUP(R234,Datos!$J$1:$K$50,2,FALSE)*C234,VLOOKUP(R234,Datos!$P$1:$T$50,2,FALSE)*C234),0)</f>
        <v>2448</v>
      </c>
      <c r="P234" s="6">
        <v>309528</v>
      </c>
      <c r="Q234" s="9" t="str">
        <f>+VLOOKUP(P234,Datos!$F:$G,2,FALSE)</f>
        <v>Heydi Zuleyma Gue Cac</v>
      </c>
      <c r="R234" s="6" t="s">
        <v>29</v>
      </c>
      <c r="S234" s="6" t="s">
        <v>20</v>
      </c>
      <c r="T234" s="6">
        <f t="shared" si="4"/>
        <v>1</v>
      </c>
    </row>
    <row r="235" spans="1:20" hidden="1" x14ac:dyDescent="0.35">
      <c r="A235" s="6" t="s">
        <v>20</v>
      </c>
      <c r="B235" s="6" t="s">
        <v>26</v>
      </c>
      <c r="C235" s="6">
        <v>2</v>
      </c>
      <c r="D235" s="6" t="s">
        <v>22</v>
      </c>
      <c r="E235" s="6" t="s">
        <v>31</v>
      </c>
      <c r="F235" s="6">
        <v>1255</v>
      </c>
      <c r="G235" s="6" t="s">
        <v>296</v>
      </c>
      <c r="H235" s="8">
        <v>46281</v>
      </c>
      <c r="I235" s="8">
        <v>46277</v>
      </c>
      <c r="J235" s="9" t="str">
        <f>+VLOOKUP(K235,Datos!$A:$C,3,FALSE)</f>
        <v>NORTE</v>
      </c>
      <c r="K235" s="6">
        <v>80</v>
      </c>
      <c r="L235" s="9" t="str">
        <f>+VLOOKUP(K235,Datos!$A:$C,2,FALSE)</f>
        <v>TACTIC</v>
      </c>
      <c r="M235" s="6">
        <v>90081177</v>
      </c>
      <c r="N235" s="9" t="str">
        <f>+VLOOKUP(M235,Datos!$F:$G,2,FALSE)</f>
        <v>ANA LUISA CAHUEC JOJ</v>
      </c>
      <c r="O235" s="10">
        <f>IFERROR(IF(A235="SI",VLOOKUP(R235,Datos!$J$1:$K$50,2,FALSE)*C235,VLOOKUP(R235,Datos!$P$1:$T$50,2,FALSE)*C235),0)</f>
        <v>1632</v>
      </c>
      <c r="P235" s="6">
        <v>311405</v>
      </c>
      <c r="Q235" s="9" t="str">
        <f>+VLOOKUP(P235,Datos!$F:$G,2,FALSE)</f>
        <v>Marina Elena Giron Roldan</v>
      </c>
      <c r="R235" s="6" t="s">
        <v>29</v>
      </c>
      <c r="S235" s="6" t="s">
        <v>20</v>
      </c>
      <c r="T235" s="6">
        <f t="shared" si="4"/>
        <v>1</v>
      </c>
    </row>
    <row r="236" spans="1:20" hidden="1" x14ac:dyDescent="0.35">
      <c r="A236" s="6" t="s">
        <v>20</v>
      </c>
      <c r="B236" s="6" t="s">
        <v>21</v>
      </c>
      <c r="C236" s="6">
        <v>4</v>
      </c>
      <c r="D236" s="6" t="s">
        <v>22</v>
      </c>
      <c r="E236" s="6" t="s">
        <v>23</v>
      </c>
      <c r="F236" s="6">
        <v>779</v>
      </c>
      <c r="G236" s="6" t="s">
        <v>297</v>
      </c>
      <c r="H236" s="8">
        <v>46281</v>
      </c>
      <c r="I236" s="8">
        <v>46281</v>
      </c>
      <c r="J236" s="9" t="str">
        <f>+VLOOKUP(K236,Datos!$A:$C,3,FALSE)</f>
        <v>NORTE</v>
      </c>
      <c r="K236" s="6">
        <v>162</v>
      </c>
      <c r="L236" s="9" t="str">
        <f>+VLOOKUP(K236,Datos!$A:$C,2,FALSE)</f>
        <v>CHISEC</v>
      </c>
      <c r="M236" s="6">
        <v>315497</v>
      </c>
      <c r="N236" s="9" t="str">
        <f>+VLOOKUP(M236,Datos!$F:$G,2,FALSE)</f>
        <v>Coc Coronado, Osman Ivan Boanerges</v>
      </c>
      <c r="O236" s="10">
        <f>IFERROR(IF(A236="SI",VLOOKUP(R236,Datos!$J$1:$K$50,2,FALSE)*C236,VLOOKUP(R236,Datos!$P$1:$T$50,2,FALSE)*C236),0)</f>
        <v>3264</v>
      </c>
      <c r="P236" s="6">
        <v>315051</v>
      </c>
      <c r="Q236" s="9" t="str">
        <f>+VLOOKUP(P236,Datos!$F:$G,2,FALSE)</f>
        <v>Carlos Alfredo Catun Rax</v>
      </c>
      <c r="R236" s="6" t="s">
        <v>29</v>
      </c>
      <c r="S236" s="6" t="s">
        <v>20</v>
      </c>
      <c r="T236" s="6">
        <f t="shared" si="4"/>
        <v>1</v>
      </c>
    </row>
    <row r="237" spans="1:20" hidden="1" x14ac:dyDescent="0.35">
      <c r="A237" s="6" t="s">
        <v>20</v>
      </c>
      <c r="B237" s="6" t="s">
        <v>21</v>
      </c>
      <c r="C237" s="6">
        <v>2</v>
      </c>
      <c r="D237" s="6" t="s">
        <v>22</v>
      </c>
      <c r="E237" s="6" t="s">
        <v>31</v>
      </c>
      <c r="F237" s="6">
        <v>1253</v>
      </c>
      <c r="G237" s="6" t="s">
        <v>298</v>
      </c>
      <c r="H237" s="8">
        <v>46281</v>
      </c>
      <c r="I237" s="8">
        <v>46281</v>
      </c>
      <c r="J237" s="9" t="str">
        <f>+VLOOKUP(K237,Datos!$A:$C,3,FALSE)</f>
        <v>AMERICAS</v>
      </c>
      <c r="K237" s="6">
        <v>30</v>
      </c>
      <c r="L237" s="9" t="str">
        <f>+VLOOKUP(K237,Datos!$A:$C,2,FALSE)</f>
        <v>BARBERENA</v>
      </c>
      <c r="M237" s="6">
        <v>90050146</v>
      </c>
      <c r="N237" s="9" t="str">
        <f>+VLOOKUP(M237,Datos!$F:$G,2,FALSE)</f>
        <v>Wendy Aracely Marroquin Arias</v>
      </c>
      <c r="O237" s="10">
        <f>IFERROR(IF(A237="SI",VLOOKUP(R237,Datos!$J$1:$K$50,2,FALSE)*C237,VLOOKUP(R237,Datos!$P$1:$T$50,2,FALSE)*C237),0)</f>
        <v>1632</v>
      </c>
      <c r="P237" s="6">
        <v>311111</v>
      </c>
      <c r="Q237" s="9" t="str">
        <f>+VLOOKUP(P237,Datos!$F:$G,2,FALSE)</f>
        <v>Ana Lucia Donis Franco</v>
      </c>
      <c r="R237" s="6" t="s">
        <v>29</v>
      </c>
      <c r="S237" s="6" t="s">
        <v>20</v>
      </c>
      <c r="T237" s="6">
        <f t="shared" si="4"/>
        <v>1</v>
      </c>
    </row>
    <row r="238" spans="1:20" hidden="1" x14ac:dyDescent="0.35">
      <c r="A238" s="6" t="s">
        <v>20</v>
      </c>
      <c r="B238" s="6" t="s">
        <v>26</v>
      </c>
      <c r="C238" s="6">
        <v>1</v>
      </c>
      <c r="D238" s="6" t="s">
        <v>22</v>
      </c>
      <c r="E238" s="6" t="s">
        <v>27</v>
      </c>
      <c r="F238" s="6">
        <v>4550</v>
      </c>
      <c r="G238" s="6" t="s">
        <v>299</v>
      </c>
      <c r="H238" s="8">
        <v>46281</v>
      </c>
      <c r="I238" s="8">
        <v>46281</v>
      </c>
      <c r="J238" s="9" t="str">
        <f>+VLOOKUP(K238,Datos!$A:$C,3,FALSE)</f>
        <v>NORTE</v>
      </c>
      <c r="K238" s="6">
        <v>195</v>
      </c>
      <c r="L238" s="9" t="str">
        <f>+VLOOKUP(K238,Datos!$A:$C,2,FALSE)</f>
        <v>TELEMAN</v>
      </c>
      <c r="M238" s="6">
        <v>90086215</v>
      </c>
      <c r="N238" s="9" t="str">
        <f>+VLOOKUP(M238,Datos!$F:$G,2,FALSE)</f>
        <v>MARCELLO JARED VELIZ CAZ</v>
      </c>
      <c r="O238" s="10">
        <f>IFERROR(IF(A238="SI",VLOOKUP(R238,Datos!$J$1:$K$50,2,FALSE)*C238,VLOOKUP(R238,Datos!$P$1:$T$50,2,FALSE)*C238),0)</f>
        <v>816</v>
      </c>
      <c r="P238" s="6">
        <v>315351</v>
      </c>
      <c r="Q238" s="9" t="str">
        <f>+VLOOKUP(P238,Datos!$F:$G,2,FALSE)</f>
        <v>Maria Vicenta Lopez Mancilla De De Del Valle</v>
      </c>
      <c r="R238" s="6" t="s">
        <v>29</v>
      </c>
      <c r="S238" s="6" t="s">
        <v>20</v>
      </c>
      <c r="T238" s="6">
        <f t="shared" si="4"/>
        <v>1</v>
      </c>
    </row>
    <row r="239" spans="1:20" hidden="1" x14ac:dyDescent="0.35">
      <c r="A239" s="6" t="s">
        <v>20</v>
      </c>
      <c r="B239" s="6" t="s">
        <v>26</v>
      </c>
      <c r="C239" s="6">
        <v>1</v>
      </c>
      <c r="D239" s="6" t="s">
        <v>22</v>
      </c>
      <c r="E239" s="6" t="s">
        <v>27</v>
      </c>
      <c r="F239" s="6">
        <v>4545</v>
      </c>
      <c r="G239" s="6" t="s">
        <v>300</v>
      </c>
      <c r="H239" s="8">
        <v>46281</v>
      </c>
      <c r="I239" s="8">
        <v>46281</v>
      </c>
      <c r="J239" s="9" t="str">
        <f>+VLOOKUP(K239,Datos!$A:$C,3,FALSE)</f>
        <v>NORTE</v>
      </c>
      <c r="K239" s="6">
        <v>195</v>
      </c>
      <c r="L239" s="9" t="str">
        <f>+VLOOKUP(K239,Datos!$A:$C,2,FALSE)</f>
        <v>TELEMAN</v>
      </c>
      <c r="M239" s="6">
        <v>90082179</v>
      </c>
      <c r="N239" s="9" t="str">
        <f>+VLOOKUP(M239,Datos!$F:$G,2,FALSE)</f>
        <v>REYNA ADELAIDA CHAMAN CAAL</v>
      </c>
      <c r="O239" s="10">
        <f>IFERROR(IF(A239="SI",VLOOKUP(R239,Datos!$J$1:$K$50,2,FALSE)*C239,VLOOKUP(R239,Datos!$P$1:$T$50,2,FALSE)*C239),0)</f>
        <v>816</v>
      </c>
      <c r="P239" s="6">
        <v>315351</v>
      </c>
      <c r="Q239" s="9" t="str">
        <f>+VLOOKUP(P239,Datos!$F:$G,2,FALSE)</f>
        <v>Maria Vicenta Lopez Mancilla De De Del Valle</v>
      </c>
      <c r="R239" s="6" t="s">
        <v>29</v>
      </c>
      <c r="S239" s="6" t="s">
        <v>20</v>
      </c>
      <c r="T239" s="6">
        <f t="shared" si="4"/>
        <v>1</v>
      </c>
    </row>
    <row r="240" spans="1:20" hidden="1" x14ac:dyDescent="0.35">
      <c r="A240" s="6" t="s">
        <v>20</v>
      </c>
      <c r="B240" s="6" t="s">
        <v>26</v>
      </c>
      <c r="C240" s="6">
        <v>1</v>
      </c>
      <c r="D240" s="6" t="s">
        <v>22</v>
      </c>
      <c r="E240" s="6" t="s">
        <v>27</v>
      </c>
      <c r="F240" s="6">
        <v>4533</v>
      </c>
      <c r="G240" s="6" t="s">
        <v>301</v>
      </c>
      <c r="H240" s="8">
        <v>46281</v>
      </c>
      <c r="I240" s="8">
        <v>46281</v>
      </c>
      <c r="J240" s="9" t="str">
        <f>+VLOOKUP(K240,Datos!$A:$C,3,FALSE)</f>
        <v>NORTE</v>
      </c>
      <c r="K240" s="6">
        <v>195</v>
      </c>
      <c r="L240" s="9" t="str">
        <f>+VLOOKUP(K240,Datos!$A:$C,2,FALSE)</f>
        <v>TELEMAN</v>
      </c>
      <c r="M240" s="6">
        <v>90082179</v>
      </c>
      <c r="N240" s="9" t="str">
        <f>+VLOOKUP(M240,Datos!$F:$G,2,FALSE)</f>
        <v>REYNA ADELAIDA CHAMAN CAAL</v>
      </c>
      <c r="O240" s="10">
        <f>IFERROR(IF(A240="SI",VLOOKUP(R240,Datos!$J$1:$K$50,2,FALSE)*C240,VLOOKUP(R240,Datos!$P$1:$T$50,2,FALSE)*C240),0)</f>
        <v>1368</v>
      </c>
      <c r="P240" s="6">
        <v>315351</v>
      </c>
      <c r="Q240" s="9" t="str">
        <f>+VLOOKUP(P240,Datos!$F:$G,2,FALSE)</f>
        <v>Maria Vicenta Lopez Mancilla De De Del Valle</v>
      </c>
      <c r="R240" s="6" t="s">
        <v>25</v>
      </c>
      <c r="S240" s="6" t="s">
        <v>20</v>
      </c>
      <c r="T240" s="6">
        <f t="shared" si="4"/>
        <v>1</v>
      </c>
    </row>
    <row r="241" spans="1:20" hidden="1" x14ac:dyDescent="0.35">
      <c r="A241" s="6" t="s">
        <v>20</v>
      </c>
      <c r="B241" s="6" t="s">
        <v>26</v>
      </c>
      <c r="C241" s="6">
        <v>1</v>
      </c>
      <c r="D241" s="6" t="s">
        <v>22</v>
      </c>
      <c r="E241" s="6" t="s">
        <v>27</v>
      </c>
      <c r="F241" s="6">
        <v>4534</v>
      </c>
      <c r="G241" s="6" t="s">
        <v>302</v>
      </c>
      <c r="H241" s="8">
        <v>46281</v>
      </c>
      <c r="I241" s="8">
        <v>46281</v>
      </c>
      <c r="J241" s="9" t="str">
        <f>+VLOOKUP(K241,Datos!$A:$C,3,FALSE)</f>
        <v>NORTE</v>
      </c>
      <c r="K241" s="6">
        <v>195</v>
      </c>
      <c r="L241" s="9" t="str">
        <f>+VLOOKUP(K241,Datos!$A:$C,2,FALSE)</f>
        <v>TELEMAN</v>
      </c>
      <c r="M241" s="6">
        <v>310871</v>
      </c>
      <c r="N241" s="9" t="str">
        <f>+VLOOKUP(M241,Datos!$F:$G,2,FALSE)</f>
        <v>Yuri Vanessa Bac Caal De Gomez</v>
      </c>
      <c r="O241" s="10">
        <f>IFERROR(IF(A241="SI",VLOOKUP(R241,Datos!$J$1:$K$50,2,FALSE)*C241,VLOOKUP(R241,Datos!$P$1:$T$50,2,FALSE)*C241),0)</f>
        <v>816</v>
      </c>
      <c r="P241" s="6">
        <v>315351</v>
      </c>
      <c r="Q241" s="9" t="str">
        <f>+VLOOKUP(P241,Datos!$F:$G,2,FALSE)</f>
        <v>Maria Vicenta Lopez Mancilla De De Del Valle</v>
      </c>
      <c r="R241" s="6" t="s">
        <v>29</v>
      </c>
      <c r="S241" s="6" t="s">
        <v>20</v>
      </c>
      <c r="T241" s="6">
        <f t="shared" si="4"/>
        <v>1</v>
      </c>
    </row>
    <row r="242" spans="1:20" hidden="1" x14ac:dyDescent="0.35">
      <c r="A242" s="6" t="s">
        <v>20</v>
      </c>
      <c r="B242" s="6" t="s">
        <v>26</v>
      </c>
      <c r="C242" s="6">
        <v>2</v>
      </c>
      <c r="D242" s="6" t="s">
        <v>22</v>
      </c>
      <c r="E242" s="6" t="s">
        <v>31</v>
      </c>
      <c r="F242" s="6">
        <v>1237</v>
      </c>
      <c r="G242" s="6" t="s">
        <v>303</v>
      </c>
      <c r="H242" s="8">
        <v>46281</v>
      </c>
      <c r="I242" s="8">
        <v>46276</v>
      </c>
      <c r="J242" s="9" t="str">
        <f>+VLOOKUP(K242,Datos!$A:$C,3,FALSE)</f>
        <v>ORIENTE</v>
      </c>
      <c r="K242" s="6">
        <v>144</v>
      </c>
      <c r="L242" s="9" t="str">
        <f>+VLOOKUP(K242,Datos!$A:$C,2,FALSE)</f>
        <v>RIO DULCE 2</v>
      </c>
      <c r="M242" s="6">
        <v>90086023</v>
      </c>
      <c r="N242" s="9" t="str">
        <f>+VLOOKUP(M242,Datos!$F:$G,2,FALSE)</f>
        <v xml:space="preserve">OLVIN ALEXANDER NOLASCO XO </v>
      </c>
      <c r="O242" s="10">
        <f>IFERROR(IF(A242="SI",VLOOKUP(R242,Datos!$J$1:$K$50,2,FALSE)*C242,VLOOKUP(R242,Datos!$P$1:$T$50,2,FALSE)*C242),0)</f>
        <v>1632</v>
      </c>
      <c r="P242" s="6">
        <v>314613</v>
      </c>
      <c r="Q242" s="9" t="str">
        <f>+VLOOKUP(P242,Datos!$F:$G,2,FALSE)</f>
        <v>Yenifer Alicia Yessenia Tzib Lemus</v>
      </c>
      <c r="R242" s="6" t="s">
        <v>29</v>
      </c>
      <c r="S242" s="6" t="s">
        <v>20</v>
      </c>
      <c r="T242" s="6">
        <f t="shared" si="4"/>
        <v>1</v>
      </c>
    </row>
    <row r="243" spans="1:20" hidden="1" x14ac:dyDescent="0.35">
      <c r="A243" s="6" t="s">
        <v>20</v>
      </c>
      <c r="B243" s="6" t="s">
        <v>21</v>
      </c>
      <c r="C243" s="6">
        <v>2</v>
      </c>
      <c r="D243" s="6" t="s">
        <v>22</v>
      </c>
      <c r="E243" s="6" t="s">
        <v>31</v>
      </c>
      <c r="F243" s="6">
        <v>1278</v>
      </c>
      <c r="G243" s="6" t="s">
        <v>304</v>
      </c>
      <c r="H243" s="8">
        <v>46281</v>
      </c>
      <c r="I243" s="8">
        <v>46281</v>
      </c>
      <c r="J243" s="9" t="str">
        <f>+VLOOKUP(K243,Datos!$A:$C,3,FALSE)</f>
        <v>ORIENTE</v>
      </c>
      <c r="K243" s="6">
        <v>144</v>
      </c>
      <c r="L243" s="9" t="str">
        <f>+VLOOKUP(K243,Datos!$A:$C,2,FALSE)</f>
        <v>RIO DULCE 2</v>
      </c>
      <c r="M243" s="6">
        <v>90086023</v>
      </c>
      <c r="N243" s="9" t="str">
        <f>+VLOOKUP(M243,Datos!$F:$G,2,FALSE)</f>
        <v xml:space="preserve">OLVIN ALEXANDER NOLASCO XO </v>
      </c>
      <c r="O243" s="10">
        <f>IFERROR(IF(A243="SI",VLOOKUP(R243,Datos!$J$1:$K$50,2,FALSE)*C243,VLOOKUP(R243,Datos!$P$1:$T$50,2,FALSE)*C243),0)</f>
        <v>1632</v>
      </c>
      <c r="P243" s="6">
        <v>314613</v>
      </c>
      <c r="Q243" s="9" t="str">
        <f>+VLOOKUP(P243,Datos!$F:$G,2,FALSE)</f>
        <v>Yenifer Alicia Yessenia Tzib Lemus</v>
      </c>
      <c r="R243" s="6" t="s">
        <v>29</v>
      </c>
      <c r="S243" s="6" t="s">
        <v>20</v>
      </c>
      <c r="T243" s="6">
        <f t="shared" si="4"/>
        <v>1</v>
      </c>
    </row>
    <row r="244" spans="1:20" hidden="1" x14ac:dyDescent="0.35">
      <c r="A244" s="6" t="s">
        <v>20</v>
      </c>
      <c r="B244" s="6" t="s">
        <v>21</v>
      </c>
      <c r="C244" s="6">
        <v>1</v>
      </c>
      <c r="D244" s="6" t="s">
        <v>22</v>
      </c>
      <c r="E244" s="6" t="s">
        <v>27</v>
      </c>
      <c r="F244" s="6">
        <v>4486</v>
      </c>
      <c r="G244" s="6" t="s">
        <v>305</v>
      </c>
      <c r="H244" s="8">
        <v>46281</v>
      </c>
      <c r="I244" s="8">
        <v>46279</v>
      </c>
      <c r="J244" s="9" t="str">
        <f>+VLOOKUP(K244,Datos!$A:$C,3,FALSE)</f>
        <v>NORTE</v>
      </c>
      <c r="K244" s="6">
        <v>203</v>
      </c>
      <c r="L244" s="9" t="str">
        <f>+VLOOKUP(K244,Datos!$A:$C,2,FALSE)</f>
        <v>PLAZA MAGDALENA</v>
      </c>
      <c r="M244" s="6">
        <v>90048454</v>
      </c>
      <c r="N244" s="9" t="str">
        <f>+VLOOKUP(M244,Datos!$F:$G,2,FALSE)</f>
        <v>Gustavo Bol</v>
      </c>
      <c r="O244" s="10">
        <f>IFERROR(IF(A244="SI",VLOOKUP(R244,Datos!$J$1:$K$50,2,FALSE)*C244,VLOOKUP(R244,Datos!$P$1:$T$50,2,FALSE)*C244),0)</f>
        <v>816</v>
      </c>
      <c r="P244" s="6">
        <v>314223</v>
      </c>
      <c r="Q244" s="9" t="str">
        <f>+VLOOKUP(P244,Datos!$F:$G,2,FALSE)</f>
        <v>Nadia Estefania Gramajo Archila</v>
      </c>
      <c r="R244" s="6" t="s">
        <v>29</v>
      </c>
      <c r="S244" s="6" t="s">
        <v>20</v>
      </c>
      <c r="T244" s="6">
        <f t="shared" si="4"/>
        <v>1</v>
      </c>
    </row>
    <row r="245" spans="1:20" hidden="1" x14ac:dyDescent="0.35">
      <c r="A245" s="6" t="s">
        <v>20</v>
      </c>
      <c r="B245" s="6" t="s">
        <v>21</v>
      </c>
      <c r="C245" s="6">
        <v>4</v>
      </c>
      <c r="D245" s="6" t="s">
        <v>22</v>
      </c>
      <c r="E245" s="6" t="s">
        <v>115</v>
      </c>
      <c r="F245" s="6">
        <v>189</v>
      </c>
      <c r="G245" s="6" t="s">
        <v>306</v>
      </c>
      <c r="H245" s="8">
        <v>46281</v>
      </c>
      <c r="I245" s="8">
        <v>46281</v>
      </c>
      <c r="J245" s="9" t="str">
        <f>+VLOOKUP(K245,Datos!$A:$C,3,FALSE)</f>
        <v>ORIENTE</v>
      </c>
      <c r="K245" s="6">
        <v>159</v>
      </c>
      <c r="L245" s="9" t="str">
        <f>+VLOOKUP(K245,Datos!$A:$C,2,FALSE)</f>
        <v>PRADERA PUERTO BARRIOS</v>
      </c>
      <c r="M245" s="6">
        <v>90083465</v>
      </c>
      <c r="N245" s="9" t="str">
        <f>+VLOOKUP(M245,Datos!$F:$G,2,FALSE)</f>
        <v>ROBINSON APOLONIO VARGAS RODRIGUEZ</v>
      </c>
      <c r="O245" s="10">
        <f>IFERROR(IF(A245="SI",VLOOKUP(R245,Datos!$J$1:$K$50,2,FALSE)*C245,VLOOKUP(R245,Datos!$P$1:$T$50,2,FALSE)*C245),0)</f>
        <v>4368</v>
      </c>
      <c r="P245" s="6">
        <v>311692</v>
      </c>
      <c r="Q245" s="9" t="str">
        <f>+VLOOKUP(P245,Datos!$F:$G,2,FALSE)</f>
        <v>Cesia Paola Marroquin Sanchez</v>
      </c>
      <c r="R245" s="6" t="s">
        <v>117</v>
      </c>
      <c r="S245" s="6" t="s">
        <v>20</v>
      </c>
      <c r="T245" s="6">
        <f t="shared" si="4"/>
        <v>1</v>
      </c>
    </row>
    <row r="246" spans="1:20" hidden="1" x14ac:dyDescent="0.35">
      <c r="A246" s="6" t="s">
        <v>20</v>
      </c>
      <c r="B246" s="6" t="s">
        <v>21</v>
      </c>
      <c r="C246" s="6">
        <v>4</v>
      </c>
      <c r="D246" s="6" t="s">
        <v>22</v>
      </c>
      <c r="E246" s="6" t="s">
        <v>115</v>
      </c>
      <c r="F246" s="6">
        <v>190</v>
      </c>
      <c r="G246" s="6" t="s">
        <v>307</v>
      </c>
      <c r="H246" s="8">
        <v>46281</v>
      </c>
      <c r="I246" s="8">
        <v>46281</v>
      </c>
      <c r="J246" s="9" t="str">
        <f>+VLOOKUP(K246,Datos!$A:$C,3,FALSE)</f>
        <v>ORIENTE</v>
      </c>
      <c r="K246" s="6">
        <v>159</v>
      </c>
      <c r="L246" s="9" t="str">
        <f>+VLOOKUP(K246,Datos!$A:$C,2,FALSE)</f>
        <v>PRADERA PUERTO BARRIOS</v>
      </c>
      <c r="M246" s="6">
        <v>90049245</v>
      </c>
      <c r="N246" s="9" t="str">
        <f>+VLOOKUP(M246,Datos!$F:$G,2,FALSE)</f>
        <v>Sindy Julissa Diaz Carias</v>
      </c>
      <c r="O246" s="10">
        <f>IFERROR(IF(A246="SI",VLOOKUP(R246,Datos!$J$1:$K$50,2,FALSE)*C246,VLOOKUP(R246,Datos!$P$1:$T$50,2,FALSE)*C246),0)</f>
        <v>4368</v>
      </c>
      <c r="P246" s="6">
        <v>311692</v>
      </c>
      <c r="Q246" s="9" t="str">
        <f>+VLOOKUP(P246,Datos!$F:$G,2,FALSE)</f>
        <v>Cesia Paola Marroquin Sanchez</v>
      </c>
      <c r="R246" s="6" t="s">
        <v>117</v>
      </c>
      <c r="S246" s="6" t="s">
        <v>20</v>
      </c>
      <c r="T246" s="6">
        <f t="shared" si="4"/>
        <v>1</v>
      </c>
    </row>
    <row r="247" spans="1:20" hidden="1" x14ac:dyDescent="0.35">
      <c r="A247" s="6" t="s">
        <v>20</v>
      </c>
      <c r="B247" s="6" t="s">
        <v>26</v>
      </c>
      <c r="C247" s="6">
        <v>1</v>
      </c>
      <c r="D247" s="6" t="s">
        <v>22</v>
      </c>
      <c r="E247" s="6" t="s">
        <v>27</v>
      </c>
      <c r="F247" s="6">
        <v>4535</v>
      </c>
      <c r="G247" s="6" t="s">
        <v>308</v>
      </c>
      <c r="H247" s="8">
        <v>46281</v>
      </c>
      <c r="I247" s="8">
        <v>46281</v>
      </c>
      <c r="J247" s="9" t="str">
        <f>+VLOOKUP(K247,Datos!$A:$C,3,FALSE)</f>
        <v>NORTE</v>
      </c>
      <c r="K247" s="6">
        <v>38</v>
      </c>
      <c r="L247" s="9" t="str">
        <f>+VLOOKUP(K247,Datos!$A:$C,2,FALSE)</f>
        <v>CARCHA</v>
      </c>
      <c r="M247" s="6">
        <v>309527</v>
      </c>
      <c r="N247" s="9" t="str">
        <f>+VLOOKUP(M247,Datos!$F:$G,2,FALSE)</f>
        <v>Ana Gabriela Caal Cruz</v>
      </c>
      <c r="O247" s="10">
        <f>IFERROR(IF(A247="SI",VLOOKUP(R247,Datos!$J$1:$K$50,2,FALSE)*C247,VLOOKUP(R247,Datos!$P$1:$T$50,2,FALSE)*C247),0)</f>
        <v>816</v>
      </c>
      <c r="P247" s="6">
        <v>306471</v>
      </c>
      <c r="Q247" s="9" t="str">
        <f>+VLOOKUP(P247,Datos!$F:$G,2,FALSE)</f>
        <v>Angel Enmanuel Quim Macz</v>
      </c>
      <c r="R247" s="6" t="s">
        <v>29</v>
      </c>
      <c r="S247" s="6" t="s">
        <v>20</v>
      </c>
      <c r="T247" s="6">
        <f t="shared" si="4"/>
        <v>1</v>
      </c>
    </row>
    <row r="248" spans="1:20" hidden="1" x14ac:dyDescent="0.35">
      <c r="A248" s="6" t="s">
        <v>20</v>
      </c>
      <c r="B248" s="6" t="s">
        <v>26</v>
      </c>
      <c r="C248" s="6">
        <v>3</v>
      </c>
      <c r="D248" s="6" t="s">
        <v>22</v>
      </c>
      <c r="E248" s="6" t="s">
        <v>53</v>
      </c>
      <c r="F248" s="6">
        <v>661</v>
      </c>
      <c r="G248" s="6" t="s">
        <v>309</v>
      </c>
      <c r="H248" s="8">
        <v>46281</v>
      </c>
      <c r="I248" s="8">
        <v>46281</v>
      </c>
      <c r="J248" s="9" t="str">
        <f>+VLOOKUP(K248,Datos!$A:$C,3,FALSE)</f>
        <v>NORTE</v>
      </c>
      <c r="K248" s="6">
        <v>38</v>
      </c>
      <c r="L248" s="9" t="str">
        <f>+VLOOKUP(K248,Datos!$A:$C,2,FALSE)</f>
        <v>CARCHA</v>
      </c>
      <c r="M248" s="6">
        <v>305736</v>
      </c>
      <c r="N248" s="9" t="str">
        <f>+VLOOKUP(M248,Datos!$F:$G,2,FALSE)</f>
        <v>Edvin Estuardo Ordoñez Gonzalez</v>
      </c>
      <c r="O248" s="10">
        <f>IFERROR(IF(A248="SI",VLOOKUP(R248,Datos!$J$1:$K$50,2,FALSE)*C248,VLOOKUP(R248,Datos!$P$1:$T$50,2,FALSE)*C248),0)</f>
        <v>4104</v>
      </c>
      <c r="P248" s="6">
        <v>306471</v>
      </c>
      <c r="Q248" s="9" t="str">
        <f>+VLOOKUP(P248,Datos!$F:$G,2,FALSE)</f>
        <v>Angel Enmanuel Quim Macz</v>
      </c>
      <c r="R248" s="6" t="s">
        <v>25</v>
      </c>
      <c r="S248" s="6" t="s">
        <v>20</v>
      </c>
      <c r="T248" s="6">
        <f t="shared" si="4"/>
        <v>1</v>
      </c>
    </row>
    <row r="249" spans="1:20" hidden="1" x14ac:dyDescent="0.35">
      <c r="A249" s="6" t="s">
        <v>20</v>
      </c>
      <c r="B249" s="6" t="s">
        <v>21</v>
      </c>
      <c r="C249" s="6">
        <v>4</v>
      </c>
      <c r="D249" s="6" t="s">
        <v>22</v>
      </c>
      <c r="E249" s="6" t="s">
        <v>23</v>
      </c>
      <c r="F249" s="6">
        <v>784</v>
      </c>
      <c r="G249" s="6" t="s">
        <v>310</v>
      </c>
      <c r="H249" s="7">
        <v>46282</v>
      </c>
      <c r="I249" s="8">
        <v>46281</v>
      </c>
      <c r="J249" s="9" t="str">
        <f>+VLOOKUP(K249,Datos!$A:$C,3,FALSE)</f>
        <v>AMERICAS</v>
      </c>
      <c r="K249" s="6">
        <v>58</v>
      </c>
      <c r="L249" s="9" t="str">
        <f>+VLOOKUP(K249,Datos!$A:$C,2,FALSE)</f>
        <v>EUROPLAZA</v>
      </c>
      <c r="M249" s="6">
        <v>90086051</v>
      </c>
      <c r="N249" s="9" t="str">
        <f>+VLOOKUP(M249,Datos!$F:$G,2,FALSE)</f>
        <v xml:space="preserve">ESMERALDA ABIGAIL COTTA SANCHEZ </v>
      </c>
      <c r="O249" s="10">
        <f>IFERROR(IF(A249="SI",VLOOKUP(R249,Datos!$J$1:$K$50,2,FALSE)*C249,VLOOKUP(R249,Datos!$P$1:$T$50,2,FALSE)*C249),0)</f>
        <v>3264</v>
      </c>
      <c r="P249" s="6">
        <v>90019931</v>
      </c>
      <c r="Q249" s="9" t="str">
        <f>+VLOOKUP(P249,Datos!$F:$G,2,FALSE)</f>
        <v>Erik Alexander Quezada De Leon</v>
      </c>
      <c r="R249" s="6" t="s">
        <v>29</v>
      </c>
      <c r="S249" s="6" t="s">
        <v>20</v>
      </c>
      <c r="T249" s="6">
        <f t="shared" si="4"/>
        <v>1</v>
      </c>
    </row>
    <row r="250" spans="1:20" hidden="1" x14ac:dyDescent="0.35">
      <c r="A250" s="6" t="s">
        <v>20</v>
      </c>
      <c r="B250" s="6" t="s">
        <v>21</v>
      </c>
      <c r="C250" s="6">
        <v>3</v>
      </c>
      <c r="D250" s="6" t="s">
        <v>22</v>
      </c>
      <c r="E250" s="6" t="s">
        <v>53</v>
      </c>
      <c r="F250" s="6">
        <v>664</v>
      </c>
      <c r="G250" s="6" t="s">
        <v>311</v>
      </c>
      <c r="H250" s="8">
        <v>46282</v>
      </c>
      <c r="I250" s="8">
        <v>46281</v>
      </c>
      <c r="J250" s="9" t="str">
        <f>+VLOOKUP(K250,Datos!$A:$C,3,FALSE)</f>
        <v>PETAPA</v>
      </c>
      <c r="K250" s="6">
        <v>250</v>
      </c>
      <c r="L250" s="9" t="str">
        <f>+VLOOKUP(K250,Datos!$A:$C,2,FALSE)</f>
        <v>BOCA DEL MONTE</v>
      </c>
      <c r="M250" s="6">
        <v>312542</v>
      </c>
      <c r="N250" s="9" t="str">
        <f>+VLOOKUP(M250,Datos!$F:$G,2,FALSE)</f>
        <v>Elba Eulalia Esquite Lemus</v>
      </c>
      <c r="O250" s="10">
        <f>IFERROR(IF(A250="SI",VLOOKUP(R250,Datos!$J$1:$K$50,2,FALSE)*C250,VLOOKUP(R250,Datos!$P$1:$T$50,2,FALSE)*C250),0)</f>
        <v>2448</v>
      </c>
      <c r="P250" s="6">
        <v>310796</v>
      </c>
      <c r="Q250" s="9" t="str">
        <f>+VLOOKUP(P250,Datos!$F:$G,2,FALSE)</f>
        <v>Madelyn Estefany Vega Velasquez</v>
      </c>
      <c r="R250" s="6" t="s">
        <v>29</v>
      </c>
      <c r="S250" s="6" t="s">
        <v>20</v>
      </c>
      <c r="T250" s="6">
        <f t="shared" si="4"/>
        <v>1</v>
      </c>
    </row>
    <row r="251" spans="1:20" hidden="1" x14ac:dyDescent="0.35">
      <c r="A251" s="6" t="s">
        <v>20</v>
      </c>
      <c r="B251" s="6" t="s">
        <v>26</v>
      </c>
      <c r="C251" s="6">
        <v>2</v>
      </c>
      <c r="D251" s="6" t="s">
        <v>22</v>
      </c>
      <c r="E251" s="6" t="s">
        <v>312</v>
      </c>
      <c r="F251" s="6">
        <v>144</v>
      </c>
      <c r="G251" s="6" t="s">
        <v>313</v>
      </c>
      <c r="H251" s="8">
        <v>46282</v>
      </c>
      <c r="I251" s="8">
        <v>46281</v>
      </c>
      <c r="J251" s="9" t="str">
        <f>+VLOOKUP(K251,Datos!$A:$C,3,FALSE)</f>
        <v>AMERICAS</v>
      </c>
      <c r="K251" s="6">
        <v>226</v>
      </c>
      <c r="L251" s="9" t="str">
        <f>+VLOOKUP(K251,Datos!$A:$C,2,FALSE)</f>
        <v>SAN JOSE PINULA</v>
      </c>
      <c r="M251" s="6">
        <v>315218</v>
      </c>
      <c r="N251" s="9" t="str">
        <f>+VLOOKUP(M251,Datos!$F:$G,2,FALSE)</f>
        <v>Herberth Alberto Barrios Perez</v>
      </c>
      <c r="O251" s="10">
        <f>IFERROR(IF(A251="SI",VLOOKUP(R251,Datos!$J$1:$K$50,2,FALSE)*C251,VLOOKUP(R251,Datos!$P$1:$T$50,2,FALSE)*C251),0)</f>
        <v>2184</v>
      </c>
      <c r="P251" s="6">
        <v>302592</v>
      </c>
      <c r="Q251" s="9" t="str">
        <f>+VLOOKUP(P251,Datos!$F:$G,2,FALSE)</f>
        <v>Nanci Paola Con Morales</v>
      </c>
      <c r="R251" s="6" t="s">
        <v>117</v>
      </c>
      <c r="S251" s="6" t="s">
        <v>20</v>
      </c>
      <c r="T251" s="6">
        <f t="shared" si="4"/>
        <v>1</v>
      </c>
    </row>
    <row r="252" spans="1:20" hidden="1" x14ac:dyDescent="0.35">
      <c r="A252" s="6" t="s">
        <v>20</v>
      </c>
      <c r="B252" s="6" t="s">
        <v>26</v>
      </c>
      <c r="C252" s="6">
        <v>1</v>
      </c>
      <c r="D252" s="6" t="s">
        <v>22</v>
      </c>
      <c r="E252" s="6" t="s">
        <v>27</v>
      </c>
      <c r="F252" s="6">
        <v>4561</v>
      </c>
      <c r="G252" s="6" t="s">
        <v>314</v>
      </c>
      <c r="H252" s="8">
        <v>46282</v>
      </c>
      <c r="I252" s="8">
        <v>46282</v>
      </c>
      <c r="J252" s="9" t="str">
        <f>+VLOOKUP(K252,Datos!$A:$C,3,FALSE)</f>
        <v>PETAPA</v>
      </c>
      <c r="K252" s="6">
        <v>250</v>
      </c>
      <c r="L252" s="9" t="str">
        <f>+VLOOKUP(K252,Datos!$A:$C,2,FALSE)</f>
        <v>BOCA DEL MONTE</v>
      </c>
      <c r="M252" s="6">
        <v>312542</v>
      </c>
      <c r="N252" s="9" t="str">
        <f>+VLOOKUP(M252,Datos!$F:$G,2,FALSE)</f>
        <v>Elba Eulalia Esquite Lemus</v>
      </c>
      <c r="O252" s="10">
        <f>IFERROR(IF(A252="SI",VLOOKUP(R252,Datos!$J$1:$K$50,2,FALSE)*C252,VLOOKUP(R252,Datos!$P$1:$T$50,2,FALSE)*C252),0)</f>
        <v>816</v>
      </c>
      <c r="P252" s="6">
        <v>310796</v>
      </c>
      <c r="Q252" s="9" t="str">
        <f>+VLOOKUP(P252,Datos!$F:$G,2,FALSE)</f>
        <v>Madelyn Estefany Vega Velasquez</v>
      </c>
      <c r="R252" s="6" t="s">
        <v>29</v>
      </c>
      <c r="S252" s="6" t="s">
        <v>20</v>
      </c>
      <c r="T252" s="6">
        <f t="shared" si="4"/>
        <v>1</v>
      </c>
    </row>
    <row r="253" spans="1:20" hidden="1" x14ac:dyDescent="0.35">
      <c r="A253" s="6" t="s">
        <v>20</v>
      </c>
      <c r="B253" s="6" t="s">
        <v>21</v>
      </c>
      <c r="C253" s="6">
        <v>1</v>
      </c>
      <c r="D253" s="6" t="s">
        <v>22</v>
      </c>
      <c r="E253" s="6" t="s">
        <v>27</v>
      </c>
      <c r="F253" s="6">
        <v>4569</v>
      </c>
      <c r="G253" s="6" t="s">
        <v>315</v>
      </c>
      <c r="H253" s="8">
        <v>46282</v>
      </c>
      <c r="I253" s="8">
        <v>46282</v>
      </c>
      <c r="J253" s="9" t="str">
        <f>+VLOOKUP(K253,Datos!$A:$C,3,FALSE)</f>
        <v>PETAPA</v>
      </c>
      <c r="K253" s="6">
        <v>112</v>
      </c>
      <c r="L253" s="9" t="str">
        <f>+VLOOKUP(K253,Datos!$A:$C,2,FALSE)</f>
        <v>PACIFIC CENTER</v>
      </c>
      <c r="M253" s="6">
        <v>90084547</v>
      </c>
      <c r="N253" s="9" t="str">
        <f>+VLOOKUP(M253,Datos!$F:$G,2,FALSE)</f>
        <v>LUIS EDUARDO PEREIRA MALDONADO</v>
      </c>
      <c r="O253" s="10">
        <f>IFERROR(IF(A253="SI",VLOOKUP(R253,Datos!$J$1:$K$50,2,FALSE)*C253,VLOOKUP(R253,Datos!$P$1:$T$50,2,FALSE)*C253),0)</f>
        <v>816</v>
      </c>
      <c r="P253" s="6">
        <v>309744</v>
      </c>
      <c r="Q253" s="9" t="str">
        <f>+VLOOKUP(P253,Datos!$F:$G,2,FALSE)</f>
        <v>Odalis Ruby Garcia Siquina</v>
      </c>
      <c r="R253" s="6" t="s">
        <v>29</v>
      </c>
      <c r="S253" s="6" t="s">
        <v>20</v>
      </c>
      <c r="T253" s="6">
        <f t="shared" si="4"/>
        <v>1</v>
      </c>
    </row>
    <row r="254" spans="1:20" hidden="1" x14ac:dyDescent="0.35">
      <c r="A254" s="6" t="s">
        <v>20</v>
      </c>
      <c r="B254" s="6" t="s">
        <v>26</v>
      </c>
      <c r="C254" s="6">
        <v>1</v>
      </c>
      <c r="D254" s="6" t="s">
        <v>22</v>
      </c>
      <c r="E254" s="6" t="s">
        <v>27</v>
      </c>
      <c r="F254" s="6">
        <v>4487</v>
      </c>
      <c r="G254" s="6" t="s">
        <v>316</v>
      </c>
      <c r="H254" s="8">
        <v>46282</v>
      </c>
      <c r="I254" s="8">
        <v>46279</v>
      </c>
      <c r="J254" s="9" t="str">
        <f>+VLOOKUP(K254,Datos!$A:$C,3,FALSE)</f>
        <v>AMERICAS</v>
      </c>
      <c r="K254" s="6">
        <v>338</v>
      </c>
      <c r="L254" s="9" t="str">
        <f>+VLOOKUP(K254,Datos!$A:$C,2,FALSE)</f>
        <v>SPAZIO</v>
      </c>
      <c r="M254" s="6">
        <v>90040420</v>
      </c>
      <c r="N254" s="9" t="str">
        <f>+VLOOKUP(M254,Datos!$F:$G,2,FALSE)</f>
        <v>Astrid Alejandra Zetta Estrada</v>
      </c>
      <c r="O254" s="10">
        <f>IFERROR(IF(A254="SI",VLOOKUP(R254,Datos!$J$1:$K$50,2,FALSE)*C254,VLOOKUP(R254,Datos!$P$1:$T$50,2,FALSE)*C254),0)</f>
        <v>4104</v>
      </c>
      <c r="P254" s="6">
        <v>312692</v>
      </c>
      <c r="Q254" s="9" t="str">
        <f>+VLOOKUP(P254,Datos!$F:$G,2,FALSE)</f>
        <v>Catarina Del Rosario Lopez Taquiej</v>
      </c>
      <c r="R254" s="6" t="s">
        <v>271</v>
      </c>
      <c r="S254" s="6" t="s">
        <v>20</v>
      </c>
      <c r="T254" s="6">
        <f t="shared" si="4"/>
        <v>1</v>
      </c>
    </row>
    <row r="255" spans="1:20" hidden="1" x14ac:dyDescent="0.35">
      <c r="A255" s="6" t="s">
        <v>20</v>
      </c>
      <c r="B255" s="6" t="s">
        <v>21</v>
      </c>
      <c r="C255" s="6">
        <v>4</v>
      </c>
      <c r="D255" s="6" t="s">
        <v>22</v>
      </c>
      <c r="E255" s="6" t="s">
        <v>115</v>
      </c>
      <c r="F255" s="6">
        <v>188</v>
      </c>
      <c r="G255" s="6" t="s">
        <v>317</v>
      </c>
      <c r="H255" s="8">
        <v>46282</v>
      </c>
      <c r="I255" s="8">
        <v>46279</v>
      </c>
      <c r="J255" s="9" t="str">
        <f>+VLOOKUP(K255,Datos!$A:$C,3,FALSE)</f>
        <v>ORIENTE</v>
      </c>
      <c r="K255" s="6">
        <v>228</v>
      </c>
      <c r="L255" s="9" t="str">
        <f>+VLOOKUP(K255,Datos!$A:$C,2,FALSE)</f>
        <v>PRADERA CHIQUIMULA</v>
      </c>
      <c r="M255" s="6">
        <v>314831</v>
      </c>
      <c r="N255" s="9" t="str">
        <f>+VLOOKUP(M255,Datos!$F:$G,2,FALSE)</f>
        <v>Karla Paola Solorzano Monroy</v>
      </c>
      <c r="O255" s="10">
        <f>IFERROR(IF(A255="SI",VLOOKUP(R255,Datos!$J$1:$K$50,2,FALSE)*C255,VLOOKUP(R255,Datos!$P$1:$T$50,2,FALSE)*C255),0)</f>
        <v>4368</v>
      </c>
      <c r="P255" s="6">
        <v>90040440</v>
      </c>
      <c r="Q255" s="9" t="str">
        <f>+VLOOKUP(P255,Datos!$F:$G,2,FALSE)</f>
        <v>Ericka Carolina Diaz Hernandez</v>
      </c>
      <c r="R255" s="6" t="s">
        <v>117</v>
      </c>
      <c r="S255" s="6" t="s">
        <v>20</v>
      </c>
      <c r="T255" s="6">
        <f t="shared" si="4"/>
        <v>1</v>
      </c>
    </row>
    <row r="256" spans="1:20" hidden="1" x14ac:dyDescent="0.35">
      <c r="A256" s="6" t="s">
        <v>20</v>
      </c>
      <c r="B256" s="6" t="s">
        <v>21</v>
      </c>
      <c r="C256" s="6">
        <v>4</v>
      </c>
      <c r="D256" s="6" t="s">
        <v>22</v>
      </c>
      <c r="E256" s="6" t="s">
        <v>23</v>
      </c>
      <c r="F256" s="6">
        <v>796</v>
      </c>
      <c r="G256" s="6" t="s">
        <v>318</v>
      </c>
      <c r="H256" s="8">
        <v>46282</v>
      </c>
      <c r="I256" s="8">
        <v>46282</v>
      </c>
      <c r="J256" s="9" t="str">
        <f>+VLOOKUP(K256,Datos!$A:$C,3,FALSE)</f>
        <v>NORTE</v>
      </c>
      <c r="K256" s="6">
        <v>162</v>
      </c>
      <c r="L256" s="9" t="str">
        <f>+VLOOKUP(K256,Datos!$A:$C,2,FALSE)</f>
        <v>CHISEC</v>
      </c>
      <c r="M256" s="6">
        <v>314417</v>
      </c>
      <c r="N256" s="9" t="str">
        <f>+VLOOKUP(M256,Datos!$F:$G,2,FALSE)</f>
        <v>Krisley Mary Dayana Mazariegos Vega</v>
      </c>
      <c r="O256" s="10">
        <f>IFERROR(IF(A256="SI",VLOOKUP(R256,Datos!$J$1:$K$50,2,FALSE)*C256,VLOOKUP(R256,Datos!$P$1:$T$50,2,FALSE)*C256),0)</f>
        <v>5472</v>
      </c>
      <c r="P256" s="6">
        <v>315051</v>
      </c>
      <c r="Q256" s="9" t="str">
        <f>+VLOOKUP(P256,Datos!$F:$G,2,FALSE)</f>
        <v>Carlos Alfredo Catun Rax</v>
      </c>
      <c r="R256" s="6" t="s">
        <v>25</v>
      </c>
      <c r="S256" s="6" t="s">
        <v>20</v>
      </c>
      <c r="T256" s="6">
        <f t="shared" si="4"/>
        <v>1</v>
      </c>
    </row>
    <row r="257" spans="1:20" hidden="1" x14ac:dyDescent="0.35">
      <c r="A257" s="6" t="s">
        <v>20</v>
      </c>
      <c r="B257" s="6" t="s">
        <v>21</v>
      </c>
      <c r="C257" s="6">
        <v>1</v>
      </c>
      <c r="D257" s="6" t="s">
        <v>22</v>
      </c>
      <c r="E257" s="6" t="s">
        <v>27</v>
      </c>
      <c r="F257" s="6">
        <v>4471</v>
      </c>
      <c r="G257" s="6" t="s">
        <v>319</v>
      </c>
      <c r="H257" s="8">
        <v>46282</v>
      </c>
      <c r="I257" s="8">
        <v>46279</v>
      </c>
      <c r="J257" s="9" t="str">
        <f>+VLOOKUP(K257,Datos!$A:$C,3,FALSE)</f>
        <v>ORIENTE</v>
      </c>
      <c r="K257" s="6">
        <v>41</v>
      </c>
      <c r="L257" s="9" t="str">
        <f>+VLOOKUP(K257,Datos!$A:$C,2,FALSE)</f>
        <v>JUTIAPA</v>
      </c>
      <c r="M257" s="6">
        <v>90048448</v>
      </c>
      <c r="N257" s="9" t="str">
        <f>+VLOOKUP(M257,Datos!$F:$G,2,FALSE)</f>
        <v>Erick Cecilio Salvatierra García</v>
      </c>
      <c r="O257" s="10">
        <f>IFERROR(IF(A257="SI",VLOOKUP(R257,Datos!$J$1:$K$50,2,FALSE)*C257,VLOOKUP(R257,Datos!$P$1:$T$50,2,FALSE)*C257),0)</f>
        <v>816</v>
      </c>
      <c r="P257" s="6">
        <v>301658</v>
      </c>
      <c r="Q257" s="9" t="str">
        <f>+VLOOKUP(P257,Datos!$F:$G,2,FALSE)</f>
        <v>Ruth Nohemi Contreras Hernandez</v>
      </c>
      <c r="R257" s="6" t="s">
        <v>29</v>
      </c>
      <c r="S257" s="6" t="s">
        <v>20</v>
      </c>
      <c r="T257" s="6">
        <f t="shared" si="4"/>
        <v>1</v>
      </c>
    </row>
    <row r="258" spans="1:20" hidden="1" x14ac:dyDescent="0.35">
      <c r="A258" s="6" t="s">
        <v>20</v>
      </c>
      <c r="B258" s="6" t="s">
        <v>21</v>
      </c>
      <c r="C258" s="6">
        <v>2</v>
      </c>
      <c r="D258" s="6" t="s">
        <v>22</v>
      </c>
      <c r="E258" s="6" t="s">
        <v>320</v>
      </c>
      <c r="F258" s="6">
        <v>1299</v>
      </c>
      <c r="G258" s="6" t="s">
        <v>321</v>
      </c>
      <c r="H258" s="8">
        <v>46282</v>
      </c>
      <c r="I258" s="8">
        <v>46282</v>
      </c>
      <c r="J258" s="9" t="str">
        <f>+VLOOKUP(K258,Datos!$A:$C,3,FALSE)</f>
        <v>ORIENTE</v>
      </c>
      <c r="K258" s="6">
        <v>41</v>
      </c>
      <c r="L258" s="9" t="str">
        <f>+VLOOKUP(K258,Datos!$A:$C,2,FALSE)</f>
        <v>JUTIAPA</v>
      </c>
      <c r="M258" s="6">
        <v>90048448</v>
      </c>
      <c r="N258" s="9" t="str">
        <f>+VLOOKUP(M258,Datos!$F:$G,2,FALSE)</f>
        <v>Erick Cecilio Salvatierra García</v>
      </c>
      <c r="O258" s="10">
        <f>IFERROR(IF(A258="SI",VLOOKUP(R258,Datos!$J$1:$K$50,2,FALSE)*C258,VLOOKUP(R258,Datos!$P$1:$T$50,2,FALSE)*C258),0)</f>
        <v>1632</v>
      </c>
      <c r="P258" s="6">
        <v>301658</v>
      </c>
      <c r="Q258" s="9" t="str">
        <f>+VLOOKUP(P258,Datos!$F:$G,2,FALSE)</f>
        <v>Ruth Nohemi Contreras Hernandez</v>
      </c>
      <c r="R258" s="6" t="s">
        <v>29</v>
      </c>
      <c r="S258" s="6" t="s">
        <v>20</v>
      </c>
      <c r="T258" s="6">
        <f t="shared" si="4"/>
        <v>1</v>
      </c>
    </row>
    <row r="259" spans="1:20" hidden="1" x14ac:dyDescent="0.35">
      <c r="A259" s="6" t="s">
        <v>20</v>
      </c>
      <c r="B259" s="6" t="s">
        <v>21</v>
      </c>
      <c r="C259" s="6">
        <v>1</v>
      </c>
      <c r="D259" s="6" t="s">
        <v>22</v>
      </c>
      <c r="E259" s="6" t="s">
        <v>27</v>
      </c>
      <c r="F259" s="6">
        <v>4586</v>
      </c>
      <c r="G259" s="6" t="s">
        <v>322</v>
      </c>
      <c r="H259" s="8">
        <v>46282</v>
      </c>
      <c r="I259" s="8">
        <v>46282</v>
      </c>
      <c r="J259" s="9" t="str">
        <f>+VLOOKUP(K259,Datos!$A:$C,3,FALSE)</f>
        <v>ORIENTE</v>
      </c>
      <c r="K259" s="6">
        <v>128</v>
      </c>
      <c r="L259" s="9" t="str">
        <f>+VLOOKUP(K259,Datos!$A:$C,2,FALSE)</f>
        <v>CHIQUIMULA 2</v>
      </c>
      <c r="M259" s="6">
        <v>90080725</v>
      </c>
      <c r="N259" s="9" t="str">
        <f>+VLOOKUP(M259,Datos!$F:$G,2,FALSE)</f>
        <v>CRISTHIAN ALEXANDER LOPEZ SUCHITE</v>
      </c>
      <c r="O259" s="10">
        <f>IFERROR(IF(A259="SI",VLOOKUP(R259,Datos!$J$1:$K$50,2,FALSE)*C259,VLOOKUP(R259,Datos!$P$1:$T$50,2,FALSE)*C259),0)</f>
        <v>816</v>
      </c>
      <c r="P259" s="6">
        <v>303265</v>
      </c>
      <c r="Q259" s="9" t="str">
        <f>+VLOOKUP(P259,Datos!$F:$G,2,FALSE)</f>
        <v>Claudia Yesenia Pinto Picen</v>
      </c>
      <c r="R259" s="6" t="s">
        <v>29</v>
      </c>
      <c r="S259" s="6" t="s">
        <v>20</v>
      </c>
      <c r="T259" s="6">
        <f t="shared" si="4"/>
        <v>1</v>
      </c>
    </row>
    <row r="260" spans="1:20" hidden="1" x14ac:dyDescent="0.35">
      <c r="A260" s="6" t="s">
        <v>20</v>
      </c>
      <c r="B260" s="6" t="s">
        <v>21</v>
      </c>
      <c r="C260" s="6">
        <v>3</v>
      </c>
      <c r="D260" s="6" t="s">
        <v>22</v>
      </c>
      <c r="E260" s="6" t="s">
        <v>53</v>
      </c>
      <c r="F260" s="6">
        <v>672</v>
      </c>
      <c r="G260" s="6" t="s">
        <v>323</v>
      </c>
      <c r="H260" s="8">
        <v>46282</v>
      </c>
      <c r="I260" s="8">
        <v>46282</v>
      </c>
      <c r="J260" s="9" t="str">
        <f>+VLOOKUP(K260,Datos!$A:$C,3,FALSE)</f>
        <v>ORIENTE</v>
      </c>
      <c r="K260" s="6">
        <v>180</v>
      </c>
      <c r="L260" s="9" t="str">
        <f>+VLOOKUP(K260,Datos!$A:$C,2,FALSE)</f>
        <v>MONJAS</v>
      </c>
      <c r="M260" s="6">
        <v>90040241</v>
      </c>
      <c r="N260" s="9" t="str">
        <f>+VLOOKUP(M260,Datos!$F:$G,2,FALSE)</f>
        <v>Jairo Alessandro Urbina Santiago</v>
      </c>
      <c r="O260" s="10">
        <f>IFERROR(IF(A260="SI",VLOOKUP(R260,Datos!$J$1:$K$50,2,FALSE)*C260,VLOOKUP(R260,Datos!$P$1:$T$50,2,FALSE)*C260),0)</f>
        <v>8208</v>
      </c>
      <c r="P260" s="6">
        <v>315038</v>
      </c>
      <c r="Q260" s="9" t="str">
        <f>+VLOOKUP(P260,Datos!$F:$G,2,FALSE)</f>
        <v>Flor Sylvestre Orellana Gonzalez</v>
      </c>
      <c r="R260" s="6" t="s">
        <v>73</v>
      </c>
      <c r="S260" s="6" t="s">
        <v>20</v>
      </c>
      <c r="T260" s="6">
        <f t="shared" si="4"/>
        <v>1</v>
      </c>
    </row>
    <row r="261" spans="1:20" hidden="1" x14ac:dyDescent="0.35">
      <c r="A261" s="6" t="s">
        <v>20</v>
      </c>
      <c r="B261" s="6" t="s">
        <v>21</v>
      </c>
      <c r="C261" s="6">
        <v>3</v>
      </c>
      <c r="D261" s="6" t="s">
        <v>22</v>
      </c>
      <c r="E261" s="6" t="s">
        <v>53</v>
      </c>
      <c r="F261" s="6">
        <v>677</v>
      </c>
      <c r="G261" s="6" t="s">
        <v>324</v>
      </c>
      <c r="H261" s="8">
        <v>46282</v>
      </c>
      <c r="I261" s="8">
        <v>46282</v>
      </c>
      <c r="J261" s="9" t="str">
        <f>+VLOOKUP(K261,Datos!$A:$C,3,FALSE)</f>
        <v>ORIENTE</v>
      </c>
      <c r="K261" s="6">
        <v>180</v>
      </c>
      <c r="L261" s="9" t="str">
        <f>+VLOOKUP(K261,Datos!$A:$C,2,FALSE)</f>
        <v>MONJAS</v>
      </c>
      <c r="M261" s="6">
        <v>90040241</v>
      </c>
      <c r="N261" s="9" t="str">
        <f>+VLOOKUP(M261,Datos!$F:$G,2,FALSE)</f>
        <v>Jairo Alessandro Urbina Santiago</v>
      </c>
      <c r="O261" s="10">
        <f>IFERROR(IF(A261="SI",VLOOKUP(R261,Datos!$J$1:$K$50,2,FALSE)*C261,VLOOKUP(R261,Datos!$P$1:$T$50,2,FALSE)*C261),0)</f>
        <v>12312</v>
      </c>
      <c r="P261" s="6">
        <v>315038</v>
      </c>
      <c r="Q261" s="9" t="str">
        <f>+VLOOKUP(P261,Datos!$F:$G,2,FALSE)</f>
        <v>Flor Sylvestre Orellana Gonzalez</v>
      </c>
      <c r="R261" s="6" t="s">
        <v>271</v>
      </c>
      <c r="S261" s="6" t="s">
        <v>20</v>
      </c>
      <c r="T261" s="6">
        <f t="shared" si="4"/>
        <v>1</v>
      </c>
    </row>
    <row r="262" spans="1:20" hidden="1" x14ac:dyDescent="0.35">
      <c r="A262" s="6" t="s">
        <v>20</v>
      </c>
      <c r="B262" s="6" t="s">
        <v>21</v>
      </c>
      <c r="C262" s="6">
        <v>3</v>
      </c>
      <c r="D262" s="6" t="s">
        <v>22</v>
      </c>
      <c r="E262" s="6" t="s">
        <v>53</v>
      </c>
      <c r="F262" s="6">
        <v>668</v>
      </c>
      <c r="G262" s="6" t="s">
        <v>325</v>
      </c>
      <c r="H262" s="8">
        <v>46282</v>
      </c>
      <c r="I262" s="8">
        <v>46282</v>
      </c>
      <c r="J262" s="9" t="str">
        <f>+VLOOKUP(K262,Datos!$A:$C,3,FALSE)</f>
        <v>NORTE</v>
      </c>
      <c r="K262" s="6">
        <v>194</v>
      </c>
      <c r="L262" s="9" t="str">
        <f>+VLOOKUP(K262,Datos!$A:$C,2,FALSE)</f>
        <v>PLAYA GRANDE</v>
      </c>
      <c r="M262" s="6">
        <v>90023865</v>
      </c>
      <c r="N262" s="9" t="str">
        <f>+VLOOKUP(M262,Datos!$F:$G,2,FALSE)</f>
        <v>Benito Abad Jimenez Carrillo</v>
      </c>
      <c r="O262" s="10">
        <f>IFERROR(IF(A262="SI",VLOOKUP(R262,Datos!$J$1:$K$50,2,FALSE)*C262,VLOOKUP(R262,Datos!$P$1:$T$50,2,FALSE)*C262),0)</f>
        <v>2448</v>
      </c>
      <c r="P262" s="6">
        <v>313593</v>
      </c>
      <c r="Q262" s="9" t="str">
        <f>+VLOOKUP(P262,Datos!$F:$G,2,FALSE)</f>
        <v>Slayker Andony Santiago Natareno</v>
      </c>
      <c r="R262" s="6" t="s">
        <v>29</v>
      </c>
      <c r="S262" s="6" t="s">
        <v>20</v>
      </c>
      <c r="T262" s="6">
        <f t="shared" si="4"/>
        <v>1</v>
      </c>
    </row>
    <row r="263" spans="1:20" hidden="1" x14ac:dyDescent="0.35">
      <c r="A263" s="6" t="s">
        <v>20</v>
      </c>
      <c r="B263" s="6" t="s">
        <v>21</v>
      </c>
      <c r="C263" s="6">
        <v>4</v>
      </c>
      <c r="D263" s="6" t="s">
        <v>22</v>
      </c>
      <c r="E263" s="6" t="s">
        <v>23</v>
      </c>
      <c r="F263" s="6">
        <v>794</v>
      </c>
      <c r="G263" s="6" t="s">
        <v>326</v>
      </c>
      <c r="H263" s="8">
        <v>46282</v>
      </c>
      <c r="I263" s="8">
        <v>46282</v>
      </c>
      <c r="J263" s="9" t="str">
        <f>+VLOOKUP(K263,Datos!$A:$C,3,FALSE)</f>
        <v>AMERICAS</v>
      </c>
      <c r="K263" s="6">
        <v>30</v>
      </c>
      <c r="L263" s="9" t="str">
        <f>+VLOOKUP(K263,Datos!$A:$C,2,FALSE)</f>
        <v>BARBERENA</v>
      </c>
      <c r="M263" s="6">
        <v>90024235</v>
      </c>
      <c r="N263" s="9" t="str">
        <f>+VLOOKUP(M263,Datos!$F:$G,2,FALSE)</f>
        <v>Jason Alberto Bolaños Gutiérrez</v>
      </c>
      <c r="O263" s="10">
        <f>IFERROR(IF(A263="SI",VLOOKUP(R263,Datos!$J$1:$K$50,2,FALSE)*C263,VLOOKUP(R263,Datos!$P$1:$T$50,2,FALSE)*C263),0)</f>
        <v>3264</v>
      </c>
      <c r="P263" s="6">
        <v>300594</v>
      </c>
      <c r="Q263" s="9" t="str">
        <f>+VLOOKUP(P263,Datos!$F:$G,2,FALSE)</f>
        <v>Rosaura Grisleny Perez Rios</v>
      </c>
      <c r="R263" s="6" t="s">
        <v>29</v>
      </c>
      <c r="S263" s="6" t="s">
        <v>20</v>
      </c>
      <c r="T263" s="6">
        <f t="shared" si="4"/>
        <v>1</v>
      </c>
    </row>
    <row r="264" spans="1:20" hidden="1" x14ac:dyDescent="0.35">
      <c r="A264" s="6" t="s">
        <v>20</v>
      </c>
      <c r="B264" s="6" t="s">
        <v>21</v>
      </c>
      <c r="C264" s="6">
        <v>4</v>
      </c>
      <c r="D264" s="6" t="s">
        <v>22</v>
      </c>
      <c r="E264" s="6" t="s">
        <v>23</v>
      </c>
      <c r="F264" s="6">
        <v>797</v>
      </c>
      <c r="G264" s="6" t="s">
        <v>92</v>
      </c>
      <c r="H264" s="8">
        <v>46282</v>
      </c>
      <c r="I264" s="8">
        <v>46282</v>
      </c>
      <c r="J264" s="9" t="str">
        <f>+VLOOKUP(K264,Datos!$A:$C,3,FALSE)</f>
        <v>AMERICAS</v>
      </c>
      <c r="K264" s="6">
        <v>30</v>
      </c>
      <c r="L264" s="9" t="str">
        <f>+VLOOKUP(K264,Datos!$A:$C,2,FALSE)</f>
        <v>BARBERENA</v>
      </c>
      <c r="M264" s="6">
        <v>316060</v>
      </c>
      <c r="N264" s="9" t="str">
        <f>+VLOOKUP(M264,Datos!$F:$G,2,FALSE)</f>
        <v>Carlos Enrique Sosa Hernandez</v>
      </c>
      <c r="O264" s="10">
        <f>IFERROR(IF(A264="SI",VLOOKUP(R264,Datos!$J$1:$K$50,2,FALSE)*C264,VLOOKUP(R264,Datos!$P$1:$T$50,2,FALSE)*C264),0)</f>
        <v>5472</v>
      </c>
      <c r="P264" s="6">
        <v>300594</v>
      </c>
      <c r="Q264" s="9" t="str">
        <f>+VLOOKUP(P264,Datos!$F:$G,2,FALSE)</f>
        <v>Rosaura Grisleny Perez Rios</v>
      </c>
      <c r="R264" s="6" t="s">
        <v>25</v>
      </c>
      <c r="S264" s="6" t="s">
        <v>20</v>
      </c>
      <c r="T264" s="6">
        <f t="shared" si="4"/>
        <v>2</v>
      </c>
    </row>
    <row r="265" spans="1:20" hidden="1" x14ac:dyDescent="0.35">
      <c r="A265" s="6" t="s">
        <v>20</v>
      </c>
      <c r="B265" s="6" t="s">
        <v>26</v>
      </c>
      <c r="C265" s="6">
        <v>2</v>
      </c>
      <c r="D265" s="6" t="s">
        <v>22</v>
      </c>
      <c r="E265" s="6" t="s">
        <v>31</v>
      </c>
      <c r="F265" s="6">
        <v>1297</v>
      </c>
      <c r="G265" s="6" t="s">
        <v>327</v>
      </c>
      <c r="H265" s="8">
        <v>46282</v>
      </c>
      <c r="I265" s="8">
        <v>46282</v>
      </c>
      <c r="J265" s="9" t="str">
        <f>+VLOOKUP(K265,Datos!$A:$C,3,FALSE)</f>
        <v>NORTE</v>
      </c>
      <c r="K265" s="6">
        <v>195</v>
      </c>
      <c r="L265" s="9" t="str">
        <f>+VLOOKUP(K265,Datos!$A:$C,2,FALSE)</f>
        <v>TELEMAN</v>
      </c>
      <c r="M265" s="6">
        <v>310871</v>
      </c>
      <c r="N265" s="9" t="str">
        <f>+VLOOKUP(M265,Datos!$F:$G,2,FALSE)</f>
        <v>Yuri Vanessa Bac Caal De Gomez</v>
      </c>
      <c r="O265" s="10">
        <f>IFERROR(IF(A265="SI",VLOOKUP(R265,Datos!$J$1:$K$50,2,FALSE)*C265,VLOOKUP(R265,Datos!$P$1:$T$50,2,FALSE)*C265),0)</f>
        <v>1632</v>
      </c>
      <c r="P265" s="6">
        <v>315351</v>
      </c>
      <c r="Q265" s="9" t="str">
        <f>+VLOOKUP(P265,Datos!$F:$G,2,FALSE)</f>
        <v>Maria Vicenta Lopez Mancilla De De Del Valle</v>
      </c>
      <c r="R265" s="6" t="s">
        <v>29</v>
      </c>
      <c r="S265" s="6" t="s">
        <v>20</v>
      </c>
      <c r="T265" s="6">
        <f t="shared" si="4"/>
        <v>1</v>
      </c>
    </row>
    <row r="266" spans="1:20" hidden="1" x14ac:dyDescent="0.35">
      <c r="A266" s="6" t="s">
        <v>20</v>
      </c>
      <c r="B266" s="6" t="s">
        <v>26</v>
      </c>
      <c r="C266" s="6">
        <v>4</v>
      </c>
      <c r="D266" s="6" t="s">
        <v>22</v>
      </c>
      <c r="E266" s="6" t="s">
        <v>23</v>
      </c>
      <c r="F266" s="6">
        <v>809</v>
      </c>
      <c r="G266" s="6" t="s">
        <v>328</v>
      </c>
      <c r="H266" s="8">
        <v>46282</v>
      </c>
      <c r="I266" s="8">
        <v>46282</v>
      </c>
      <c r="J266" s="9" t="str">
        <f>+VLOOKUP(K266,Datos!$A:$C,3,FALSE)</f>
        <v>NORTE</v>
      </c>
      <c r="K266" s="6">
        <v>195</v>
      </c>
      <c r="L266" s="9" t="str">
        <f>+VLOOKUP(K266,Datos!$A:$C,2,FALSE)</f>
        <v>TELEMAN</v>
      </c>
      <c r="M266" s="6">
        <v>310871</v>
      </c>
      <c r="N266" s="9" t="str">
        <f>+VLOOKUP(M266,Datos!$F:$G,2,FALSE)</f>
        <v>Yuri Vanessa Bac Caal De Gomez</v>
      </c>
      <c r="O266" s="10">
        <f>IFERROR(IF(A266="SI",VLOOKUP(R266,Datos!$J$1:$K$50,2,FALSE)*C266,VLOOKUP(R266,Datos!$P$1:$T$50,2,FALSE)*C266),0)</f>
        <v>3264</v>
      </c>
      <c r="P266" s="6">
        <v>315351</v>
      </c>
      <c r="Q266" s="9" t="str">
        <f>+VLOOKUP(P266,Datos!$F:$G,2,FALSE)</f>
        <v>Maria Vicenta Lopez Mancilla De De Del Valle</v>
      </c>
      <c r="R266" s="6" t="s">
        <v>29</v>
      </c>
      <c r="S266" s="6" t="s">
        <v>20</v>
      </c>
      <c r="T266" s="6">
        <f t="shared" si="4"/>
        <v>1</v>
      </c>
    </row>
    <row r="267" spans="1:20" hidden="1" x14ac:dyDescent="0.35">
      <c r="A267" s="6" t="s">
        <v>20</v>
      </c>
      <c r="B267" s="6" t="s">
        <v>21</v>
      </c>
      <c r="C267" s="6">
        <v>1</v>
      </c>
      <c r="D267" s="6" t="s">
        <v>22</v>
      </c>
      <c r="E267" s="6" t="s">
        <v>27</v>
      </c>
      <c r="F267" s="6">
        <v>4570</v>
      </c>
      <c r="G267" s="6" t="s">
        <v>329</v>
      </c>
      <c r="H267" s="8">
        <v>46282</v>
      </c>
      <c r="I267" s="8">
        <v>46282</v>
      </c>
      <c r="J267" s="9" t="str">
        <f>+VLOOKUP(K267,Datos!$A:$C,3,FALSE)</f>
        <v>NORTE</v>
      </c>
      <c r="K267" s="6">
        <v>203</v>
      </c>
      <c r="L267" s="9" t="str">
        <f>+VLOOKUP(K267,Datos!$A:$C,2,FALSE)</f>
        <v>PLAZA MAGDALENA</v>
      </c>
      <c r="M267" s="6">
        <v>90028367</v>
      </c>
      <c r="N267" s="9" t="str">
        <f>+VLOOKUP(M267,Datos!$F:$G,2,FALSE)</f>
        <v>Maria Del Carmen Ical Putul</v>
      </c>
      <c r="O267" s="10">
        <f>IFERROR(IF(A267="SI",VLOOKUP(R267,Datos!$J$1:$K$50,2,FALSE)*C267,VLOOKUP(R267,Datos!$P$1:$T$50,2,FALSE)*C267),0)</f>
        <v>816</v>
      </c>
      <c r="P267" s="6">
        <v>314223</v>
      </c>
      <c r="Q267" s="9" t="str">
        <f>+VLOOKUP(P267,Datos!$F:$G,2,FALSE)</f>
        <v>Nadia Estefania Gramajo Archila</v>
      </c>
      <c r="R267" s="6" t="s">
        <v>29</v>
      </c>
      <c r="S267" s="6" t="s">
        <v>20</v>
      </c>
      <c r="T267" s="6">
        <f t="shared" si="4"/>
        <v>1</v>
      </c>
    </row>
    <row r="268" spans="1:20" hidden="1" x14ac:dyDescent="0.35">
      <c r="A268" s="6" t="s">
        <v>20</v>
      </c>
      <c r="B268" s="6" t="s">
        <v>26</v>
      </c>
      <c r="C268" s="6">
        <v>3</v>
      </c>
      <c r="D268" s="6" t="s">
        <v>22</v>
      </c>
      <c r="E268" s="6" t="s">
        <v>53</v>
      </c>
      <c r="F268" s="6">
        <v>673</v>
      </c>
      <c r="G268" s="6" t="s">
        <v>330</v>
      </c>
      <c r="H268" s="8">
        <v>46282</v>
      </c>
      <c r="I268" s="8">
        <v>46282</v>
      </c>
      <c r="J268" s="9" t="str">
        <f>+VLOOKUP(K268,Datos!$A:$C,3,FALSE)</f>
        <v>NORTE</v>
      </c>
      <c r="K268" s="6">
        <v>38</v>
      </c>
      <c r="L268" s="9" t="str">
        <f>+VLOOKUP(K268,Datos!$A:$C,2,FALSE)</f>
        <v>CARCHA</v>
      </c>
      <c r="M268" s="6">
        <v>90064229</v>
      </c>
      <c r="N268" s="9" t="str">
        <f>+VLOOKUP(M268,Datos!$F:$G,2,FALSE)</f>
        <v>KRISHNA MORALES</v>
      </c>
      <c r="O268" s="10">
        <f>IFERROR(IF(A268="SI",VLOOKUP(R268,Datos!$J$1:$K$50,2,FALSE)*C268,VLOOKUP(R268,Datos!$P$1:$T$50,2,FALSE)*C268),0)</f>
        <v>2448</v>
      </c>
      <c r="P268" s="6">
        <v>315962</v>
      </c>
      <c r="Q268" s="9" t="str">
        <f>+VLOOKUP(P268,Datos!$F:$G,2,FALSE)</f>
        <v>Jennifer Celeste Delgado Garcia</v>
      </c>
      <c r="R268" s="6" t="s">
        <v>29</v>
      </c>
      <c r="S268" s="6" t="s">
        <v>20</v>
      </c>
      <c r="T268" s="6">
        <f t="shared" si="4"/>
        <v>1</v>
      </c>
    </row>
    <row r="269" spans="1:20" hidden="1" x14ac:dyDescent="0.35">
      <c r="A269" s="6" t="s">
        <v>20</v>
      </c>
      <c r="B269" s="6" t="s">
        <v>26</v>
      </c>
      <c r="C269" s="6">
        <v>1</v>
      </c>
      <c r="D269" s="6" t="s">
        <v>22</v>
      </c>
      <c r="E269" s="6" t="s">
        <v>27</v>
      </c>
      <c r="F269" s="6">
        <v>4581</v>
      </c>
      <c r="G269" s="6" t="s">
        <v>331</v>
      </c>
      <c r="H269" s="8">
        <v>46282</v>
      </c>
      <c r="I269" s="8">
        <v>46282</v>
      </c>
      <c r="J269" s="9" t="str">
        <f>+VLOOKUP(K269,Datos!$A:$C,3,FALSE)</f>
        <v>NORTE</v>
      </c>
      <c r="K269" s="6">
        <v>38</v>
      </c>
      <c r="L269" s="9" t="str">
        <f>+VLOOKUP(K269,Datos!$A:$C,2,FALSE)</f>
        <v>CARCHA</v>
      </c>
      <c r="M269" s="6">
        <v>90064229</v>
      </c>
      <c r="N269" s="9" t="str">
        <f>+VLOOKUP(M269,Datos!$F:$G,2,FALSE)</f>
        <v>KRISHNA MORALES</v>
      </c>
      <c r="O269" s="10">
        <f>IFERROR(IF(A269="SI",VLOOKUP(R269,Datos!$J$1:$K$50,2,FALSE)*C269,VLOOKUP(R269,Datos!$P$1:$T$50,2,FALSE)*C269),0)</f>
        <v>816</v>
      </c>
      <c r="P269" s="6">
        <v>313802</v>
      </c>
      <c r="Q269" s="9" t="str">
        <f>+VLOOKUP(P269,Datos!$F:$G,2,FALSE)</f>
        <v>Ligia Delfina Caal Coy</v>
      </c>
      <c r="R269" s="6" t="s">
        <v>29</v>
      </c>
      <c r="S269" s="6" t="s">
        <v>20</v>
      </c>
      <c r="T269" s="6">
        <f t="shared" si="4"/>
        <v>1</v>
      </c>
    </row>
    <row r="270" spans="1:20" x14ac:dyDescent="0.35">
      <c r="A270" s="6" t="s">
        <v>20</v>
      </c>
      <c r="B270" s="6" t="s">
        <v>21</v>
      </c>
      <c r="C270" s="6">
        <v>4</v>
      </c>
      <c r="D270" s="6" t="s">
        <v>22</v>
      </c>
      <c r="E270" s="6" t="s">
        <v>23</v>
      </c>
      <c r="F270" s="6">
        <v>752</v>
      </c>
      <c r="G270" s="6" t="s">
        <v>332</v>
      </c>
      <c r="H270" s="7">
        <v>46283</v>
      </c>
      <c r="I270" s="8">
        <v>46283</v>
      </c>
      <c r="J270" s="9" t="str">
        <f>+VLOOKUP(K270,Datos!$A:$C,3,FALSE)</f>
        <v>ORIENTE</v>
      </c>
      <c r="K270" s="6">
        <v>179</v>
      </c>
      <c r="L270" s="9" t="str">
        <f>+VLOOKUP(K270,Datos!$A:$C,2,FALSE)</f>
        <v>ZACAPA CATEDRAL</v>
      </c>
      <c r="M270" s="6">
        <v>90051505</v>
      </c>
      <c r="N270" s="9" t="str">
        <f>+VLOOKUP(M270,Datos!$F:$G,2,FALSE)</f>
        <v>MARIA OFELIA SOSA</v>
      </c>
      <c r="O270" s="10">
        <f>IFERROR(IF(A270="SI",VLOOKUP(R270,Datos!$J$1:$K$50,2,FALSE)*C270,VLOOKUP(R270,Datos!$P$1:$T$50,2,FALSE)*C270),0)</f>
        <v>3264</v>
      </c>
      <c r="P270" s="6">
        <v>309262</v>
      </c>
      <c r="Q270" s="9" t="str">
        <f>+VLOOKUP(P270,Datos!$F:$G,2,FALSE)</f>
        <v>Lisbeth Carolina Hernandez Urrutia</v>
      </c>
      <c r="R270" s="6" t="s">
        <v>29</v>
      </c>
      <c r="S270" s="6" t="s">
        <v>20</v>
      </c>
      <c r="T270" s="6">
        <f t="shared" si="4"/>
        <v>1</v>
      </c>
    </row>
    <row r="271" spans="1:20" x14ac:dyDescent="0.35">
      <c r="A271" s="6" t="s">
        <v>20</v>
      </c>
      <c r="B271" s="6" t="s">
        <v>21</v>
      </c>
      <c r="C271" s="6">
        <v>4</v>
      </c>
      <c r="D271" s="6" t="s">
        <v>22</v>
      </c>
      <c r="E271" s="6" t="s">
        <v>23</v>
      </c>
      <c r="F271" s="6">
        <v>759</v>
      </c>
      <c r="G271" s="6" t="s">
        <v>333</v>
      </c>
      <c r="H271" s="8">
        <v>46283</v>
      </c>
      <c r="I271" s="8">
        <v>46283</v>
      </c>
      <c r="J271" s="9" t="str">
        <f>+VLOOKUP(K271,Datos!$A:$C,3,FALSE)</f>
        <v>ORIENTE</v>
      </c>
      <c r="K271" s="6">
        <v>179</v>
      </c>
      <c r="L271" s="9" t="str">
        <f>+VLOOKUP(K271,Datos!$A:$C,2,FALSE)</f>
        <v>ZACAPA CATEDRAL</v>
      </c>
      <c r="M271" s="6">
        <v>90085383</v>
      </c>
      <c r="N271" s="9" t="str">
        <f>+VLOOKUP(M271,Datos!$F:$G,2,FALSE)</f>
        <v>RAQUEL ESTHER SAJCHE</v>
      </c>
      <c r="O271" s="10">
        <f>IFERROR(IF(A271="SI",VLOOKUP(R271,Datos!$J$1:$K$50,2,FALSE)*C271,VLOOKUP(R271,Datos!$P$1:$T$50,2,FALSE)*C271),0)</f>
        <v>3264</v>
      </c>
      <c r="P271" s="6">
        <v>300280</v>
      </c>
      <c r="Q271" s="9" t="str">
        <f>+VLOOKUP(P271,Datos!$F:$G,2,FALSE)</f>
        <v>Lilian Del Carmen Franco Curin</v>
      </c>
      <c r="R271" s="6" t="s">
        <v>29</v>
      </c>
      <c r="S271" s="6" t="s">
        <v>20</v>
      </c>
      <c r="T271" s="6">
        <f t="shared" si="4"/>
        <v>1</v>
      </c>
    </row>
    <row r="272" spans="1:20" x14ac:dyDescent="0.35">
      <c r="A272" s="6" t="s">
        <v>20</v>
      </c>
      <c r="B272" s="6" t="s">
        <v>21</v>
      </c>
      <c r="C272" s="6">
        <v>4</v>
      </c>
      <c r="D272" s="6" t="s">
        <v>22</v>
      </c>
      <c r="E272" s="6" t="s">
        <v>23</v>
      </c>
      <c r="F272" s="6">
        <v>800</v>
      </c>
      <c r="G272" s="6" t="s">
        <v>334</v>
      </c>
      <c r="H272" s="8">
        <v>46283</v>
      </c>
      <c r="I272" s="8">
        <v>46283</v>
      </c>
      <c r="J272" s="9" t="str">
        <f>+VLOOKUP(K272,Datos!$A:$C,3,FALSE)</f>
        <v>ORIENTE</v>
      </c>
      <c r="K272" s="6">
        <v>179</v>
      </c>
      <c r="L272" s="9" t="str">
        <f>+VLOOKUP(K272,Datos!$A:$C,2,FALSE)</f>
        <v>ZACAPA CATEDRAL</v>
      </c>
      <c r="M272" s="6">
        <v>310728</v>
      </c>
      <c r="N272" s="9" t="str">
        <f>+VLOOKUP(M272,Datos!$F:$G,2,FALSE)</f>
        <v>Ana Rita Morales Mata</v>
      </c>
      <c r="O272" s="10">
        <f>IFERROR(IF(A272="SI",VLOOKUP(R272,Datos!$J$1:$K$50,2,FALSE)*C272,VLOOKUP(R272,Datos!$P$1:$T$50,2,FALSE)*C272),0)</f>
        <v>3264</v>
      </c>
      <c r="P272" s="6">
        <v>309262</v>
      </c>
      <c r="Q272" s="9" t="str">
        <f>+VLOOKUP(P272,Datos!$F:$G,2,FALSE)</f>
        <v>Lisbeth Carolina Hernandez Urrutia</v>
      </c>
      <c r="R272" s="6" t="s">
        <v>29</v>
      </c>
      <c r="S272" s="6" t="s">
        <v>20</v>
      </c>
      <c r="T272" s="6">
        <f t="shared" si="4"/>
        <v>1</v>
      </c>
    </row>
    <row r="273" spans="1:20" x14ac:dyDescent="0.35">
      <c r="A273" s="6" t="s">
        <v>20</v>
      </c>
      <c r="B273" s="6" t="s">
        <v>21</v>
      </c>
      <c r="C273" s="6">
        <v>4</v>
      </c>
      <c r="D273" s="6" t="s">
        <v>22</v>
      </c>
      <c r="E273" s="6" t="s">
        <v>23</v>
      </c>
      <c r="F273" s="6">
        <v>808</v>
      </c>
      <c r="G273" s="6" t="s">
        <v>335</v>
      </c>
      <c r="H273" s="8">
        <v>46283</v>
      </c>
      <c r="I273" s="8">
        <v>46283</v>
      </c>
      <c r="J273" s="9" t="str">
        <f>+VLOOKUP(K273,Datos!$A:$C,3,FALSE)</f>
        <v>ORIENTE</v>
      </c>
      <c r="K273" s="6">
        <v>179</v>
      </c>
      <c r="L273" s="9" t="str">
        <f>+VLOOKUP(K273,Datos!$A:$C,2,FALSE)</f>
        <v>ZACAPA CATEDRAL</v>
      </c>
      <c r="M273" s="6">
        <v>310728</v>
      </c>
      <c r="N273" s="9" t="str">
        <f>+VLOOKUP(M273,Datos!$F:$G,2,FALSE)</f>
        <v>Ana Rita Morales Mata</v>
      </c>
      <c r="O273" s="10">
        <f>IFERROR(IF(A273="SI",VLOOKUP(R273,Datos!$J$1:$K$50,2,FALSE)*C273,VLOOKUP(R273,Datos!$P$1:$T$50,2,FALSE)*C273),0)</f>
        <v>3264</v>
      </c>
      <c r="P273" s="6">
        <v>309262</v>
      </c>
      <c r="Q273" s="9" t="str">
        <f>+VLOOKUP(P273,Datos!$F:$G,2,FALSE)</f>
        <v>Lisbeth Carolina Hernandez Urrutia</v>
      </c>
      <c r="R273" s="6" t="s">
        <v>29</v>
      </c>
      <c r="S273" s="6" t="s">
        <v>20</v>
      </c>
      <c r="T273" s="6">
        <f t="shared" si="4"/>
        <v>1</v>
      </c>
    </row>
    <row r="274" spans="1:20" x14ac:dyDescent="0.35">
      <c r="A274" s="6" t="s">
        <v>20</v>
      </c>
      <c r="B274" s="6" t="s">
        <v>21</v>
      </c>
      <c r="C274" s="6">
        <v>1</v>
      </c>
      <c r="D274" s="6" t="s">
        <v>22</v>
      </c>
      <c r="E274" s="6" t="s">
        <v>27</v>
      </c>
      <c r="F274" s="6">
        <v>4583</v>
      </c>
      <c r="G274" s="6" t="s">
        <v>336</v>
      </c>
      <c r="H274" s="8">
        <v>46283</v>
      </c>
      <c r="I274" s="8">
        <v>46282</v>
      </c>
      <c r="J274" s="9" t="str">
        <f>+VLOOKUP(K274,Datos!$A:$C,3,FALSE)</f>
        <v>PETAPA</v>
      </c>
      <c r="K274" s="6">
        <v>119</v>
      </c>
      <c r="L274" s="9" t="str">
        <f>+VLOOKUP(K274,Datos!$A:$C,2,FALSE)</f>
        <v>VILLA HERMOSA</v>
      </c>
      <c r="M274" s="6">
        <v>90035213</v>
      </c>
      <c r="N274" s="9" t="str">
        <f>+VLOOKUP(M274,Datos!$F:$G,2,FALSE)</f>
        <v>Cindi Paola Zepeda Irineo</v>
      </c>
      <c r="O274" s="10">
        <f>IFERROR(IF(A274="SI",VLOOKUP(R274,Datos!$J$1:$K$50,2,FALSE)*C274,VLOOKUP(R274,Datos!$P$1:$T$50,2,FALSE)*C274),0)</f>
        <v>816</v>
      </c>
      <c r="P274" s="6">
        <v>90087137</v>
      </c>
      <c r="Q274" s="9" t="str">
        <f>+VLOOKUP(P274,Datos!$F:$G,2,FALSE)</f>
        <v xml:space="preserve">MIGUEL FERNANDO  QUIÑONEZ </v>
      </c>
      <c r="R274" s="6" t="s">
        <v>29</v>
      </c>
      <c r="S274" s="6" t="s">
        <v>20</v>
      </c>
      <c r="T274" s="6">
        <f t="shared" si="4"/>
        <v>1</v>
      </c>
    </row>
    <row r="275" spans="1:20" x14ac:dyDescent="0.35">
      <c r="A275" s="6" t="s">
        <v>20</v>
      </c>
      <c r="B275" s="6" t="s">
        <v>21</v>
      </c>
      <c r="C275" s="6">
        <v>1</v>
      </c>
      <c r="D275" s="6" t="s">
        <v>22</v>
      </c>
      <c r="E275" s="6" t="s">
        <v>27</v>
      </c>
      <c r="F275" s="6">
        <v>4559</v>
      </c>
      <c r="G275" s="6" t="s">
        <v>337</v>
      </c>
      <c r="H275" s="8">
        <v>46283</v>
      </c>
      <c r="I275" s="8">
        <v>46282</v>
      </c>
      <c r="J275" s="9" t="str">
        <f>+VLOOKUP(K275,Datos!$A:$C,3,FALSE)</f>
        <v>PETAPA</v>
      </c>
      <c r="K275" s="6">
        <v>119</v>
      </c>
      <c r="L275" s="9" t="str">
        <f>+VLOOKUP(K275,Datos!$A:$C,2,FALSE)</f>
        <v>VILLA HERMOSA</v>
      </c>
      <c r="M275" s="6">
        <v>90035213</v>
      </c>
      <c r="N275" s="9" t="str">
        <f>+VLOOKUP(M275,Datos!$F:$G,2,FALSE)</f>
        <v>Cindi Paola Zepeda Irineo</v>
      </c>
      <c r="O275" s="10">
        <f>IFERROR(IF(A275="SI",VLOOKUP(R275,Datos!$J$1:$K$50,2,FALSE)*C275,VLOOKUP(R275,Datos!$P$1:$T$50,2,FALSE)*C275),0)</f>
        <v>1368</v>
      </c>
      <c r="P275" s="6">
        <v>90087137</v>
      </c>
      <c r="Q275" s="9" t="str">
        <f>+VLOOKUP(P275,Datos!$F:$G,2,FALSE)</f>
        <v xml:space="preserve">MIGUEL FERNANDO  QUIÑONEZ </v>
      </c>
      <c r="R275" s="6" t="s">
        <v>25</v>
      </c>
      <c r="S275" s="6" t="s">
        <v>20</v>
      </c>
      <c r="T275" s="6">
        <f t="shared" si="4"/>
        <v>1</v>
      </c>
    </row>
    <row r="276" spans="1:20" x14ac:dyDescent="0.35">
      <c r="A276" s="6" t="s">
        <v>20</v>
      </c>
      <c r="B276" s="6" t="s">
        <v>21</v>
      </c>
      <c r="C276" s="6">
        <v>1</v>
      </c>
      <c r="D276" s="6" t="s">
        <v>22</v>
      </c>
      <c r="E276" s="6" t="s">
        <v>27</v>
      </c>
      <c r="F276" s="6">
        <v>4564</v>
      </c>
      <c r="G276" s="6" t="s">
        <v>338</v>
      </c>
      <c r="H276" s="8">
        <v>46283</v>
      </c>
      <c r="I276" s="8">
        <v>46282</v>
      </c>
      <c r="J276" s="9" t="str">
        <f>+VLOOKUP(K276,Datos!$A:$C,3,FALSE)</f>
        <v>PETAPA</v>
      </c>
      <c r="K276" s="6">
        <v>213</v>
      </c>
      <c r="L276" s="9" t="str">
        <f>+VLOOKUP(K276,Datos!$A:$C,2,FALSE)</f>
        <v>AMATITLAN</v>
      </c>
      <c r="M276" s="6">
        <v>313630</v>
      </c>
      <c r="N276" s="9" t="str">
        <f>+VLOOKUP(M276,Datos!$F:$G,2,FALSE)</f>
        <v>Susan Andrea Perez Lima</v>
      </c>
      <c r="O276" s="10">
        <f>IFERROR(IF(A276="SI",VLOOKUP(R276,Datos!$J$1:$K$50,2,FALSE)*C276,VLOOKUP(R276,Datos!$P$1:$T$50,2,FALSE)*C276),0)</f>
        <v>816</v>
      </c>
      <c r="P276" s="6">
        <v>314146</v>
      </c>
      <c r="Q276" s="9" t="str">
        <f>+VLOOKUP(P276,Datos!$F:$G,2,FALSE)</f>
        <v>Jairo Saul Lopez Quinteros</v>
      </c>
      <c r="R276" s="6" t="s">
        <v>29</v>
      </c>
      <c r="S276" s="6" t="s">
        <v>20</v>
      </c>
      <c r="T276" s="6">
        <f t="shared" si="4"/>
        <v>1</v>
      </c>
    </row>
    <row r="277" spans="1:20" x14ac:dyDescent="0.35">
      <c r="A277" s="6" t="s">
        <v>20</v>
      </c>
      <c r="B277" s="6" t="s">
        <v>21</v>
      </c>
      <c r="C277" s="6">
        <v>4</v>
      </c>
      <c r="D277" s="6" t="s">
        <v>22</v>
      </c>
      <c r="E277" s="6" t="s">
        <v>23</v>
      </c>
      <c r="F277" s="6">
        <v>823</v>
      </c>
      <c r="G277" s="6" t="s">
        <v>339</v>
      </c>
      <c r="H277" s="8">
        <v>46283</v>
      </c>
      <c r="I277" s="8">
        <v>46283</v>
      </c>
      <c r="J277" s="9" t="str">
        <f>+VLOOKUP(K277,Datos!$A:$C,3,FALSE)</f>
        <v>ORIENTE</v>
      </c>
      <c r="K277" s="6">
        <v>128</v>
      </c>
      <c r="L277" s="9" t="str">
        <f>+VLOOKUP(K277,Datos!$A:$C,2,FALSE)</f>
        <v>CHIQUIMULA 2</v>
      </c>
      <c r="M277" s="6">
        <v>315812</v>
      </c>
      <c r="N277" s="9" t="str">
        <f>+VLOOKUP(M277,Datos!$F:$G,2,FALSE)</f>
        <v>Josue Felipe Lopez Tojin</v>
      </c>
      <c r="O277" s="10">
        <f>IFERROR(IF(A277="SI",VLOOKUP(R277,Datos!$J$1:$K$50,2,FALSE)*C277,VLOOKUP(R277,Datos!$P$1:$T$50,2,FALSE)*C277),0)</f>
        <v>3264</v>
      </c>
      <c r="P277" s="6">
        <v>312176</v>
      </c>
      <c r="Q277" s="9" t="str">
        <f>+VLOOKUP(P277,Datos!$F:$G,2,FALSE)</f>
        <v>Nestor Edgardo Gutierrez Lazaro</v>
      </c>
      <c r="R277" s="6" t="s">
        <v>29</v>
      </c>
      <c r="S277" s="6" t="s">
        <v>20</v>
      </c>
      <c r="T277" s="6">
        <f t="shared" si="4"/>
        <v>1</v>
      </c>
    </row>
    <row r="278" spans="1:20" x14ac:dyDescent="0.35">
      <c r="A278" s="6" t="s">
        <v>20</v>
      </c>
      <c r="B278" s="6" t="s">
        <v>26</v>
      </c>
      <c r="C278" s="6">
        <v>4</v>
      </c>
      <c r="D278" s="6" t="s">
        <v>22</v>
      </c>
      <c r="E278" s="6" t="s">
        <v>23</v>
      </c>
      <c r="F278" s="6">
        <v>822</v>
      </c>
      <c r="G278" s="6" t="s">
        <v>340</v>
      </c>
      <c r="H278" s="8">
        <v>46283</v>
      </c>
      <c r="I278" s="8">
        <v>46283</v>
      </c>
      <c r="J278" s="9" t="str">
        <f>+VLOOKUP(K278,Datos!$A:$C,3,FALSE)</f>
        <v>ORIENTE</v>
      </c>
      <c r="K278" s="6">
        <v>144</v>
      </c>
      <c r="L278" s="9" t="str">
        <f>+VLOOKUP(K278,Datos!$A:$C,2,FALSE)</f>
        <v>RIO DULCE 2</v>
      </c>
      <c r="M278" s="6">
        <v>90087840</v>
      </c>
      <c r="N278" s="9" t="str">
        <f>+VLOOKUP(M278,Datos!$F:$G,2,FALSE)</f>
        <v xml:space="preserve">RUTH VARGAS </v>
      </c>
      <c r="O278" s="10">
        <f>IFERROR(IF(A278="SI",VLOOKUP(R278,Datos!$J$1:$K$50,2,FALSE)*C278,VLOOKUP(R278,Datos!$P$1:$T$50,2,FALSE)*C278),0)</f>
        <v>10944</v>
      </c>
      <c r="P278" s="6">
        <v>314613</v>
      </c>
      <c r="Q278" s="9" t="str">
        <f>+VLOOKUP(P278,Datos!$F:$G,2,FALSE)</f>
        <v>Yenifer Alicia Yessenia Tzib Lemus</v>
      </c>
      <c r="R278" s="6" t="s">
        <v>73</v>
      </c>
      <c r="S278" s="6" t="s">
        <v>20</v>
      </c>
      <c r="T278" s="6">
        <f t="shared" si="4"/>
        <v>1</v>
      </c>
    </row>
    <row r="279" spans="1:20" x14ac:dyDescent="0.35">
      <c r="A279" s="6" t="s">
        <v>20</v>
      </c>
      <c r="B279" s="6" t="s">
        <v>26</v>
      </c>
      <c r="C279" s="6">
        <v>2</v>
      </c>
      <c r="D279" s="6" t="s">
        <v>22</v>
      </c>
      <c r="E279" s="6" t="s">
        <v>31</v>
      </c>
      <c r="F279" s="6">
        <v>1311</v>
      </c>
      <c r="G279" s="6" t="s">
        <v>341</v>
      </c>
      <c r="H279" s="8">
        <v>46283</v>
      </c>
      <c r="I279" s="8">
        <v>46281</v>
      </c>
      <c r="J279" s="9" t="str">
        <f>+VLOOKUP(K279,Datos!$A:$C,3,FALSE)</f>
        <v>PETAPA</v>
      </c>
      <c r="K279" s="6">
        <v>213</v>
      </c>
      <c r="L279" s="9" t="str">
        <f>+VLOOKUP(K279,Datos!$A:$C,2,FALSE)</f>
        <v>AMATITLAN</v>
      </c>
      <c r="M279" s="6">
        <v>90034379</v>
      </c>
      <c r="N279" s="9" t="str">
        <f>+VLOOKUP(M279,Datos!$F:$G,2,FALSE)</f>
        <v>Leysi Lissett Ramirez Figueroa</v>
      </c>
      <c r="O279" s="10">
        <f>IFERROR(IF(A279="SI",VLOOKUP(R279,Datos!$J$1:$K$50,2,FALSE)*C279,VLOOKUP(R279,Datos!$P$1:$T$50,2,FALSE)*C279),0)</f>
        <v>1632</v>
      </c>
      <c r="P279" s="6">
        <v>314146</v>
      </c>
      <c r="Q279" s="9" t="str">
        <f>+VLOOKUP(P279,Datos!$F:$G,2,FALSE)</f>
        <v>Jairo Saul Lopez Quinteros</v>
      </c>
      <c r="R279" s="6" t="s">
        <v>29</v>
      </c>
      <c r="S279" s="6" t="s">
        <v>20</v>
      </c>
      <c r="T279" s="6">
        <f t="shared" si="4"/>
        <v>1</v>
      </c>
    </row>
    <row r="280" spans="1:20" x14ac:dyDescent="0.35">
      <c r="A280" s="6" t="s">
        <v>20</v>
      </c>
      <c r="B280" s="6" t="s">
        <v>21</v>
      </c>
      <c r="C280" s="6">
        <v>4</v>
      </c>
      <c r="D280" s="6" t="s">
        <v>22</v>
      </c>
      <c r="E280" s="6" t="s">
        <v>115</v>
      </c>
      <c r="F280" s="6">
        <v>193</v>
      </c>
      <c r="G280" s="6" t="s">
        <v>342</v>
      </c>
      <c r="H280" s="8">
        <v>46283</v>
      </c>
      <c r="I280" s="8">
        <v>46283</v>
      </c>
      <c r="J280" s="9" t="str">
        <f>+VLOOKUP(K280,Datos!$A:$C,3,FALSE)</f>
        <v>NORTE</v>
      </c>
      <c r="K280" s="6">
        <v>205</v>
      </c>
      <c r="L280" s="9" t="str">
        <f>+VLOOKUP(K280,Datos!$A:$C,2,FALSE)</f>
        <v>SAN CRISTOBAL VERAPAZ</v>
      </c>
      <c r="M280" s="6">
        <v>90081179</v>
      </c>
      <c r="N280" s="9" t="str">
        <f>+VLOOKUP(M280,Datos!$F:$G,2,FALSE)</f>
        <v>OSCAR MIGUEL QUEJ TILOM</v>
      </c>
      <c r="O280" s="10">
        <f>IFERROR(IF(A280="SI",VLOOKUP(R280,Datos!$J$1:$K$50,2,FALSE)*C280,VLOOKUP(R280,Datos!$P$1:$T$50,2,FALSE)*C280),0)</f>
        <v>4368</v>
      </c>
      <c r="P280" s="6">
        <v>300978</v>
      </c>
      <c r="Q280" s="9" t="str">
        <f>+VLOOKUP(P280,Datos!$F:$G,2,FALSE)</f>
        <v>Wuangler Geovane Cal Sucup</v>
      </c>
      <c r="R280" s="6" t="s">
        <v>117</v>
      </c>
      <c r="S280" s="6" t="s">
        <v>20</v>
      </c>
      <c r="T280" s="6">
        <f t="shared" si="4"/>
        <v>1</v>
      </c>
    </row>
    <row r="281" spans="1:20" x14ac:dyDescent="0.35">
      <c r="A281" s="6" t="s">
        <v>20</v>
      </c>
      <c r="B281" s="6" t="s">
        <v>21</v>
      </c>
      <c r="C281" s="6">
        <v>3</v>
      </c>
      <c r="D281" s="6" t="s">
        <v>22</v>
      </c>
      <c r="E281" s="6" t="s">
        <v>53</v>
      </c>
      <c r="F281" s="6">
        <v>689</v>
      </c>
      <c r="G281" s="6" t="s">
        <v>343</v>
      </c>
      <c r="H281" s="8">
        <v>46283</v>
      </c>
      <c r="I281" s="8">
        <v>46283</v>
      </c>
      <c r="J281" s="9" t="str">
        <f>+VLOOKUP(K281,Datos!$A:$C,3,FALSE)</f>
        <v>ORIENTE</v>
      </c>
      <c r="K281" s="6">
        <v>180</v>
      </c>
      <c r="L281" s="9" t="str">
        <f>+VLOOKUP(K281,Datos!$A:$C,2,FALSE)</f>
        <v>MONJAS</v>
      </c>
      <c r="M281" s="6">
        <v>90040241</v>
      </c>
      <c r="N281" s="9" t="str">
        <f>+VLOOKUP(M281,Datos!$F:$G,2,FALSE)</f>
        <v>Jairo Alessandro Urbina Santiago</v>
      </c>
      <c r="O281" s="10">
        <f>IFERROR(IF(A281="SI",VLOOKUP(R281,Datos!$J$1:$K$50,2,FALSE)*C281,VLOOKUP(R281,Datos!$P$1:$T$50,2,FALSE)*C281),0)</f>
        <v>8208</v>
      </c>
      <c r="P281" s="6">
        <v>315038</v>
      </c>
      <c r="Q281" s="9" t="str">
        <f>+VLOOKUP(P281,Datos!$F:$G,2,FALSE)</f>
        <v>Flor Sylvestre Orellana Gonzalez</v>
      </c>
      <c r="R281" s="6" t="s">
        <v>73</v>
      </c>
      <c r="S281" s="6" t="s">
        <v>20</v>
      </c>
      <c r="T281" s="6">
        <f t="shared" si="4"/>
        <v>1</v>
      </c>
    </row>
    <row r="282" spans="1:20" x14ac:dyDescent="0.35">
      <c r="A282" s="6" t="s">
        <v>20</v>
      </c>
      <c r="B282" s="6" t="s">
        <v>21</v>
      </c>
      <c r="C282" s="6">
        <v>2</v>
      </c>
      <c r="D282" s="6" t="s">
        <v>22</v>
      </c>
      <c r="E282" s="6" t="s">
        <v>31</v>
      </c>
      <c r="F282" s="6">
        <v>1315</v>
      </c>
      <c r="G282" s="6" t="s">
        <v>344</v>
      </c>
      <c r="H282" s="8">
        <v>46283</v>
      </c>
      <c r="I282" s="8">
        <v>46283</v>
      </c>
      <c r="J282" s="9" t="str">
        <f>+VLOOKUP(K282,Datos!$A:$C,3,FALSE)</f>
        <v>ORIENTE</v>
      </c>
      <c r="K282" s="6">
        <v>128</v>
      </c>
      <c r="L282" s="9" t="str">
        <f>+VLOOKUP(K282,Datos!$A:$C,2,FALSE)</f>
        <v>CHIQUIMULA 2</v>
      </c>
      <c r="M282" s="6">
        <v>313864</v>
      </c>
      <c r="N282" s="9" t="str">
        <f>+VLOOKUP(M282,Datos!$F:$G,2,FALSE)</f>
        <v>Milena Maria Mendez Cheguen</v>
      </c>
      <c r="O282" s="10">
        <f>IFERROR(IF(A282="SI",VLOOKUP(R282,Datos!$J$1:$K$50,2,FALSE)*C282,VLOOKUP(R282,Datos!$P$1:$T$50,2,FALSE)*C282),0)</f>
        <v>1632</v>
      </c>
      <c r="P282" s="6">
        <v>312176</v>
      </c>
      <c r="Q282" s="9" t="str">
        <f>+VLOOKUP(P282,Datos!$F:$G,2,FALSE)</f>
        <v>Nestor Edgardo Gutierrez Lazaro</v>
      </c>
      <c r="R282" s="6" t="s">
        <v>29</v>
      </c>
      <c r="S282" s="6" t="s">
        <v>20</v>
      </c>
      <c r="T282" s="6">
        <f t="shared" si="4"/>
        <v>1</v>
      </c>
    </row>
    <row r="283" spans="1:20" x14ac:dyDescent="0.35">
      <c r="A283" s="6" t="s">
        <v>20</v>
      </c>
      <c r="B283" s="6" t="s">
        <v>26</v>
      </c>
      <c r="C283" s="6">
        <v>1</v>
      </c>
      <c r="D283" s="6" t="s">
        <v>22</v>
      </c>
      <c r="E283" s="6" t="s">
        <v>27</v>
      </c>
      <c r="F283" s="6">
        <v>4594</v>
      </c>
      <c r="G283" s="6" t="s">
        <v>345</v>
      </c>
      <c r="H283" s="8">
        <v>46283</v>
      </c>
      <c r="I283" s="8">
        <v>46283</v>
      </c>
      <c r="J283" s="9" t="str">
        <f>+VLOOKUP(K283,Datos!$A:$C,3,FALSE)</f>
        <v>PETAPA</v>
      </c>
      <c r="K283" s="6">
        <v>120</v>
      </c>
      <c r="L283" s="9" t="str">
        <f>+VLOOKUP(K283,Datos!$A:$C,2,FALSE)</f>
        <v>VILLA NUEVA 2</v>
      </c>
      <c r="M283" s="6">
        <v>90087560</v>
      </c>
      <c r="N283" s="9" t="str">
        <f>+VLOOKUP(M283,Datos!$F:$G,2,FALSE)</f>
        <v>MARLEN DIDI SANTOS MARROQUIN</v>
      </c>
      <c r="O283" s="10">
        <f>IFERROR(IF(A283="SI",VLOOKUP(R283,Datos!$J$1:$K$50,2,FALSE)*C283,VLOOKUP(R283,Datos!$P$1:$T$50,2,FALSE)*C283),0)</f>
        <v>816</v>
      </c>
      <c r="P283" s="6">
        <v>90085280</v>
      </c>
      <c r="Q283" s="9" t="str">
        <f>+VLOOKUP(P283,Datos!$F:$G,2,FALSE)</f>
        <v>MARIA NOJ</v>
      </c>
      <c r="R283" s="6" t="s">
        <v>29</v>
      </c>
      <c r="S283" s="6" t="s">
        <v>20</v>
      </c>
      <c r="T283" s="6">
        <f t="shared" si="4"/>
        <v>1</v>
      </c>
    </row>
    <row r="284" spans="1:20" x14ac:dyDescent="0.35">
      <c r="A284" s="6" t="s">
        <v>20</v>
      </c>
      <c r="B284" s="6" t="s">
        <v>21</v>
      </c>
      <c r="C284" s="6">
        <v>4</v>
      </c>
      <c r="D284" s="6" t="s">
        <v>22</v>
      </c>
      <c r="E284" s="6" t="s">
        <v>115</v>
      </c>
      <c r="F284" s="6">
        <v>195</v>
      </c>
      <c r="G284" s="6" t="s">
        <v>346</v>
      </c>
      <c r="H284" s="8">
        <v>46283</v>
      </c>
      <c r="I284" s="8">
        <v>46283</v>
      </c>
      <c r="J284" s="9" t="str">
        <f>+VLOOKUP(K284,Datos!$A:$C,3,FALSE)</f>
        <v>NORTE</v>
      </c>
      <c r="K284" s="6">
        <v>162</v>
      </c>
      <c r="L284" s="9" t="str">
        <f>+VLOOKUP(K284,Datos!$A:$C,2,FALSE)</f>
        <v>CHISEC</v>
      </c>
      <c r="M284" s="6">
        <v>315497</v>
      </c>
      <c r="N284" s="9" t="str">
        <f>+VLOOKUP(M284,Datos!$F:$G,2,FALSE)</f>
        <v>Coc Coronado, Osman Ivan Boanerges</v>
      </c>
      <c r="O284" s="10">
        <f>IFERROR(IF(A284="SI",VLOOKUP(R284,Datos!$J$1:$K$50,2,FALSE)*C284,VLOOKUP(R284,Datos!$P$1:$T$50,2,FALSE)*C284),0)</f>
        <v>4368</v>
      </c>
      <c r="P284" s="6">
        <v>315051</v>
      </c>
      <c r="Q284" s="9" t="str">
        <f>+VLOOKUP(P284,Datos!$F:$G,2,FALSE)</f>
        <v>Carlos Alfredo Catun Rax</v>
      </c>
      <c r="R284" s="6" t="s">
        <v>117</v>
      </c>
      <c r="S284" s="6" t="s">
        <v>20</v>
      </c>
      <c r="T284" s="6">
        <f t="shared" si="4"/>
        <v>1</v>
      </c>
    </row>
    <row r="285" spans="1:20" x14ac:dyDescent="0.35">
      <c r="A285" s="6" t="s">
        <v>20</v>
      </c>
      <c r="B285" s="6" t="s">
        <v>26</v>
      </c>
      <c r="C285" s="6">
        <v>2</v>
      </c>
      <c r="D285" s="6" t="s">
        <v>22</v>
      </c>
      <c r="E285" s="6" t="s">
        <v>31</v>
      </c>
      <c r="F285" s="6">
        <v>1322</v>
      </c>
      <c r="G285" s="6" t="s">
        <v>347</v>
      </c>
      <c r="H285" s="8">
        <v>46283</v>
      </c>
      <c r="I285" s="8">
        <v>46283</v>
      </c>
      <c r="J285" s="9" t="str">
        <f>+VLOOKUP(K285,Datos!$A:$C,3,FALSE)</f>
        <v>PETAPA</v>
      </c>
      <c r="K285" s="6">
        <v>112</v>
      </c>
      <c r="L285" s="9" t="str">
        <f>+VLOOKUP(K285,Datos!$A:$C,2,FALSE)</f>
        <v>PACIFIC CENTER</v>
      </c>
      <c r="M285" s="6">
        <v>90080778</v>
      </c>
      <c r="N285" s="9" t="str">
        <f>+VLOOKUP(M285,Datos!$F:$G,2,FALSE)</f>
        <v>EMILY ANDREA DE LEON  LOPEZ</v>
      </c>
      <c r="O285" s="10">
        <f>IFERROR(IF(A285="SI",VLOOKUP(R285,Datos!$J$1:$K$50,2,FALSE)*C285,VLOOKUP(R285,Datos!$P$1:$T$50,2,FALSE)*C285),0)</f>
        <v>1632</v>
      </c>
      <c r="P285" s="6">
        <v>309744</v>
      </c>
      <c r="Q285" s="9" t="str">
        <f>+VLOOKUP(P285,Datos!$F:$G,2,FALSE)</f>
        <v>Odalis Ruby Garcia Siquina</v>
      </c>
      <c r="R285" s="6" t="s">
        <v>29</v>
      </c>
      <c r="S285" s="6" t="s">
        <v>20</v>
      </c>
      <c r="T285" s="6">
        <f t="shared" si="4"/>
        <v>1</v>
      </c>
    </row>
    <row r="286" spans="1:20" x14ac:dyDescent="0.35">
      <c r="A286" s="6" t="s">
        <v>20</v>
      </c>
      <c r="B286" s="6" t="s">
        <v>26</v>
      </c>
      <c r="C286" s="6">
        <v>1</v>
      </c>
      <c r="D286" s="6" t="s">
        <v>22</v>
      </c>
      <c r="E286" s="6" t="s">
        <v>194</v>
      </c>
      <c r="F286" s="6">
        <v>2960</v>
      </c>
      <c r="G286" s="6" t="s">
        <v>348</v>
      </c>
      <c r="H286" s="8">
        <v>46283</v>
      </c>
      <c r="I286" s="8">
        <v>46283</v>
      </c>
      <c r="J286" s="9" t="str">
        <f>+VLOOKUP(K286,Datos!$A:$C,3,FALSE)</f>
        <v>AMERICAS</v>
      </c>
      <c r="K286" s="6">
        <v>226</v>
      </c>
      <c r="L286" s="9" t="str">
        <f>+VLOOKUP(K286,Datos!$A:$C,2,FALSE)</f>
        <v>SAN JOSE PINULA</v>
      </c>
      <c r="M286" s="6">
        <v>315218</v>
      </c>
      <c r="N286" s="9" t="str">
        <f>+VLOOKUP(M286,Datos!$F:$G,2,FALSE)</f>
        <v>Herberth Alberto Barrios Perez</v>
      </c>
      <c r="O286" s="10">
        <f>IFERROR(IF(A286="SI",VLOOKUP(R286,Datos!$J$1:$K$50,2,FALSE)*C286,VLOOKUP(R286,Datos!$P$1:$T$50,2,FALSE)*C286),0)</f>
        <v>1908</v>
      </c>
      <c r="P286" s="6">
        <v>302592</v>
      </c>
      <c r="Q286" s="9" t="str">
        <f>+VLOOKUP(P286,Datos!$F:$G,2,FALSE)</f>
        <v>Nanci Paola Con Morales</v>
      </c>
      <c r="R286" s="6" t="s">
        <v>196</v>
      </c>
      <c r="S286" s="6" t="s">
        <v>20</v>
      </c>
      <c r="T286" s="6">
        <f t="shared" si="4"/>
        <v>1</v>
      </c>
    </row>
    <row r="287" spans="1:20" x14ac:dyDescent="0.35">
      <c r="A287" s="6" t="s">
        <v>20</v>
      </c>
      <c r="B287" s="6" t="s">
        <v>21</v>
      </c>
      <c r="C287" s="6">
        <v>3</v>
      </c>
      <c r="D287" s="6" t="s">
        <v>22</v>
      </c>
      <c r="E287" s="6" t="s">
        <v>53</v>
      </c>
      <c r="F287" s="6">
        <v>669</v>
      </c>
      <c r="G287" s="6" t="s">
        <v>349</v>
      </c>
      <c r="H287" s="8">
        <v>46283</v>
      </c>
      <c r="I287" s="8">
        <v>46282</v>
      </c>
      <c r="J287" s="9" t="str">
        <f>+VLOOKUP(K287,Datos!$A:$C,3,FALSE)</f>
        <v>NORTE</v>
      </c>
      <c r="K287" s="6">
        <v>80</v>
      </c>
      <c r="L287" s="9" t="str">
        <f>+VLOOKUP(K287,Datos!$A:$C,2,FALSE)</f>
        <v>TACTIC</v>
      </c>
      <c r="M287" s="6">
        <v>315859</v>
      </c>
      <c r="N287" s="9" t="str">
        <f>+VLOOKUP(M287,Datos!$F:$G,2,FALSE)</f>
        <v>Claudia Roxana Beb Ac</v>
      </c>
      <c r="O287" s="10">
        <f>IFERROR(IF(A287="SI",VLOOKUP(R287,Datos!$J$1:$K$50,2,FALSE)*C287,VLOOKUP(R287,Datos!$P$1:$T$50,2,FALSE)*C287),0)</f>
        <v>4104</v>
      </c>
      <c r="P287" s="6">
        <v>309528</v>
      </c>
      <c r="Q287" s="9" t="str">
        <f>+VLOOKUP(P287,Datos!$F:$G,2,FALSE)</f>
        <v>Heydi Zuleyma Gue Cac</v>
      </c>
      <c r="R287" s="6" t="s">
        <v>25</v>
      </c>
      <c r="S287" s="6" t="s">
        <v>20</v>
      </c>
      <c r="T287" s="6">
        <f t="shared" si="4"/>
        <v>1</v>
      </c>
    </row>
    <row r="288" spans="1:20" x14ac:dyDescent="0.35">
      <c r="A288" s="6" t="s">
        <v>20</v>
      </c>
      <c r="B288" s="6" t="s">
        <v>21</v>
      </c>
      <c r="C288" s="6">
        <v>1</v>
      </c>
      <c r="D288" s="6" t="s">
        <v>22</v>
      </c>
      <c r="E288" s="6" t="s">
        <v>27</v>
      </c>
      <c r="F288" s="6">
        <v>4609</v>
      </c>
      <c r="G288" s="6" t="s">
        <v>350</v>
      </c>
      <c r="H288" s="8">
        <v>46283</v>
      </c>
      <c r="I288" s="8">
        <v>46283</v>
      </c>
      <c r="J288" s="9" t="str">
        <f>+VLOOKUP(K288,Datos!$A:$C,3,FALSE)</f>
        <v>NORTE</v>
      </c>
      <c r="K288" s="6">
        <v>80</v>
      </c>
      <c r="L288" s="9" t="str">
        <f>+VLOOKUP(K288,Datos!$A:$C,2,FALSE)</f>
        <v>TACTIC</v>
      </c>
      <c r="M288" s="6">
        <v>315859</v>
      </c>
      <c r="N288" s="9" t="str">
        <f>+VLOOKUP(M288,Datos!$F:$G,2,FALSE)</f>
        <v>Claudia Roxana Beb Ac</v>
      </c>
      <c r="O288" s="10">
        <f>IFERROR(IF(A288="SI",VLOOKUP(R288,Datos!$J$1:$K$50,2,FALSE)*C288,VLOOKUP(R288,Datos!$P$1:$T$50,2,FALSE)*C288),0)</f>
        <v>1368</v>
      </c>
      <c r="P288" s="6">
        <v>309528</v>
      </c>
      <c r="Q288" s="9" t="str">
        <f>+VLOOKUP(P288,Datos!$F:$G,2,FALSE)</f>
        <v>Heydi Zuleyma Gue Cac</v>
      </c>
      <c r="R288" s="6" t="s">
        <v>25</v>
      </c>
      <c r="S288" s="6" t="s">
        <v>20</v>
      </c>
      <c r="T288" s="6">
        <f t="shared" si="4"/>
        <v>1</v>
      </c>
    </row>
    <row r="289" spans="1:20" x14ac:dyDescent="0.35">
      <c r="A289" s="6" t="s">
        <v>20</v>
      </c>
      <c r="B289" s="6" t="s">
        <v>21</v>
      </c>
      <c r="C289" s="6">
        <v>2</v>
      </c>
      <c r="D289" s="6" t="s">
        <v>22</v>
      </c>
      <c r="E289" s="6" t="s">
        <v>31</v>
      </c>
      <c r="F289" s="6">
        <v>1317</v>
      </c>
      <c r="G289" s="6" t="s">
        <v>351</v>
      </c>
      <c r="H289" s="8">
        <v>46283</v>
      </c>
      <c r="I289" s="8">
        <v>46283</v>
      </c>
      <c r="J289" s="9" t="str">
        <f>+VLOOKUP(K289,Datos!$A:$C,3,FALSE)</f>
        <v>NORTE</v>
      </c>
      <c r="K289" s="6">
        <v>215</v>
      </c>
      <c r="L289" s="9" t="str">
        <f>+VLOOKUP(K289,Datos!$A:$C,2,FALSE)</f>
        <v>FRAY BARTOLOME DE LAS CASAS</v>
      </c>
      <c r="M289" s="6">
        <v>90039941</v>
      </c>
      <c r="N289" s="9" t="str">
        <f>+VLOOKUP(M289,Datos!$F:$G,2,FALSE)</f>
        <v xml:space="preserve">Jose Domingo Chub Cao </v>
      </c>
      <c r="O289" s="10">
        <f>IFERROR(IF(A289="SI",VLOOKUP(R289,Datos!$J$1:$K$50,2,FALSE)*C289,VLOOKUP(R289,Datos!$P$1:$T$50,2,FALSE)*C289),0)</f>
        <v>1632</v>
      </c>
      <c r="P289" s="6">
        <v>306493</v>
      </c>
      <c r="Q289" s="9" t="str">
        <f>+VLOOKUP(P289,Datos!$F:$G,2,FALSE)</f>
        <v>Yackelin Maribel Zamora Medina Requena</v>
      </c>
      <c r="R289" s="6" t="s">
        <v>29</v>
      </c>
      <c r="S289" s="6" t="s">
        <v>20</v>
      </c>
      <c r="T289" s="6">
        <f t="shared" si="4"/>
        <v>1</v>
      </c>
    </row>
    <row r="290" spans="1:20" x14ac:dyDescent="0.35">
      <c r="A290" s="6" t="s">
        <v>20</v>
      </c>
      <c r="B290" s="6" t="s">
        <v>26</v>
      </c>
      <c r="C290" s="6">
        <v>1</v>
      </c>
      <c r="D290" s="6" t="s">
        <v>22</v>
      </c>
      <c r="E290" s="6" t="s">
        <v>27</v>
      </c>
      <c r="F290" s="6">
        <v>4622</v>
      </c>
      <c r="G290" s="6" t="s">
        <v>352</v>
      </c>
      <c r="H290" s="8">
        <v>46283</v>
      </c>
      <c r="I290" s="8">
        <v>46283</v>
      </c>
      <c r="J290" s="9" t="str">
        <f>+VLOOKUP(K290,Datos!$A:$C,3,FALSE)</f>
        <v>PETAPA</v>
      </c>
      <c r="K290" s="6">
        <v>213</v>
      </c>
      <c r="L290" s="9" t="str">
        <f>+VLOOKUP(K290,Datos!$A:$C,2,FALSE)</f>
        <v>AMATITLAN</v>
      </c>
      <c r="M290" s="6">
        <v>90034379</v>
      </c>
      <c r="N290" s="9" t="str">
        <f>+VLOOKUP(M290,Datos!$F:$G,2,FALSE)</f>
        <v>Leysi Lissett Ramirez Figueroa</v>
      </c>
      <c r="O290" s="10">
        <f>IFERROR(IF(A290="SI",VLOOKUP(R290,Datos!$J$1:$K$50,2,FALSE)*C290,VLOOKUP(R290,Datos!$P$1:$T$50,2,FALSE)*C290),0)</f>
        <v>6828</v>
      </c>
      <c r="P290" s="6">
        <v>314146</v>
      </c>
      <c r="Q290" s="9" t="str">
        <f>+VLOOKUP(P290,Datos!$F:$G,2,FALSE)</f>
        <v>Jairo Saul Lopez Quinteros</v>
      </c>
      <c r="R290" s="6" t="s">
        <v>163</v>
      </c>
      <c r="S290" s="6" t="s">
        <v>20</v>
      </c>
      <c r="T290" s="6">
        <f t="shared" si="4"/>
        <v>1</v>
      </c>
    </row>
    <row r="291" spans="1:20" x14ac:dyDescent="0.35">
      <c r="A291" s="6" t="s">
        <v>20</v>
      </c>
      <c r="B291" s="6" t="s">
        <v>21</v>
      </c>
      <c r="C291" s="6">
        <v>1</v>
      </c>
      <c r="D291" s="6" t="s">
        <v>22</v>
      </c>
      <c r="E291" s="6" t="s">
        <v>27</v>
      </c>
      <c r="F291" s="6">
        <v>4592</v>
      </c>
      <c r="G291" s="6" t="s">
        <v>353</v>
      </c>
      <c r="H291" s="8">
        <v>46283</v>
      </c>
      <c r="I291" s="8">
        <v>46283</v>
      </c>
      <c r="J291" s="9" t="str">
        <f>+VLOOKUP(K291,Datos!$A:$C,3,FALSE)</f>
        <v>NORTE</v>
      </c>
      <c r="K291" s="6">
        <v>163</v>
      </c>
      <c r="L291" s="9" t="str">
        <f>+VLOOKUP(K291,Datos!$A:$C,2,FALSE)</f>
        <v>LA TINTA</v>
      </c>
      <c r="M291" s="6">
        <v>90038373</v>
      </c>
      <c r="N291" s="9" t="str">
        <f>+VLOOKUP(M291,Datos!$F:$G,2,FALSE)</f>
        <v>Bryan Sleyter Gabriel Coy Tercero</v>
      </c>
      <c r="O291" s="10">
        <f>IFERROR(IF(A291="SI",VLOOKUP(R291,Datos!$J$1:$K$50,2,FALSE)*C291,VLOOKUP(R291,Datos!$P$1:$T$50,2,FALSE)*C291),0)</f>
        <v>816</v>
      </c>
      <c r="P291" s="6">
        <v>90084233</v>
      </c>
      <c r="Q291" s="9" t="str">
        <f>+VLOOKUP(P291,Datos!$F:$G,2,FALSE)</f>
        <v>CECILIA DORCAS SIQUIC VELASQUEZ</v>
      </c>
      <c r="R291" s="6" t="s">
        <v>29</v>
      </c>
      <c r="S291" s="6" t="s">
        <v>20</v>
      </c>
      <c r="T291" s="6">
        <f t="shared" si="4"/>
        <v>1</v>
      </c>
    </row>
    <row r="292" spans="1:20" x14ac:dyDescent="0.35">
      <c r="A292" s="6" t="s">
        <v>20</v>
      </c>
      <c r="B292" s="6" t="s">
        <v>21</v>
      </c>
      <c r="C292" s="6">
        <v>2</v>
      </c>
      <c r="D292" s="6" t="s">
        <v>22</v>
      </c>
      <c r="E292" s="6" t="s">
        <v>320</v>
      </c>
      <c r="F292" s="6">
        <v>1313</v>
      </c>
      <c r="G292" s="6" t="s">
        <v>354</v>
      </c>
      <c r="H292" s="8">
        <v>46283</v>
      </c>
      <c r="I292" s="8">
        <v>46283</v>
      </c>
      <c r="J292" s="9" t="str">
        <f>+VLOOKUP(K292,Datos!$A:$C,3,FALSE)</f>
        <v>ORIENTE</v>
      </c>
      <c r="K292" s="6">
        <v>41</v>
      </c>
      <c r="L292" s="9" t="str">
        <f>+VLOOKUP(K292,Datos!$A:$C,2,FALSE)</f>
        <v>JUTIAPA</v>
      </c>
      <c r="M292" s="6">
        <v>90048448</v>
      </c>
      <c r="N292" s="9" t="str">
        <f>+VLOOKUP(M292,Datos!$F:$G,2,FALSE)</f>
        <v>Erick Cecilio Salvatierra García</v>
      </c>
      <c r="O292" s="10">
        <f>IFERROR(IF(A292="SI",VLOOKUP(R292,Datos!$J$1:$K$50,2,FALSE)*C292,VLOOKUP(R292,Datos!$P$1:$T$50,2,FALSE)*C292),0)</f>
        <v>1632</v>
      </c>
      <c r="P292" s="6">
        <v>301658</v>
      </c>
      <c r="Q292" s="9" t="str">
        <f>+VLOOKUP(P292,Datos!$F:$G,2,FALSE)</f>
        <v>Ruth Nohemi Contreras Hernandez</v>
      </c>
      <c r="R292" s="6" t="s">
        <v>29</v>
      </c>
      <c r="S292" s="6" t="s">
        <v>20</v>
      </c>
      <c r="T292" s="6">
        <f t="shared" si="4"/>
        <v>1</v>
      </c>
    </row>
    <row r="293" spans="1:20" x14ac:dyDescent="0.35">
      <c r="A293" s="6" t="s">
        <v>20</v>
      </c>
      <c r="B293" s="6" t="s">
        <v>21</v>
      </c>
      <c r="C293" s="6">
        <v>4</v>
      </c>
      <c r="D293" s="6" t="s">
        <v>22</v>
      </c>
      <c r="E293" s="6" t="s">
        <v>23</v>
      </c>
      <c r="F293" s="6">
        <v>833</v>
      </c>
      <c r="G293" s="6" t="s">
        <v>355</v>
      </c>
      <c r="H293" s="8">
        <v>46283</v>
      </c>
      <c r="I293" s="8">
        <v>46283</v>
      </c>
      <c r="J293" s="9" t="str">
        <f>+VLOOKUP(K293,Datos!$A:$C,3,FALSE)</f>
        <v>ORIENTE</v>
      </c>
      <c r="K293" s="6">
        <v>41</v>
      </c>
      <c r="L293" s="9" t="str">
        <f>+VLOOKUP(K293,Datos!$A:$C,2,FALSE)</f>
        <v>JUTIAPA</v>
      </c>
      <c r="M293" s="6">
        <v>90048448</v>
      </c>
      <c r="N293" s="9" t="str">
        <f>+VLOOKUP(M293,Datos!$F:$G,2,FALSE)</f>
        <v>Erick Cecilio Salvatierra García</v>
      </c>
      <c r="O293" s="10">
        <f>IFERROR(IF(A293="SI",VLOOKUP(R293,Datos!$J$1:$K$50,2,FALSE)*C293,VLOOKUP(R293,Datos!$P$1:$T$50,2,FALSE)*C293),0)</f>
        <v>5472</v>
      </c>
      <c r="P293" s="6">
        <v>301658</v>
      </c>
      <c r="Q293" s="9" t="str">
        <f>+VLOOKUP(P293,Datos!$F:$G,2,FALSE)</f>
        <v>Ruth Nohemi Contreras Hernandez</v>
      </c>
      <c r="R293" s="6" t="s">
        <v>25</v>
      </c>
      <c r="S293" s="6" t="s">
        <v>20</v>
      </c>
      <c r="T293" s="6">
        <f t="shared" si="4"/>
        <v>1</v>
      </c>
    </row>
    <row r="294" spans="1:20" x14ac:dyDescent="0.35">
      <c r="A294" s="6" t="s">
        <v>20</v>
      </c>
      <c r="B294" s="6" t="s">
        <v>21</v>
      </c>
      <c r="C294" s="6">
        <v>1</v>
      </c>
      <c r="D294" s="6" t="s">
        <v>22</v>
      </c>
      <c r="E294" s="6" t="s">
        <v>27</v>
      </c>
      <c r="F294" s="6">
        <v>4624</v>
      </c>
      <c r="G294" s="6" t="s">
        <v>356</v>
      </c>
      <c r="H294" s="8">
        <v>46283</v>
      </c>
      <c r="I294" s="8">
        <v>46283</v>
      </c>
      <c r="J294" s="9" t="str">
        <f>+VLOOKUP(K294,Datos!$A:$C,3,FALSE)</f>
        <v>ORIENTE</v>
      </c>
      <c r="K294" s="6">
        <v>41</v>
      </c>
      <c r="L294" s="9" t="str">
        <f>+VLOOKUP(K294,Datos!$A:$C,2,FALSE)</f>
        <v>JUTIAPA</v>
      </c>
      <c r="M294" s="6">
        <v>90086174</v>
      </c>
      <c r="N294" s="9" t="str">
        <f>+VLOOKUP(M294,Datos!$F:$G,2,FALSE)</f>
        <v>DAILY ELIZABETH ALAY VANEGAS</v>
      </c>
      <c r="O294" s="10">
        <f>IFERROR(IF(A294="SI",VLOOKUP(R294,Datos!$J$1:$K$50,2,FALSE)*C294,VLOOKUP(R294,Datos!$P$1:$T$50,2,FALSE)*C294),0)</f>
        <v>1368</v>
      </c>
      <c r="P294" s="6">
        <v>311802</v>
      </c>
      <c r="Q294" s="9" t="str">
        <f>+VLOOKUP(P294,Datos!$F:$G,2,FALSE)</f>
        <v>Jose Roberto Samayoa Bernal</v>
      </c>
      <c r="R294" s="6" t="s">
        <v>25</v>
      </c>
      <c r="S294" s="6" t="s">
        <v>20</v>
      </c>
      <c r="T294" s="6">
        <f t="shared" si="4"/>
        <v>1</v>
      </c>
    </row>
    <row r="295" spans="1:20" x14ac:dyDescent="0.35">
      <c r="A295" s="6" t="s">
        <v>20</v>
      </c>
      <c r="B295" s="6" t="s">
        <v>21</v>
      </c>
      <c r="C295" s="6">
        <v>1</v>
      </c>
      <c r="D295" s="6" t="s">
        <v>22</v>
      </c>
      <c r="E295" s="6" t="s">
        <v>27</v>
      </c>
      <c r="F295" s="6">
        <v>4596</v>
      </c>
      <c r="G295" s="6" t="s">
        <v>357</v>
      </c>
      <c r="H295" s="8">
        <v>46283</v>
      </c>
      <c r="I295" s="8">
        <v>46283</v>
      </c>
      <c r="J295" s="9" t="str">
        <f>+VLOOKUP(K295,Datos!$A:$C,3,FALSE)</f>
        <v>NORTE</v>
      </c>
      <c r="K295" s="6">
        <v>163</v>
      </c>
      <c r="L295" s="9" t="str">
        <f>+VLOOKUP(K295,Datos!$A:$C,2,FALSE)</f>
        <v>LA TINTA</v>
      </c>
      <c r="M295" s="6">
        <v>90038373</v>
      </c>
      <c r="N295" s="9" t="str">
        <f>+VLOOKUP(M295,Datos!$F:$G,2,FALSE)</f>
        <v>Bryan Sleyter Gabriel Coy Tercero</v>
      </c>
      <c r="O295" s="10">
        <f>IFERROR(IF(A295="SI",VLOOKUP(R295,Datos!$J$1:$K$50,2,FALSE)*C295,VLOOKUP(R295,Datos!$P$1:$T$50,2,FALSE)*C295),0)</f>
        <v>816</v>
      </c>
      <c r="P295" s="6">
        <v>90084233</v>
      </c>
      <c r="Q295" s="9" t="str">
        <f>+VLOOKUP(P295,Datos!$F:$G,2,FALSE)</f>
        <v>CECILIA DORCAS SIQUIC VELASQUEZ</v>
      </c>
      <c r="R295" s="6" t="s">
        <v>29</v>
      </c>
      <c r="S295" s="6" t="s">
        <v>20</v>
      </c>
      <c r="T295" s="6">
        <f t="shared" ref="T295:T358" si="5">+COUNTIFS($G$2:$G$623,G295)</f>
        <v>1</v>
      </c>
    </row>
    <row r="296" spans="1:20" x14ac:dyDescent="0.35">
      <c r="A296" s="6" t="s">
        <v>20</v>
      </c>
      <c r="B296" s="6" t="s">
        <v>21</v>
      </c>
      <c r="C296" s="6">
        <v>2</v>
      </c>
      <c r="D296" s="6" t="s">
        <v>22</v>
      </c>
      <c r="E296" s="6" t="s">
        <v>31</v>
      </c>
      <c r="F296" s="6">
        <v>1326</v>
      </c>
      <c r="G296" s="6" t="s">
        <v>358</v>
      </c>
      <c r="H296" s="8">
        <v>46283</v>
      </c>
      <c r="I296" s="8">
        <v>46283</v>
      </c>
      <c r="J296" s="9" t="str">
        <f>+VLOOKUP(K296,Datos!$A:$C,3,FALSE)</f>
        <v>AMERICAS</v>
      </c>
      <c r="K296" s="6">
        <v>30</v>
      </c>
      <c r="L296" s="9" t="str">
        <f>+VLOOKUP(K296,Datos!$A:$C,2,FALSE)</f>
        <v>BARBERENA</v>
      </c>
      <c r="M296" s="6">
        <v>90024235</v>
      </c>
      <c r="N296" s="9" t="str">
        <f>+VLOOKUP(M296,Datos!$F:$G,2,FALSE)</f>
        <v>Jason Alberto Bolaños Gutiérrez</v>
      </c>
      <c r="O296" s="10">
        <f>IFERROR(IF(A296="SI",VLOOKUP(R296,Datos!$J$1:$K$50,2,FALSE)*C296,VLOOKUP(R296,Datos!$P$1:$T$50,2,FALSE)*C296),0)</f>
        <v>1632</v>
      </c>
      <c r="P296" s="6">
        <v>300594</v>
      </c>
      <c r="Q296" s="9" t="str">
        <f>+VLOOKUP(P296,Datos!$F:$G,2,FALSE)</f>
        <v>Rosaura Grisleny Perez Rios</v>
      </c>
      <c r="R296" s="6" t="s">
        <v>29</v>
      </c>
      <c r="S296" s="6" t="s">
        <v>20</v>
      </c>
      <c r="T296" s="6">
        <f t="shared" si="5"/>
        <v>1</v>
      </c>
    </row>
    <row r="297" spans="1:20" x14ac:dyDescent="0.35">
      <c r="A297" s="6" t="s">
        <v>20</v>
      </c>
      <c r="B297" s="6" t="s">
        <v>26</v>
      </c>
      <c r="C297" s="6">
        <v>1</v>
      </c>
      <c r="D297" s="6" t="s">
        <v>22</v>
      </c>
      <c r="E297" s="6" t="s">
        <v>27</v>
      </c>
      <c r="F297" s="6">
        <v>4619</v>
      </c>
      <c r="G297" s="6" t="s">
        <v>359</v>
      </c>
      <c r="H297" s="8">
        <v>46283</v>
      </c>
      <c r="I297" s="8">
        <v>46283</v>
      </c>
      <c r="J297" s="9" t="str">
        <f>+VLOOKUP(K297,Datos!$A:$C,3,FALSE)</f>
        <v>NORTE</v>
      </c>
      <c r="K297" s="6">
        <v>195</v>
      </c>
      <c r="L297" s="9" t="str">
        <f>+VLOOKUP(K297,Datos!$A:$C,2,FALSE)</f>
        <v>TELEMAN</v>
      </c>
      <c r="M297" s="6">
        <v>90086215</v>
      </c>
      <c r="N297" s="9" t="str">
        <f>+VLOOKUP(M297,Datos!$F:$G,2,FALSE)</f>
        <v>MARCELLO JARED VELIZ CAZ</v>
      </c>
      <c r="O297" s="10">
        <f>IFERROR(IF(A297="SI",VLOOKUP(R297,Datos!$J$1:$K$50,2,FALSE)*C297,VLOOKUP(R297,Datos!$P$1:$T$50,2,FALSE)*C297),0)</f>
        <v>1368</v>
      </c>
      <c r="P297" s="6">
        <v>315351</v>
      </c>
      <c r="Q297" s="9" t="str">
        <f>+VLOOKUP(P297,Datos!$F:$G,2,FALSE)</f>
        <v>Maria Vicenta Lopez Mancilla De De Del Valle</v>
      </c>
      <c r="R297" s="6" t="s">
        <v>25</v>
      </c>
      <c r="S297" s="6" t="s">
        <v>20</v>
      </c>
      <c r="T297" s="6">
        <f t="shared" si="5"/>
        <v>1</v>
      </c>
    </row>
    <row r="298" spans="1:20" x14ac:dyDescent="0.35">
      <c r="A298" s="6" t="s">
        <v>20</v>
      </c>
      <c r="B298" s="6" t="s">
        <v>26</v>
      </c>
      <c r="C298" s="6">
        <v>2</v>
      </c>
      <c r="D298" s="6" t="s">
        <v>22</v>
      </c>
      <c r="E298" s="6" t="s">
        <v>31</v>
      </c>
      <c r="F298" s="6">
        <v>1324</v>
      </c>
      <c r="G298" s="6" t="s">
        <v>360</v>
      </c>
      <c r="H298" s="8">
        <v>46283</v>
      </c>
      <c r="I298" s="8">
        <v>46283</v>
      </c>
      <c r="J298" s="9" t="str">
        <f>+VLOOKUP(K298,Datos!$A:$C,3,FALSE)</f>
        <v>NORTE</v>
      </c>
      <c r="K298" s="6">
        <v>195</v>
      </c>
      <c r="L298" s="9" t="str">
        <f>+VLOOKUP(K298,Datos!$A:$C,2,FALSE)</f>
        <v>TELEMAN</v>
      </c>
      <c r="M298" s="6">
        <v>310871</v>
      </c>
      <c r="N298" s="9" t="str">
        <f>+VLOOKUP(M298,Datos!$F:$G,2,FALSE)</f>
        <v>Yuri Vanessa Bac Caal De Gomez</v>
      </c>
      <c r="O298" s="10">
        <f>IFERROR(IF(A298="SI",VLOOKUP(R298,Datos!$J$1:$K$50,2,FALSE)*C298,VLOOKUP(R298,Datos!$P$1:$T$50,2,FALSE)*C298),0)</f>
        <v>1632</v>
      </c>
      <c r="P298" s="6">
        <v>315351</v>
      </c>
      <c r="Q298" s="9" t="str">
        <f>+VLOOKUP(P298,Datos!$F:$G,2,FALSE)</f>
        <v>Maria Vicenta Lopez Mancilla De De Del Valle</v>
      </c>
      <c r="R298" s="6" t="s">
        <v>29</v>
      </c>
      <c r="S298" s="6" t="s">
        <v>20</v>
      </c>
      <c r="T298" s="6">
        <f t="shared" si="5"/>
        <v>1</v>
      </c>
    </row>
    <row r="299" spans="1:20" x14ac:dyDescent="0.35">
      <c r="A299" s="6" t="s">
        <v>20</v>
      </c>
      <c r="B299" s="6" t="s">
        <v>26</v>
      </c>
      <c r="C299" s="6">
        <v>2</v>
      </c>
      <c r="D299" s="6" t="s">
        <v>22</v>
      </c>
      <c r="E299" s="6" t="s">
        <v>31</v>
      </c>
      <c r="F299" s="6">
        <v>1328</v>
      </c>
      <c r="G299" s="6" t="s">
        <v>361</v>
      </c>
      <c r="H299" s="8">
        <v>46283</v>
      </c>
      <c r="I299" s="8">
        <v>46283</v>
      </c>
      <c r="J299" s="9" t="str">
        <f>+VLOOKUP(K299,Datos!$A:$C,3,FALSE)</f>
        <v>NORTE</v>
      </c>
      <c r="K299" s="6">
        <v>195</v>
      </c>
      <c r="L299" s="9" t="str">
        <f>+VLOOKUP(K299,Datos!$A:$C,2,FALSE)</f>
        <v>TELEMAN</v>
      </c>
      <c r="M299" s="6">
        <v>310871</v>
      </c>
      <c r="N299" s="9" t="str">
        <f>+VLOOKUP(M299,Datos!$F:$G,2,FALSE)</f>
        <v>Yuri Vanessa Bac Caal De Gomez</v>
      </c>
      <c r="O299" s="10">
        <f>IFERROR(IF(A299="SI",VLOOKUP(R299,Datos!$J$1:$K$50,2,FALSE)*C299,VLOOKUP(R299,Datos!$P$1:$T$50,2,FALSE)*C299),0)</f>
        <v>1632</v>
      </c>
      <c r="P299" s="6">
        <v>315351</v>
      </c>
      <c r="Q299" s="9" t="str">
        <f>+VLOOKUP(P299,Datos!$F:$G,2,FALSE)</f>
        <v>Maria Vicenta Lopez Mancilla De De Del Valle</v>
      </c>
      <c r="R299" s="6" t="s">
        <v>29</v>
      </c>
      <c r="S299" s="6" t="s">
        <v>20</v>
      </c>
      <c r="T299" s="6">
        <f t="shared" si="5"/>
        <v>1</v>
      </c>
    </row>
    <row r="300" spans="1:20" x14ac:dyDescent="0.35">
      <c r="A300" s="6" t="s">
        <v>20</v>
      </c>
      <c r="B300" s="6" t="s">
        <v>26</v>
      </c>
      <c r="C300" s="6">
        <v>3</v>
      </c>
      <c r="D300" s="6" t="s">
        <v>22</v>
      </c>
      <c r="E300" s="6" t="s">
        <v>53</v>
      </c>
      <c r="F300" s="6">
        <v>683</v>
      </c>
      <c r="G300" s="6" t="s">
        <v>362</v>
      </c>
      <c r="H300" s="8">
        <v>46283</v>
      </c>
      <c r="I300" s="8">
        <v>46283</v>
      </c>
      <c r="J300" s="9" t="str">
        <f>+VLOOKUP(K300,Datos!$A:$C,3,FALSE)</f>
        <v>NORTE</v>
      </c>
      <c r="K300" s="6">
        <v>195</v>
      </c>
      <c r="L300" s="9" t="str">
        <f>+VLOOKUP(K300,Datos!$A:$C,2,FALSE)</f>
        <v>TELEMAN</v>
      </c>
      <c r="M300" s="6">
        <v>90082179</v>
      </c>
      <c r="N300" s="9" t="str">
        <f>+VLOOKUP(M300,Datos!$F:$G,2,FALSE)</f>
        <v>REYNA ADELAIDA CHAMAN CAAL</v>
      </c>
      <c r="O300" s="10">
        <f>IFERROR(IF(A300="SI",VLOOKUP(R300,Datos!$J$1:$K$50,2,FALSE)*C300,VLOOKUP(R300,Datos!$P$1:$T$50,2,FALSE)*C300),0)</f>
        <v>4104</v>
      </c>
      <c r="P300" s="6">
        <v>315351</v>
      </c>
      <c r="Q300" s="9" t="str">
        <f>+VLOOKUP(P300,Datos!$F:$G,2,FALSE)</f>
        <v>Maria Vicenta Lopez Mancilla De De Del Valle</v>
      </c>
      <c r="R300" s="6" t="s">
        <v>25</v>
      </c>
      <c r="S300" s="6" t="s">
        <v>20</v>
      </c>
      <c r="T300" s="6">
        <f t="shared" si="5"/>
        <v>1</v>
      </c>
    </row>
    <row r="301" spans="1:20" x14ac:dyDescent="0.35">
      <c r="A301" s="6" t="s">
        <v>20</v>
      </c>
      <c r="B301" s="6" t="s">
        <v>26</v>
      </c>
      <c r="C301" s="6">
        <v>1</v>
      </c>
      <c r="D301" s="6" t="s">
        <v>22</v>
      </c>
      <c r="E301" s="6" t="s">
        <v>27</v>
      </c>
      <c r="F301" s="6">
        <v>4621</v>
      </c>
      <c r="G301" s="6" t="s">
        <v>363</v>
      </c>
      <c r="H301" s="8">
        <v>46283</v>
      </c>
      <c r="I301" s="8">
        <v>46283</v>
      </c>
      <c r="J301" s="9" t="str">
        <f>+VLOOKUP(K301,Datos!$A:$C,3,FALSE)</f>
        <v>NORTE</v>
      </c>
      <c r="K301" s="6">
        <v>195</v>
      </c>
      <c r="L301" s="9" t="str">
        <f>+VLOOKUP(K301,Datos!$A:$C,2,FALSE)</f>
        <v>TELEMAN</v>
      </c>
      <c r="M301" s="6">
        <v>90082179</v>
      </c>
      <c r="N301" s="9" t="str">
        <f>+VLOOKUP(M301,Datos!$F:$G,2,FALSE)</f>
        <v>REYNA ADELAIDA CHAMAN CAAL</v>
      </c>
      <c r="O301" s="10">
        <f>IFERROR(IF(A301="SI",VLOOKUP(R301,Datos!$J$1:$K$50,2,FALSE)*C301,VLOOKUP(R301,Datos!$P$1:$T$50,2,FALSE)*C301),0)</f>
        <v>1368</v>
      </c>
      <c r="P301" s="6">
        <v>315351</v>
      </c>
      <c r="Q301" s="9" t="str">
        <f>+VLOOKUP(P301,Datos!$F:$G,2,FALSE)</f>
        <v>Maria Vicenta Lopez Mancilla De De Del Valle</v>
      </c>
      <c r="R301" s="6" t="s">
        <v>25</v>
      </c>
      <c r="S301" s="6" t="s">
        <v>20</v>
      </c>
      <c r="T301" s="6">
        <f t="shared" si="5"/>
        <v>1</v>
      </c>
    </row>
    <row r="302" spans="1:20" x14ac:dyDescent="0.35">
      <c r="A302" s="6" t="s">
        <v>20</v>
      </c>
      <c r="B302" s="6" t="s">
        <v>26</v>
      </c>
      <c r="C302" s="6">
        <v>2</v>
      </c>
      <c r="D302" s="6" t="s">
        <v>22</v>
      </c>
      <c r="E302" s="6" t="s">
        <v>31</v>
      </c>
      <c r="F302" s="6">
        <v>1310</v>
      </c>
      <c r="G302" s="6" t="s">
        <v>364</v>
      </c>
      <c r="H302" s="8">
        <v>46283</v>
      </c>
      <c r="I302" s="8">
        <v>46283</v>
      </c>
      <c r="J302" s="9" t="str">
        <f>+VLOOKUP(K302,Datos!$A:$C,3,FALSE)</f>
        <v>PETAPA</v>
      </c>
      <c r="K302" s="6">
        <v>88</v>
      </c>
      <c r="L302" s="9" t="str">
        <f>+VLOOKUP(K302,Datos!$A:$C,2,FALSE)</f>
        <v>ATANASIO TZUL</v>
      </c>
      <c r="M302" s="6">
        <v>90062500</v>
      </c>
      <c r="N302" s="9" t="str">
        <f>+VLOOKUP(M302,Datos!$F:$G,2,FALSE)</f>
        <v>JEIMY VANESSA DE LEON HUINAC</v>
      </c>
      <c r="O302" s="10">
        <f>IFERROR(IF(A302="SI",VLOOKUP(R302,Datos!$J$1:$K$50,2,FALSE)*C302,VLOOKUP(R302,Datos!$P$1:$T$50,2,FALSE)*C302),0)</f>
        <v>1632</v>
      </c>
      <c r="P302" s="6">
        <v>306713</v>
      </c>
      <c r="Q302" s="9" t="str">
        <f>+VLOOKUP(P302,Datos!$F:$G,2,FALSE)</f>
        <v>Luis Fernando Santos Aguilar</v>
      </c>
      <c r="R302" s="6" t="s">
        <v>29</v>
      </c>
      <c r="S302" s="6" t="s">
        <v>20</v>
      </c>
      <c r="T302" s="6">
        <f t="shared" si="5"/>
        <v>1</v>
      </c>
    </row>
    <row r="303" spans="1:20" x14ac:dyDescent="0.35">
      <c r="A303" s="6" t="s">
        <v>20</v>
      </c>
      <c r="B303" s="6" t="s">
        <v>21</v>
      </c>
      <c r="C303" s="6">
        <v>1</v>
      </c>
      <c r="D303" s="6" t="s">
        <v>22</v>
      </c>
      <c r="E303" s="6" t="s">
        <v>27</v>
      </c>
      <c r="F303" s="6">
        <v>4627</v>
      </c>
      <c r="G303" s="6" t="s">
        <v>365</v>
      </c>
      <c r="H303" s="8">
        <v>46283</v>
      </c>
      <c r="I303" s="8">
        <v>46283</v>
      </c>
      <c r="J303" s="9" t="str">
        <f>+VLOOKUP(K303,Datos!$A:$C,3,FALSE)</f>
        <v>PETAPA</v>
      </c>
      <c r="K303" s="6">
        <v>88</v>
      </c>
      <c r="L303" s="9" t="str">
        <f>+VLOOKUP(K303,Datos!$A:$C,2,FALSE)</f>
        <v>ATANASIO TZUL</v>
      </c>
      <c r="M303" s="6">
        <v>90062500</v>
      </c>
      <c r="N303" s="9" t="str">
        <f>+VLOOKUP(M303,Datos!$F:$G,2,FALSE)</f>
        <v>JEIMY VANESSA DE LEON HUINAC</v>
      </c>
      <c r="O303" s="10">
        <f>IFERROR(IF(A303="SI",VLOOKUP(R303,Datos!$J$1:$K$50,2,FALSE)*C303,VLOOKUP(R303,Datos!$P$1:$T$50,2,FALSE)*C303),0)</f>
        <v>816</v>
      </c>
      <c r="P303" s="6">
        <v>306713</v>
      </c>
      <c r="Q303" s="9" t="str">
        <f>+VLOOKUP(P303,Datos!$F:$G,2,FALSE)</f>
        <v>Luis Fernando Santos Aguilar</v>
      </c>
      <c r="R303" s="6" t="s">
        <v>29</v>
      </c>
      <c r="S303" s="6" t="s">
        <v>20</v>
      </c>
      <c r="T303" s="6">
        <f t="shared" si="5"/>
        <v>1</v>
      </c>
    </row>
    <row r="304" spans="1:20" x14ac:dyDescent="0.35">
      <c r="A304" s="6" t="s">
        <v>20</v>
      </c>
      <c r="B304" s="6" t="s">
        <v>26</v>
      </c>
      <c r="C304" s="6">
        <v>2</v>
      </c>
      <c r="D304" s="6" t="s">
        <v>22</v>
      </c>
      <c r="E304" s="6" t="s">
        <v>31</v>
      </c>
      <c r="F304" s="6">
        <v>1306</v>
      </c>
      <c r="G304" s="6" t="s">
        <v>366</v>
      </c>
      <c r="H304" s="8">
        <v>46283</v>
      </c>
      <c r="I304" s="8">
        <v>46283</v>
      </c>
      <c r="J304" s="9" t="str">
        <f>+VLOOKUP(K304,Datos!$A:$C,3,FALSE)</f>
        <v>NORTE</v>
      </c>
      <c r="K304" s="6">
        <v>38</v>
      </c>
      <c r="L304" s="9" t="str">
        <f>+VLOOKUP(K304,Datos!$A:$C,2,FALSE)</f>
        <v>CARCHA</v>
      </c>
      <c r="M304" s="6">
        <v>90063386</v>
      </c>
      <c r="N304" s="9" t="str">
        <f>+VLOOKUP(M304,Datos!$F:$G,2,FALSE)</f>
        <v>NERY AYU</v>
      </c>
      <c r="O304" s="10">
        <f>IFERROR(IF(A304="SI",VLOOKUP(R304,Datos!$J$1:$K$50,2,FALSE)*C304,VLOOKUP(R304,Datos!$P$1:$T$50,2,FALSE)*C304),0)</f>
        <v>1632</v>
      </c>
      <c r="P304" s="6">
        <v>306471</v>
      </c>
      <c r="Q304" s="9" t="str">
        <f>+VLOOKUP(P304,Datos!$F:$G,2,FALSE)</f>
        <v>Angel Enmanuel Quim Macz</v>
      </c>
      <c r="R304" s="6" t="s">
        <v>29</v>
      </c>
      <c r="S304" s="6" t="s">
        <v>20</v>
      </c>
      <c r="T304" s="6">
        <f t="shared" si="5"/>
        <v>1</v>
      </c>
    </row>
    <row r="305" spans="1:20" x14ac:dyDescent="0.35">
      <c r="A305" s="6" t="s">
        <v>20</v>
      </c>
      <c r="B305" s="6" t="s">
        <v>26</v>
      </c>
      <c r="C305" s="6">
        <v>4</v>
      </c>
      <c r="D305" s="6" t="s">
        <v>22</v>
      </c>
      <c r="E305" s="6" t="s">
        <v>367</v>
      </c>
      <c r="F305" s="6">
        <v>43</v>
      </c>
      <c r="G305" s="6" t="s">
        <v>368</v>
      </c>
      <c r="H305" s="8">
        <v>46283</v>
      </c>
      <c r="I305" s="8">
        <v>46283</v>
      </c>
      <c r="J305" s="9" t="str">
        <f>+VLOOKUP(K305,Datos!$A:$C,3,FALSE)</f>
        <v>NORTE</v>
      </c>
      <c r="K305" s="6">
        <v>38</v>
      </c>
      <c r="L305" s="9" t="str">
        <f>+VLOOKUP(K305,Datos!$A:$C,2,FALSE)</f>
        <v>CARCHA</v>
      </c>
      <c r="M305" s="6">
        <v>309527</v>
      </c>
      <c r="N305" s="9" t="str">
        <f>+VLOOKUP(M305,Datos!$F:$G,2,FALSE)</f>
        <v>Ana Gabriela Caal Cruz</v>
      </c>
      <c r="O305" s="10">
        <f>IFERROR(IF(A305="SI",VLOOKUP(R305,Datos!$J$1:$K$50,2,FALSE)*C305,VLOOKUP(R305,Datos!$P$1:$T$50,2,FALSE)*C305),0)</f>
        <v>4032</v>
      </c>
      <c r="P305" s="6">
        <v>306471</v>
      </c>
      <c r="Q305" s="9" t="str">
        <f>+VLOOKUP(P305,Datos!$F:$G,2,FALSE)</f>
        <v>Angel Enmanuel Quim Macz</v>
      </c>
      <c r="R305" s="6" t="s">
        <v>114</v>
      </c>
      <c r="S305" s="6" t="s">
        <v>20</v>
      </c>
      <c r="T305" s="6">
        <f t="shared" si="5"/>
        <v>1</v>
      </c>
    </row>
    <row r="306" spans="1:20" x14ac:dyDescent="0.35">
      <c r="A306" s="6" t="s">
        <v>20</v>
      </c>
      <c r="B306" s="6" t="s">
        <v>26</v>
      </c>
      <c r="C306" s="6">
        <v>1</v>
      </c>
      <c r="D306" s="6" t="s">
        <v>22</v>
      </c>
      <c r="E306" s="6" t="s">
        <v>27</v>
      </c>
      <c r="F306" s="6">
        <v>4597</v>
      </c>
      <c r="G306" s="6" t="s">
        <v>369</v>
      </c>
      <c r="H306" s="8">
        <v>46283</v>
      </c>
      <c r="I306" s="8">
        <v>46283</v>
      </c>
      <c r="J306" s="9" t="str">
        <f>+VLOOKUP(K306,Datos!$A:$C,3,FALSE)</f>
        <v>NORTE</v>
      </c>
      <c r="K306" s="6">
        <v>38</v>
      </c>
      <c r="L306" s="9" t="str">
        <f>+VLOOKUP(K306,Datos!$A:$C,2,FALSE)</f>
        <v>CARCHA</v>
      </c>
      <c r="M306" s="6">
        <v>305736</v>
      </c>
      <c r="N306" s="9" t="str">
        <f>+VLOOKUP(M306,Datos!$F:$G,2,FALSE)</f>
        <v>Edvin Estuardo Ordoñez Gonzalez</v>
      </c>
      <c r="O306" s="10">
        <f>IFERROR(IF(A306="SI",VLOOKUP(R306,Datos!$J$1:$K$50,2,FALSE)*C306,VLOOKUP(R306,Datos!$P$1:$T$50,2,FALSE)*C306),0)</f>
        <v>816</v>
      </c>
      <c r="P306" s="6">
        <v>306471</v>
      </c>
      <c r="Q306" s="9" t="str">
        <f>+VLOOKUP(P306,Datos!$F:$G,2,FALSE)</f>
        <v>Angel Enmanuel Quim Macz</v>
      </c>
      <c r="R306" s="6" t="s">
        <v>29</v>
      </c>
      <c r="S306" s="6" t="s">
        <v>20</v>
      </c>
      <c r="T306" s="6">
        <f t="shared" si="5"/>
        <v>1</v>
      </c>
    </row>
    <row r="307" spans="1:20" x14ac:dyDescent="0.35">
      <c r="A307" s="6" t="s">
        <v>20</v>
      </c>
      <c r="B307" s="6" t="s">
        <v>21</v>
      </c>
      <c r="C307" s="6">
        <v>2</v>
      </c>
      <c r="D307" s="6" t="s">
        <v>22</v>
      </c>
      <c r="E307" s="6" t="s">
        <v>237</v>
      </c>
      <c r="F307" s="6">
        <v>52</v>
      </c>
      <c r="G307" s="6" t="s">
        <v>370</v>
      </c>
      <c r="H307" s="8">
        <v>46283</v>
      </c>
      <c r="I307" s="8">
        <v>46282</v>
      </c>
      <c r="J307" s="9" t="str">
        <f>+VLOOKUP(K307,Datos!$A:$C,3,FALSE)</f>
        <v>NORTE</v>
      </c>
      <c r="K307" s="6">
        <v>203</v>
      </c>
      <c r="L307" s="9" t="str">
        <f>+VLOOKUP(K307,Datos!$A:$C,2,FALSE)</f>
        <v>PLAZA MAGDALENA</v>
      </c>
      <c r="M307" s="6">
        <v>90062493</v>
      </c>
      <c r="N307" s="9" t="str">
        <f>+VLOOKUP(M307,Datos!$F:$G,2,FALSE)</f>
        <v>NORMA QUETZALY AC POP</v>
      </c>
      <c r="O307" s="10">
        <f>IFERROR(IF(A307="SI",VLOOKUP(R307,Datos!$J$1:$K$50,2,FALSE)*C307,VLOOKUP(R307,Datos!$P$1:$T$50,2,FALSE)*C307),0)</f>
        <v>3408</v>
      </c>
      <c r="P307" s="6">
        <v>304528</v>
      </c>
      <c r="Q307" s="9" t="str">
        <f>+VLOOKUP(P307,Datos!$F:$G,2,FALSE)</f>
        <v>Merari Abigail Veliz Samayoa</v>
      </c>
      <c r="R307" s="6" t="s">
        <v>239</v>
      </c>
      <c r="S307" s="6" t="s">
        <v>20</v>
      </c>
      <c r="T307" s="6">
        <f t="shared" si="5"/>
        <v>1</v>
      </c>
    </row>
    <row r="308" spans="1:20" x14ac:dyDescent="0.35">
      <c r="A308" s="6" t="s">
        <v>20</v>
      </c>
      <c r="B308" s="6" t="s">
        <v>26</v>
      </c>
      <c r="C308" s="6">
        <v>1</v>
      </c>
      <c r="D308" s="6" t="s">
        <v>22</v>
      </c>
      <c r="E308" s="6" t="s">
        <v>194</v>
      </c>
      <c r="F308" s="6">
        <v>2957</v>
      </c>
      <c r="G308" s="6" t="s">
        <v>371</v>
      </c>
      <c r="H308" s="7">
        <v>46284</v>
      </c>
      <c r="I308" s="8">
        <v>46283</v>
      </c>
      <c r="J308" s="9" t="str">
        <f>+VLOOKUP(K308,Datos!$A:$C,3,FALSE)</f>
        <v>AMERICAS</v>
      </c>
      <c r="K308" s="6">
        <v>224</v>
      </c>
      <c r="L308" s="9" t="str">
        <f>+VLOOKUP(K308,Datos!$A:$C,2,FALSE)</f>
        <v>MINUTO CARRETERA A EL SALVADOR</v>
      </c>
      <c r="M308" s="6">
        <v>90025140</v>
      </c>
      <c r="N308" s="9" t="str">
        <f>+VLOOKUP(M308,Datos!$F:$G,2,FALSE)</f>
        <v xml:space="preserve">Evelyn Yojana Martinez Reyes </v>
      </c>
      <c r="O308" s="10">
        <f>IFERROR(IF(A308="SI",VLOOKUP(R308,Datos!$J$1:$K$50,2,FALSE)*C308,VLOOKUP(R308,Datos!$P$1:$T$50,2,FALSE)*C308),0)</f>
        <v>1908</v>
      </c>
      <c r="P308" s="6">
        <v>304802</v>
      </c>
      <c r="Q308" s="9" t="str">
        <f>+VLOOKUP(P308,Datos!$F:$G,2,FALSE)</f>
        <v>Wendy Alejandra Cuyan Alvarez</v>
      </c>
      <c r="R308" s="6" t="s">
        <v>196</v>
      </c>
      <c r="S308" s="6" t="s">
        <v>20</v>
      </c>
      <c r="T308" s="6">
        <f t="shared" si="5"/>
        <v>1</v>
      </c>
    </row>
    <row r="309" spans="1:20" x14ac:dyDescent="0.35">
      <c r="A309" s="6" t="s">
        <v>20</v>
      </c>
      <c r="B309" s="6" t="s">
        <v>21</v>
      </c>
      <c r="C309" s="6">
        <v>1</v>
      </c>
      <c r="D309" s="6" t="s">
        <v>22</v>
      </c>
      <c r="E309" s="6" t="s">
        <v>27</v>
      </c>
      <c r="F309" s="6">
        <v>4610</v>
      </c>
      <c r="G309" s="6" t="s">
        <v>372</v>
      </c>
      <c r="H309" s="8">
        <v>46284</v>
      </c>
      <c r="I309" s="8">
        <v>46283</v>
      </c>
      <c r="J309" s="9" t="str">
        <f>+VLOOKUP(K309,Datos!$A:$C,3,FALSE)</f>
        <v>NORTE</v>
      </c>
      <c r="K309" s="6">
        <v>205</v>
      </c>
      <c r="L309" s="9" t="str">
        <f>+VLOOKUP(K309,Datos!$A:$C,2,FALSE)</f>
        <v>SAN CRISTOBAL VERAPAZ</v>
      </c>
      <c r="M309" s="6">
        <v>90061599</v>
      </c>
      <c r="N309" s="9" t="str">
        <f>+VLOOKUP(M309,Datos!$F:$G,2,FALSE)</f>
        <v>SILVIA CAROLINA CAC CORTEZ</v>
      </c>
      <c r="O309" s="10">
        <f>IFERROR(IF(A309="SI",VLOOKUP(R309,Datos!$J$1:$K$50,2,FALSE)*C309,VLOOKUP(R309,Datos!$P$1:$T$50,2,FALSE)*C309),0)</f>
        <v>816</v>
      </c>
      <c r="P309" s="6">
        <v>300978</v>
      </c>
      <c r="Q309" s="9" t="str">
        <f>+VLOOKUP(P309,Datos!$F:$G,2,FALSE)</f>
        <v>Wuangler Geovane Cal Sucup</v>
      </c>
      <c r="R309" s="6" t="s">
        <v>29</v>
      </c>
      <c r="S309" s="6" t="s">
        <v>20</v>
      </c>
      <c r="T309" s="6">
        <f t="shared" si="5"/>
        <v>1</v>
      </c>
    </row>
    <row r="310" spans="1:20" x14ac:dyDescent="0.35">
      <c r="A310" s="6" t="s">
        <v>20</v>
      </c>
      <c r="B310" s="6" t="s">
        <v>26</v>
      </c>
      <c r="C310" s="6">
        <v>1</v>
      </c>
      <c r="D310" s="6" t="s">
        <v>22</v>
      </c>
      <c r="E310" s="6" t="s">
        <v>27</v>
      </c>
      <c r="F310" s="6">
        <v>4546</v>
      </c>
      <c r="G310" s="6" t="s">
        <v>373</v>
      </c>
      <c r="H310" s="8">
        <v>46284</v>
      </c>
      <c r="I310" s="8">
        <v>46281</v>
      </c>
      <c r="J310" s="9" t="str">
        <f>+VLOOKUP(K310,Datos!$A:$C,3,FALSE)</f>
        <v>NORTE</v>
      </c>
      <c r="K310" s="6">
        <v>188</v>
      </c>
      <c r="L310" s="9" t="str">
        <f>+VLOOKUP(K310,Datos!$A:$C,2,FALSE)</f>
        <v>SANTA ELENA CENTRO</v>
      </c>
      <c r="M310" s="6">
        <v>90070015</v>
      </c>
      <c r="N310" s="9" t="str">
        <f>+VLOOKUP(M310,Datos!$F:$G,2,FALSE)</f>
        <v>Saddy Daniela Solá Aguilar</v>
      </c>
      <c r="O310" s="10">
        <f>IFERROR(IF(A310="SI",VLOOKUP(R310,Datos!$J$1:$K$50,2,FALSE)*C310,VLOOKUP(R310,Datos!$P$1:$T$50,2,FALSE)*C310),0)</f>
        <v>816</v>
      </c>
      <c r="P310" s="6">
        <v>90070101</v>
      </c>
      <c r="Q310" s="9" t="str">
        <f>+VLOOKUP(P310,Datos!$F:$G,2,FALSE)</f>
        <v>Felipe De Jesus Hernandez Mejia</v>
      </c>
      <c r="R310" s="6" t="s">
        <v>29</v>
      </c>
      <c r="S310" s="6" t="s">
        <v>20</v>
      </c>
      <c r="T310" s="6">
        <f t="shared" si="5"/>
        <v>1</v>
      </c>
    </row>
    <row r="311" spans="1:20" x14ac:dyDescent="0.35">
      <c r="A311" s="6" t="s">
        <v>20</v>
      </c>
      <c r="B311" s="6" t="s">
        <v>26</v>
      </c>
      <c r="C311" s="6">
        <v>3</v>
      </c>
      <c r="D311" s="6" t="s">
        <v>22</v>
      </c>
      <c r="E311" s="6" t="s">
        <v>53</v>
      </c>
      <c r="F311" s="6">
        <v>680</v>
      </c>
      <c r="G311" s="6" t="s">
        <v>374</v>
      </c>
      <c r="H311" s="8">
        <v>46284</v>
      </c>
      <c r="I311" s="8">
        <v>46281</v>
      </c>
      <c r="J311" s="9" t="str">
        <f>+VLOOKUP(K311,Datos!$A:$C,3,FALSE)</f>
        <v>NORTE</v>
      </c>
      <c r="K311" s="6">
        <v>188</v>
      </c>
      <c r="L311" s="9" t="str">
        <f>+VLOOKUP(K311,Datos!$A:$C,2,FALSE)</f>
        <v>SANTA ELENA CENTRO</v>
      </c>
      <c r="M311" s="6">
        <v>90064162</v>
      </c>
      <c r="N311" s="9" t="str">
        <f>+VLOOKUP(M311,Datos!$F:$G,2,FALSE)</f>
        <v>MARELYN JEANNTH BARRIOS ALFARO</v>
      </c>
      <c r="O311" s="10">
        <f>IFERROR(IF(A311="SI",VLOOKUP(R311,Datos!$J$1:$K$50,2,FALSE)*C311,VLOOKUP(R311,Datos!$P$1:$T$50,2,FALSE)*C311),0)</f>
        <v>2448</v>
      </c>
      <c r="P311" s="6">
        <v>90070101</v>
      </c>
      <c r="Q311" s="9" t="str">
        <f>+VLOOKUP(P311,Datos!$F:$G,2,FALSE)</f>
        <v>Felipe De Jesus Hernandez Mejia</v>
      </c>
      <c r="R311" s="6" t="s">
        <v>29</v>
      </c>
      <c r="S311" s="6" t="s">
        <v>20</v>
      </c>
      <c r="T311" s="6">
        <f t="shared" si="5"/>
        <v>1</v>
      </c>
    </row>
    <row r="312" spans="1:20" x14ac:dyDescent="0.35">
      <c r="A312" s="6" t="s">
        <v>20</v>
      </c>
      <c r="B312" s="6" t="s">
        <v>21</v>
      </c>
      <c r="C312" s="6">
        <v>4</v>
      </c>
      <c r="D312" s="6" t="s">
        <v>22</v>
      </c>
      <c r="E312" s="6" t="s">
        <v>23</v>
      </c>
      <c r="F312" s="6">
        <v>849</v>
      </c>
      <c r="G312" s="6" t="s">
        <v>375</v>
      </c>
      <c r="H312" s="8">
        <v>46284</v>
      </c>
      <c r="I312" s="8">
        <v>46284</v>
      </c>
      <c r="J312" s="9" t="str">
        <f>+VLOOKUP(K312,Datos!$A:$C,3,FALSE)</f>
        <v>ORIENTE</v>
      </c>
      <c r="K312" s="6">
        <v>179</v>
      </c>
      <c r="L312" s="9" t="str">
        <f>+VLOOKUP(K312,Datos!$A:$C,2,FALSE)</f>
        <v>ZACAPA CATEDRAL</v>
      </c>
      <c r="M312" s="6">
        <v>90085383</v>
      </c>
      <c r="N312" s="9" t="str">
        <f>+VLOOKUP(M312,Datos!$F:$G,2,FALSE)</f>
        <v>RAQUEL ESTHER SAJCHE</v>
      </c>
      <c r="O312" s="10">
        <f>IFERROR(IF(A312="SI",VLOOKUP(R312,Datos!$J$1:$K$50,2,FALSE)*C312,VLOOKUP(R312,Datos!$P$1:$T$50,2,FALSE)*C312),0)</f>
        <v>3264</v>
      </c>
      <c r="P312" s="6">
        <v>300280</v>
      </c>
      <c r="Q312" s="9" t="str">
        <f>+VLOOKUP(P312,Datos!$F:$G,2,FALSE)</f>
        <v>Lilian Del Carmen Franco Curin</v>
      </c>
      <c r="R312" s="6" t="s">
        <v>29</v>
      </c>
      <c r="S312" s="6" t="s">
        <v>20</v>
      </c>
      <c r="T312" s="6">
        <f t="shared" si="5"/>
        <v>1</v>
      </c>
    </row>
    <row r="313" spans="1:20" x14ac:dyDescent="0.35">
      <c r="A313" s="6" t="s">
        <v>20</v>
      </c>
      <c r="B313" s="6" t="s">
        <v>21</v>
      </c>
      <c r="C313" s="6">
        <v>1</v>
      </c>
      <c r="D313" s="6" t="s">
        <v>22</v>
      </c>
      <c r="E313" s="6" t="s">
        <v>27</v>
      </c>
      <c r="F313" s="6">
        <v>4635</v>
      </c>
      <c r="G313" s="6" t="s">
        <v>376</v>
      </c>
      <c r="H313" s="8">
        <v>46284</v>
      </c>
      <c r="I313" s="8">
        <v>46284</v>
      </c>
      <c r="J313" s="9" t="str">
        <f>+VLOOKUP(K313,Datos!$A:$C,3,FALSE)</f>
        <v>PETAPA</v>
      </c>
      <c r="K313" s="6">
        <v>250</v>
      </c>
      <c r="L313" s="9" t="str">
        <f>+VLOOKUP(K313,Datos!$A:$C,2,FALSE)</f>
        <v>BOCA DEL MONTE</v>
      </c>
      <c r="M313" s="6">
        <v>313861</v>
      </c>
      <c r="N313" s="9" t="str">
        <f>+VLOOKUP(M313,Datos!$F:$G,2,FALSE)</f>
        <v>Edith Guadalupe Del Cid Orellana</v>
      </c>
      <c r="O313" s="10">
        <f>IFERROR(IF(A313="SI",VLOOKUP(R313,Datos!$J$1:$K$50,2,FALSE)*C313,VLOOKUP(R313,Datos!$P$1:$T$50,2,FALSE)*C313),0)</f>
        <v>816</v>
      </c>
      <c r="P313" s="6">
        <v>312576</v>
      </c>
      <c r="Q313" s="9" t="str">
        <f>+VLOOKUP(P313,Datos!$F:$G,2,FALSE)</f>
        <v>Marilin Melisa Lopez Yoc</v>
      </c>
      <c r="R313" s="6" t="s">
        <v>29</v>
      </c>
      <c r="S313" s="6" t="s">
        <v>20</v>
      </c>
      <c r="T313" s="6">
        <f t="shared" si="5"/>
        <v>1</v>
      </c>
    </row>
    <row r="314" spans="1:20" x14ac:dyDescent="0.35">
      <c r="A314" s="6" t="s">
        <v>20</v>
      </c>
      <c r="B314" s="6" t="s">
        <v>26</v>
      </c>
      <c r="C314" s="6">
        <v>2</v>
      </c>
      <c r="D314" s="6" t="s">
        <v>22</v>
      </c>
      <c r="E314" s="6" t="s">
        <v>31</v>
      </c>
      <c r="F314" s="6">
        <v>1341</v>
      </c>
      <c r="G314" s="6" t="s">
        <v>377</v>
      </c>
      <c r="H314" s="8">
        <v>46284</v>
      </c>
      <c r="I314" s="8">
        <v>46284</v>
      </c>
      <c r="J314" s="9" t="str">
        <f>+VLOOKUP(K314,Datos!$A:$C,3,FALSE)</f>
        <v>AMERICAS</v>
      </c>
      <c r="K314" s="6">
        <v>71</v>
      </c>
      <c r="L314" s="9" t="str">
        <f>+VLOOKUP(K314,Datos!$A:$C,2,FALSE)</f>
        <v>VISTA HERMOSA</v>
      </c>
      <c r="M314" s="6">
        <v>90061732</v>
      </c>
      <c r="N314" s="9" t="str">
        <f>+VLOOKUP(M314,Datos!$F:$G,2,FALSE)</f>
        <v>ALEJANDRA CASTILLO</v>
      </c>
      <c r="O314" s="10">
        <f>IFERROR(IF(A314="SI",VLOOKUP(R314,Datos!$J$1:$K$50,2,FALSE)*C314,VLOOKUP(R314,Datos!$P$1:$T$50,2,FALSE)*C314),0)</f>
        <v>2736</v>
      </c>
      <c r="P314" s="6">
        <v>308533</v>
      </c>
      <c r="Q314" s="9" t="str">
        <f>+VLOOKUP(P314,Datos!$F:$G,2,FALSE)</f>
        <v>Eduardo Antonio Sotoj Zepeda</v>
      </c>
      <c r="R314" s="6" t="s">
        <v>25</v>
      </c>
      <c r="S314" s="6" t="s">
        <v>20</v>
      </c>
      <c r="T314" s="6">
        <f t="shared" si="5"/>
        <v>1</v>
      </c>
    </row>
    <row r="315" spans="1:20" x14ac:dyDescent="0.35">
      <c r="A315" s="6" t="s">
        <v>20</v>
      </c>
      <c r="B315" s="6" t="s">
        <v>26</v>
      </c>
      <c r="C315" s="6">
        <v>4</v>
      </c>
      <c r="D315" s="6" t="s">
        <v>22</v>
      </c>
      <c r="E315" s="6" t="s">
        <v>23</v>
      </c>
      <c r="F315" s="6">
        <v>852</v>
      </c>
      <c r="G315" s="6" t="s">
        <v>378</v>
      </c>
      <c r="H315" s="8">
        <v>46284</v>
      </c>
      <c r="I315" s="8">
        <v>46284</v>
      </c>
      <c r="J315" s="9" t="str">
        <f>+VLOOKUP(K315,Datos!$A:$C,3,FALSE)</f>
        <v>ORIENTE</v>
      </c>
      <c r="K315" s="6">
        <v>122</v>
      </c>
      <c r="L315" s="9" t="str">
        <f>+VLOOKUP(K315,Datos!$A:$C,2,FALSE)</f>
        <v>AGUA BLANCA</v>
      </c>
      <c r="M315" s="6">
        <v>90040423</v>
      </c>
      <c r="N315" s="9" t="str">
        <f>+VLOOKUP(M315,Datos!$F:$G,2,FALSE)</f>
        <v>Melany Valeska Juarez Carpio</v>
      </c>
      <c r="O315" s="10">
        <f>IFERROR(IF(A315="SI",VLOOKUP(R315,Datos!$J$1:$K$50,2,FALSE)*C315,VLOOKUP(R315,Datos!$P$1:$T$50,2,FALSE)*C315),0)</f>
        <v>3264</v>
      </c>
      <c r="P315" s="6">
        <v>90016326</v>
      </c>
      <c r="Q315" s="9" t="str">
        <f>+VLOOKUP(P315,Datos!$F:$G,2,FALSE)</f>
        <v>Brenda Yessenia Monroy Amado</v>
      </c>
      <c r="R315" s="6" t="s">
        <v>29</v>
      </c>
      <c r="S315" s="6" t="s">
        <v>20</v>
      </c>
      <c r="T315" s="6">
        <f t="shared" si="5"/>
        <v>1</v>
      </c>
    </row>
    <row r="316" spans="1:20" x14ac:dyDescent="0.35">
      <c r="A316" s="6" t="s">
        <v>20</v>
      </c>
      <c r="B316" s="6" t="s">
        <v>21</v>
      </c>
      <c r="C316" s="6">
        <v>4</v>
      </c>
      <c r="D316" s="6" t="s">
        <v>22</v>
      </c>
      <c r="E316" s="6" t="s">
        <v>23</v>
      </c>
      <c r="F316" s="6">
        <v>857</v>
      </c>
      <c r="G316" s="6" t="s">
        <v>379</v>
      </c>
      <c r="H316" s="8">
        <v>46284</v>
      </c>
      <c r="I316" s="8">
        <v>46284</v>
      </c>
      <c r="J316" s="9" t="str">
        <f>+VLOOKUP(K316,Datos!$A:$C,3,FALSE)</f>
        <v>ORIENTE</v>
      </c>
      <c r="K316" s="6">
        <v>179</v>
      </c>
      <c r="L316" s="9" t="str">
        <f>+VLOOKUP(K316,Datos!$A:$C,2,FALSE)</f>
        <v>ZACAPA CATEDRAL</v>
      </c>
      <c r="M316" s="6">
        <v>90051505</v>
      </c>
      <c r="N316" s="9" t="str">
        <f>+VLOOKUP(M316,Datos!$F:$G,2,FALSE)</f>
        <v>MARIA OFELIA SOSA</v>
      </c>
      <c r="O316" s="10">
        <f>IFERROR(IF(A316="SI",VLOOKUP(R316,Datos!$J$1:$K$50,2,FALSE)*C316,VLOOKUP(R316,Datos!$P$1:$T$50,2,FALSE)*C316),0)</f>
        <v>10944</v>
      </c>
      <c r="P316" s="6">
        <v>309262</v>
      </c>
      <c r="Q316" s="9" t="str">
        <f>+VLOOKUP(P316,Datos!$F:$G,2,FALSE)</f>
        <v>Lisbeth Carolina Hernandez Urrutia</v>
      </c>
      <c r="R316" s="6" t="s">
        <v>73</v>
      </c>
      <c r="S316" s="6" t="s">
        <v>20</v>
      </c>
      <c r="T316" s="6">
        <f t="shared" si="5"/>
        <v>1</v>
      </c>
    </row>
    <row r="317" spans="1:20" x14ac:dyDescent="0.35">
      <c r="A317" s="6" t="s">
        <v>20</v>
      </c>
      <c r="B317" s="6" t="s">
        <v>21</v>
      </c>
      <c r="C317" s="6">
        <v>3</v>
      </c>
      <c r="D317" s="6" t="s">
        <v>22</v>
      </c>
      <c r="E317" s="6" t="s">
        <v>53</v>
      </c>
      <c r="F317" s="6">
        <v>699</v>
      </c>
      <c r="G317" s="6" t="s">
        <v>380</v>
      </c>
      <c r="H317" s="8">
        <v>46284</v>
      </c>
      <c r="I317" s="8">
        <v>46284</v>
      </c>
      <c r="J317" s="9" t="str">
        <f>+VLOOKUP(K317,Datos!$A:$C,3,FALSE)</f>
        <v>NORTE</v>
      </c>
      <c r="K317" s="6">
        <v>162</v>
      </c>
      <c r="L317" s="9" t="str">
        <f>+VLOOKUP(K317,Datos!$A:$C,2,FALSE)</f>
        <v>CHISEC</v>
      </c>
      <c r="M317" s="6">
        <v>314417</v>
      </c>
      <c r="N317" s="9" t="str">
        <f>+VLOOKUP(M317,Datos!$F:$G,2,FALSE)</f>
        <v>Krisley Mary Dayana Mazariegos Vega</v>
      </c>
      <c r="O317" s="10">
        <f>IFERROR(IF(A317="SI",VLOOKUP(R317,Datos!$J$1:$K$50,2,FALSE)*C317,VLOOKUP(R317,Datos!$P$1:$T$50,2,FALSE)*C317),0)</f>
        <v>2448</v>
      </c>
      <c r="P317" s="6">
        <v>315051</v>
      </c>
      <c r="Q317" s="9" t="str">
        <f>+VLOOKUP(P317,Datos!$F:$G,2,FALSE)</f>
        <v>Carlos Alfredo Catun Rax</v>
      </c>
      <c r="R317" s="6" t="s">
        <v>29</v>
      </c>
      <c r="S317" s="6" t="s">
        <v>20</v>
      </c>
      <c r="T317" s="6">
        <f t="shared" si="5"/>
        <v>1</v>
      </c>
    </row>
    <row r="318" spans="1:20" x14ac:dyDescent="0.35">
      <c r="A318" s="6" t="s">
        <v>20</v>
      </c>
      <c r="B318" s="6" t="s">
        <v>21</v>
      </c>
      <c r="C318" s="6">
        <v>4</v>
      </c>
      <c r="D318" s="6" t="s">
        <v>22</v>
      </c>
      <c r="E318" s="6" t="s">
        <v>53</v>
      </c>
      <c r="F318" s="6">
        <v>686</v>
      </c>
      <c r="G318" s="6" t="s">
        <v>381</v>
      </c>
      <c r="H318" s="8">
        <v>46284</v>
      </c>
      <c r="I318" s="8">
        <v>46284</v>
      </c>
      <c r="J318" s="9" t="str">
        <f>+VLOOKUP(K318,Datos!$A:$C,3,FALSE)</f>
        <v>NORTE</v>
      </c>
      <c r="K318" s="6">
        <v>162</v>
      </c>
      <c r="L318" s="9" t="str">
        <f>+VLOOKUP(K318,Datos!$A:$C,2,FALSE)</f>
        <v>CHISEC</v>
      </c>
      <c r="M318" s="6">
        <v>314417</v>
      </c>
      <c r="N318" s="9" t="str">
        <f>+VLOOKUP(M318,Datos!$F:$G,2,FALSE)</f>
        <v>Krisley Mary Dayana Mazariegos Vega</v>
      </c>
      <c r="O318" s="10">
        <f>IFERROR(IF(A318="SI",VLOOKUP(R318,Datos!$J$1:$K$50,2,FALSE)*C318,VLOOKUP(R318,Datos!$P$1:$T$50,2,FALSE)*C318),0)</f>
        <v>3264</v>
      </c>
      <c r="P318" s="6">
        <v>315051</v>
      </c>
      <c r="Q318" s="9" t="str">
        <f>+VLOOKUP(P318,Datos!$F:$G,2,FALSE)</f>
        <v>Carlos Alfredo Catun Rax</v>
      </c>
      <c r="R318" s="6" t="s">
        <v>29</v>
      </c>
      <c r="S318" s="6" t="s">
        <v>20</v>
      </c>
      <c r="T318" s="6">
        <f t="shared" si="5"/>
        <v>1</v>
      </c>
    </row>
    <row r="319" spans="1:20" x14ac:dyDescent="0.35">
      <c r="A319" s="6" t="s">
        <v>20</v>
      </c>
      <c r="B319" s="6" t="s">
        <v>21</v>
      </c>
      <c r="C319" s="6">
        <v>2</v>
      </c>
      <c r="D319" s="6" t="s">
        <v>22</v>
      </c>
      <c r="E319" s="6" t="s">
        <v>166</v>
      </c>
      <c r="F319" s="6">
        <v>331</v>
      </c>
      <c r="G319" s="6" t="s">
        <v>382</v>
      </c>
      <c r="H319" s="8">
        <v>46284</v>
      </c>
      <c r="I319" s="8">
        <v>46284</v>
      </c>
      <c r="J319" s="9" t="str">
        <f>+VLOOKUP(K319,Datos!$A:$C,3,FALSE)</f>
        <v>PETAPA</v>
      </c>
      <c r="K319" s="6">
        <v>67</v>
      </c>
      <c r="L319" s="9" t="str">
        <f>+VLOOKUP(K319,Datos!$A:$C,2,FALSE)</f>
        <v>QUETZAL</v>
      </c>
      <c r="M319" s="6">
        <v>90065988</v>
      </c>
      <c r="N319" s="9" t="str">
        <f>+VLOOKUP(M319,Datos!$F:$G,2,FALSE)</f>
        <v>MAYNOR BRAN</v>
      </c>
      <c r="O319" s="10">
        <f>IFERROR(IF(A319="SI",VLOOKUP(R319,Datos!$J$1:$K$50,2,FALSE)*C319,VLOOKUP(R319,Datos!$P$1:$T$50,2,FALSE)*C319),0)</f>
        <v>3816</v>
      </c>
      <c r="P319" s="6">
        <v>315099</v>
      </c>
      <c r="Q319" s="9" t="str">
        <f>+VLOOKUP(P319,Datos!$F:$G,2,FALSE)</f>
        <v>Marilyn Yulissa Alvarez Toscano</v>
      </c>
      <c r="R319" s="6" t="s">
        <v>196</v>
      </c>
      <c r="S319" s="6" t="s">
        <v>20</v>
      </c>
      <c r="T319" s="6">
        <f t="shared" si="5"/>
        <v>1</v>
      </c>
    </row>
    <row r="320" spans="1:20" x14ac:dyDescent="0.35">
      <c r="A320" s="6" t="s">
        <v>20</v>
      </c>
      <c r="B320" s="6" t="s">
        <v>26</v>
      </c>
      <c r="C320" s="6">
        <v>1</v>
      </c>
      <c r="D320" s="6" t="s">
        <v>22</v>
      </c>
      <c r="E320" s="6" t="s">
        <v>27</v>
      </c>
      <c r="F320" s="6">
        <v>4568</v>
      </c>
      <c r="G320" s="6" t="s">
        <v>383</v>
      </c>
      <c r="H320" s="8">
        <v>46284</v>
      </c>
      <c r="I320" s="8">
        <v>46282</v>
      </c>
      <c r="J320" s="9" t="str">
        <f>+VLOOKUP(K320,Datos!$A:$C,3,FALSE)</f>
        <v>PETAPA</v>
      </c>
      <c r="K320" s="6">
        <v>67</v>
      </c>
      <c r="L320" s="9" t="str">
        <f>+VLOOKUP(K320,Datos!$A:$C,2,FALSE)</f>
        <v>QUETZAL</v>
      </c>
      <c r="M320" s="6">
        <v>90065988</v>
      </c>
      <c r="N320" s="9" t="str">
        <f>+VLOOKUP(M320,Datos!$F:$G,2,FALSE)</f>
        <v>MAYNOR BRAN</v>
      </c>
      <c r="O320" s="10">
        <f>IFERROR(IF(A320="SI",VLOOKUP(R320,Datos!$J$1:$K$50,2,FALSE)*C320,VLOOKUP(R320,Datos!$P$1:$T$50,2,FALSE)*C320),0)</f>
        <v>816</v>
      </c>
      <c r="P320" s="6">
        <v>315099</v>
      </c>
      <c r="Q320" s="9" t="str">
        <f>+VLOOKUP(P320,Datos!$F:$G,2,FALSE)</f>
        <v>Marilyn Yulissa Alvarez Toscano</v>
      </c>
      <c r="R320" s="6" t="s">
        <v>29</v>
      </c>
      <c r="S320" s="6" t="s">
        <v>20</v>
      </c>
      <c r="T320" s="6">
        <f t="shared" si="5"/>
        <v>1</v>
      </c>
    </row>
    <row r="321" spans="1:20" x14ac:dyDescent="0.35">
      <c r="A321" s="6" t="s">
        <v>20</v>
      </c>
      <c r="B321" s="6" t="s">
        <v>26</v>
      </c>
      <c r="C321" s="6">
        <v>2</v>
      </c>
      <c r="D321" s="6" t="s">
        <v>22</v>
      </c>
      <c r="E321" s="6" t="s">
        <v>31</v>
      </c>
      <c r="F321" s="6">
        <v>1266</v>
      </c>
      <c r="G321" s="6" t="s">
        <v>384</v>
      </c>
      <c r="H321" s="8">
        <v>46284</v>
      </c>
      <c r="I321" s="8">
        <v>46281</v>
      </c>
      <c r="J321" s="9" t="str">
        <f>+VLOOKUP(K321,Datos!$A:$C,3,FALSE)</f>
        <v>PETAPA</v>
      </c>
      <c r="K321" s="6">
        <v>67</v>
      </c>
      <c r="L321" s="9" t="str">
        <f>+VLOOKUP(K321,Datos!$A:$C,2,FALSE)</f>
        <v>QUETZAL</v>
      </c>
      <c r="M321" s="6">
        <v>90065988</v>
      </c>
      <c r="N321" s="9" t="str">
        <f>+VLOOKUP(M321,Datos!$F:$G,2,FALSE)</f>
        <v>MAYNOR BRAN</v>
      </c>
      <c r="O321" s="10">
        <f>IFERROR(IF(A321="SI",VLOOKUP(R321,Datos!$J$1:$K$50,2,FALSE)*C321,VLOOKUP(R321,Datos!$P$1:$T$50,2,FALSE)*C321),0)</f>
        <v>1632</v>
      </c>
      <c r="P321" s="6">
        <v>315099</v>
      </c>
      <c r="Q321" s="9" t="str">
        <f>+VLOOKUP(P321,Datos!$F:$G,2,FALSE)</f>
        <v>Marilyn Yulissa Alvarez Toscano</v>
      </c>
      <c r="R321" s="6" t="s">
        <v>29</v>
      </c>
      <c r="S321" s="6" t="s">
        <v>20</v>
      </c>
      <c r="T321" s="6">
        <f t="shared" si="5"/>
        <v>1</v>
      </c>
    </row>
    <row r="322" spans="1:20" x14ac:dyDescent="0.35">
      <c r="A322" s="6" t="s">
        <v>20</v>
      </c>
      <c r="B322" s="6" t="s">
        <v>21</v>
      </c>
      <c r="C322" s="6">
        <v>3</v>
      </c>
      <c r="D322" s="6" t="s">
        <v>22</v>
      </c>
      <c r="E322" s="6" t="s">
        <v>53</v>
      </c>
      <c r="F322" s="6">
        <v>698</v>
      </c>
      <c r="G322" s="6" t="s">
        <v>385</v>
      </c>
      <c r="H322" s="8">
        <v>46284</v>
      </c>
      <c r="I322" s="8">
        <v>46284</v>
      </c>
      <c r="J322" s="9" t="str">
        <f>+VLOOKUP(K322,Datos!$A:$C,3,FALSE)</f>
        <v>NORTE</v>
      </c>
      <c r="K322" s="6">
        <v>194</v>
      </c>
      <c r="L322" s="9" t="str">
        <f>+VLOOKUP(K322,Datos!$A:$C,2,FALSE)</f>
        <v>PLAYA GRANDE</v>
      </c>
      <c r="M322" s="6">
        <v>90023865</v>
      </c>
      <c r="N322" s="9" t="str">
        <f>+VLOOKUP(M322,Datos!$F:$G,2,FALSE)</f>
        <v>Benito Abad Jimenez Carrillo</v>
      </c>
      <c r="O322" s="10">
        <f>IFERROR(IF(A322="SI",VLOOKUP(R322,Datos!$J$1:$K$50,2,FALSE)*C322,VLOOKUP(R322,Datos!$P$1:$T$50,2,FALSE)*C322),0)</f>
        <v>4104</v>
      </c>
      <c r="P322" s="6">
        <v>313593</v>
      </c>
      <c r="Q322" s="9" t="str">
        <f>+VLOOKUP(P322,Datos!$F:$G,2,FALSE)</f>
        <v>Slayker Andony Santiago Natareno</v>
      </c>
      <c r="R322" s="6" t="s">
        <v>25</v>
      </c>
      <c r="S322" s="6" t="s">
        <v>20</v>
      </c>
      <c r="T322" s="6">
        <f t="shared" si="5"/>
        <v>1</v>
      </c>
    </row>
    <row r="323" spans="1:20" x14ac:dyDescent="0.35">
      <c r="A323" s="6" t="s">
        <v>20</v>
      </c>
      <c r="B323" s="6" t="s">
        <v>21</v>
      </c>
      <c r="C323" s="6">
        <v>4</v>
      </c>
      <c r="D323" s="6" t="s">
        <v>22</v>
      </c>
      <c r="E323" s="6" t="s">
        <v>23</v>
      </c>
      <c r="F323" s="6">
        <v>850</v>
      </c>
      <c r="G323" s="6" t="s">
        <v>386</v>
      </c>
      <c r="H323" s="8">
        <v>46284</v>
      </c>
      <c r="I323" s="8">
        <v>46284</v>
      </c>
      <c r="J323" s="9" t="str">
        <f>+VLOOKUP(K323,Datos!$A:$C,3,FALSE)</f>
        <v>NORTE</v>
      </c>
      <c r="K323" s="6">
        <v>194</v>
      </c>
      <c r="L323" s="9" t="str">
        <f>+VLOOKUP(K323,Datos!$A:$C,2,FALSE)</f>
        <v>PLAYA GRANDE</v>
      </c>
      <c r="M323" s="6">
        <v>314945</v>
      </c>
      <c r="N323" s="9" t="str">
        <f>+VLOOKUP(M323,Datos!$F:$G,2,FALSE)</f>
        <v>Rolando Esau Solis Santos</v>
      </c>
      <c r="O323" s="10">
        <f>IFERROR(IF(A323="SI",VLOOKUP(R323,Datos!$J$1:$K$50,2,FALSE)*C323,VLOOKUP(R323,Datos!$P$1:$T$50,2,FALSE)*C323),0)</f>
        <v>5472</v>
      </c>
      <c r="P323" s="6">
        <v>313593</v>
      </c>
      <c r="Q323" s="9" t="str">
        <f>+VLOOKUP(P323,Datos!$F:$G,2,FALSE)</f>
        <v>Slayker Andony Santiago Natareno</v>
      </c>
      <c r="R323" s="6" t="s">
        <v>25</v>
      </c>
      <c r="S323" s="6" t="s">
        <v>20</v>
      </c>
      <c r="T323" s="6">
        <f t="shared" si="5"/>
        <v>1</v>
      </c>
    </row>
    <row r="324" spans="1:20" x14ac:dyDescent="0.35">
      <c r="A324" s="6" t="s">
        <v>20</v>
      </c>
      <c r="B324" s="6" t="s">
        <v>21</v>
      </c>
      <c r="C324" s="6">
        <v>1</v>
      </c>
      <c r="D324" s="6" t="s">
        <v>22</v>
      </c>
      <c r="E324" s="6" t="s">
        <v>27</v>
      </c>
      <c r="F324" s="6">
        <v>4593</v>
      </c>
      <c r="G324" s="6" t="s">
        <v>387</v>
      </c>
      <c r="H324" s="8">
        <v>46284</v>
      </c>
      <c r="I324" s="8">
        <v>46283</v>
      </c>
      <c r="J324" s="9" t="str">
        <f>+VLOOKUP(K324,Datos!$A:$C,3,FALSE)</f>
        <v>NORTE</v>
      </c>
      <c r="K324" s="6">
        <v>194</v>
      </c>
      <c r="L324" s="9" t="str">
        <f>+VLOOKUP(K324,Datos!$A:$C,2,FALSE)</f>
        <v>PLAYA GRANDE</v>
      </c>
      <c r="M324" s="6">
        <v>314945</v>
      </c>
      <c r="N324" s="9" t="str">
        <f>+VLOOKUP(M324,Datos!$F:$G,2,FALSE)</f>
        <v>Rolando Esau Solis Santos</v>
      </c>
      <c r="O324" s="10">
        <f>IFERROR(IF(A324="SI",VLOOKUP(R324,Datos!$J$1:$K$50,2,FALSE)*C324,VLOOKUP(R324,Datos!$P$1:$T$50,2,FALSE)*C324),0)</f>
        <v>5460</v>
      </c>
      <c r="P324" s="6">
        <v>313593</v>
      </c>
      <c r="Q324" s="9" t="str">
        <f>+VLOOKUP(P324,Datos!$F:$G,2,FALSE)</f>
        <v>Slayker Andony Santiago Natareno</v>
      </c>
      <c r="R324" s="6" t="s">
        <v>102</v>
      </c>
      <c r="S324" s="6" t="s">
        <v>20</v>
      </c>
      <c r="T324" s="6">
        <f t="shared" si="5"/>
        <v>1</v>
      </c>
    </row>
    <row r="325" spans="1:20" x14ac:dyDescent="0.35">
      <c r="A325" s="6" t="s">
        <v>20</v>
      </c>
      <c r="B325" s="6" t="s">
        <v>21</v>
      </c>
      <c r="C325" s="6">
        <v>2</v>
      </c>
      <c r="D325" s="6" t="s">
        <v>22</v>
      </c>
      <c r="E325" s="6" t="s">
        <v>31</v>
      </c>
      <c r="F325" s="6">
        <v>1321</v>
      </c>
      <c r="G325" s="6" t="s">
        <v>388</v>
      </c>
      <c r="H325" s="8">
        <v>46284</v>
      </c>
      <c r="I325" s="8">
        <v>46283</v>
      </c>
      <c r="J325" s="9" t="str">
        <f>+VLOOKUP(K325,Datos!$A:$C,3,FALSE)</f>
        <v>NORTE</v>
      </c>
      <c r="K325" s="6">
        <v>194</v>
      </c>
      <c r="L325" s="9" t="str">
        <f>+VLOOKUP(K325,Datos!$A:$C,2,FALSE)</f>
        <v>PLAYA GRANDE</v>
      </c>
      <c r="M325" s="6">
        <v>314945</v>
      </c>
      <c r="N325" s="9" t="str">
        <f>+VLOOKUP(M325,Datos!$F:$G,2,FALSE)</f>
        <v>Rolando Esau Solis Santos</v>
      </c>
      <c r="O325" s="10">
        <f>IFERROR(IF(A325="SI",VLOOKUP(R325,Datos!$J$1:$K$50,2,FALSE)*C325,VLOOKUP(R325,Datos!$P$1:$T$50,2,FALSE)*C325),0)</f>
        <v>10920</v>
      </c>
      <c r="P325" s="6">
        <v>313593</v>
      </c>
      <c r="Q325" s="9" t="str">
        <f>+VLOOKUP(P325,Datos!$F:$G,2,FALSE)</f>
        <v>Slayker Andony Santiago Natareno</v>
      </c>
      <c r="R325" s="6" t="s">
        <v>102</v>
      </c>
      <c r="S325" s="6" t="s">
        <v>20</v>
      </c>
      <c r="T325" s="6">
        <f t="shared" si="5"/>
        <v>1</v>
      </c>
    </row>
    <row r="326" spans="1:20" x14ac:dyDescent="0.35">
      <c r="A326" s="6" t="s">
        <v>20</v>
      </c>
      <c r="B326" s="6" t="s">
        <v>21</v>
      </c>
      <c r="C326" s="6">
        <v>4</v>
      </c>
      <c r="D326" s="6" t="s">
        <v>22</v>
      </c>
      <c r="E326" s="6" t="s">
        <v>23</v>
      </c>
      <c r="F326" s="6">
        <v>836</v>
      </c>
      <c r="G326" s="6" t="s">
        <v>389</v>
      </c>
      <c r="H326" s="8">
        <v>46284</v>
      </c>
      <c r="I326" s="8">
        <v>46283</v>
      </c>
      <c r="J326" s="9" t="str">
        <f>+VLOOKUP(K326,Datos!$A:$C,3,FALSE)</f>
        <v>NORTE</v>
      </c>
      <c r="K326" s="6">
        <v>194</v>
      </c>
      <c r="L326" s="9" t="str">
        <f>+VLOOKUP(K326,Datos!$A:$C,2,FALSE)</f>
        <v>PLAYA GRANDE</v>
      </c>
      <c r="M326" s="6">
        <v>90048588</v>
      </c>
      <c r="N326" s="9" t="str">
        <f>+VLOOKUP(M326,Datos!$F:$G,2,FALSE)</f>
        <v>Hector Cacao Choc</v>
      </c>
      <c r="O326" s="10">
        <f>IFERROR(IF(A326="SI",VLOOKUP(R326,Datos!$J$1:$K$50,2,FALSE)*C326,VLOOKUP(R326,Datos!$P$1:$T$50,2,FALSE)*C326),0)</f>
        <v>16416</v>
      </c>
      <c r="P326" s="6">
        <v>313593</v>
      </c>
      <c r="Q326" s="9" t="str">
        <f>+VLOOKUP(P326,Datos!$F:$G,2,FALSE)</f>
        <v>Slayker Andony Santiago Natareno</v>
      </c>
      <c r="R326" s="6" t="s">
        <v>271</v>
      </c>
      <c r="S326" s="6" t="s">
        <v>20</v>
      </c>
      <c r="T326" s="6">
        <f t="shared" si="5"/>
        <v>1</v>
      </c>
    </row>
    <row r="327" spans="1:20" x14ac:dyDescent="0.35">
      <c r="A327" s="6" t="s">
        <v>20</v>
      </c>
      <c r="B327" s="6" t="s">
        <v>21</v>
      </c>
      <c r="C327" s="6">
        <v>3</v>
      </c>
      <c r="D327" s="6" t="s">
        <v>22</v>
      </c>
      <c r="E327" s="6" t="s">
        <v>53</v>
      </c>
      <c r="F327" s="6">
        <v>708</v>
      </c>
      <c r="G327" s="6" t="s">
        <v>390</v>
      </c>
      <c r="H327" s="8">
        <v>46284</v>
      </c>
      <c r="I327" s="8">
        <v>46284</v>
      </c>
      <c r="J327" s="9" t="str">
        <f>+VLOOKUP(K327,Datos!$A:$C,3,FALSE)</f>
        <v>NORTE</v>
      </c>
      <c r="K327" s="6">
        <v>163</v>
      </c>
      <c r="L327" s="9" t="str">
        <f>+VLOOKUP(K327,Datos!$A:$C,2,FALSE)</f>
        <v>LA TINTA</v>
      </c>
      <c r="M327" s="6">
        <v>90038373</v>
      </c>
      <c r="N327" s="9" t="str">
        <f>+VLOOKUP(M327,Datos!$F:$G,2,FALSE)</f>
        <v>Bryan Sleyter Gabriel Coy Tercero</v>
      </c>
      <c r="O327" s="10">
        <f>IFERROR(IF(A327="SI",VLOOKUP(R327,Datos!$J$1:$K$50,2,FALSE)*C327,VLOOKUP(R327,Datos!$P$1:$T$50,2,FALSE)*C327),0)</f>
        <v>4104</v>
      </c>
      <c r="P327" s="6">
        <v>90084233</v>
      </c>
      <c r="Q327" s="9" t="str">
        <f>+VLOOKUP(P327,Datos!$F:$G,2,FALSE)</f>
        <v>CECILIA DORCAS SIQUIC VELASQUEZ</v>
      </c>
      <c r="R327" s="6" t="s">
        <v>25</v>
      </c>
      <c r="S327" s="6" t="s">
        <v>20</v>
      </c>
      <c r="T327" s="6">
        <f t="shared" si="5"/>
        <v>1</v>
      </c>
    </row>
    <row r="328" spans="1:20" x14ac:dyDescent="0.35">
      <c r="A328" s="6" t="s">
        <v>20</v>
      </c>
      <c r="B328" s="6" t="s">
        <v>21</v>
      </c>
      <c r="C328" s="6">
        <v>2</v>
      </c>
      <c r="D328" s="6" t="s">
        <v>22</v>
      </c>
      <c r="E328" s="6" t="s">
        <v>31</v>
      </c>
      <c r="F328" s="6">
        <v>1336</v>
      </c>
      <c r="G328" s="6" t="s">
        <v>391</v>
      </c>
      <c r="H328" s="8">
        <v>46284</v>
      </c>
      <c r="I328" s="8">
        <v>46284</v>
      </c>
      <c r="J328" s="9" t="str">
        <f>+VLOOKUP(K328,Datos!$A:$C,3,FALSE)</f>
        <v>NORTE</v>
      </c>
      <c r="K328" s="6">
        <v>163</v>
      </c>
      <c r="L328" s="9" t="str">
        <f>+VLOOKUP(K328,Datos!$A:$C,2,FALSE)</f>
        <v>LA TINTA</v>
      </c>
      <c r="M328" s="6">
        <v>90038373</v>
      </c>
      <c r="N328" s="9" t="str">
        <f>+VLOOKUP(M328,Datos!$F:$G,2,FALSE)</f>
        <v>Bryan Sleyter Gabriel Coy Tercero</v>
      </c>
      <c r="O328" s="10">
        <f>IFERROR(IF(A328="SI",VLOOKUP(R328,Datos!$J$1:$K$50,2,FALSE)*C328,VLOOKUP(R328,Datos!$P$1:$T$50,2,FALSE)*C328),0)</f>
        <v>1632</v>
      </c>
      <c r="P328" s="6">
        <v>90084233</v>
      </c>
      <c r="Q328" s="9" t="str">
        <f>+VLOOKUP(P328,Datos!$F:$G,2,FALSE)</f>
        <v>CECILIA DORCAS SIQUIC VELASQUEZ</v>
      </c>
      <c r="R328" s="6" t="s">
        <v>29</v>
      </c>
      <c r="S328" s="6" t="s">
        <v>20</v>
      </c>
      <c r="T328" s="6">
        <f t="shared" si="5"/>
        <v>1</v>
      </c>
    </row>
    <row r="329" spans="1:20" x14ac:dyDescent="0.35">
      <c r="A329" s="6" t="s">
        <v>20</v>
      </c>
      <c r="B329" s="6" t="s">
        <v>21</v>
      </c>
      <c r="C329" s="6">
        <v>4</v>
      </c>
      <c r="D329" s="6" t="s">
        <v>22</v>
      </c>
      <c r="E329" s="6" t="s">
        <v>23</v>
      </c>
      <c r="F329" s="6">
        <v>854</v>
      </c>
      <c r="G329" s="6" t="s">
        <v>392</v>
      </c>
      <c r="H329" s="8">
        <v>46284</v>
      </c>
      <c r="I329" s="8">
        <v>46284</v>
      </c>
      <c r="J329" s="9" t="str">
        <f>+VLOOKUP(K329,Datos!$A:$C,3,FALSE)</f>
        <v>ORIENTE</v>
      </c>
      <c r="K329" s="6">
        <v>144</v>
      </c>
      <c r="L329" s="9" t="str">
        <f>+VLOOKUP(K329,Datos!$A:$C,2,FALSE)</f>
        <v>RIO DULCE 2</v>
      </c>
      <c r="M329" s="6">
        <v>312312</v>
      </c>
      <c r="N329" s="9" t="str">
        <f>+VLOOKUP(M329,Datos!$F:$G,2,FALSE)</f>
        <v>Remigio Alexander Gonzalez Suchite</v>
      </c>
      <c r="O329" s="10">
        <f>IFERROR(IF(A329="SI",VLOOKUP(R329,Datos!$J$1:$K$50,2,FALSE)*C329,VLOOKUP(R329,Datos!$P$1:$T$50,2,FALSE)*C329),0)</f>
        <v>3264</v>
      </c>
      <c r="P329" s="6">
        <v>314613</v>
      </c>
      <c r="Q329" s="9" t="str">
        <f>+VLOOKUP(P329,Datos!$F:$G,2,FALSE)</f>
        <v>Yenifer Alicia Yessenia Tzib Lemus</v>
      </c>
      <c r="R329" s="6" t="s">
        <v>29</v>
      </c>
      <c r="S329" s="6" t="s">
        <v>20</v>
      </c>
      <c r="T329" s="6">
        <f t="shared" si="5"/>
        <v>1</v>
      </c>
    </row>
    <row r="330" spans="1:20" x14ac:dyDescent="0.35">
      <c r="A330" s="6" t="s">
        <v>20</v>
      </c>
      <c r="B330" s="6" t="s">
        <v>21</v>
      </c>
      <c r="C330" s="6">
        <v>3</v>
      </c>
      <c r="D330" s="6" t="s">
        <v>22</v>
      </c>
      <c r="E330" s="6" t="s">
        <v>53</v>
      </c>
      <c r="F330" s="6">
        <v>701</v>
      </c>
      <c r="G330" s="6" t="s">
        <v>393</v>
      </c>
      <c r="H330" s="8">
        <v>46284</v>
      </c>
      <c r="I330" s="8">
        <v>46284</v>
      </c>
      <c r="J330" s="9" t="str">
        <f>+VLOOKUP(K330,Datos!$A:$C,3,FALSE)</f>
        <v>NORTE</v>
      </c>
      <c r="K330" s="6">
        <v>163</v>
      </c>
      <c r="L330" s="9" t="str">
        <f>+VLOOKUP(K330,Datos!$A:$C,2,FALSE)</f>
        <v>LA TINTA</v>
      </c>
      <c r="M330" s="6">
        <v>90028724</v>
      </c>
      <c r="N330" s="9" t="str">
        <f>+VLOOKUP(M330,Datos!$F:$G,2,FALSE)</f>
        <v>Marilin Ameli Cu Quib</v>
      </c>
      <c r="O330" s="10">
        <f>IFERROR(IF(A330="SI",VLOOKUP(R330,Datos!$J$1:$K$50,2,FALSE)*C330,VLOOKUP(R330,Datos!$P$1:$T$50,2,FALSE)*C330),0)</f>
        <v>2448</v>
      </c>
      <c r="P330" s="6">
        <v>90084233</v>
      </c>
      <c r="Q330" s="9" t="str">
        <f>+VLOOKUP(P330,Datos!$F:$G,2,FALSE)</f>
        <v>CECILIA DORCAS SIQUIC VELASQUEZ</v>
      </c>
      <c r="R330" s="6" t="s">
        <v>29</v>
      </c>
      <c r="S330" s="6" t="s">
        <v>20</v>
      </c>
      <c r="T330" s="6">
        <f t="shared" si="5"/>
        <v>1</v>
      </c>
    </row>
    <row r="331" spans="1:20" x14ac:dyDescent="0.35">
      <c r="A331" s="6" t="s">
        <v>20</v>
      </c>
      <c r="B331" s="6" t="s">
        <v>26</v>
      </c>
      <c r="C331" s="6">
        <v>1</v>
      </c>
      <c r="D331" s="6" t="s">
        <v>22</v>
      </c>
      <c r="E331" s="6" t="s">
        <v>27</v>
      </c>
      <c r="F331" s="6">
        <v>4630</v>
      </c>
      <c r="G331" s="6" t="s">
        <v>394</v>
      </c>
      <c r="H331" s="8">
        <v>46284</v>
      </c>
      <c r="I331" s="8">
        <v>46284</v>
      </c>
      <c r="J331" s="9" t="str">
        <f>+VLOOKUP(K331,Datos!$A:$C,3,FALSE)</f>
        <v>NORTE</v>
      </c>
      <c r="K331" s="6">
        <v>195</v>
      </c>
      <c r="L331" s="9" t="str">
        <f>+VLOOKUP(K331,Datos!$A:$C,2,FALSE)</f>
        <v>TELEMAN</v>
      </c>
      <c r="M331" s="6">
        <v>310871</v>
      </c>
      <c r="N331" s="9" t="str">
        <f>+VLOOKUP(M331,Datos!$F:$G,2,FALSE)</f>
        <v>Yuri Vanessa Bac Caal De Gomez</v>
      </c>
      <c r="O331" s="10">
        <f>IFERROR(IF(A331="SI",VLOOKUP(R331,Datos!$J$1:$K$50,2,FALSE)*C331,VLOOKUP(R331,Datos!$P$1:$T$50,2,FALSE)*C331),0)</f>
        <v>816</v>
      </c>
      <c r="P331" s="6">
        <v>315351</v>
      </c>
      <c r="Q331" s="9" t="str">
        <f>+VLOOKUP(P331,Datos!$F:$G,2,FALSE)</f>
        <v>Maria Vicenta Lopez Mancilla De De Del Valle</v>
      </c>
      <c r="R331" s="6" t="s">
        <v>29</v>
      </c>
      <c r="S331" s="6" t="s">
        <v>20</v>
      </c>
      <c r="T331" s="6">
        <f t="shared" si="5"/>
        <v>1</v>
      </c>
    </row>
    <row r="332" spans="1:20" x14ac:dyDescent="0.35">
      <c r="A332" s="6" t="s">
        <v>20</v>
      </c>
      <c r="B332" s="6" t="s">
        <v>26</v>
      </c>
      <c r="C332" s="6">
        <v>2</v>
      </c>
      <c r="D332" s="6" t="s">
        <v>22</v>
      </c>
      <c r="E332" s="6" t="s">
        <v>31</v>
      </c>
      <c r="F332" s="6">
        <v>1345</v>
      </c>
      <c r="G332" s="6" t="s">
        <v>395</v>
      </c>
      <c r="H332" s="8">
        <v>46284</v>
      </c>
      <c r="I332" s="8">
        <v>46284</v>
      </c>
      <c r="J332" s="9" t="str">
        <f>+VLOOKUP(K332,Datos!$A:$C,3,FALSE)</f>
        <v>NORTE</v>
      </c>
      <c r="K332" s="6">
        <v>195</v>
      </c>
      <c r="L332" s="9" t="str">
        <f>+VLOOKUP(K332,Datos!$A:$C,2,FALSE)</f>
        <v>TELEMAN</v>
      </c>
      <c r="M332" s="6">
        <v>90082179</v>
      </c>
      <c r="N332" s="9" t="str">
        <f>+VLOOKUP(M332,Datos!$F:$G,2,FALSE)</f>
        <v>REYNA ADELAIDA CHAMAN CAAL</v>
      </c>
      <c r="O332" s="10">
        <f>IFERROR(IF(A332="SI",VLOOKUP(R332,Datos!$J$1:$K$50,2,FALSE)*C332,VLOOKUP(R332,Datos!$P$1:$T$50,2,FALSE)*C332),0)</f>
        <v>1632</v>
      </c>
      <c r="P332" s="6">
        <v>315351</v>
      </c>
      <c r="Q332" s="9" t="str">
        <f>+VLOOKUP(P332,Datos!$F:$G,2,FALSE)</f>
        <v>Maria Vicenta Lopez Mancilla De De Del Valle</v>
      </c>
      <c r="R332" s="6" t="s">
        <v>29</v>
      </c>
      <c r="S332" s="6" t="s">
        <v>20</v>
      </c>
      <c r="T332" s="6">
        <f t="shared" si="5"/>
        <v>1</v>
      </c>
    </row>
    <row r="333" spans="1:20" x14ac:dyDescent="0.35">
      <c r="A333" s="6" t="s">
        <v>20</v>
      </c>
      <c r="B333" s="6" t="s">
        <v>21</v>
      </c>
      <c r="C333" s="6">
        <v>4</v>
      </c>
      <c r="D333" s="6" t="s">
        <v>22</v>
      </c>
      <c r="E333" s="6" t="s">
        <v>23</v>
      </c>
      <c r="F333" s="6">
        <v>855</v>
      </c>
      <c r="G333" s="6" t="s">
        <v>396</v>
      </c>
      <c r="H333" s="8">
        <v>46284</v>
      </c>
      <c r="I333" s="8">
        <v>46284</v>
      </c>
      <c r="J333" s="9" t="str">
        <f>+VLOOKUP(K333,Datos!$A:$C,3,FALSE)</f>
        <v>ORIENTE</v>
      </c>
      <c r="K333" s="6">
        <v>41</v>
      </c>
      <c r="L333" s="9" t="str">
        <f>+VLOOKUP(K333,Datos!$A:$C,2,FALSE)</f>
        <v>JUTIAPA</v>
      </c>
      <c r="M333" s="6">
        <v>90086174</v>
      </c>
      <c r="N333" s="9" t="str">
        <f>+VLOOKUP(M333,Datos!$F:$G,2,FALSE)</f>
        <v>DAILY ELIZABETH ALAY VANEGAS</v>
      </c>
      <c r="O333" s="10">
        <f>IFERROR(IF(A333="SI",VLOOKUP(R333,Datos!$J$1:$K$50,2,FALSE)*C333,VLOOKUP(R333,Datos!$P$1:$T$50,2,FALSE)*C333),0)</f>
        <v>5472</v>
      </c>
      <c r="P333" s="6">
        <v>311802</v>
      </c>
      <c r="Q333" s="9" t="str">
        <f>+VLOOKUP(P333,Datos!$F:$G,2,FALSE)</f>
        <v>Jose Roberto Samayoa Bernal</v>
      </c>
      <c r="R333" s="6" t="s">
        <v>25</v>
      </c>
      <c r="S333" s="6" t="s">
        <v>20</v>
      </c>
      <c r="T333" s="6">
        <f t="shared" si="5"/>
        <v>1</v>
      </c>
    </row>
    <row r="334" spans="1:20" x14ac:dyDescent="0.35">
      <c r="A334" s="6" t="s">
        <v>20</v>
      </c>
      <c r="B334" s="6" t="s">
        <v>21</v>
      </c>
      <c r="C334" s="6">
        <v>4</v>
      </c>
      <c r="D334" s="6" t="s">
        <v>22</v>
      </c>
      <c r="E334" s="6" t="s">
        <v>23</v>
      </c>
      <c r="F334" s="6">
        <v>863</v>
      </c>
      <c r="G334" s="6" t="s">
        <v>397</v>
      </c>
      <c r="H334" s="8">
        <v>46284</v>
      </c>
      <c r="I334" s="8">
        <v>46284</v>
      </c>
      <c r="J334" s="9" t="str">
        <f>+VLOOKUP(K334,Datos!$A:$C,3,FALSE)</f>
        <v>ORIENTE</v>
      </c>
      <c r="K334" s="6">
        <v>41</v>
      </c>
      <c r="L334" s="9" t="str">
        <f>+VLOOKUP(K334,Datos!$A:$C,2,FALSE)</f>
        <v>JUTIAPA</v>
      </c>
      <c r="M334" s="6">
        <v>90048448</v>
      </c>
      <c r="N334" s="9" t="str">
        <f>+VLOOKUP(M334,Datos!$F:$G,2,FALSE)</f>
        <v>Erick Cecilio Salvatierra García</v>
      </c>
      <c r="O334" s="10">
        <f>IFERROR(IF(A334="SI",VLOOKUP(R334,Datos!$J$1:$K$50,2,FALSE)*C334,VLOOKUP(R334,Datos!$P$1:$T$50,2,FALSE)*C334),0)</f>
        <v>3264</v>
      </c>
      <c r="P334" s="6">
        <v>301658</v>
      </c>
      <c r="Q334" s="9" t="str">
        <f>+VLOOKUP(P334,Datos!$F:$G,2,FALSE)</f>
        <v>Ruth Nohemi Contreras Hernandez</v>
      </c>
      <c r="R334" s="6" t="s">
        <v>29</v>
      </c>
      <c r="S334" s="6" t="s">
        <v>20</v>
      </c>
      <c r="T334" s="6">
        <f t="shared" si="5"/>
        <v>1</v>
      </c>
    </row>
    <row r="335" spans="1:20" x14ac:dyDescent="0.35">
      <c r="A335" s="6" t="s">
        <v>20</v>
      </c>
      <c r="B335" s="6" t="s">
        <v>21</v>
      </c>
      <c r="C335" s="6">
        <v>4</v>
      </c>
      <c r="D335" s="6" t="s">
        <v>22</v>
      </c>
      <c r="E335" s="6" t="s">
        <v>23</v>
      </c>
      <c r="F335" s="6">
        <v>862</v>
      </c>
      <c r="G335" s="6" t="s">
        <v>398</v>
      </c>
      <c r="H335" s="8">
        <v>46284</v>
      </c>
      <c r="I335" s="8">
        <v>46284</v>
      </c>
      <c r="J335" s="9" t="str">
        <f>+VLOOKUP(K335,Datos!$A:$C,3,FALSE)</f>
        <v>AMERICAS</v>
      </c>
      <c r="K335" s="6">
        <v>30</v>
      </c>
      <c r="L335" s="9" t="str">
        <f>+VLOOKUP(K335,Datos!$A:$C,2,FALSE)</f>
        <v>BARBERENA</v>
      </c>
      <c r="M335" s="6">
        <v>90024235</v>
      </c>
      <c r="N335" s="9" t="str">
        <f>+VLOOKUP(M335,Datos!$F:$G,2,FALSE)</f>
        <v>Jason Alberto Bolaños Gutiérrez</v>
      </c>
      <c r="O335" s="10">
        <f>IFERROR(IF(A335="SI",VLOOKUP(R335,Datos!$J$1:$K$50,2,FALSE)*C335,VLOOKUP(R335,Datos!$P$1:$T$50,2,FALSE)*C335),0)</f>
        <v>3264</v>
      </c>
      <c r="P335" s="6">
        <v>300594</v>
      </c>
      <c r="Q335" s="9" t="str">
        <f>+VLOOKUP(P335,Datos!$F:$G,2,FALSE)</f>
        <v>Rosaura Grisleny Perez Rios</v>
      </c>
      <c r="R335" s="6" t="s">
        <v>29</v>
      </c>
      <c r="S335" s="6" t="s">
        <v>20</v>
      </c>
      <c r="T335" s="6">
        <f t="shared" si="5"/>
        <v>1</v>
      </c>
    </row>
    <row r="336" spans="1:20" x14ac:dyDescent="0.35">
      <c r="A336" s="6" t="s">
        <v>20</v>
      </c>
      <c r="B336" s="6" t="s">
        <v>21</v>
      </c>
      <c r="C336" s="6">
        <v>3</v>
      </c>
      <c r="D336" s="6" t="s">
        <v>22</v>
      </c>
      <c r="E336" s="6" t="s">
        <v>53</v>
      </c>
      <c r="F336" s="6">
        <v>709</v>
      </c>
      <c r="G336" s="6" t="s">
        <v>399</v>
      </c>
      <c r="H336" s="8">
        <v>46284</v>
      </c>
      <c r="I336" s="8">
        <v>46284</v>
      </c>
      <c r="J336" s="9" t="str">
        <f>+VLOOKUP(K336,Datos!$A:$C,3,FALSE)</f>
        <v>AMERICAS</v>
      </c>
      <c r="K336" s="6">
        <v>30</v>
      </c>
      <c r="L336" s="9" t="str">
        <f>+VLOOKUP(K336,Datos!$A:$C,2,FALSE)</f>
        <v>BARBERENA</v>
      </c>
      <c r="M336" s="6">
        <v>90068816</v>
      </c>
      <c r="N336" s="9" t="str">
        <f>+VLOOKUP(M336,Datos!$F:$G,2,FALSE)</f>
        <v>BRAYAN ELI GARCIA DONIS</v>
      </c>
      <c r="O336" s="10">
        <f>IFERROR(IF(A336="SI",VLOOKUP(R336,Datos!$J$1:$K$50,2,FALSE)*C336,VLOOKUP(R336,Datos!$P$1:$T$50,2,FALSE)*C336),0)</f>
        <v>2448</v>
      </c>
      <c r="P336" s="6">
        <v>300594</v>
      </c>
      <c r="Q336" s="9" t="str">
        <f>+VLOOKUP(P336,Datos!$F:$G,2,FALSE)</f>
        <v>Rosaura Grisleny Perez Rios</v>
      </c>
      <c r="R336" s="6" t="s">
        <v>29</v>
      </c>
      <c r="S336" s="6" t="s">
        <v>20</v>
      </c>
      <c r="T336" s="6">
        <f t="shared" si="5"/>
        <v>1</v>
      </c>
    </row>
    <row r="337" spans="1:20" x14ac:dyDescent="0.35">
      <c r="A337" s="6" t="s">
        <v>20</v>
      </c>
      <c r="B337" s="6" t="s">
        <v>21</v>
      </c>
      <c r="C337" s="6">
        <v>2</v>
      </c>
      <c r="D337" s="6" t="s">
        <v>22</v>
      </c>
      <c r="E337" s="6" t="s">
        <v>31</v>
      </c>
      <c r="F337" s="6">
        <v>1351</v>
      </c>
      <c r="G337" s="6" t="s">
        <v>400</v>
      </c>
      <c r="H337" s="8">
        <v>46284</v>
      </c>
      <c r="I337" s="8">
        <v>46284</v>
      </c>
      <c r="J337" s="9" t="str">
        <f>+VLOOKUP(K337,Datos!$A:$C,3,FALSE)</f>
        <v>AMERICAS</v>
      </c>
      <c r="K337" s="6">
        <v>30</v>
      </c>
      <c r="L337" s="9" t="str">
        <f>+VLOOKUP(K337,Datos!$A:$C,2,FALSE)</f>
        <v>BARBERENA</v>
      </c>
      <c r="M337" s="6">
        <v>90050146</v>
      </c>
      <c r="N337" s="9" t="str">
        <f>+VLOOKUP(M337,Datos!$F:$G,2,FALSE)</f>
        <v>Wendy Aracely Marroquin Arias</v>
      </c>
      <c r="O337" s="10">
        <f>IFERROR(IF(A337="SI",VLOOKUP(R337,Datos!$J$1:$K$50,2,FALSE)*C337,VLOOKUP(R337,Datos!$P$1:$T$50,2,FALSE)*C337),0)</f>
        <v>1632</v>
      </c>
      <c r="P337" s="6">
        <v>311111</v>
      </c>
      <c r="Q337" s="9" t="str">
        <f>+VLOOKUP(P337,Datos!$F:$G,2,FALSE)</f>
        <v>Ana Lucia Donis Franco</v>
      </c>
      <c r="R337" s="6" t="s">
        <v>29</v>
      </c>
      <c r="S337" s="6" t="s">
        <v>20</v>
      </c>
      <c r="T337" s="6">
        <f t="shared" si="5"/>
        <v>1</v>
      </c>
    </row>
    <row r="338" spans="1:20" x14ac:dyDescent="0.35">
      <c r="A338" s="6" t="s">
        <v>20</v>
      </c>
      <c r="B338" s="6" t="s">
        <v>26</v>
      </c>
      <c r="C338" s="6">
        <v>2</v>
      </c>
      <c r="D338" s="6" t="s">
        <v>22</v>
      </c>
      <c r="E338" s="6" t="s">
        <v>31</v>
      </c>
      <c r="F338" s="6">
        <v>1354</v>
      </c>
      <c r="G338" s="6" t="s">
        <v>401</v>
      </c>
      <c r="H338" s="8">
        <v>46284</v>
      </c>
      <c r="I338" s="8">
        <v>46284</v>
      </c>
      <c r="J338" s="9" t="str">
        <f>+VLOOKUP(K338,Datos!$A:$C,3,FALSE)</f>
        <v>PETAPA</v>
      </c>
      <c r="K338" s="6">
        <v>112</v>
      </c>
      <c r="L338" s="9" t="str">
        <f>+VLOOKUP(K338,Datos!$A:$C,2,FALSE)</f>
        <v>PACIFIC CENTER</v>
      </c>
      <c r="M338" s="6">
        <v>900874547</v>
      </c>
      <c r="N338" s="9" t="str">
        <f>+VLOOKUP(M338,Datos!$F:$G,2,FALSE)</f>
        <v>LUIS EDUARDO PEREIRA MALDONADO</v>
      </c>
      <c r="O338" s="10">
        <f>IFERROR(IF(A338="SI",VLOOKUP(R338,Datos!$J$1:$K$50,2,FALSE)*C338,VLOOKUP(R338,Datos!$P$1:$T$50,2,FALSE)*C338),0)</f>
        <v>1632</v>
      </c>
      <c r="P338" s="6">
        <v>309744</v>
      </c>
      <c r="Q338" s="9" t="str">
        <f>+VLOOKUP(P338,Datos!$F:$G,2,FALSE)</f>
        <v>Odalis Ruby Garcia Siquina</v>
      </c>
      <c r="R338" s="6" t="s">
        <v>29</v>
      </c>
      <c r="S338" s="6" t="s">
        <v>20</v>
      </c>
      <c r="T338" s="6">
        <f t="shared" si="5"/>
        <v>1</v>
      </c>
    </row>
    <row r="339" spans="1:20" x14ac:dyDescent="0.35">
      <c r="A339" s="6" t="s">
        <v>20</v>
      </c>
      <c r="B339" s="6" t="s">
        <v>26</v>
      </c>
      <c r="C339" s="6">
        <v>1</v>
      </c>
      <c r="D339" s="6" t="s">
        <v>22</v>
      </c>
      <c r="E339" s="6" t="s">
        <v>27</v>
      </c>
      <c r="F339" s="6">
        <v>4639</v>
      </c>
      <c r="G339" s="6" t="s">
        <v>402</v>
      </c>
      <c r="H339" s="8">
        <v>46284</v>
      </c>
      <c r="I339" s="8">
        <v>46284</v>
      </c>
      <c r="J339" s="9" t="str">
        <f>+VLOOKUP(K339,Datos!$A:$C,3,FALSE)</f>
        <v>NORTE</v>
      </c>
      <c r="K339" s="6">
        <v>38</v>
      </c>
      <c r="L339" s="9" t="str">
        <f>+VLOOKUP(K339,Datos!$A:$C,2,FALSE)</f>
        <v>CARCHA</v>
      </c>
      <c r="M339" s="6">
        <v>90064229</v>
      </c>
      <c r="N339" s="9" t="str">
        <f>+VLOOKUP(M339,Datos!$F:$G,2,FALSE)</f>
        <v>KRISHNA MORALES</v>
      </c>
      <c r="O339" s="10">
        <f>IFERROR(IF(A339="SI",VLOOKUP(R339,Datos!$J$1:$K$50,2,FALSE)*C339,VLOOKUP(R339,Datos!$P$1:$T$50,2,FALSE)*C339),0)</f>
        <v>816</v>
      </c>
      <c r="P339" s="6">
        <v>315962</v>
      </c>
      <c r="Q339" s="9" t="str">
        <f>+VLOOKUP(P339,Datos!$F:$G,2,FALSE)</f>
        <v>Jennifer Celeste Delgado Garcia</v>
      </c>
      <c r="R339" s="6" t="s">
        <v>29</v>
      </c>
      <c r="S339" s="6" t="s">
        <v>20</v>
      </c>
      <c r="T339" s="6">
        <f t="shared" si="5"/>
        <v>1</v>
      </c>
    </row>
    <row r="340" spans="1:20" x14ac:dyDescent="0.35">
      <c r="A340" s="6" t="s">
        <v>20</v>
      </c>
      <c r="B340" s="6" t="s">
        <v>26</v>
      </c>
      <c r="C340" s="6">
        <v>3</v>
      </c>
      <c r="D340" s="6" t="s">
        <v>22</v>
      </c>
      <c r="E340" s="6" t="s">
        <v>403</v>
      </c>
      <c r="F340" s="6">
        <v>36</v>
      </c>
      <c r="G340" s="6" t="s">
        <v>404</v>
      </c>
      <c r="H340" s="8">
        <v>46284</v>
      </c>
      <c r="I340" s="8">
        <v>46284</v>
      </c>
      <c r="J340" s="9" t="str">
        <f>+VLOOKUP(K340,Datos!$A:$C,3,FALSE)</f>
        <v>NORTE</v>
      </c>
      <c r="K340" s="6">
        <v>38</v>
      </c>
      <c r="L340" s="9" t="str">
        <f>+VLOOKUP(K340,Datos!$A:$C,2,FALSE)</f>
        <v>CARCHA</v>
      </c>
      <c r="M340" s="6">
        <v>305736</v>
      </c>
      <c r="N340" s="9" t="str">
        <f>+VLOOKUP(M340,Datos!$F:$G,2,FALSE)</f>
        <v>Edvin Estuardo Ordoñez Gonzalez</v>
      </c>
      <c r="O340" s="10">
        <f>IFERROR(IF(A340="SI",VLOOKUP(R340,Datos!$J$1:$K$50,2,FALSE)*C340,VLOOKUP(R340,Datos!$P$1:$T$50,2,FALSE)*C340),0)</f>
        <v>5112</v>
      </c>
      <c r="P340" s="6">
        <v>315962</v>
      </c>
      <c r="Q340" s="9" t="str">
        <f>+VLOOKUP(P340,Datos!$F:$G,2,FALSE)</f>
        <v>Jennifer Celeste Delgado Garcia</v>
      </c>
      <c r="R340" s="6" t="s">
        <v>239</v>
      </c>
      <c r="S340" s="6" t="s">
        <v>20</v>
      </c>
      <c r="T340" s="6">
        <f t="shared" si="5"/>
        <v>1</v>
      </c>
    </row>
    <row r="341" spans="1:20" x14ac:dyDescent="0.35">
      <c r="A341" s="6" t="s">
        <v>20</v>
      </c>
      <c r="B341" s="6" t="s">
        <v>26</v>
      </c>
      <c r="C341" s="6">
        <v>1</v>
      </c>
      <c r="D341" s="6" t="s">
        <v>22</v>
      </c>
      <c r="E341" s="6" t="s">
        <v>112</v>
      </c>
      <c r="F341" s="6">
        <v>2600</v>
      </c>
      <c r="G341" s="6" t="s">
        <v>405</v>
      </c>
      <c r="H341" s="8">
        <v>46284</v>
      </c>
      <c r="I341" s="8">
        <v>46284</v>
      </c>
      <c r="J341" s="9" t="str">
        <f>+VLOOKUP(K341,Datos!$A:$C,3,FALSE)</f>
        <v>NORTE</v>
      </c>
      <c r="K341" s="6">
        <v>38</v>
      </c>
      <c r="L341" s="9" t="str">
        <f>+VLOOKUP(K341,Datos!$A:$C,2,FALSE)</f>
        <v>CARCHA</v>
      </c>
      <c r="M341" s="6">
        <v>315132</v>
      </c>
      <c r="N341" s="9" t="str">
        <f>+VLOOKUP(M341,Datos!$F:$G,2,FALSE)</f>
        <v>Lesly Lisseth Ligorria Torres</v>
      </c>
      <c r="O341" s="10">
        <f>IFERROR(IF(A341="SI",VLOOKUP(R341,Datos!$J$1:$K$50,2,FALSE)*C341,VLOOKUP(R341,Datos!$P$1:$T$50,2,FALSE)*C341),0)</f>
        <v>1008</v>
      </c>
      <c r="P341" s="6">
        <v>315962</v>
      </c>
      <c r="Q341" s="9" t="str">
        <f>+VLOOKUP(P341,Datos!$F:$G,2,FALSE)</f>
        <v>Jennifer Celeste Delgado Garcia</v>
      </c>
      <c r="R341" s="6" t="s">
        <v>114</v>
      </c>
      <c r="S341" s="6" t="s">
        <v>20</v>
      </c>
      <c r="T341" s="6">
        <f t="shared" si="5"/>
        <v>1</v>
      </c>
    </row>
    <row r="342" spans="1:20" x14ac:dyDescent="0.35">
      <c r="A342" s="6" t="s">
        <v>20</v>
      </c>
      <c r="B342" s="6" t="s">
        <v>26</v>
      </c>
      <c r="C342" s="6">
        <v>1</v>
      </c>
      <c r="D342" s="6" t="s">
        <v>22</v>
      </c>
      <c r="E342" s="6" t="s">
        <v>406</v>
      </c>
      <c r="F342" s="6">
        <v>2481</v>
      </c>
      <c r="G342" s="6" t="s">
        <v>407</v>
      </c>
      <c r="H342" s="7">
        <v>46285</v>
      </c>
      <c r="I342" s="8">
        <v>46283</v>
      </c>
      <c r="J342" s="9" t="str">
        <f>+VLOOKUP(K342,Datos!$A:$C,3,FALSE)</f>
        <v>PETAPA</v>
      </c>
      <c r="K342" s="6">
        <v>112</v>
      </c>
      <c r="L342" s="9" t="str">
        <f>+VLOOKUP(K342,Datos!$A:$C,2,FALSE)</f>
        <v>PACIFIC CENTER</v>
      </c>
      <c r="M342" s="6">
        <v>90040078</v>
      </c>
      <c r="N342" s="9" t="str">
        <f>+VLOOKUP(M342,Datos!$F:$G,2,FALSE)</f>
        <v xml:space="preserve">Hellen Andrea Orozco Martin </v>
      </c>
      <c r="O342" s="10">
        <f>IFERROR(IF(A342="SI",VLOOKUP(R342,Datos!$J$1:$K$50,2,FALSE)*C342,VLOOKUP(R342,Datos!$P$1:$T$50,2,FALSE)*C342),0)</f>
        <v>1704</v>
      </c>
      <c r="P342" s="6">
        <v>313368</v>
      </c>
      <c r="Q342" s="9" t="str">
        <f>+VLOOKUP(P342,Datos!$F:$G,2,FALSE)</f>
        <v>Elvis Orlando Lopez Marroquin</v>
      </c>
      <c r="R342" s="6" t="s">
        <v>239</v>
      </c>
      <c r="S342" s="6" t="s">
        <v>20</v>
      </c>
      <c r="T342" s="6">
        <f t="shared" si="5"/>
        <v>1</v>
      </c>
    </row>
    <row r="343" spans="1:20" x14ac:dyDescent="0.35">
      <c r="A343" s="6" t="s">
        <v>20</v>
      </c>
      <c r="B343" s="6" t="s">
        <v>26</v>
      </c>
      <c r="C343" s="6">
        <v>4</v>
      </c>
      <c r="D343" s="6" t="s">
        <v>22</v>
      </c>
      <c r="E343" s="6" t="s">
        <v>23</v>
      </c>
      <c r="F343" s="6">
        <v>873</v>
      </c>
      <c r="G343" s="6" t="s">
        <v>408</v>
      </c>
      <c r="H343" s="8">
        <v>46285</v>
      </c>
      <c r="I343" s="8">
        <v>46285</v>
      </c>
      <c r="J343" s="9" t="str">
        <f>+VLOOKUP(K343,Datos!$A:$C,3,FALSE)</f>
        <v>NORTE</v>
      </c>
      <c r="K343" s="6">
        <v>38</v>
      </c>
      <c r="L343" s="9" t="str">
        <f>+VLOOKUP(K343,Datos!$A:$C,2,FALSE)</f>
        <v>CARCHA</v>
      </c>
      <c r="M343" s="6">
        <v>305736</v>
      </c>
      <c r="N343" s="9" t="str">
        <f>+VLOOKUP(M343,Datos!$F:$G,2,FALSE)</f>
        <v>Edvin Estuardo Ordoñez Gonzalez</v>
      </c>
      <c r="O343" s="10">
        <f>IFERROR(IF(A343="SI",VLOOKUP(R343,Datos!$J$1:$K$50,2,FALSE)*C343,VLOOKUP(R343,Datos!$P$1:$T$50,2,FALSE)*C343),0)</f>
        <v>10944</v>
      </c>
      <c r="P343" s="6">
        <v>313802</v>
      </c>
      <c r="Q343" s="9" t="str">
        <f>+VLOOKUP(P343,Datos!$F:$G,2,FALSE)</f>
        <v>Ligia Delfina Caal Coy</v>
      </c>
      <c r="R343" s="6" t="s">
        <v>73</v>
      </c>
      <c r="S343" s="6" t="s">
        <v>20</v>
      </c>
      <c r="T343" s="6">
        <f t="shared" si="5"/>
        <v>1</v>
      </c>
    </row>
    <row r="344" spans="1:20" x14ac:dyDescent="0.35">
      <c r="A344" s="6" t="s">
        <v>20</v>
      </c>
      <c r="D344" s="6" t="s">
        <v>22</v>
      </c>
      <c r="E344" s="6" t="s">
        <v>409</v>
      </c>
      <c r="F344" s="6" t="s">
        <v>409</v>
      </c>
      <c r="H344" s="8"/>
      <c r="I344" s="8"/>
      <c r="J344" s="9" t="e">
        <f>+VLOOKUP(K344,Datos!$A:$C,3,FALSE)</f>
        <v>#N/A</v>
      </c>
      <c r="L344" s="9" t="e">
        <f>+VLOOKUP(K344,Datos!$A:$C,2,FALSE)</f>
        <v>#N/A</v>
      </c>
      <c r="N344" s="9" t="e">
        <f>+VLOOKUP(M344,Datos!$F:$G,2,FALSE)</f>
        <v>#N/A</v>
      </c>
      <c r="O344" s="10">
        <f>IFERROR(IF(A344="SI",VLOOKUP(R344,Datos!$J$1:$K$50,2,FALSE)*C344,VLOOKUP(R344,Datos!$P$1:$T$50,2,FALSE)*C344),0)</f>
        <v>0</v>
      </c>
      <c r="P344" s="6"/>
      <c r="Q344" s="9" t="e">
        <f>+VLOOKUP(P344,Datos!$F:$G,2,FALSE)</f>
        <v>#N/A</v>
      </c>
      <c r="T344" s="6">
        <f t="shared" si="5"/>
        <v>0</v>
      </c>
    </row>
    <row r="345" spans="1:20" x14ac:dyDescent="0.35">
      <c r="A345" s="6" t="s">
        <v>20</v>
      </c>
      <c r="D345" s="6" t="s">
        <v>22</v>
      </c>
      <c r="E345" s="6" t="s">
        <v>409</v>
      </c>
      <c r="F345" s="6" t="s">
        <v>409</v>
      </c>
      <c r="H345" s="8"/>
      <c r="I345" s="8"/>
      <c r="J345" s="9" t="e">
        <f>+VLOOKUP(K345,Datos!$A:$C,3,FALSE)</f>
        <v>#N/A</v>
      </c>
      <c r="L345" s="9" t="e">
        <f>+VLOOKUP(K345,Datos!$A:$C,2,FALSE)</f>
        <v>#N/A</v>
      </c>
      <c r="N345" s="9" t="e">
        <f>+VLOOKUP(M345,Datos!$F:$G,2,FALSE)</f>
        <v>#N/A</v>
      </c>
      <c r="O345" s="10">
        <f>IFERROR(IF(A345="SI",VLOOKUP(R345,Datos!$J$1:$K$50,2,FALSE)*C345,VLOOKUP(R345,Datos!$P$1:$T$50,2,FALSE)*C345),0)</f>
        <v>0</v>
      </c>
      <c r="P345" s="6"/>
      <c r="Q345" s="9" t="e">
        <f>+VLOOKUP(P345,Datos!$F:$G,2,FALSE)</f>
        <v>#N/A</v>
      </c>
      <c r="T345" s="6">
        <f t="shared" si="5"/>
        <v>0</v>
      </c>
    </row>
    <row r="346" spans="1:20" x14ac:dyDescent="0.35">
      <c r="A346" s="6" t="s">
        <v>20</v>
      </c>
      <c r="D346" s="6" t="s">
        <v>22</v>
      </c>
      <c r="E346" s="6" t="s">
        <v>409</v>
      </c>
      <c r="F346" s="6" t="s">
        <v>409</v>
      </c>
      <c r="H346" s="8"/>
      <c r="I346" s="8"/>
      <c r="J346" s="9" t="e">
        <f>+VLOOKUP(K346,Datos!$A:$C,3,FALSE)</f>
        <v>#N/A</v>
      </c>
      <c r="L346" s="9" t="e">
        <f>+VLOOKUP(K346,Datos!$A:$C,2,FALSE)</f>
        <v>#N/A</v>
      </c>
      <c r="N346" s="9" t="e">
        <f>+VLOOKUP(M346,Datos!$F:$G,2,FALSE)</f>
        <v>#N/A</v>
      </c>
      <c r="O346" s="10">
        <f>IFERROR(IF(A346="SI",VLOOKUP(R346,Datos!$J$1:$K$50,2,FALSE)*C346,VLOOKUP(R346,Datos!$P$1:$T$50,2,FALSE)*C346),0)</f>
        <v>0</v>
      </c>
      <c r="P346" s="6"/>
      <c r="Q346" s="9" t="e">
        <f>+VLOOKUP(P346,Datos!$F:$G,2,FALSE)</f>
        <v>#N/A</v>
      </c>
      <c r="T346" s="6">
        <f t="shared" si="5"/>
        <v>0</v>
      </c>
    </row>
    <row r="347" spans="1:20" x14ac:dyDescent="0.35">
      <c r="A347" s="6" t="s">
        <v>20</v>
      </c>
      <c r="D347" s="6" t="s">
        <v>22</v>
      </c>
      <c r="E347" s="6" t="s">
        <v>409</v>
      </c>
      <c r="F347" s="6" t="s">
        <v>409</v>
      </c>
      <c r="H347" s="8"/>
      <c r="I347" s="8"/>
      <c r="J347" s="9" t="e">
        <f>+VLOOKUP(K347,Datos!$A:$C,3,FALSE)</f>
        <v>#N/A</v>
      </c>
      <c r="L347" s="9" t="e">
        <f>+VLOOKUP(K347,Datos!$A:$C,2,FALSE)</f>
        <v>#N/A</v>
      </c>
      <c r="N347" s="9" t="e">
        <f>+VLOOKUP(M347,Datos!$F:$G,2,FALSE)</f>
        <v>#N/A</v>
      </c>
      <c r="O347" s="10">
        <f>IFERROR(IF(A347="SI",VLOOKUP(R347,Datos!$J$1:$K$50,2,FALSE)*C347,VLOOKUP(R347,Datos!$P$1:$T$50,2,FALSE)*C347),0)</f>
        <v>0</v>
      </c>
      <c r="P347" s="6"/>
      <c r="Q347" s="9" t="e">
        <f>+VLOOKUP(P347,Datos!$F:$G,2,FALSE)</f>
        <v>#N/A</v>
      </c>
      <c r="T347" s="6">
        <f t="shared" si="5"/>
        <v>0</v>
      </c>
    </row>
    <row r="348" spans="1:20" x14ac:dyDescent="0.35">
      <c r="A348" s="6" t="s">
        <v>20</v>
      </c>
      <c r="D348" s="6" t="s">
        <v>22</v>
      </c>
      <c r="E348" s="6" t="s">
        <v>409</v>
      </c>
      <c r="F348" s="6" t="s">
        <v>409</v>
      </c>
      <c r="H348" s="8"/>
      <c r="I348" s="8"/>
      <c r="J348" s="9" t="e">
        <f>+VLOOKUP(K348,Datos!$A:$C,3,FALSE)</f>
        <v>#N/A</v>
      </c>
      <c r="L348" s="9" t="e">
        <f>+VLOOKUP(K348,Datos!$A:$C,2,FALSE)</f>
        <v>#N/A</v>
      </c>
      <c r="N348" s="9" t="e">
        <f>+VLOOKUP(M348,Datos!$F:$G,2,FALSE)</f>
        <v>#N/A</v>
      </c>
      <c r="O348" s="10">
        <f>IFERROR(IF(A348="SI",VLOOKUP(R348,Datos!$J$1:$K$50,2,FALSE)*C348,VLOOKUP(R348,Datos!$P$1:$T$50,2,FALSE)*C348),0)</f>
        <v>0</v>
      </c>
      <c r="P348" s="6"/>
      <c r="Q348" s="9" t="e">
        <f>+VLOOKUP(P348,Datos!$F:$G,2,FALSE)</f>
        <v>#N/A</v>
      </c>
      <c r="T348" s="6">
        <f t="shared" si="5"/>
        <v>0</v>
      </c>
    </row>
    <row r="349" spans="1:20" x14ac:dyDescent="0.35">
      <c r="A349" s="6" t="s">
        <v>20</v>
      </c>
      <c r="D349" s="6" t="s">
        <v>22</v>
      </c>
      <c r="E349" s="6" t="s">
        <v>409</v>
      </c>
      <c r="F349" s="6" t="s">
        <v>409</v>
      </c>
      <c r="H349" s="8"/>
      <c r="I349" s="8"/>
      <c r="J349" s="9" t="e">
        <f>+VLOOKUP(K349,Datos!$A:$C,3,FALSE)</f>
        <v>#N/A</v>
      </c>
      <c r="L349" s="9" t="e">
        <f>+VLOOKUP(K349,Datos!$A:$C,2,FALSE)</f>
        <v>#N/A</v>
      </c>
      <c r="N349" s="9" t="e">
        <f>+VLOOKUP(M349,Datos!$F:$G,2,FALSE)</f>
        <v>#N/A</v>
      </c>
      <c r="O349" s="10">
        <f>IFERROR(IF(A349="SI",VLOOKUP(R349,Datos!$J$1:$K$50,2,FALSE)*C349,VLOOKUP(R349,Datos!$P$1:$T$50,2,FALSE)*C349),0)</f>
        <v>0</v>
      </c>
      <c r="P349" s="6"/>
      <c r="Q349" s="9" t="e">
        <f>+VLOOKUP(P349,Datos!$F:$G,2,FALSE)</f>
        <v>#N/A</v>
      </c>
      <c r="T349" s="6">
        <f t="shared" si="5"/>
        <v>0</v>
      </c>
    </row>
    <row r="350" spans="1:20" x14ac:dyDescent="0.35">
      <c r="A350" s="6" t="s">
        <v>20</v>
      </c>
      <c r="D350" s="6" t="s">
        <v>22</v>
      </c>
      <c r="E350" s="6" t="s">
        <v>409</v>
      </c>
      <c r="F350" s="6" t="s">
        <v>409</v>
      </c>
      <c r="H350" s="8"/>
      <c r="I350" s="8"/>
      <c r="J350" s="9" t="e">
        <f>+VLOOKUP(K350,Datos!$A:$C,3,FALSE)</f>
        <v>#N/A</v>
      </c>
      <c r="L350" s="9" t="e">
        <f>+VLOOKUP(K350,Datos!$A:$C,2,FALSE)</f>
        <v>#N/A</v>
      </c>
      <c r="N350" s="9" t="e">
        <f>+VLOOKUP(M350,Datos!$F:$G,2,FALSE)</f>
        <v>#N/A</v>
      </c>
      <c r="O350" s="10">
        <f>IFERROR(IF(A350="SI",VLOOKUP(R350,Datos!$J$1:$K$50,2,FALSE)*C350,VLOOKUP(R350,Datos!$P$1:$T$50,2,FALSE)*C350),0)</f>
        <v>0</v>
      </c>
      <c r="P350" s="6"/>
      <c r="Q350" s="9" t="e">
        <f>+VLOOKUP(P350,Datos!$F:$G,2,FALSE)</f>
        <v>#N/A</v>
      </c>
      <c r="T350" s="6">
        <f t="shared" si="5"/>
        <v>0</v>
      </c>
    </row>
    <row r="351" spans="1:20" x14ac:dyDescent="0.35">
      <c r="A351" s="6" t="s">
        <v>20</v>
      </c>
      <c r="D351" s="6" t="s">
        <v>22</v>
      </c>
      <c r="E351" s="6" t="s">
        <v>409</v>
      </c>
      <c r="F351" s="6" t="s">
        <v>409</v>
      </c>
      <c r="H351" s="8"/>
      <c r="I351" s="8"/>
      <c r="J351" s="9" t="e">
        <f>+VLOOKUP(K351,Datos!$A:$C,3,FALSE)</f>
        <v>#N/A</v>
      </c>
      <c r="L351" s="9" t="e">
        <f>+VLOOKUP(K351,Datos!$A:$C,2,FALSE)</f>
        <v>#N/A</v>
      </c>
      <c r="N351" s="9" t="e">
        <f>+VLOOKUP(M351,Datos!$F:$G,2,FALSE)</f>
        <v>#N/A</v>
      </c>
      <c r="O351" s="10">
        <f>IFERROR(IF(A351="SI",VLOOKUP(R351,Datos!$J$1:$K$50,2,FALSE)*C351,VLOOKUP(R351,Datos!$P$1:$T$50,2,FALSE)*C351),0)</f>
        <v>0</v>
      </c>
      <c r="P351" s="6"/>
      <c r="Q351" s="9" t="e">
        <f>+VLOOKUP(P351,Datos!$F:$G,2,FALSE)</f>
        <v>#N/A</v>
      </c>
      <c r="T351" s="6">
        <f t="shared" si="5"/>
        <v>0</v>
      </c>
    </row>
    <row r="352" spans="1:20" x14ac:dyDescent="0.35">
      <c r="A352" s="6" t="s">
        <v>20</v>
      </c>
      <c r="D352" s="6" t="s">
        <v>22</v>
      </c>
      <c r="E352" s="6" t="s">
        <v>409</v>
      </c>
      <c r="F352" s="6" t="s">
        <v>409</v>
      </c>
      <c r="H352" s="8"/>
      <c r="I352" s="8"/>
      <c r="J352" s="9" t="e">
        <f>+VLOOKUP(K352,Datos!$A:$C,3,FALSE)</f>
        <v>#N/A</v>
      </c>
      <c r="L352" s="9" t="e">
        <f>+VLOOKUP(K352,Datos!$A:$C,2,FALSE)</f>
        <v>#N/A</v>
      </c>
      <c r="N352" s="9" t="e">
        <f>+VLOOKUP(M352,Datos!$F:$G,2,FALSE)</f>
        <v>#N/A</v>
      </c>
      <c r="O352" s="10">
        <f>IFERROR(IF(A352="SI",VLOOKUP(R352,Datos!$J$1:$K$50,2,FALSE)*C352,VLOOKUP(R352,Datos!$P$1:$T$50,2,FALSE)*C352),0)</f>
        <v>0</v>
      </c>
      <c r="P352" s="6"/>
      <c r="Q352" s="9" t="e">
        <f>+VLOOKUP(P352,Datos!$F:$G,2,FALSE)</f>
        <v>#N/A</v>
      </c>
      <c r="T352" s="6">
        <f t="shared" si="5"/>
        <v>0</v>
      </c>
    </row>
    <row r="353" spans="1:20" x14ac:dyDescent="0.35">
      <c r="A353" s="6" t="s">
        <v>20</v>
      </c>
      <c r="D353" s="6" t="s">
        <v>22</v>
      </c>
      <c r="E353" s="6" t="s">
        <v>409</v>
      </c>
      <c r="F353" s="6" t="s">
        <v>409</v>
      </c>
      <c r="H353" s="8"/>
      <c r="I353" s="8"/>
      <c r="J353" s="9" t="e">
        <f>+VLOOKUP(K353,Datos!$A:$C,3,FALSE)</f>
        <v>#N/A</v>
      </c>
      <c r="L353" s="9" t="e">
        <f>+VLOOKUP(K353,Datos!$A:$C,2,FALSE)</f>
        <v>#N/A</v>
      </c>
      <c r="N353" s="9" t="e">
        <f>+VLOOKUP(M353,Datos!$F:$G,2,FALSE)</f>
        <v>#N/A</v>
      </c>
      <c r="O353" s="10">
        <f>IFERROR(IF(A353="SI",VLOOKUP(R353,Datos!$J$1:$K$50,2,FALSE)*C353,VLOOKUP(R353,Datos!$P$1:$T$50,2,FALSE)*C353),0)</f>
        <v>0</v>
      </c>
      <c r="P353" s="6"/>
      <c r="Q353" s="9" t="e">
        <f>+VLOOKUP(P353,Datos!$F:$G,2,FALSE)</f>
        <v>#N/A</v>
      </c>
      <c r="T353" s="6">
        <f t="shared" si="5"/>
        <v>0</v>
      </c>
    </row>
    <row r="354" spans="1:20" x14ac:dyDescent="0.35">
      <c r="A354" s="6" t="s">
        <v>20</v>
      </c>
      <c r="D354" s="6" t="s">
        <v>22</v>
      </c>
      <c r="E354" s="6" t="s">
        <v>409</v>
      </c>
      <c r="F354" s="6" t="s">
        <v>409</v>
      </c>
      <c r="H354" s="8"/>
      <c r="I354" s="8"/>
      <c r="J354" s="9" t="e">
        <f>+VLOOKUP(K354,Datos!$A:$C,3,FALSE)</f>
        <v>#N/A</v>
      </c>
      <c r="L354" s="9" t="e">
        <f>+VLOOKUP(K354,Datos!$A:$C,2,FALSE)</f>
        <v>#N/A</v>
      </c>
      <c r="N354" s="9" t="e">
        <f>+VLOOKUP(M354,Datos!$F:$G,2,FALSE)</f>
        <v>#N/A</v>
      </c>
      <c r="O354" s="10">
        <f>IFERROR(IF(A354="SI",VLOOKUP(R354,Datos!$J$1:$K$50,2,FALSE)*C354,VLOOKUP(R354,Datos!$P$1:$T$50,2,FALSE)*C354),0)</f>
        <v>0</v>
      </c>
      <c r="P354" s="6"/>
      <c r="Q354" s="9" t="e">
        <f>+VLOOKUP(P354,Datos!$F:$G,2,FALSE)</f>
        <v>#N/A</v>
      </c>
      <c r="T354" s="6">
        <f t="shared" si="5"/>
        <v>0</v>
      </c>
    </row>
    <row r="355" spans="1:20" x14ac:dyDescent="0.35">
      <c r="A355" s="6" t="s">
        <v>20</v>
      </c>
      <c r="D355" s="6" t="s">
        <v>22</v>
      </c>
      <c r="E355" s="6" t="s">
        <v>409</v>
      </c>
      <c r="F355" s="6" t="s">
        <v>409</v>
      </c>
      <c r="H355" s="8"/>
      <c r="I355" s="8"/>
      <c r="J355" s="9" t="e">
        <f>+VLOOKUP(K355,Datos!$A:$C,3,FALSE)</f>
        <v>#N/A</v>
      </c>
      <c r="L355" s="9" t="e">
        <f>+VLOOKUP(K355,Datos!$A:$C,2,FALSE)</f>
        <v>#N/A</v>
      </c>
      <c r="N355" s="9" t="e">
        <f>+VLOOKUP(M355,Datos!$F:$G,2,FALSE)</f>
        <v>#N/A</v>
      </c>
      <c r="O355" s="10">
        <f>IFERROR(IF(A355="SI",VLOOKUP(R355,Datos!$J$1:$K$50,2,FALSE)*C355,VLOOKUP(R355,Datos!$P$1:$T$50,2,FALSE)*C355),0)</f>
        <v>0</v>
      </c>
      <c r="P355" s="6"/>
      <c r="Q355" s="9" t="e">
        <f>+VLOOKUP(P355,Datos!$F:$G,2,FALSE)</f>
        <v>#N/A</v>
      </c>
      <c r="T355" s="6">
        <f t="shared" si="5"/>
        <v>0</v>
      </c>
    </row>
    <row r="356" spans="1:20" x14ac:dyDescent="0.35">
      <c r="A356" s="6" t="s">
        <v>20</v>
      </c>
      <c r="D356" s="6" t="s">
        <v>22</v>
      </c>
      <c r="E356" s="6" t="s">
        <v>409</v>
      </c>
      <c r="F356" s="6" t="s">
        <v>409</v>
      </c>
      <c r="H356" s="8"/>
      <c r="I356" s="8"/>
      <c r="J356" s="9" t="e">
        <f>+VLOOKUP(K356,Datos!$A:$C,3,FALSE)</f>
        <v>#N/A</v>
      </c>
      <c r="L356" s="9" t="e">
        <f>+VLOOKUP(K356,Datos!$A:$C,2,FALSE)</f>
        <v>#N/A</v>
      </c>
      <c r="N356" s="9" t="e">
        <f>+VLOOKUP(M356,Datos!$F:$G,2,FALSE)</f>
        <v>#N/A</v>
      </c>
      <c r="O356" s="10">
        <f>IFERROR(IF(A356="SI",VLOOKUP(R356,Datos!$J$1:$K$50,2,FALSE)*C356,VLOOKUP(R356,Datos!$P$1:$T$50,2,FALSE)*C356),0)</f>
        <v>0</v>
      </c>
      <c r="P356" s="6"/>
      <c r="Q356" s="9" t="e">
        <f>+VLOOKUP(P356,Datos!$F:$G,2,FALSE)</f>
        <v>#N/A</v>
      </c>
      <c r="T356" s="6">
        <f t="shared" si="5"/>
        <v>0</v>
      </c>
    </row>
    <row r="357" spans="1:20" x14ac:dyDescent="0.35">
      <c r="A357" s="6" t="s">
        <v>20</v>
      </c>
      <c r="D357" s="6" t="s">
        <v>22</v>
      </c>
      <c r="E357" s="6" t="s">
        <v>409</v>
      </c>
      <c r="F357" s="6" t="s">
        <v>409</v>
      </c>
      <c r="H357" s="8"/>
      <c r="I357" s="8"/>
      <c r="J357" s="9" t="e">
        <f>+VLOOKUP(K357,Datos!$A:$C,3,FALSE)</f>
        <v>#N/A</v>
      </c>
      <c r="L357" s="9" t="e">
        <f>+VLOOKUP(K357,Datos!$A:$C,2,FALSE)</f>
        <v>#N/A</v>
      </c>
      <c r="N357" s="9" t="e">
        <f>+VLOOKUP(M357,Datos!$F:$G,2,FALSE)</f>
        <v>#N/A</v>
      </c>
      <c r="O357" s="10">
        <f>IFERROR(IF(A357="SI",VLOOKUP(R357,Datos!$J$1:$K$50,2,FALSE)*C357,VLOOKUP(R357,Datos!$P$1:$T$50,2,FALSE)*C357),0)</f>
        <v>0</v>
      </c>
      <c r="P357" s="6"/>
      <c r="Q357" s="9" t="e">
        <f>+VLOOKUP(P357,Datos!$F:$G,2,FALSE)</f>
        <v>#N/A</v>
      </c>
      <c r="T357" s="6">
        <f t="shared" si="5"/>
        <v>0</v>
      </c>
    </row>
    <row r="358" spans="1:20" x14ac:dyDescent="0.35">
      <c r="A358" s="6" t="s">
        <v>20</v>
      </c>
      <c r="D358" s="6" t="s">
        <v>22</v>
      </c>
      <c r="E358" s="6" t="s">
        <v>409</v>
      </c>
      <c r="F358" s="6" t="s">
        <v>409</v>
      </c>
      <c r="H358" s="8"/>
      <c r="I358" s="8"/>
      <c r="J358" s="9" t="e">
        <f>+VLOOKUP(K358,Datos!$A:$C,3,FALSE)</f>
        <v>#N/A</v>
      </c>
      <c r="L358" s="9" t="e">
        <f>+VLOOKUP(K358,Datos!$A:$C,2,FALSE)</f>
        <v>#N/A</v>
      </c>
      <c r="N358" s="9" t="e">
        <f>+VLOOKUP(M358,Datos!$F:$G,2,FALSE)</f>
        <v>#N/A</v>
      </c>
      <c r="O358" s="10">
        <f>IFERROR(IF(A358="SI",VLOOKUP(R358,Datos!$J$1:$K$50,2,FALSE)*C358,VLOOKUP(R358,Datos!$P$1:$T$50,2,FALSE)*C358),0)</f>
        <v>0</v>
      </c>
      <c r="P358" s="6"/>
      <c r="Q358" s="9" t="e">
        <f>+VLOOKUP(P358,Datos!$F:$G,2,FALSE)</f>
        <v>#N/A</v>
      </c>
      <c r="T358" s="6">
        <f t="shared" si="5"/>
        <v>0</v>
      </c>
    </row>
    <row r="359" spans="1:20" x14ac:dyDescent="0.35">
      <c r="A359" s="6" t="s">
        <v>20</v>
      </c>
      <c r="D359" s="6" t="s">
        <v>22</v>
      </c>
      <c r="E359" s="6" t="s">
        <v>409</v>
      </c>
      <c r="F359" s="6" t="s">
        <v>409</v>
      </c>
      <c r="H359" s="8"/>
      <c r="I359" s="8"/>
      <c r="J359" s="9" t="e">
        <f>+VLOOKUP(K359,Datos!$A:$C,3,FALSE)</f>
        <v>#N/A</v>
      </c>
      <c r="L359" s="9" t="e">
        <f>+VLOOKUP(K359,Datos!$A:$C,2,FALSE)</f>
        <v>#N/A</v>
      </c>
      <c r="N359" s="9" t="e">
        <f>+VLOOKUP(M359,Datos!$F:$G,2,FALSE)</f>
        <v>#N/A</v>
      </c>
      <c r="O359" s="10">
        <f>IFERROR(IF(A359="SI",VLOOKUP(R359,Datos!$J$1:$K$50,2,FALSE)*C359,VLOOKUP(R359,Datos!$P$1:$T$50,2,FALSE)*C359),0)</f>
        <v>0</v>
      </c>
      <c r="P359" s="6"/>
      <c r="Q359" s="9" t="e">
        <f>+VLOOKUP(P359,Datos!$F:$G,2,FALSE)</f>
        <v>#N/A</v>
      </c>
      <c r="T359" s="6">
        <f t="shared" ref="T359:T422" si="6">+COUNTIFS($G$2:$G$623,G359)</f>
        <v>0</v>
      </c>
    </row>
    <row r="360" spans="1:20" x14ac:dyDescent="0.35">
      <c r="A360" s="6" t="s">
        <v>20</v>
      </c>
      <c r="D360" s="6" t="s">
        <v>22</v>
      </c>
      <c r="E360" s="6" t="s">
        <v>409</v>
      </c>
      <c r="F360" s="6" t="s">
        <v>409</v>
      </c>
      <c r="H360" s="8"/>
      <c r="I360" s="8"/>
      <c r="J360" s="9" t="e">
        <f>+VLOOKUP(K360,Datos!$A:$C,3,FALSE)</f>
        <v>#N/A</v>
      </c>
      <c r="L360" s="9" t="e">
        <f>+VLOOKUP(K360,Datos!$A:$C,2,FALSE)</f>
        <v>#N/A</v>
      </c>
      <c r="N360" s="9" t="e">
        <f>+VLOOKUP(M360,Datos!$F:$G,2,FALSE)</f>
        <v>#N/A</v>
      </c>
      <c r="O360" s="10">
        <f>IFERROR(IF(A360="SI",VLOOKUP(R360,Datos!$J$1:$K$50,2,FALSE)*C360,VLOOKUP(R360,Datos!$P$1:$T$50,2,FALSE)*C360),0)</f>
        <v>0</v>
      </c>
      <c r="P360" s="6"/>
      <c r="Q360" s="9" t="e">
        <f>+VLOOKUP(P360,Datos!$F:$G,2,FALSE)</f>
        <v>#N/A</v>
      </c>
      <c r="T360" s="6">
        <f t="shared" si="6"/>
        <v>0</v>
      </c>
    </row>
    <row r="361" spans="1:20" x14ac:dyDescent="0.35">
      <c r="A361" s="6" t="s">
        <v>20</v>
      </c>
      <c r="D361" s="6" t="s">
        <v>22</v>
      </c>
      <c r="E361" s="6" t="s">
        <v>409</v>
      </c>
      <c r="F361" s="6" t="s">
        <v>409</v>
      </c>
      <c r="H361" s="8"/>
      <c r="I361" s="8"/>
      <c r="J361" s="9" t="e">
        <f>+VLOOKUP(K361,Datos!$A:$C,3,FALSE)</f>
        <v>#N/A</v>
      </c>
      <c r="L361" s="9" t="e">
        <f>+VLOOKUP(K361,Datos!$A:$C,2,FALSE)</f>
        <v>#N/A</v>
      </c>
      <c r="N361" s="9" t="e">
        <f>+VLOOKUP(M361,Datos!$F:$G,2,FALSE)</f>
        <v>#N/A</v>
      </c>
      <c r="O361" s="10">
        <f>IFERROR(IF(A361="SI",VLOOKUP(R361,Datos!$J$1:$K$50,2,FALSE)*C361,VLOOKUP(R361,Datos!$P$1:$T$50,2,FALSE)*C361),0)</f>
        <v>0</v>
      </c>
      <c r="P361" s="6"/>
      <c r="Q361" s="9" t="e">
        <f>+VLOOKUP(P361,Datos!$F:$G,2,FALSE)</f>
        <v>#N/A</v>
      </c>
      <c r="T361" s="6">
        <f t="shared" si="6"/>
        <v>0</v>
      </c>
    </row>
    <row r="362" spans="1:20" x14ac:dyDescent="0.35">
      <c r="A362" s="6" t="s">
        <v>20</v>
      </c>
      <c r="D362" s="6" t="s">
        <v>22</v>
      </c>
      <c r="E362" s="6" t="s">
        <v>409</v>
      </c>
      <c r="F362" s="6" t="s">
        <v>409</v>
      </c>
      <c r="H362" s="8"/>
      <c r="I362" s="8"/>
      <c r="J362" s="9" t="e">
        <f>+VLOOKUP(K362,Datos!$A:$C,3,FALSE)</f>
        <v>#N/A</v>
      </c>
      <c r="L362" s="9" t="e">
        <f>+VLOOKUP(K362,Datos!$A:$C,2,FALSE)</f>
        <v>#N/A</v>
      </c>
      <c r="N362" s="9" t="e">
        <f>+VLOOKUP(M362,Datos!$F:$G,2,FALSE)</f>
        <v>#N/A</v>
      </c>
      <c r="O362" s="10">
        <f>IFERROR(IF(A362="SI",VLOOKUP(R362,Datos!$J$1:$K$50,2,FALSE)*C362,VLOOKUP(R362,Datos!$P$1:$T$50,2,FALSE)*C362),0)</f>
        <v>0</v>
      </c>
      <c r="P362" s="6"/>
      <c r="Q362" s="9" t="e">
        <f>+VLOOKUP(P362,Datos!$F:$G,2,FALSE)</f>
        <v>#N/A</v>
      </c>
      <c r="T362" s="6">
        <f t="shared" si="6"/>
        <v>0</v>
      </c>
    </row>
    <row r="363" spans="1:20" x14ac:dyDescent="0.35">
      <c r="A363" s="6" t="s">
        <v>20</v>
      </c>
      <c r="D363" s="6" t="s">
        <v>22</v>
      </c>
      <c r="E363" s="6" t="s">
        <v>409</v>
      </c>
      <c r="F363" s="6" t="s">
        <v>409</v>
      </c>
      <c r="H363" s="8"/>
      <c r="I363" s="8"/>
      <c r="J363" s="9" t="e">
        <f>+VLOOKUP(K363,Datos!$A:$C,3,FALSE)</f>
        <v>#N/A</v>
      </c>
      <c r="L363" s="9" t="e">
        <f>+VLOOKUP(K363,Datos!$A:$C,2,FALSE)</f>
        <v>#N/A</v>
      </c>
      <c r="N363" s="9" t="e">
        <f>+VLOOKUP(M363,Datos!$F:$G,2,FALSE)</f>
        <v>#N/A</v>
      </c>
      <c r="O363" s="10">
        <f>IFERROR(IF(A363="SI",VLOOKUP(R363,Datos!$J$1:$K$50,2,FALSE)*C363,VLOOKUP(R363,Datos!$P$1:$T$50,2,FALSE)*C363),0)</f>
        <v>0</v>
      </c>
      <c r="P363" s="6"/>
      <c r="Q363" s="9" t="e">
        <f>+VLOOKUP(P363,Datos!$F:$G,2,FALSE)</f>
        <v>#N/A</v>
      </c>
      <c r="T363" s="6">
        <f t="shared" si="6"/>
        <v>0</v>
      </c>
    </row>
    <row r="364" spans="1:20" x14ac:dyDescent="0.35">
      <c r="A364" s="6" t="s">
        <v>20</v>
      </c>
      <c r="D364" s="6" t="s">
        <v>22</v>
      </c>
      <c r="E364" s="6" t="s">
        <v>409</v>
      </c>
      <c r="F364" s="6" t="s">
        <v>409</v>
      </c>
      <c r="H364" s="8"/>
      <c r="I364" s="8"/>
      <c r="J364" s="9" t="e">
        <f>+VLOOKUP(K364,Datos!$A:$C,3,FALSE)</f>
        <v>#N/A</v>
      </c>
      <c r="L364" s="9" t="e">
        <f>+VLOOKUP(K364,Datos!$A:$C,2,FALSE)</f>
        <v>#N/A</v>
      </c>
      <c r="N364" s="9" t="e">
        <f>+VLOOKUP(M364,Datos!$F:$G,2,FALSE)</f>
        <v>#N/A</v>
      </c>
      <c r="O364" s="10">
        <f>IFERROR(IF(A364="SI",VLOOKUP(R364,Datos!$J$1:$K$50,2,FALSE)*C364,VLOOKUP(R364,Datos!$P$1:$T$50,2,FALSE)*C364),0)</f>
        <v>0</v>
      </c>
      <c r="P364" s="6"/>
      <c r="Q364" s="9" t="e">
        <f>+VLOOKUP(P364,Datos!$F:$G,2,FALSE)</f>
        <v>#N/A</v>
      </c>
      <c r="T364" s="6">
        <f t="shared" si="6"/>
        <v>0</v>
      </c>
    </row>
    <row r="365" spans="1:20" x14ac:dyDescent="0.35">
      <c r="A365" s="6" t="s">
        <v>20</v>
      </c>
      <c r="D365" s="6" t="s">
        <v>22</v>
      </c>
      <c r="E365" s="6" t="s">
        <v>409</v>
      </c>
      <c r="F365" s="6" t="s">
        <v>409</v>
      </c>
      <c r="H365" s="8"/>
      <c r="I365" s="8"/>
      <c r="J365" s="9" t="e">
        <f>+VLOOKUP(K365,Datos!$A:$C,3,FALSE)</f>
        <v>#N/A</v>
      </c>
      <c r="L365" s="9" t="e">
        <f>+VLOOKUP(K365,Datos!$A:$C,2,FALSE)</f>
        <v>#N/A</v>
      </c>
      <c r="N365" s="9" t="e">
        <f>+VLOOKUP(M365,Datos!$F:$G,2,FALSE)</f>
        <v>#N/A</v>
      </c>
      <c r="O365" s="10">
        <f>IFERROR(IF(A365="SI",VLOOKUP(R365,Datos!$J$1:$K$50,2,FALSE)*C365,VLOOKUP(R365,Datos!$P$1:$T$50,2,FALSE)*C365),0)</f>
        <v>0</v>
      </c>
      <c r="P365" s="6"/>
      <c r="Q365" s="9" t="e">
        <f>+VLOOKUP(P365,Datos!$F:$G,2,FALSE)</f>
        <v>#N/A</v>
      </c>
      <c r="T365" s="6">
        <f t="shared" si="6"/>
        <v>0</v>
      </c>
    </row>
    <row r="366" spans="1:20" x14ac:dyDescent="0.35">
      <c r="A366" s="6" t="s">
        <v>20</v>
      </c>
      <c r="D366" s="6" t="s">
        <v>22</v>
      </c>
      <c r="E366" s="6" t="s">
        <v>409</v>
      </c>
      <c r="F366" s="6" t="s">
        <v>409</v>
      </c>
      <c r="H366" s="8"/>
      <c r="I366" s="8"/>
      <c r="J366" s="9" t="e">
        <f>+VLOOKUP(K366,Datos!$A:$C,3,FALSE)</f>
        <v>#N/A</v>
      </c>
      <c r="L366" s="9" t="e">
        <f>+VLOOKUP(K366,Datos!$A:$C,2,FALSE)</f>
        <v>#N/A</v>
      </c>
      <c r="N366" s="9" t="e">
        <f>+VLOOKUP(M366,Datos!$F:$G,2,FALSE)</f>
        <v>#N/A</v>
      </c>
      <c r="O366" s="10">
        <f>IFERROR(IF(A366="SI",VLOOKUP(R366,Datos!$J$1:$K$50,2,FALSE)*C366,VLOOKUP(R366,Datos!$P$1:$T$50,2,FALSE)*C366),0)</f>
        <v>0</v>
      </c>
      <c r="P366" s="6"/>
      <c r="Q366" s="9" t="e">
        <f>+VLOOKUP(P366,Datos!$F:$G,2,FALSE)</f>
        <v>#N/A</v>
      </c>
      <c r="T366" s="6">
        <f t="shared" si="6"/>
        <v>0</v>
      </c>
    </row>
    <row r="367" spans="1:20" x14ac:dyDescent="0.35">
      <c r="A367" s="6" t="s">
        <v>20</v>
      </c>
      <c r="D367" s="6" t="s">
        <v>22</v>
      </c>
      <c r="E367" s="6" t="s">
        <v>409</v>
      </c>
      <c r="F367" s="6" t="s">
        <v>409</v>
      </c>
      <c r="H367" s="8"/>
      <c r="I367" s="8"/>
      <c r="J367" s="9" t="e">
        <f>+VLOOKUP(K367,Datos!$A:$C,3,FALSE)</f>
        <v>#N/A</v>
      </c>
      <c r="L367" s="9" t="e">
        <f>+VLOOKUP(K367,Datos!$A:$C,2,FALSE)</f>
        <v>#N/A</v>
      </c>
      <c r="N367" s="9" t="e">
        <f>+VLOOKUP(M367,Datos!$F:$G,2,FALSE)</f>
        <v>#N/A</v>
      </c>
      <c r="O367" s="10">
        <f>IFERROR(IF(A367="SI",VLOOKUP(R367,Datos!$J$1:$K$50,2,FALSE)*C367,VLOOKUP(R367,Datos!$P$1:$T$50,2,FALSE)*C367),0)</f>
        <v>0</v>
      </c>
      <c r="P367" s="6"/>
      <c r="Q367" s="9" t="e">
        <f>+VLOOKUP(P367,Datos!$F:$G,2,FALSE)</f>
        <v>#N/A</v>
      </c>
      <c r="T367" s="6">
        <f t="shared" si="6"/>
        <v>0</v>
      </c>
    </row>
    <row r="368" spans="1:20" x14ac:dyDescent="0.35">
      <c r="A368" s="6" t="s">
        <v>20</v>
      </c>
      <c r="D368" s="6" t="s">
        <v>22</v>
      </c>
      <c r="E368" s="6" t="s">
        <v>409</v>
      </c>
      <c r="F368" s="6" t="s">
        <v>409</v>
      </c>
      <c r="H368" s="8"/>
      <c r="I368" s="8"/>
      <c r="J368" s="9" t="e">
        <f>+VLOOKUP(K368,Datos!$A:$C,3,FALSE)</f>
        <v>#N/A</v>
      </c>
      <c r="L368" s="9" t="e">
        <f>+VLOOKUP(K368,Datos!$A:$C,2,FALSE)</f>
        <v>#N/A</v>
      </c>
      <c r="N368" s="9" t="e">
        <f>+VLOOKUP(M368,Datos!$F:$G,2,FALSE)</f>
        <v>#N/A</v>
      </c>
      <c r="O368" s="10">
        <f>IFERROR(IF(A368="SI",VLOOKUP(R368,Datos!$J$1:$K$50,2,FALSE)*C368,VLOOKUP(R368,Datos!$P$1:$T$50,2,FALSE)*C368),0)</f>
        <v>0</v>
      </c>
      <c r="P368" s="6"/>
      <c r="Q368" s="9" t="e">
        <f>+VLOOKUP(P368,Datos!$F:$G,2,FALSE)</f>
        <v>#N/A</v>
      </c>
      <c r="T368" s="6">
        <f t="shared" si="6"/>
        <v>0</v>
      </c>
    </row>
    <row r="369" spans="1:20" x14ac:dyDescent="0.35">
      <c r="A369" s="6" t="s">
        <v>20</v>
      </c>
      <c r="D369" s="6" t="s">
        <v>22</v>
      </c>
      <c r="E369" s="6" t="s">
        <v>409</v>
      </c>
      <c r="F369" s="6" t="s">
        <v>409</v>
      </c>
      <c r="H369" s="8"/>
      <c r="I369" s="8"/>
      <c r="J369" s="9" t="e">
        <f>+VLOOKUP(K369,Datos!$A:$C,3,FALSE)</f>
        <v>#N/A</v>
      </c>
      <c r="L369" s="9" t="e">
        <f>+VLOOKUP(K369,Datos!$A:$C,2,FALSE)</f>
        <v>#N/A</v>
      </c>
      <c r="N369" s="9" t="e">
        <f>+VLOOKUP(M369,Datos!$F:$G,2,FALSE)</f>
        <v>#N/A</v>
      </c>
      <c r="O369" s="10">
        <f>IFERROR(IF(A369="SI",VLOOKUP(R369,Datos!$J$1:$K$50,2,FALSE)*C369,VLOOKUP(R369,Datos!$P$1:$T$50,2,FALSE)*C369),0)</f>
        <v>0</v>
      </c>
      <c r="P369" s="6"/>
      <c r="Q369" s="9" t="e">
        <f>+VLOOKUP(P369,Datos!$F:$G,2,FALSE)</f>
        <v>#N/A</v>
      </c>
      <c r="T369" s="6">
        <f t="shared" si="6"/>
        <v>0</v>
      </c>
    </row>
    <row r="370" spans="1:20" x14ac:dyDescent="0.35">
      <c r="A370" s="6" t="s">
        <v>20</v>
      </c>
      <c r="D370" s="6" t="s">
        <v>22</v>
      </c>
      <c r="E370" s="6" t="s">
        <v>409</v>
      </c>
      <c r="F370" s="6" t="s">
        <v>409</v>
      </c>
      <c r="H370" s="8"/>
      <c r="I370" s="8"/>
      <c r="J370" s="9" t="e">
        <f>+VLOOKUP(K370,Datos!$A:$C,3,FALSE)</f>
        <v>#N/A</v>
      </c>
      <c r="L370" s="9" t="e">
        <f>+VLOOKUP(K370,Datos!$A:$C,2,FALSE)</f>
        <v>#N/A</v>
      </c>
      <c r="N370" s="9" t="e">
        <f>+VLOOKUP(M370,Datos!$F:$G,2,FALSE)</f>
        <v>#N/A</v>
      </c>
      <c r="O370" s="10">
        <f>IFERROR(IF(A370="SI",VLOOKUP(R370,Datos!$J$1:$K$50,2,FALSE)*C370,VLOOKUP(R370,Datos!$P$1:$T$50,2,FALSE)*C370),0)</f>
        <v>0</v>
      </c>
      <c r="P370" s="6"/>
      <c r="Q370" s="9" t="e">
        <f>+VLOOKUP(P370,Datos!$F:$G,2,FALSE)</f>
        <v>#N/A</v>
      </c>
      <c r="T370" s="6">
        <f t="shared" si="6"/>
        <v>0</v>
      </c>
    </row>
    <row r="371" spans="1:20" x14ac:dyDescent="0.35">
      <c r="A371" s="6" t="s">
        <v>20</v>
      </c>
      <c r="D371" s="6" t="s">
        <v>22</v>
      </c>
      <c r="E371" s="6" t="s">
        <v>409</v>
      </c>
      <c r="F371" s="6" t="s">
        <v>409</v>
      </c>
      <c r="H371" s="8"/>
      <c r="I371" s="8"/>
      <c r="J371" s="9" t="e">
        <f>+VLOOKUP(K371,Datos!$A:$C,3,FALSE)</f>
        <v>#N/A</v>
      </c>
      <c r="L371" s="9" t="e">
        <f>+VLOOKUP(K371,Datos!$A:$C,2,FALSE)</f>
        <v>#N/A</v>
      </c>
      <c r="N371" s="9" t="e">
        <f>+VLOOKUP(M371,Datos!$F:$G,2,FALSE)</f>
        <v>#N/A</v>
      </c>
      <c r="O371" s="10">
        <f>IFERROR(IF(A371="SI",VLOOKUP(R371,Datos!$J$1:$K$50,2,FALSE)*C371,VLOOKUP(R371,Datos!$P$1:$T$50,2,FALSE)*C371),0)</f>
        <v>0</v>
      </c>
      <c r="P371" s="6"/>
      <c r="Q371" s="9" t="e">
        <f>+VLOOKUP(P371,Datos!$F:$G,2,FALSE)</f>
        <v>#N/A</v>
      </c>
      <c r="T371" s="6">
        <f t="shared" si="6"/>
        <v>0</v>
      </c>
    </row>
    <row r="372" spans="1:20" x14ac:dyDescent="0.35">
      <c r="A372" s="6" t="s">
        <v>20</v>
      </c>
      <c r="D372" s="6" t="s">
        <v>22</v>
      </c>
      <c r="E372" s="6" t="s">
        <v>409</v>
      </c>
      <c r="F372" s="6" t="s">
        <v>409</v>
      </c>
      <c r="H372" s="8"/>
      <c r="I372" s="8"/>
      <c r="J372" s="9" t="e">
        <f>+VLOOKUP(K372,Datos!$A:$C,3,FALSE)</f>
        <v>#N/A</v>
      </c>
      <c r="L372" s="9" t="e">
        <f>+VLOOKUP(K372,Datos!$A:$C,2,FALSE)</f>
        <v>#N/A</v>
      </c>
      <c r="N372" s="9" t="e">
        <f>+VLOOKUP(M372,Datos!$F:$G,2,FALSE)</f>
        <v>#N/A</v>
      </c>
      <c r="O372" s="10">
        <f>IFERROR(IF(A372="SI",VLOOKUP(R372,Datos!$J$1:$K$50,2,FALSE)*C372,VLOOKUP(R372,Datos!$P$1:$T$50,2,FALSE)*C372),0)</f>
        <v>0</v>
      </c>
      <c r="P372" s="6"/>
      <c r="Q372" s="9" t="e">
        <f>+VLOOKUP(P372,Datos!$F:$G,2,FALSE)</f>
        <v>#N/A</v>
      </c>
      <c r="T372" s="6">
        <f t="shared" si="6"/>
        <v>0</v>
      </c>
    </row>
    <row r="373" spans="1:20" x14ac:dyDescent="0.35">
      <c r="A373" s="6" t="s">
        <v>20</v>
      </c>
      <c r="D373" s="6" t="s">
        <v>22</v>
      </c>
      <c r="E373" s="6" t="s">
        <v>409</v>
      </c>
      <c r="F373" s="6" t="s">
        <v>409</v>
      </c>
      <c r="H373" s="8"/>
      <c r="I373" s="8"/>
      <c r="J373" s="9" t="e">
        <f>+VLOOKUP(K373,Datos!$A:$C,3,FALSE)</f>
        <v>#N/A</v>
      </c>
      <c r="L373" s="9" t="e">
        <f>+VLOOKUP(K373,Datos!$A:$C,2,FALSE)</f>
        <v>#N/A</v>
      </c>
      <c r="N373" s="9" t="e">
        <f>+VLOOKUP(M373,Datos!$F:$G,2,FALSE)</f>
        <v>#N/A</v>
      </c>
      <c r="O373" s="10">
        <f>IFERROR(IF(A373="SI",VLOOKUP(R373,Datos!$J$1:$K$50,2,FALSE)*C373,VLOOKUP(R373,Datos!$P$1:$T$50,2,FALSE)*C373),0)</f>
        <v>0</v>
      </c>
      <c r="P373" s="6"/>
      <c r="Q373" s="9" t="e">
        <f>+VLOOKUP(P373,Datos!$F:$G,2,FALSE)</f>
        <v>#N/A</v>
      </c>
      <c r="T373" s="6">
        <f t="shared" si="6"/>
        <v>0</v>
      </c>
    </row>
    <row r="374" spans="1:20" x14ac:dyDescent="0.35">
      <c r="A374" s="6" t="s">
        <v>20</v>
      </c>
      <c r="D374" s="6" t="s">
        <v>22</v>
      </c>
      <c r="E374" s="6" t="s">
        <v>409</v>
      </c>
      <c r="F374" s="6" t="s">
        <v>409</v>
      </c>
      <c r="H374" s="8"/>
      <c r="I374" s="8"/>
      <c r="J374" s="9" t="e">
        <f>+VLOOKUP(K374,Datos!$A:$C,3,FALSE)</f>
        <v>#N/A</v>
      </c>
      <c r="L374" s="9" t="e">
        <f>+VLOOKUP(K374,Datos!$A:$C,2,FALSE)</f>
        <v>#N/A</v>
      </c>
      <c r="N374" s="9" t="e">
        <f>+VLOOKUP(M374,Datos!$F:$G,2,FALSE)</f>
        <v>#N/A</v>
      </c>
      <c r="O374" s="10">
        <f>IFERROR(IF(A374="SI",VLOOKUP(R374,Datos!$J$1:$K$50,2,FALSE)*C374,VLOOKUP(R374,Datos!$P$1:$T$50,2,FALSE)*C374),0)</f>
        <v>0</v>
      </c>
      <c r="P374" s="6"/>
      <c r="Q374" s="9" t="e">
        <f>+VLOOKUP(P374,Datos!$F:$G,2,FALSE)</f>
        <v>#N/A</v>
      </c>
      <c r="T374" s="6">
        <f t="shared" si="6"/>
        <v>0</v>
      </c>
    </row>
    <row r="375" spans="1:20" x14ac:dyDescent="0.35">
      <c r="A375" s="6" t="s">
        <v>20</v>
      </c>
      <c r="D375" s="6" t="s">
        <v>22</v>
      </c>
      <c r="E375" s="6" t="s">
        <v>409</v>
      </c>
      <c r="F375" s="6" t="s">
        <v>409</v>
      </c>
      <c r="H375" s="8"/>
      <c r="I375" s="8"/>
      <c r="J375" s="9" t="e">
        <f>+VLOOKUP(K375,Datos!$A:$C,3,FALSE)</f>
        <v>#N/A</v>
      </c>
      <c r="L375" s="9" t="e">
        <f>+VLOOKUP(K375,Datos!$A:$C,2,FALSE)</f>
        <v>#N/A</v>
      </c>
      <c r="N375" s="9" t="e">
        <f>+VLOOKUP(M375,Datos!$F:$G,2,FALSE)</f>
        <v>#N/A</v>
      </c>
      <c r="O375" s="10">
        <f>IFERROR(IF(A375="SI",VLOOKUP(R375,Datos!$J$1:$K$50,2,FALSE)*C375,VLOOKUP(R375,Datos!$P$1:$T$50,2,FALSE)*C375),0)</f>
        <v>0</v>
      </c>
      <c r="P375" s="6"/>
      <c r="Q375" s="9" t="e">
        <f>+VLOOKUP(P375,Datos!$F:$G,2,FALSE)</f>
        <v>#N/A</v>
      </c>
      <c r="T375" s="6">
        <f t="shared" si="6"/>
        <v>0</v>
      </c>
    </row>
    <row r="376" spans="1:20" x14ac:dyDescent="0.35">
      <c r="A376" s="6" t="s">
        <v>20</v>
      </c>
      <c r="D376" s="6" t="s">
        <v>22</v>
      </c>
      <c r="E376" s="6" t="s">
        <v>409</v>
      </c>
      <c r="F376" s="6" t="s">
        <v>409</v>
      </c>
      <c r="H376" s="8"/>
      <c r="I376" s="8"/>
      <c r="J376" s="9" t="e">
        <f>+VLOOKUP(K376,Datos!$A:$C,3,FALSE)</f>
        <v>#N/A</v>
      </c>
      <c r="L376" s="9" t="e">
        <f>+VLOOKUP(K376,Datos!$A:$C,2,FALSE)</f>
        <v>#N/A</v>
      </c>
      <c r="N376" s="9" t="e">
        <f>+VLOOKUP(M376,Datos!$F:$G,2,FALSE)</f>
        <v>#N/A</v>
      </c>
      <c r="O376" s="10">
        <f>IFERROR(IF(A376="SI",VLOOKUP(R376,Datos!$J$1:$K$50,2,FALSE)*C376,VLOOKUP(R376,Datos!$P$1:$T$50,2,FALSE)*C376),0)</f>
        <v>0</v>
      </c>
      <c r="P376" s="6"/>
      <c r="Q376" s="9" t="e">
        <f>+VLOOKUP(P376,Datos!$F:$G,2,FALSE)</f>
        <v>#N/A</v>
      </c>
      <c r="T376" s="6">
        <f t="shared" si="6"/>
        <v>0</v>
      </c>
    </row>
    <row r="377" spans="1:20" x14ac:dyDescent="0.35">
      <c r="A377" s="6" t="s">
        <v>20</v>
      </c>
      <c r="D377" s="6" t="s">
        <v>22</v>
      </c>
      <c r="E377" s="6" t="s">
        <v>409</v>
      </c>
      <c r="F377" s="6" t="s">
        <v>409</v>
      </c>
      <c r="H377" s="8"/>
      <c r="I377" s="8"/>
      <c r="J377" s="9" t="e">
        <f>+VLOOKUP(K377,Datos!$A:$C,3,FALSE)</f>
        <v>#N/A</v>
      </c>
      <c r="L377" s="9" t="e">
        <f>+VLOOKUP(K377,Datos!$A:$C,2,FALSE)</f>
        <v>#N/A</v>
      </c>
      <c r="N377" s="9" t="e">
        <f>+VLOOKUP(M377,Datos!$F:$G,2,FALSE)</f>
        <v>#N/A</v>
      </c>
      <c r="O377" s="10">
        <f>IFERROR(IF(A377="SI",VLOOKUP(R377,Datos!$J$1:$K$50,2,FALSE)*C377,VLOOKUP(R377,Datos!$P$1:$T$50,2,FALSE)*C377),0)</f>
        <v>0</v>
      </c>
      <c r="P377" s="6"/>
      <c r="Q377" s="9" t="e">
        <f>+VLOOKUP(P377,Datos!$F:$G,2,FALSE)</f>
        <v>#N/A</v>
      </c>
      <c r="T377" s="6">
        <f t="shared" si="6"/>
        <v>0</v>
      </c>
    </row>
    <row r="378" spans="1:20" x14ac:dyDescent="0.35">
      <c r="A378" s="6" t="s">
        <v>20</v>
      </c>
      <c r="D378" s="6" t="s">
        <v>22</v>
      </c>
      <c r="E378" s="6" t="s">
        <v>409</v>
      </c>
      <c r="F378" s="6" t="s">
        <v>409</v>
      </c>
      <c r="H378" s="8"/>
      <c r="I378" s="8"/>
      <c r="J378" s="9" t="e">
        <f>+VLOOKUP(K378,Datos!$A:$C,3,FALSE)</f>
        <v>#N/A</v>
      </c>
      <c r="L378" s="9" t="e">
        <f>+VLOOKUP(K378,Datos!$A:$C,2,FALSE)</f>
        <v>#N/A</v>
      </c>
      <c r="N378" s="9" t="e">
        <f>+VLOOKUP(M378,Datos!$F:$G,2,FALSE)</f>
        <v>#N/A</v>
      </c>
      <c r="O378" s="10">
        <f>IFERROR(IF(A378="SI",VLOOKUP(R378,Datos!$J$1:$K$50,2,FALSE)*C378,VLOOKUP(R378,Datos!$P$1:$T$50,2,FALSE)*C378),0)</f>
        <v>0</v>
      </c>
      <c r="P378" s="6"/>
      <c r="Q378" s="9" t="e">
        <f>+VLOOKUP(P378,Datos!$F:$G,2,FALSE)</f>
        <v>#N/A</v>
      </c>
      <c r="T378" s="6">
        <f t="shared" si="6"/>
        <v>0</v>
      </c>
    </row>
    <row r="379" spans="1:20" x14ac:dyDescent="0.35">
      <c r="A379" s="6" t="s">
        <v>20</v>
      </c>
      <c r="D379" s="6" t="s">
        <v>22</v>
      </c>
      <c r="E379" s="6" t="s">
        <v>409</v>
      </c>
      <c r="F379" s="6" t="s">
        <v>409</v>
      </c>
      <c r="H379" s="8"/>
      <c r="I379" s="8"/>
      <c r="J379" s="9" t="e">
        <f>+VLOOKUP(K379,Datos!$A:$C,3,FALSE)</f>
        <v>#N/A</v>
      </c>
      <c r="L379" s="9" t="e">
        <f>+VLOOKUP(K379,Datos!$A:$C,2,FALSE)</f>
        <v>#N/A</v>
      </c>
      <c r="N379" s="9" t="e">
        <f>+VLOOKUP(M379,Datos!$F:$G,2,FALSE)</f>
        <v>#N/A</v>
      </c>
      <c r="O379" s="10">
        <f>IFERROR(IF(A379="SI",VLOOKUP(R379,Datos!$J$1:$K$50,2,FALSE)*C379,VLOOKUP(R379,Datos!$P$1:$T$50,2,FALSE)*C379),0)</f>
        <v>0</v>
      </c>
      <c r="P379" s="6"/>
      <c r="Q379" s="9" t="e">
        <f>+VLOOKUP(P379,Datos!$F:$G,2,FALSE)</f>
        <v>#N/A</v>
      </c>
      <c r="T379" s="6">
        <f t="shared" si="6"/>
        <v>0</v>
      </c>
    </row>
    <row r="380" spans="1:20" x14ac:dyDescent="0.35">
      <c r="A380" s="6" t="s">
        <v>20</v>
      </c>
      <c r="D380" s="6" t="s">
        <v>22</v>
      </c>
      <c r="E380" s="6" t="s">
        <v>409</v>
      </c>
      <c r="F380" s="6" t="s">
        <v>409</v>
      </c>
      <c r="H380" s="8"/>
      <c r="I380" s="8"/>
      <c r="J380" s="9" t="e">
        <f>+VLOOKUP(K380,Datos!$A:$C,3,FALSE)</f>
        <v>#N/A</v>
      </c>
      <c r="L380" s="9" t="e">
        <f>+VLOOKUP(K380,Datos!$A:$C,2,FALSE)</f>
        <v>#N/A</v>
      </c>
      <c r="N380" s="9" t="e">
        <f>+VLOOKUP(M380,Datos!$F:$G,2,FALSE)</f>
        <v>#N/A</v>
      </c>
      <c r="O380" s="10">
        <f>IFERROR(IF(A380="SI",VLOOKUP(R380,Datos!$J$1:$K$50,2,FALSE)*C380,VLOOKUP(R380,Datos!$P$1:$T$50,2,FALSE)*C380),0)</f>
        <v>0</v>
      </c>
      <c r="P380" s="6"/>
      <c r="Q380" s="9" t="e">
        <f>+VLOOKUP(P380,Datos!$F:$G,2,FALSE)</f>
        <v>#N/A</v>
      </c>
      <c r="T380" s="6">
        <f t="shared" si="6"/>
        <v>0</v>
      </c>
    </row>
    <row r="381" spans="1:20" x14ac:dyDescent="0.35">
      <c r="A381" s="6" t="s">
        <v>20</v>
      </c>
      <c r="D381" s="6" t="s">
        <v>22</v>
      </c>
      <c r="E381" s="6" t="s">
        <v>409</v>
      </c>
      <c r="F381" s="6" t="s">
        <v>409</v>
      </c>
      <c r="H381" s="8"/>
      <c r="I381" s="8"/>
      <c r="J381" s="9" t="e">
        <f>+VLOOKUP(K381,Datos!$A:$C,3,FALSE)</f>
        <v>#N/A</v>
      </c>
      <c r="L381" s="9" t="e">
        <f>+VLOOKUP(K381,Datos!$A:$C,2,FALSE)</f>
        <v>#N/A</v>
      </c>
      <c r="N381" s="9" t="e">
        <f>+VLOOKUP(M381,Datos!$F:$G,2,FALSE)</f>
        <v>#N/A</v>
      </c>
      <c r="O381" s="10">
        <f>IFERROR(IF(A381="SI",VLOOKUP(R381,Datos!$J$1:$K$50,2,FALSE)*C381,VLOOKUP(R381,Datos!$P$1:$T$50,2,FALSE)*C381),0)</f>
        <v>0</v>
      </c>
      <c r="P381" s="6"/>
      <c r="Q381" s="9" t="e">
        <f>+VLOOKUP(P381,Datos!$F:$G,2,FALSE)</f>
        <v>#N/A</v>
      </c>
      <c r="T381" s="6">
        <f t="shared" si="6"/>
        <v>0</v>
      </c>
    </row>
    <row r="382" spans="1:20" x14ac:dyDescent="0.35">
      <c r="A382" s="6" t="s">
        <v>20</v>
      </c>
      <c r="D382" s="6" t="s">
        <v>22</v>
      </c>
      <c r="E382" s="6" t="s">
        <v>409</v>
      </c>
      <c r="F382" s="6" t="s">
        <v>409</v>
      </c>
      <c r="H382" s="8"/>
      <c r="I382" s="8"/>
      <c r="J382" s="9" t="e">
        <f>+VLOOKUP(K382,Datos!$A:$C,3,FALSE)</f>
        <v>#N/A</v>
      </c>
      <c r="L382" s="9" t="e">
        <f>+VLOOKUP(K382,Datos!$A:$C,2,FALSE)</f>
        <v>#N/A</v>
      </c>
      <c r="N382" s="9" t="e">
        <f>+VLOOKUP(M382,Datos!$F:$G,2,FALSE)</f>
        <v>#N/A</v>
      </c>
      <c r="O382" s="10">
        <f>IFERROR(IF(A382="SI",VLOOKUP(R382,Datos!$J$1:$K$50,2,FALSE)*C382,VLOOKUP(R382,Datos!$P$1:$T$50,2,FALSE)*C382),0)</f>
        <v>0</v>
      </c>
      <c r="P382" s="6"/>
      <c r="Q382" s="9" t="e">
        <f>+VLOOKUP(P382,Datos!$F:$G,2,FALSE)</f>
        <v>#N/A</v>
      </c>
      <c r="T382" s="6">
        <f t="shared" si="6"/>
        <v>0</v>
      </c>
    </row>
    <row r="383" spans="1:20" x14ac:dyDescent="0.35">
      <c r="A383" s="6" t="s">
        <v>20</v>
      </c>
      <c r="D383" s="6" t="s">
        <v>22</v>
      </c>
      <c r="E383" s="6" t="s">
        <v>409</v>
      </c>
      <c r="F383" s="6" t="s">
        <v>409</v>
      </c>
      <c r="H383" s="8"/>
      <c r="I383" s="8"/>
      <c r="J383" s="9" t="e">
        <f>+VLOOKUP(K383,Datos!$A:$C,3,FALSE)</f>
        <v>#N/A</v>
      </c>
      <c r="L383" s="9" t="e">
        <f>+VLOOKUP(K383,Datos!$A:$C,2,FALSE)</f>
        <v>#N/A</v>
      </c>
      <c r="N383" s="9" t="e">
        <f>+VLOOKUP(M383,Datos!$F:$G,2,FALSE)</f>
        <v>#N/A</v>
      </c>
      <c r="O383" s="10">
        <f>IFERROR(IF(A383="SI",VLOOKUP(R383,Datos!$J$1:$K$50,2,FALSE)*C383,VLOOKUP(R383,Datos!$P$1:$T$50,2,FALSE)*C383),0)</f>
        <v>0</v>
      </c>
      <c r="P383" s="6"/>
      <c r="Q383" s="9" t="e">
        <f>+VLOOKUP(P383,Datos!$F:$G,2,FALSE)</f>
        <v>#N/A</v>
      </c>
      <c r="T383" s="6">
        <f t="shared" si="6"/>
        <v>0</v>
      </c>
    </row>
    <row r="384" spans="1:20" x14ac:dyDescent="0.35">
      <c r="A384" s="6" t="s">
        <v>20</v>
      </c>
      <c r="D384" s="6" t="s">
        <v>22</v>
      </c>
      <c r="E384" s="6" t="s">
        <v>409</v>
      </c>
      <c r="F384" s="6" t="s">
        <v>409</v>
      </c>
      <c r="H384" s="8"/>
      <c r="I384" s="8"/>
      <c r="J384" s="9" t="e">
        <f>+VLOOKUP(K384,Datos!$A:$C,3,FALSE)</f>
        <v>#N/A</v>
      </c>
      <c r="L384" s="9" t="e">
        <f>+VLOOKUP(K384,Datos!$A:$C,2,FALSE)</f>
        <v>#N/A</v>
      </c>
      <c r="N384" s="9" t="e">
        <f>+VLOOKUP(M384,Datos!$F:$G,2,FALSE)</f>
        <v>#N/A</v>
      </c>
      <c r="O384" s="10">
        <f>IFERROR(IF(A384="SI",VLOOKUP(R384,Datos!$J$1:$K$50,2,FALSE)*C384,VLOOKUP(R384,Datos!$P$1:$T$50,2,FALSE)*C384),0)</f>
        <v>0</v>
      </c>
      <c r="P384" s="6"/>
      <c r="Q384" s="9" t="e">
        <f>+VLOOKUP(P384,Datos!$F:$G,2,FALSE)</f>
        <v>#N/A</v>
      </c>
      <c r="T384" s="6">
        <f t="shared" si="6"/>
        <v>0</v>
      </c>
    </row>
    <row r="385" spans="1:20" x14ac:dyDescent="0.35">
      <c r="A385" s="6" t="s">
        <v>20</v>
      </c>
      <c r="D385" s="6" t="s">
        <v>22</v>
      </c>
      <c r="E385" s="6" t="s">
        <v>409</v>
      </c>
      <c r="F385" s="6" t="s">
        <v>409</v>
      </c>
      <c r="H385" s="8"/>
      <c r="I385" s="8"/>
      <c r="J385" s="9" t="e">
        <f>+VLOOKUP(K385,Datos!$A:$C,3,FALSE)</f>
        <v>#N/A</v>
      </c>
      <c r="L385" s="9" t="e">
        <f>+VLOOKUP(K385,Datos!$A:$C,2,FALSE)</f>
        <v>#N/A</v>
      </c>
      <c r="N385" s="9" t="e">
        <f>+VLOOKUP(M385,Datos!$F:$G,2,FALSE)</f>
        <v>#N/A</v>
      </c>
      <c r="O385" s="10">
        <f>IFERROR(IF(A385="SI",VLOOKUP(R385,Datos!$J$1:$K$50,2,FALSE)*C385,VLOOKUP(R385,Datos!$P$1:$T$50,2,FALSE)*C385),0)</f>
        <v>0</v>
      </c>
      <c r="P385" s="6"/>
      <c r="Q385" s="9" t="e">
        <f>+VLOOKUP(P385,Datos!$F:$G,2,FALSE)</f>
        <v>#N/A</v>
      </c>
      <c r="T385" s="6">
        <f t="shared" si="6"/>
        <v>0</v>
      </c>
    </row>
    <row r="386" spans="1:20" x14ac:dyDescent="0.35">
      <c r="A386" s="6" t="s">
        <v>20</v>
      </c>
      <c r="D386" s="6" t="s">
        <v>22</v>
      </c>
      <c r="E386" s="6" t="s">
        <v>409</v>
      </c>
      <c r="F386" s="6" t="s">
        <v>409</v>
      </c>
      <c r="H386" s="8"/>
      <c r="I386" s="8"/>
      <c r="J386" s="9" t="e">
        <f>+VLOOKUP(K386,Datos!$A:$C,3,FALSE)</f>
        <v>#N/A</v>
      </c>
      <c r="L386" s="9" t="e">
        <f>+VLOOKUP(K386,Datos!$A:$C,2,FALSE)</f>
        <v>#N/A</v>
      </c>
      <c r="N386" s="9" t="e">
        <f>+VLOOKUP(M386,Datos!$F:$G,2,FALSE)</f>
        <v>#N/A</v>
      </c>
      <c r="O386" s="10">
        <f>IFERROR(IF(A386="SI",VLOOKUP(R386,Datos!$J$1:$K$50,2,FALSE)*C386,VLOOKUP(R386,Datos!$P$1:$T$50,2,FALSE)*C386),0)</f>
        <v>0</v>
      </c>
      <c r="P386" s="6"/>
      <c r="Q386" s="9" t="e">
        <f>+VLOOKUP(P386,Datos!$F:$G,2,FALSE)</f>
        <v>#N/A</v>
      </c>
      <c r="T386" s="6">
        <f t="shared" si="6"/>
        <v>0</v>
      </c>
    </row>
    <row r="387" spans="1:20" x14ac:dyDescent="0.35">
      <c r="A387" s="6" t="s">
        <v>20</v>
      </c>
      <c r="D387" s="6" t="s">
        <v>22</v>
      </c>
      <c r="E387" s="6" t="s">
        <v>409</v>
      </c>
      <c r="F387" s="6" t="s">
        <v>409</v>
      </c>
      <c r="H387" s="8"/>
      <c r="I387" s="8"/>
      <c r="J387" s="9" t="e">
        <f>+VLOOKUP(K387,Datos!$A:$C,3,FALSE)</f>
        <v>#N/A</v>
      </c>
      <c r="L387" s="9" t="e">
        <f>+VLOOKUP(K387,Datos!$A:$C,2,FALSE)</f>
        <v>#N/A</v>
      </c>
      <c r="N387" s="9" t="e">
        <f>+VLOOKUP(M387,Datos!$F:$G,2,FALSE)</f>
        <v>#N/A</v>
      </c>
      <c r="O387" s="10">
        <f>IFERROR(IF(A387="SI",VLOOKUP(R387,Datos!$J$1:$K$50,2,FALSE)*C387,VLOOKUP(R387,Datos!$P$1:$T$50,2,FALSE)*C387),0)</f>
        <v>0</v>
      </c>
      <c r="P387" s="6"/>
      <c r="Q387" s="9" t="e">
        <f>+VLOOKUP(P387,Datos!$F:$G,2,FALSE)</f>
        <v>#N/A</v>
      </c>
      <c r="T387" s="6">
        <f t="shared" si="6"/>
        <v>0</v>
      </c>
    </row>
    <row r="388" spans="1:20" x14ac:dyDescent="0.35">
      <c r="A388" s="6" t="s">
        <v>20</v>
      </c>
      <c r="D388" s="6" t="s">
        <v>22</v>
      </c>
      <c r="E388" s="6" t="s">
        <v>409</v>
      </c>
      <c r="F388" s="6" t="s">
        <v>409</v>
      </c>
      <c r="H388" s="8"/>
      <c r="I388" s="8"/>
      <c r="J388" s="9" t="e">
        <f>+VLOOKUP(K388,Datos!$A:$C,3,FALSE)</f>
        <v>#N/A</v>
      </c>
      <c r="L388" s="9" t="e">
        <f>+VLOOKUP(K388,Datos!$A:$C,2,FALSE)</f>
        <v>#N/A</v>
      </c>
      <c r="N388" s="9" t="e">
        <f>+VLOOKUP(M388,Datos!$F:$G,2,FALSE)</f>
        <v>#N/A</v>
      </c>
      <c r="O388" s="10">
        <f>IFERROR(IF(A388="SI",VLOOKUP(R388,Datos!$J$1:$K$50,2,FALSE)*C388,VLOOKUP(R388,Datos!$P$1:$T$50,2,FALSE)*C388),0)</f>
        <v>0</v>
      </c>
      <c r="P388" s="6"/>
      <c r="Q388" s="9" t="e">
        <f>+VLOOKUP(P388,Datos!$F:$G,2,FALSE)</f>
        <v>#N/A</v>
      </c>
      <c r="T388" s="6">
        <f t="shared" si="6"/>
        <v>0</v>
      </c>
    </row>
    <row r="389" spans="1:20" x14ac:dyDescent="0.35">
      <c r="A389" s="6" t="s">
        <v>20</v>
      </c>
      <c r="D389" s="6" t="s">
        <v>22</v>
      </c>
      <c r="E389" s="6" t="s">
        <v>409</v>
      </c>
      <c r="F389" s="6" t="s">
        <v>409</v>
      </c>
      <c r="H389" s="8"/>
      <c r="I389" s="8"/>
      <c r="J389" s="9" t="e">
        <f>+VLOOKUP(K389,Datos!$A:$C,3,FALSE)</f>
        <v>#N/A</v>
      </c>
      <c r="L389" s="9" t="e">
        <f>+VLOOKUP(K389,Datos!$A:$C,2,FALSE)</f>
        <v>#N/A</v>
      </c>
      <c r="N389" s="9" t="e">
        <f>+VLOOKUP(M389,Datos!$F:$G,2,FALSE)</f>
        <v>#N/A</v>
      </c>
      <c r="O389" s="10">
        <f>IFERROR(IF(A389="SI",VLOOKUP(R389,Datos!$J$1:$K$50,2,FALSE)*C389,VLOOKUP(R389,Datos!$P$1:$T$50,2,FALSE)*C389),0)</f>
        <v>0</v>
      </c>
      <c r="P389" s="6"/>
      <c r="Q389" s="9" t="e">
        <f>+VLOOKUP(P389,Datos!$F:$G,2,FALSE)</f>
        <v>#N/A</v>
      </c>
      <c r="T389" s="6">
        <f t="shared" si="6"/>
        <v>0</v>
      </c>
    </row>
    <row r="390" spans="1:20" x14ac:dyDescent="0.35">
      <c r="A390" s="6" t="s">
        <v>20</v>
      </c>
      <c r="D390" s="6" t="s">
        <v>22</v>
      </c>
      <c r="E390" s="6" t="s">
        <v>409</v>
      </c>
      <c r="F390" s="6" t="s">
        <v>409</v>
      </c>
      <c r="H390" s="8"/>
      <c r="I390" s="8"/>
      <c r="J390" s="9" t="e">
        <f>+VLOOKUP(K390,Datos!$A:$C,3,FALSE)</f>
        <v>#N/A</v>
      </c>
      <c r="L390" s="9" t="e">
        <f>+VLOOKUP(K390,Datos!$A:$C,2,FALSE)</f>
        <v>#N/A</v>
      </c>
      <c r="N390" s="9" t="e">
        <f>+VLOOKUP(M390,Datos!$F:$G,2,FALSE)</f>
        <v>#N/A</v>
      </c>
      <c r="O390" s="10">
        <f>IFERROR(IF(A390="SI",VLOOKUP(R390,Datos!$J$1:$K$50,2,FALSE)*C390,VLOOKUP(R390,Datos!$P$1:$T$50,2,FALSE)*C390),0)</f>
        <v>0</v>
      </c>
      <c r="P390" s="6"/>
      <c r="Q390" s="9" t="e">
        <f>+VLOOKUP(P390,Datos!$F:$G,2,FALSE)</f>
        <v>#N/A</v>
      </c>
      <c r="T390" s="6">
        <f t="shared" si="6"/>
        <v>0</v>
      </c>
    </row>
    <row r="391" spans="1:20" x14ac:dyDescent="0.35">
      <c r="A391" s="6" t="s">
        <v>20</v>
      </c>
      <c r="D391" s="6" t="s">
        <v>22</v>
      </c>
      <c r="E391" s="6" t="s">
        <v>409</v>
      </c>
      <c r="F391" s="6" t="s">
        <v>409</v>
      </c>
      <c r="H391" s="8"/>
      <c r="I391" s="8"/>
      <c r="J391" s="9" t="e">
        <f>+VLOOKUP(K391,Datos!$A:$C,3,FALSE)</f>
        <v>#N/A</v>
      </c>
      <c r="L391" s="9" t="e">
        <f>+VLOOKUP(K391,Datos!$A:$C,2,FALSE)</f>
        <v>#N/A</v>
      </c>
      <c r="N391" s="9" t="e">
        <f>+VLOOKUP(M391,Datos!$F:$G,2,FALSE)</f>
        <v>#N/A</v>
      </c>
      <c r="O391" s="10">
        <f>IFERROR(IF(A391="SI",VLOOKUP(R391,Datos!$J$1:$K$50,2,FALSE)*C391,VLOOKUP(R391,Datos!$P$1:$T$50,2,FALSE)*C391),0)</f>
        <v>0</v>
      </c>
      <c r="P391" s="6"/>
      <c r="Q391" s="9" t="e">
        <f>+VLOOKUP(P391,Datos!$F:$G,2,FALSE)</f>
        <v>#N/A</v>
      </c>
      <c r="T391" s="6">
        <f t="shared" si="6"/>
        <v>0</v>
      </c>
    </row>
    <row r="392" spans="1:20" x14ac:dyDescent="0.35">
      <c r="A392" s="6" t="s">
        <v>20</v>
      </c>
      <c r="D392" s="6" t="s">
        <v>22</v>
      </c>
      <c r="E392" s="6" t="s">
        <v>409</v>
      </c>
      <c r="F392" s="6" t="s">
        <v>409</v>
      </c>
      <c r="H392" s="8"/>
      <c r="I392" s="8"/>
      <c r="J392" s="9" t="e">
        <f>+VLOOKUP(K392,Datos!$A:$C,3,FALSE)</f>
        <v>#N/A</v>
      </c>
      <c r="L392" s="9" t="e">
        <f>+VLOOKUP(K392,Datos!$A:$C,2,FALSE)</f>
        <v>#N/A</v>
      </c>
      <c r="N392" s="9" t="e">
        <f>+VLOOKUP(M392,Datos!$F:$G,2,FALSE)</f>
        <v>#N/A</v>
      </c>
      <c r="O392" s="10">
        <f>IFERROR(IF(A392="SI",VLOOKUP(R392,Datos!$J$1:$K$50,2,FALSE)*C392,VLOOKUP(R392,Datos!$P$1:$T$50,2,FALSE)*C392),0)</f>
        <v>0</v>
      </c>
      <c r="P392" s="6"/>
      <c r="Q392" s="9" t="e">
        <f>+VLOOKUP(P392,Datos!$F:$G,2,FALSE)</f>
        <v>#N/A</v>
      </c>
      <c r="T392" s="6">
        <f t="shared" si="6"/>
        <v>0</v>
      </c>
    </row>
    <row r="393" spans="1:20" x14ac:dyDescent="0.35">
      <c r="A393" s="6" t="s">
        <v>20</v>
      </c>
      <c r="D393" s="6" t="s">
        <v>22</v>
      </c>
      <c r="E393" s="6" t="s">
        <v>409</v>
      </c>
      <c r="F393" s="6" t="s">
        <v>409</v>
      </c>
      <c r="H393" s="8"/>
      <c r="I393" s="8"/>
      <c r="J393" s="9" t="e">
        <f>+VLOOKUP(K393,Datos!$A:$C,3,FALSE)</f>
        <v>#N/A</v>
      </c>
      <c r="L393" s="9" t="e">
        <f>+VLOOKUP(K393,Datos!$A:$C,2,FALSE)</f>
        <v>#N/A</v>
      </c>
      <c r="N393" s="9" t="e">
        <f>+VLOOKUP(M393,Datos!$F:$G,2,FALSE)</f>
        <v>#N/A</v>
      </c>
      <c r="O393" s="10">
        <f>IFERROR(IF(A393="SI",VLOOKUP(R393,Datos!$J$1:$K$50,2,FALSE)*C393,VLOOKUP(R393,Datos!$P$1:$T$50,2,FALSE)*C393),0)</f>
        <v>0</v>
      </c>
      <c r="P393" s="6"/>
      <c r="Q393" s="9" t="e">
        <f>+VLOOKUP(P393,Datos!$F:$G,2,FALSE)</f>
        <v>#N/A</v>
      </c>
      <c r="T393" s="6">
        <f t="shared" si="6"/>
        <v>0</v>
      </c>
    </row>
    <row r="394" spans="1:20" x14ac:dyDescent="0.35">
      <c r="A394" s="6" t="s">
        <v>20</v>
      </c>
      <c r="D394" s="6" t="s">
        <v>22</v>
      </c>
      <c r="E394" s="6" t="s">
        <v>409</v>
      </c>
      <c r="F394" s="6" t="s">
        <v>409</v>
      </c>
      <c r="H394" s="8"/>
      <c r="I394" s="8"/>
      <c r="J394" s="9" t="e">
        <f>+VLOOKUP(K394,Datos!$A:$C,3,FALSE)</f>
        <v>#N/A</v>
      </c>
      <c r="L394" s="9" t="e">
        <f>+VLOOKUP(K394,Datos!$A:$C,2,FALSE)</f>
        <v>#N/A</v>
      </c>
      <c r="N394" s="9" t="e">
        <f>+VLOOKUP(M394,Datos!$F:$G,2,FALSE)</f>
        <v>#N/A</v>
      </c>
      <c r="O394" s="10">
        <f>IFERROR(IF(A394="SI",VLOOKUP(R394,Datos!$J$1:$K$50,2,FALSE)*C394,VLOOKUP(R394,Datos!$P$1:$T$50,2,FALSE)*C394),0)</f>
        <v>0</v>
      </c>
      <c r="P394" s="6"/>
      <c r="Q394" s="9" t="e">
        <f>+VLOOKUP(P394,Datos!$F:$G,2,FALSE)</f>
        <v>#N/A</v>
      </c>
      <c r="T394" s="6">
        <f t="shared" si="6"/>
        <v>0</v>
      </c>
    </row>
    <row r="395" spans="1:20" x14ac:dyDescent="0.35">
      <c r="A395" s="6" t="s">
        <v>20</v>
      </c>
      <c r="D395" s="6" t="s">
        <v>22</v>
      </c>
      <c r="E395" s="6" t="s">
        <v>409</v>
      </c>
      <c r="F395" s="6" t="s">
        <v>409</v>
      </c>
      <c r="H395" s="8"/>
      <c r="I395" s="8"/>
      <c r="J395" s="9" t="e">
        <f>+VLOOKUP(K395,Datos!$A:$C,3,FALSE)</f>
        <v>#N/A</v>
      </c>
      <c r="L395" s="9" t="e">
        <f>+VLOOKUP(K395,Datos!$A:$C,2,FALSE)</f>
        <v>#N/A</v>
      </c>
      <c r="N395" s="9" t="e">
        <f>+VLOOKUP(M395,Datos!$F:$G,2,FALSE)</f>
        <v>#N/A</v>
      </c>
      <c r="O395" s="10">
        <f>IFERROR(IF(A395="SI",VLOOKUP(R395,Datos!$J$1:$K$50,2,FALSE)*C395,VLOOKUP(R395,Datos!$P$1:$T$50,2,FALSE)*C395),0)</f>
        <v>0</v>
      </c>
      <c r="P395" s="6"/>
      <c r="Q395" s="9" t="e">
        <f>+VLOOKUP(P395,Datos!$F:$G,2,FALSE)</f>
        <v>#N/A</v>
      </c>
      <c r="T395" s="6">
        <f t="shared" si="6"/>
        <v>0</v>
      </c>
    </row>
    <row r="396" spans="1:20" x14ac:dyDescent="0.35">
      <c r="A396" s="6" t="s">
        <v>20</v>
      </c>
      <c r="D396" s="6" t="s">
        <v>22</v>
      </c>
      <c r="E396" s="6" t="s">
        <v>409</v>
      </c>
      <c r="F396" s="6" t="s">
        <v>409</v>
      </c>
      <c r="H396" s="8"/>
      <c r="I396" s="8"/>
      <c r="J396" s="9" t="e">
        <f>+VLOOKUP(K396,Datos!$A:$C,3,FALSE)</f>
        <v>#N/A</v>
      </c>
      <c r="L396" s="9" t="e">
        <f>+VLOOKUP(K396,Datos!$A:$C,2,FALSE)</f>
        <v>#N/A</v>
      </c>
      <c r="N396" s="9" t="e">
        <f>+VLOOKUP(M396,Datos!$F:$G,2,FALSE)</f>
        <v>#N/A</v>
      </c>
      <c r="O396" s="10">
        <f>IFERROR(IF(A396="SI",VLOOKUP(R396,Datos!$J$1:$K$50,2,FALSE)*C396,VLOOKUP(R396,Datos!$P$1:$T$50,2,FALSE)*C396),0)</f>
        <v>0</v>
      </c>
      <c r="P396" s="6"/>
      <c r="Q396" s="9" t="e">
        <f>+VLOOKUP(P396,Datos!$F:$G,2,FALSE)</f>
        <v>#N/A</v>
      </c>
      <c r="T396" s="6">
        <f t="shared" si="6"/>
        <v>0</v>
      </c>
    </row>
    <row r="397" spans="1:20" x14ac:dyDescent="0.35">
      <c r="A397" s="6" t="s">
        <v>20</v>
      </c>
      <c r="D397" s="6" t="s">
        <v>22</v>
      </c>
      <c r="E397" s="6" t="s">
        <v>409</v>
      </c>
      <c r="F397" s="6" t="s">
        <v>409</v>
      </c>
      <c r="H397" s="8"/>
      <c r="I397" s="8"/>
      <c r="J397" s="9" t="e">
        <f>+VLOOKUP(K397,Datos!$A:$C,3,FALSE)</f>
        <v>#N/A</v>
      </c>
      <c r="L397" s="9" t="e">
        <f>+VLOOKUP(K397,Datos!$A:$C,2,FALSE)</f>
        <v>#N/A</v>
      </c>
      <c r="N397" s="9" t="e">
        <f>+VLOOKUP(M397,Datos!$F:$G,2,FALSE)</f>
        <v>#N/A</v>
      </c>
      <c r="O397" s="10">
        <f>IFERROR(IF(A397="SI",VLOOKUP(R397,Datos!$J$1:$K$50,2,FALSE)*C397,VLOOKUP(R397,Datos!$P$1:$T$50,2,FALSE)*C397),0)</f>
        <v>0</v>
      </c>
      <c r="P397" s="6"/>
      <c r="Q397" s="9" t="e">
        <f>+VLOOKUP(P397,Datos!$F:$G,2,FALSE)</f>
        <v>#N/A</v>
      </c>
      <c r="T397" s="6">
        <f t="shared" si="6"/>
        <v>0</v>
      </c>
    </row>
    <row r="398" spans="1:20" x14ac:dyDescent="0.35">
      <c r="A398" s="6" t="s">
        <v>20</v>
      </c>
      <c r="D398" s="6" t="s">
        <v>22</v>
      </c>
      <c r="E398" s="6" t="s">
        <v>409</v>
      </c>
      <c r="F398" s="6" t="s">
        <v>409</v>
      </c>
      <c r="H398" s="8"/>
      <c r="I398" s="8"/>
      <c r="J398" s="9" t="e">
        <f>+VLOOKUP(K398,Datos!$A:$C,3,FALSE)</f>
        <v>#N/A</v>
      </c>
      <c r="L398" s="9" t="e">
        <f>+VLOOKUP(K398,Datos!$A:$C,2,FALSE)</f>
        <v>#N/A</v>
      </c>
      <c r="N398" s="9" t="e">
        <f>+VLOOKUP(M398,Datos!$F:$G,2,FALSE)</f>
        <v>#N/A</v>
      </c>
      <c r="O398" s="10">
        <f>IFERROR(IF(A398="SI",VLOOKUP(R398,Datos!$J$1:$K$50,2,FALSE)*C398,VLOOKUP(R398,Datos!$P$1:$T$50,2,FALSE)*C398),0)</f>
        <v>0</v>
      </c>
      <c r="P398" s="6"/>
      <c r="Q398" s="9" t="e">
        <f>+VLOOKUP(P398,Datos!$F:$G,2,FALSE)</f>
        <v>#N/A</v>
      </c>
      <c r="T398" s="6">
        <f t="shared" si="6"/>
        <v>0</v>
      </c>
    </row>
    <row r="399" spans="1:20" x14ac:dyDescent="0.35">
      <c r="A399" s="6" t="s">
        <v>20</v>
      </c>
      <c r="D399" s="6" t="s">
        <v>22</v>
      </c>
      <c r="E399" s="6" t="s">
        <v>409</v>
      </c>
      <c r="F399" s="6" t="s">
        <v>409</v>
      </c>
      <c r="H399" s="8"/>
      <c r="I399" s="8"/>
      <c r="J399" s="9" t="e">
        <f>+VLOOKUP(K399,Datos!$A:$C,3,FALSE)</f>
        <v>#N/A</v>
      </c>
      <c r="L399" s="9" t="e">
        <f>+VLOOKUP(K399,Datos!$A:$C,2,FALSE)</f>
        <v>#N/A</v>
      </c>
      <c r="N399" s="9" t="e">
        <f>+VLOOKUP(M399,Datos!$F:$G,2,FALSE)</f>
        <v>#N/A</v>
      </c>
      <c r="O399" s="10">
        <f>IFERROR(IF(A399="SI",VLOOKUP(R399,Datos!$J$1:$K$50,2,FALSE)*C399,VLOOKUP(R399,Datos!$P$1:$T$50,2,FALSE)*C399),0)</f>
        <v>0</v>
      </c>
      <c r="P399" s="6"/>
      <c r="Q399" s="9" t="e">
        <f>+VLOOKUP(P399,Datos!$F:$G,2,FALSE)</f>
        <v>#N/A</v>
      </c>
      <c r="T399" s="6">
        <f t="shared" si="6"/>
        <v>0</v>
      </c>
    </row>
    <row r="400" spans="1:20" x14ac:dyDescent="0.35">
      <c r="A400" s="6" t="s">
        <v>20</v>
      </c>
      <c r="D400" s="6" t="s">
        <v>22</v>
      </c>
      <c r="E400" s="6" t="s">
        <v>409</v>
      </c>
      <c r="F400" s="6" t="s">
        <v>409</v>
      </c>
      <c r="H400" s="8"/>
      <c r="I400" s="8"/>
      <c r="J400" s="9" t="e">
        <f>+VLOOKUP(K400,Datos!$A:$C,3,FALSE)</f>
        <v>#N/A</v>
      </c>
      <c r="L400" s="9" t="e">
        <f>+VLOOKUP(K400,Datos!$A:$C,2,FALSE)</f>
        <v>#N/A</v>
      </c>
      <c r="N400" s="9" t="e">
        <f>+VLOOKUP(M400,Datos!$F:$G,2,FALSE)</f>
        <v>#N/A</v>
      </c>
      <c r="O400" s="10">
        <f>IFERROR(IF(A400="SI",VLOOKUP(R400,Datos!$J$1:$K$50,2,FALSE)*C400,VLOOKUP(R400,Datos!$P$1:$T$50,2,FALSE)*C400),0)</f>
        <v>0</v>
      </c>
      <c r="P400" s="6"/>
      <c r="Q400" s="9" t="e">
        <f>+VLOOKUP(P400,Datos!$F:$G,2,FALSE)</f>
        <v>#N/A</v>
      </c>
      <c r="T400" s="6">
        <f t="shared" si="6"/>
        <v>0</v>
      </c>
    </row>
    <row r="401" spans="1:20" x14ac:dyDescent="0.35">
      <c r="A401" s="6" t="s">
        <v>20</v>
      </c>
      <c r="D401" s="6" t="s">
        <v>22</v>
      </c>
      <c r="E401" s="6" t="s">
        <v>409</v>
      </c>
      <c r="F401" s="6" t="s">
        <v>409</v>
      </c>
      <c r="H401" s="8"/>
      <c r="I401" s="8"/>
      <c r="J401" s="9" t="e">
        <f>+VLOOKUP(K401,Datos!$A:$C,3,FALSE)</f>
        <v>#N/A</v>
      </c>
      <c r="L401" s="9" t="e">
        <f>+VLOOKUP(K401,Datos!$A:$C,2,FALSE)</f>
        <v>#N/A</v>
      </c>
      <c r="N401" s="9" t="e">
        <f>+VLOOKUP(M401,Datos!$F:$G,2,FALSE)</f>
        <v>#N/A</v>
      </c>
      <c r="O401" s="10">
        <f>IFERROR(IF(A401="SI",VLOOKUP(R401,Datos!$J$1:$K$50,2,FALSE)*C401,VLOOKUP(R401,Datos!$P$1:$T$50,2,FALSE)*C401),0)</f>
        <v>0</v>
      </c>
      <c r="P401" s="6"/>
      <c r="Q401" s="9" t="e">
        <f>+VLOOKUP(P401,Datos!$F:$G,2,FALSE)</f>
        <v>#N/A</v>
      </c>
      <c r="T401" s="6">
        <f t="shared" si="6"/>
        <v>0</v>
      </c>
    </row>
    <row r="402" spans="1:20" x14ac:dyDescent="0.35">
      <c r="A402" s="6" t="s">
        <v>20</v>
      </c>
      <c r="D402" s="6" t="s">
        <v>22</v>
      </c>
      <c r="E402" s="6" t="s">
        <v>409</v>
      </c>
      <c r="F402" s="6" t="s">
        <v>409</v>
      </c>
      <c r="H402" s="8"/>
      <c r="I402" s="8"/>
      <c r="J402" s="9" t="e">
        <f>+VLOOKUP(K402,Datos!$A:$C,3,FALSE)</f>
        <v>#N/A</v>
      </c>
      <c r="L402" s="9" t="e">
        <f>+VLOOKUP(K402,Datos!$A:$C,2,FALSE)</f>
        <v>#N/A</v>
      </c>
      <c r="N402" s="9" t="e">
        <f>+VLOOKUP(M402,Datos!$F:$G,2,FALSE)</f>
        <v>#N/A</v>
      </c>
      <c r="O402" s="10">
        <f>IFERROR(IF(A402="SI",VLOOKUP(R402,Datos!$J$1:$K$50,2,FALSE)*C402,VLOOKUP(R402,Datos!$P$1:$T$50,2,FALSE)*C402),0)</f>
        <v>0</v>
      </c>
      <c r="P402" s="6"/>
      <c r="Q402" s="9" t="e">
        <f>+VLOOKUP(P402,Datos!$F:$G,2,FALSE)</f>
        <v>#N/A</v>
      </c>
      <c r="T402" s="6">
        <f t="shared" si="6"/>
        <v>0</v>
      </c>
    </row>
    <row r="403" spans="1:20" x14ac:dyDescent="0.35">
      <c r="A403" s="6" t="s">
        <v>20</v>
      </c>
      <c r="D403" s="6" t="s">
        <v>22</v>
      </c>
      <c r="E403" s="6" t="s">
        <v>409</v>
      </c>
      <c r="F403" s="6" t="s">
        <v>409</v>
      </c>
      <c r="H403" s="8"/>
      <c r="I403" s="8"/>
      <c r="J403" s="9" t="e">
        <f>+VLOOKUP(K403,Datos!$A:$C,3,FALSE)</f>
        <v>#N/A</v>
      </c>
      <c r="L403" s="9" t="e">
        <f>+VLOOKUP(K403,Datos!$A:$C,2,FALSE)</f>
        <v>#N/A</v>
      </c>
      <c r="N403" s="9" t="e">
        <f>+VLOOKUP(M403,Datos!$F:$G,2,FALSE)</f>
        <v>#N/A</v>
      </c>
      <c r="O403" s="10">
        <f>IFERROR(IF(A403="SI",VLOOKUP(R403,Datos!$J$1:$K$50,2,FALSE)*C403,VLOOKUP(R403,Datos!$P$1:$T$50,2,FALSE)*C403),0)</f>
        <v>0</v>
      </c>
      <c r="P403" s="6"/>
      <c r="Q403" s="9" t="e">
        <f>+VLOOKUP(P403,Datos!$F:$G,2,FALSE)</f>
        <v>#N/A</v>
      </c>
      <c r="T403" s="6">
        <f t="shared" si="6"/>
        <v>0</v>
      </c>
    </row>
    <row r="404" spans="1:20" x14ac:dyDescent="0.35">
      <c r="A404" s="6" t="s">
        <v>20</v>
      </c>
      <c r="D404" s="6" t="s">
        <v>22</v>
      </c>
      <c r="E404" s="6" t="s">
        <v>409</v>
      </c>
      <c r="F404" s="6" t="s">
        <v>409</v>
      </c>
      <c r="H404" s="8"/>
      <c r="I404" s="8"/>
      <c r="J404" s="9" t="e">
        <f>+VLOOKUP(K404,Datos!$A:$C,3,FALSE)</f>
        <v>#N/A</v>
      </c>
      <c r="L404" s="9" t="e">
        <f>+VLOOKUP(K404,Datos!$A:$C,2,FALSE)</f>
        <v>#N/A</v>
      </c>
      <c r="N404" s="9" t="e">
        <f>+VLOOKUP(M404,Datos!$F:$G,2,FALSE)</f>
        <v>#N/A</v>
      </c>
      <c r="O404" s="10">
        <f>IFERROR(IF(A404="SI",VLOOKUP(R404,Datos!$J$1:$K$50,2,FALSE)*C404,VLOOKUP(R404,Datos!$P$1:$T$50,2,FALSE)*C404),0)</f>
        <v>0</v>
      </c>
      <c r="P404" s="6"/>
      <c r="Q404" s="9" t="e">
        <f>+VLOOKUP(P404,Datos!$F:$G,2,FALSE)</f>
        <v>#N/A</v>
      </c>
      <c r="T404" s="6">
        <f t="shared" si="6"/>
        <v>0</v>
      </c>
    </row>
    <row r="405" spans="1:20" x14ac:dyDescent="0.35">
      <c r="A405" s="6" t="s">
        <v>20</v>
      </c>
      <c r="D405" s="6" t="s">
        <v>22</v>
      </c>
      <c r="E405" s="6" t="s">
        <v>409</v>
      </c>
      <c r="F405" s="6" t="s">
        <v>409</v>
      </c>
      <c r="H405" s="8"/>
      <c r="I405" s="8"/>
      <c r="J405" s="9" t="e">
        <f>+VLOOKUP(K405,Datos!$A:$C,3,FALSE)</f>
        <v>#N/A</v>
      </c>
      <c r="L405" s="9" t="e">
        <f>+VLOOKUP(K405,Datos!$A:$C,2,FALSE)</f>
        <v>#N/A</v>
      </c>
      <c r="N405" s="9" t="e">
        <f>+VLOOKUP(M405,Datos!$F:$G,2,FALSE)</f>
        <v>#N/A</v>
      </c>
      <c r="O405" s="10">
        <f>IFERROR(IF(A405="SI",VLOOKUP(R405,Datos!$J$1:$K$50,2,FALSE)*C405,VLOOKUP(R405,Datos!$P$1:$T$50,2,FALSE)*C405),0)</f>
        <v>0</v>
      </c>
      <c r="P405" s="6"/>
      <c r="Q405" s="9" t="e">
        <f>+VLOOKUP(P405,Datos!$F:$G,2,FALSE)</f>
        <v>#N/A</v>
      </c>
      <c r="T405" s="6">
        <f t="shared" si="6"/>
        <v>0</v>
      </c>
    </row>
    <row r="406" spans="1:20" x14ac:dyDescent="0.35">
      <c r="A406" s="6" t="s">
        <v>20</v>
      </c>
      <c r="D406" s="6" t="s">
        <v>22</v>
      </c>
      <c r="E406" s="6" t="s">
        <v>409</v>
      </c>
      <c r="F406" s="6" t="s">
        <v>409</v>
      </c>
      <c r="H406" s="8"/>
      <c r="I406" s="8"/>
      <c r="J406" s="9" t="e">
        <f>+VLOOKUP(K406,Datos!$A:$C,3,FALSE)</f>
        <v>#N/A</v>
      </c>
      <c r="L406" s="9" t="e">
        <f>+VLOOKUP(K406,Datos!$A:$C,2,FALSE)</f>
        <v>#N/A</v>
      </c>
      <c r="N406" s="9" t="e">
        <f>+VLOOKUP(M406,Datos!$F:$G,2,FALSE)</f>
        <v>#N/A</v>
      </c>
      <c r="O406" s="10">
        <f>IFERROR(IF(A406="SI",VLOOKUP(R406,Datos!$J$1:$K$50,2,FALSE)*C406,VLOOKUP(R406,Datos!$P$1:$T$50,2,FALSE)*C406),0)</f>
        <v>0</v>
      </c>
      <c r="P406" s="6"/>
      <c r="Q406" s="9" t="e">
        <f>+VLOOKUP(P406,Datos!$F:$G,2,FALSE)</f>
        <v>#N/A</v>
      </c>
      <c r="T406" s="6">
        <f t="shared" si="6"/>
        <v>0</v>
      </c>
    </row>
    <row r="407" spans="1:20" x14ac:dyDescent="0.35">
      <c r="A407" s="6" t="s">
        <v>20</v>
      </c>
      <c r="D407" s="6" t="s">
        <v>22</v>
      </c>
      <c r="E407" s="6" t="s">
        <v>409</v>
      </c>
      <c r="F407" s="6" t="s">
        <v>409</v>
      </c>
      <c r="H407" s="8"/>
      <c r="I407" s="8"/>
      <c r="J407" s="9" t="e">
        <f>+VLOOKUP(K407,Datos!$A:$C,3,FALSE)</f>
        <v>#N/A</v>
      </c>
      <c r="L407" s="9" t="e">
        <f>+VLOOKUP(K407,Datos!$A:$C,2,FALSE)</f>
        <v>#N/A</v>
      </c>
      <c r="N407" s="9" t="e">
        <f>+VLOOKUP(M407,Datos!$F:$G,2,FALSE)</f>
        <v>#N/A</v>
      </c>
      <c r="O407" s="10">
        <f>IFERROR(IF(A407="SI",VLOOKUP(R407,Datos!$J$1:$K$50,2,FALSE)*C407,VLOOKUP(R407,Datos!$P$1:$T$50,2,FALSE)*C407),0)</f>
        <v>0</v>
      </c>
      <c r="P407" s="6"/>
      <c r="Q407" s="9" t="e">
        <f>+VLOOKUP(P407,Datos!$F:$G,2,FALSE)</f>
        <v>#N/A</v>
      </c>
      <c r="T407" s="6">
        <f t="shared" si="6"/>
        <v>0</v>
      </c>
    </row>
    <row r="408" spans="1:20" x14ac:dyDescent="0.35">
      <c r="A408" s="6" t="s">
        <v>20</v>
      </c>
      <c r="D408" s="6" t="s">
        <v>22</v>
      </c>
      <c r="E408" s="6" t="s">
        <v>409</v>
      </c>
      <c r="F408" s="6" t="s">
        <v>409</v>
      </c>
      <c r="H408" s="8"/>
      <c r="I408" s="8"/>
      <c r="J408" s="9" t="e">
        <f>+VLOOKUP(K408,Datos!$A:$C,3,FALSE)</f>
        <v>#N/A</v>
      </c>
      <c r="L408" s="9" t="e">
        <f>+VLOOKUP(K408,Datos!$A:$C,2,FALSE)</f>
        <v>#N/A</v>
      </c>
      <c r="N408" s="9" t="e">
        <f>+VLOOKUP(M408,Datos!$F:$G,2,FALSE)</f>
        <v>#N/A</v>
      </c>
      <c r="O408" s="10">
        <f>IFERROR(IF(A408="SI",VLOOKUP(R408,Datos!$J$1:$K$50,2,FALSE)*C408,VLOOKUP(R408,Datos!$P$1:$T$50,2,FALSE)*C408),0)</f>
        <v>0</v>
      </c>
      <c r="P408" s="6"/>
      <c r="Q408" s="9" t="e">
        <f>+VLOOKUP(P408,Datos!$F:$G,2,FALSE)</f>
        <v>#N/A</v>
      </c>
      <c r="T408" s="6">
        <f t="shared" si="6"/>
        <v>0</v>
      </c>
    </row>
    <row r="409" spans="1:20" x14ac:dyDescent="0.35">
      <c r="A409" s="6" t="s">
        <v>20</v>
      </c>
      <c r="D409" s="6" t="s">
        <v>22</v>
      </c>
      <c r="E409" s="6" t="s">
        <v>409</v>
      </c>
      <c r="F409" s="6" t="s">
        <v>409</v>
      </c>
      <c r="H409" s="8"/>
      <c r="I409" s="8"/>
      <c r="J409" s="9" t="e">
        <f>+VLOOKUP(K409,Datos!$A:$C,3,FALSE)</f>
        <v>#N/A</v>
      </c>
      <c r="L409" s="9" t="e">
        <f>+VLOOKUP(K409,Datos!$A:$C,2,FALSE)</f>
        <v>#N/A</v>
      </c>
      <c r="N409" s="9" t="e">
        <f>+VLOOKUP(M409,Datos!$F:$G,2,FALSE)</f>
        <v>#N/A</v>
      </c>
      <c r="O409" s="10">
        <f>IFERROR(IF(A409="SI",VLOOKUP(R409,Datos!$J$1:$K$50,2,FALSE)*C409,VLOOKUP(R409,Datos!$P$1:$T$50,2,FALSE)*C409),0)</f>
        <v>0</v>
      </c>
      <c r="P409" s="6"/>
      <c r="Q409" s="9" t="e">
        <f>+VLOOKUP(P409,Datos!$F:$G,2,FALSE)</f>
        <v>#N/A</v>
      </c>
      <c r="T409" s="6">
        <f t="shared" si="6"/>
        <v>0</v>
      </c>
    </row>
    <row r="410" spans="1:20" x14ac:dyDescent="0.35">
      <c r="A410" s="6" t="s">
        <v>20</v>
      </c>
      <c r="D410" s="6" t="s">
        <v>22</v>
      </c>
      <c r="E410" s="6" t="s">
        <v>409</v>
      </c>
      <c r="F410" s="6" t="s">
        <v>409</v>
      </c>
      <c r="H410" s="8"/>
      <c r="I410" s="8"/>
      <c r="J410" s="9" t="e">
        <f>+VLOOKUP(K410,Datos!$A:$C,3,FALSE)</f>
        <v>#N/A</v>
      </c>
      <c r="L410" s="9" t="e">
        <f>+VLOOKUP(K410,Datos!$A:$C,2,FALSE)</f>
        <v>#N/A</v>
      </c>
      <c r="N410" s="9" t="e">
        <f>+VLOOKUP(M410,Datos!$F:$G,2,FALSE)</f>
        <v>#N/A</v>
      </c>
      <c r="O410" s="10">
        <f>IFERROR(IF(A410="SI",VLOOKUP(R410,Datos!$J$1:$K$50,2,FALSE)*C410,VLOOKUP(R410,Datos!$P$1:$T$50,2,FALSE)*C410),0)</f>
        <v>0</v>
      </c>
      <c r="P410" s="6"/>
      <c r="Q410" s="9" t="e">
        <f>+VLOOKUP(P410,Datos!$F:$G,2,FALSE)</f>
        <v>#N/A</v>
      </c>
      <c r="T410" s="6">
        <f t="shared" si="6"/>
        <v>0</v>
      </c>
    </row>
    <row r="411" spans="1:20" x14ac:dyDescent="0.35">
      <c r="A411" s="6" t="s">
        <v>20</v>
      </c>
      <c r="D411" s="6" t="s">
        <v>22</v>
      </c>
      <c r="E411" s="6" t="s">
        <v>409</v>
      </c>
      <c r="F411" s="6" t="s">
        <v>409</v>
      </c>
      <c r="H411" s="8"/>
      <c r="I411" s="8"/>
      <c r="J411" s="9" t="e">
        <f>+VLOOKUP(K411,Datos!$A:$C,3,FALSE)</f>
        <v>#N/A</v>
      </c>
      <c r="L411" s="9" t="e">
        <f>+VLOOKUP(K411,Datos!$A:$C,2,FALSE)</f>
        <v>#N/A</v>
      </c>
      <c r="N411" s="9" t="e">
        <f>+VLOOKUP(M411,Datos!$F:$G,2,FALSE)</f>
        <v>#N/A</v>
      </c>
      <c r="O411" s="10">
        <f>IFERROR(IF(A411="SI",VLOOKUP(R411,Datos!$J$1:$K$50,2,FALSE)*C411,VLOOKUP(R411,Datos!$P$1:$T$50,2,FALSE)*C411),0)</f>
        <v>0</v>
      </c>
      <c r="P411" s="6"/>
      <c r="Q411" s="9" t="e">
        <f>+VLOOKUP(P411,Datos!$F:$G,2,FALSE)</f>
        <v>#N/A</v>
      </c>
      <c r="T411" s="6">
        <f t="shared" si="6"/>
        <v>0</v>
      </c>
    </row>
    <row r="412" spans="1:20" x14ac:dyDescent="0.35">
      <c r="A412" s="6" t="s">
        <v>20</v>
      </c>
      <c r="D412" s="6" t="s">
        <v>22</v>
      </c>
      <c r="E412" s="6" t="s">
        <v>409</v>
      </c>
      <c r="F412" s="6" t="s">
        <v>409</v>
      </c>
      <c r="H412" s="8"/>
      <c r="I412" s="8"/>
      <c r="J412" s="9" t="e">
        <f>+VLOOKUP(K412,Datos!$A:$C,3,FALSE)</f>
        <v>#N/A</v>
      </c>
      <c r="L412" s="9" t="e">
        <f>+VLOOKUP(K412,Datos!$A:$C,2,FALSE)</f>
        <v>#N/A</v>
      </c>
      <c r="N412" s="9" t="e">
        <f>+VLOOKUP(M412,Datos!$F:$G,2,FALSE)</f>
        <v>#N/A</v>
      </c>
      <c r="O412" s="10">
        <f>IFERROR(IF(A412="SI",VLOOKUP(R412,Datos!$J$1:$K$50,2,FALSE)*C412,VLOOKUP(R412,Datos!$P$1:$T$50,2,FALSE)*C412),0)</f>
        <v>0</v>
      </c>
      <c r="P412" s="6"/>
      <c r="Q412" s="9" t="e">
        <f>+VLOOKUP(P412,Datos!$F:$G,2,FALSE)</f>
        <v>#N/A</v>
      </c>
      <c r="T412" s="6">
        <f t="shared" si="6"/>
        <v>0</v>
      </c>
    </row>
    <row r="413" spans="1:20" x14ac:dyDescent="0.35">
      <c r="A413" s="6" t="s">
        <v>20</v>
      </c>
      <c r="D413" s="6" t="s">
        <v>22</v>
      </c>
      <c r="E413" s="6" t="s">
        <v>409</v>
      </c>
      <c r="F413" s="6" t="s">
        <v>409</v>
      </c>
      <c r="H413" s="8"/>
      <c r="I413" s="8"/>
      <c r="J413" s="9" t="e">
        <f>+VLOOKUP(K413,Datos!$A:$C,3,FALSE)</f>
        <v>#N/A</v>
      </c>
      <c r="L413" s="9" t="e">
        <f>+VLOOKUP(K413,Datos!$A:$C,2,FALSE)</f>
        <v>#N/A</v>
      </c>
      <c r="N413" s="9" t="e">
        <f>+VLOOKUP(M413,Datos!$F:$G,2,FALSE)</f>
        <v>#N/A</v>
      </c>
      <c r="O413" s="10">
        <f>IFERROR(IF(A413="SI",VLOOKUP(R413,Datos!$J$1:$K$50,2,FALSE)*C413,VLOOKUP(R413,Datos!$P$1:$T$50,2,FALSE)*C413),0)</f>
        <v>0</v>
      </c>
      <c r="P413" s="6"/>
      <c r="Q413" s="9" t="e">
        <f>+VLOOKUP(P413,Datos!$F:$G,2,FALSE)</f>
        <v>#N/A</v>
      </c>
      <c r="T413" s="6">
        <f t="shared" si="6"/>
        <v>0</v>
      </c>
    </row>
    <row r="414" spans="1:20" x14ac:dyDescent="0.35">
      <c r="A414" s="6" t="s">
        <v>20</v>
      </c>
      <c r="D414" s="6" t="s">
        <v>22</v>
      </c>
      <c r="E414" s="6" t="s">
        <v>409</v>
      </c>
      <c r="F414" s="6" t="s">
        <v>409</v>
      </c>
      <c r="H414" s="8"/>
      <c r="I414" s="8"/>
      <c r="J414" s="9" t="e">
        <f>+VLOOKUP(K414,Datos!$A:$C,3,FALSE)</f>
        <v>#N/A</v>
      </c>
      <c r="L414" s="9" t="e">
        <f>+VLOOKUP(K414,Datos!$A:$C,2,FALSE)</f>
        <v>#N/A</v>
      </c>
      <c r="N414" s="9" t="e">
        <f>+VLOOKUP(M414,Datos!$F:$G,2,FALSE)</f>
        <v>#N/A</v>
      </c>
      <c r="O414" s="10">
        <f>IFERROR(IF(A414="SI",VLOOKUP(R414,Datos!$J$1:$K$50,2,FALSE)*C414,VLOOKUP(R414,Datos!$P$1:$T$50,2,FALSE)*C414),0)</f>
        <v>0</v>
      </c>
      <c r="P414" s="6"/>
      <c r="Q414" s="9" t="e">
        <f>+VLOOKUP(P414,Datos!$F:$G,2,FALSE)</f>
        <v>#N/A</v>
      </c>
      <c r="T414" s="6">
        <f t="shared" si="6"/>
        <v>0</v>
      </c>
    </row>
    <row r="415" spans="1:20" x14ac:dyDescent="0.35">
      <c r="A415" s="6" t="s">
        <v>20</v>
      </c>
      <c r="D415" s="6" t="s">
        <v>22</v>
      </c>
      <c r="E415" s="6" t="s">
        <v>409</v>
      </c>
      <c r="F415" s="6" t="s">
        <v>409</v>
      </c>
      <c r="H415" s="8"/>
      <c r="I415" s="8"/>
      <c r="J415" s="9" t="e">
        <f>+VLOOKUP(K415,Datos!$A:$C,3,FALSE)</f>
        <v>#N/A</v>
      </c>
      <c r="L415" s="9" t="e">
        <f>+VLOOKUP(K415,Datos!$A:$C,2,FALSE)</f>
        <v>#N/A</v>
      </c>
      <c r="N415" s="9" t="e">
        <f>+VLOOKUP(M415,Datos!$F:$G,2,FALSE)</f>
        <v>#N/A</v>
      </c>
      <c r="O415" s="10">
        <f>IFERROR(IF(A415="SI",VLOOKUP(R415,Datos!$J$1:$K$50,2,FALSE)*C415,VLOOKUP(R415,Datos!$P$1:$T$50,2,FALSE)*C415),0)</f>
        <v>0</v>
      </c>
      <c r="P415" s="6"/>
      <c r="Q415" s="9" t="e">
        <f>+VLOOKUP(P415,Datos!$F:$G,2,FALSE)</f>
        <v>#N/A</v>
      </c>
      <c r="T415" s="6">
        <f t="shared" si="6"/>
        <v>0</v>
      </c>
    </row>
    <row r="416" spans="1:20" x14ac:dyDescent="0.35">
      <c r="A416" s="6" t="s">
        <v>20</v>
      </c>
      <c r="D416" s="6" t="s">
        <v>22</v>
      </c>
      <c r="E416" s="6" t="s">
        <v>409</v>
      </c>
      <c r="F416" s="6" t="s">
        <v>409</v>
      </c>
      <c r="H416" s="8"/>
      <c r="I416" s="8"/>
      <c r="J416" s="9" t="e">
        <f>+VLOOKUP(K416,Datos!$A:$C,3,FALSE)</f>
        <v>#N/A</v>
      </c>
      <c r="L416" s="9" t="e">
        <f>+VLOOKUP(K416,Datos!$A:$C,2,FALSE)</f>
        <v>#N/A</v>
      </c>
      <c r="N416" s="9" t="e">
        <f>+VLOOKUP(M416,Datos!$F:$G,2,FALSE)</f>
        <v>#N/A</v>
      </c>
      <c r="O416" s="10">
        <f>IFERROR(IF(A416="SI",VLOOKUP(R416,Datos!$J$1:$K$50,2,FALSE)*C416,VLOOKUP(R416,Datos!$P$1:$T$50,2,FALSE)*C416),0)</f>
        <v>0</v>
      </c>
      <c r="P416" s="6"/>
      <c r="Q416" s="9" t="e">
        <f>+VLOOKUP(P416,Datos!$F:$G,2,FALSE)</f>
        <v>#N/A</v>
      </c>
      <c r="T416" s="6">
        <f t="shared" si="6"/>
        <v>0</v>
      </c>
    </row>
    <row r="417" spans="1:20" x14ac:dyDescent="0.35">
      <c r="A417" s="6" t="s">
        <v>20</v>
      </c>
      <c r="D417" s="6" t="s">
        <v>22</v>
      </c>
      <c r="E417" s="6" t="s">
        <v>409</v>
      </c>
      <c r="F417" s="6" t="s">
        <v>409</v>
      </c>
      <c r="H417" s="8"/>
      <c r="I417" s="8"/>
      <c r="J417" s="9" t="e">
        <f>+VLOOKUP(K417,Datos!$A:$C,3,FALSE)</f>
        <v>#N/A</v>
      </c>
      <c r="L417" s="9" t="e">
        <f>+VLOOKUP(K417,Datos!$A:$C,2,FALSE)</f>
        <v>#N/A</v>
      </c>
      <c r="N417" s="9" t="e">
        <f>+VLOOKUP(M417,Datos!$F:$G,2,FALSE)</f>
        <v>#N/A</v>
      </c>
      <c r="O417" s="10">
        <f>IFERROR(IF(A417="SI",VLOOKUP(R417,Datos!$J$1:$K$50,2,FALSE)*C417,VLOOKUP(R417,Datos!$P$1:$T$50,2,FALSE)*C417),0)</f>
        <v>0</v>
      </c>
      <c r="P417" s="6"/>
      <c r="Q417" s="9" t="e">
        <f>+VLOOKUP(P417,Datos!$F:$G,2,FALSE)</f>
        <v>#N/A</v>
      </c>
      <c r="T417" s="6">
        <f t="shared" si="6"/>
        <v>0</v>
      </c>
    </row>
    <row r="418" spans="1:20" x14ac:dyDescent="0.35">
      <c r="A418" s="6" t="s">
        <v>20</v>
      </c>
      <c r="D418" s="6" t="s">
        <v>22</v>
      </c>
      <c r="E418" s="6" t="s">
        <v>409</v>
      </c>
      <c r="F418" s="6" t="s">
        <v>409</v>
      </c>
      <c r="H418" s="8"/>
      <c r="I418" s="8"/>
      <c r="J418" s="9" t="e">
        <f>+VLOOKUP(K418,Datos!$A:$C,3,FALSE)</f>
        <v>#N/A</v>
      </c>
      <c r="L418" s="9" t="e">
        <f>+VLOOKUP(K418,Datos!$A:$C,2,FALSE)</f>
        <v>#N/A</v>
      </c>
      <c r="N418" s="9" t="e">
        <f>+VLOOKUP(M418,Datos!$F:$G,2,FALSE)</f>
        <v>#N/A</v>
      </c>
      <c r="O418" s="10">
        <f>IFERROR(IF(A418="SI",VLOOKUP(R418,Datos!$J$1:$K$50,2,FALSE)*C418,VLOOKUP(R418,Datos!$P$1:$T$50,2,FALSE)*C418),0)</f>
        <v>0</v>
      </c>
      <c r="P418" s="6"/>
      <c r="Q418" s="9" t="e">
        <f>+VLOOKUP(P418,Datos!$F:$G,2,FALSE)</f>
        <v>#N/A</v>
      </c>
      <c r="T418" s="6">
        <f t="shared" si="6"/>
        <v>0</v>
      </c>
    </row>
    <row r="419" spans="1:20" x14ac:dyDescent="0.35">
      <c r="A419" s="6" t="s">
        <v>20</v>
      </c>
      <c r="D419" s="6" t="s">
        <v>22</v>
      </c>
      <c r="E419" s="6" t="s">
        <v>409</v>
      </c>
      <c r="F419" s="6" t="s">
        <v>409</v>
      </c>
      <c r="H419" s="8"/>
      <c r="I419" s="8"/>
      <c r="J419" s="9" t="e">
        <f>+VLOOKUP(K419,Datos!$A:$C,3,FALSE)</f>
        <v>#N/A</v>
      </c>
      <c r="L419" s="9" t="e">
        <f>+VLOOKUP(K419,Datos!$A:$C,2,FALSE)</f>
        <v>#N/A</v>
      </c>
      <c r="N419" s="9" t="e">
        <f>+VLOOKUP(M419,Datos!$F:$G,2,FALSE)</f>
        <v>#N/A</v>
      </c>
      <c r="O419" s="10">
        <f>IFERROR(IF(A419="SI",VLOOKUP(R419,Datos!$J$1:$K$50,2,FALSE)*C419,VLOOKUP(R419,Datos!$P$1:$T$50,2,FALSE)*C419),0)</f>
        <v>0</v>
      </c>
      <c r="P419" s="6"/>
      <c r="Q419" s="9" t="e">
        <f>+VLOOKUP(P419,Datos!$F:$G,2,FALSE)</f>
        <v>#N/A</v>
      </c>
      <c r="T419" s="6">
        <f t="shared" si="6"/>
        <v>0</v>
      </c>
    </row>
    <row r="420" spans="1:20" x14ac:dyDescent="0.35">
      <c r="A420" s="6" t="s">
        <v>20</v>
      </c>
      <c r="D420" s="6" t="s">
        <v>22</v>
      </c>
      <c r="E420" s="6" t="s">
        <v>409</v>
      </c>
      <c r="F420" s="6" t="s">
        <v>409</v>
      </c>
      <c r="H420" s="8"/>
      <c r="I420" s="8"/>
      <c r="J420" s="9" t="e">
        <f>+VLOOKUP(K420,Datos!$A:$C,3,FALSE)</f>
        <v>#N/A</v>
      </c>
      <c r="L420" s="9" t="e">
        <f>+VLOOKUP(K420,Datos!$A:$C,2,FALSE)</f>
        <v>#N/A</v>
      </c>
      <c r="N420" s="9" t="e">
        <f>+VLOOKUP(M420,Datos!$F:$G,2,FALSE)</f>
        <v>#N/A</v>
      </c>
      <c r="O420" s="10">
        <f>IFERROR(IF(A420="SI",VLOOKUP(R420,Datos!$J$1:$K$50,2,FALSE)*C420,VLOOKUP(R420,Datos!$P$1:$T$50,2,FALSE)*C420),0)</f>
        <v>0</v>
      </c>
      <c r="P420" s="6"/>
      <c r="Q420" s="9" t="e">
        <f>+VLOOKUP(P420,Datos!$F:$G,2,FALSE)</f>
        <v>#N/A</v>
      </c>
      <c r="T420" s="6">
        <f t="shared" si="6"/>
        <v>0</v>
      </c>
    </row>
    <row r="421" spans="1:20" x14ac:dyDescent="0.35">
      <c r="A421" s="6" t="s">
        <v>20</v>
      </c>
      <c r="D421" s="6" t="s">
        <v>22</v>
      </c>
      <c r="E421" s="6" t="s">
        <v>409</v>
      </c>
      <c r="F421" s="6" t="s">
        <v>409</v>
      </c>
      <c r="H421" s="8"/>
      <c r="I421" s="8"/>
      <c r="J421" s="9" t="e">
        <f>+VLOOKUP(K421,Datos!$A:$C,3,FALSE)</f>
        <v>#N/A</v>
      </c>
      <c r="L421" s="9" t="e">
        <f>+VLOOKUP(K421,Datos!$A:$C,2,FALSE)</f>
        <v>#N/A</v>
      </c>
      <c r="N421" s="9" t="e">
        <f>+VLOOKUP(M421,Datos!$F:$G,2,FALSE)</f>
        <v>#N/A</v>
      </c>
      <c r="O421" s="10">
        <f>IFERROR(IF(A421="SI",VLOOKUP(R421,Datos!$J$1:$K$50,2,FALSE)*C421,VLOOKUP(R421,Datos!$P$1:$T$50,2,FALSE)*C421),0)</f>
        <v>0</v>
      </c>
      <c r="P421" s="6"/>
      <c r="Q421" s="9" t="e">
        <f>+VLOOKUP(P421,Datos!$F:$G,2,FALSE)</f>
        <v>#N/A</v>
      </c>
      <c r="T421" s="6">
        <f t="shared" si="6"/>
        <v>0</v>
      </c>
    </row>
    <row r="422" spans="1:20" x14ac:dyDescent="0.35">
      <c r="A422" s="6" t="s">
        <v>20</v>
      </c>
      <c r="D422" s="6" t="s">
        <v>22</v>
      </c>
      <c r="E422" s="6" t="s">
        <v>409</v>
      </c>
      <c r="F422" s="6" t="s">
        <v>409</v>
      </c>
      <c r="H422" s="8"/>
      <c r="I422" s="8"/>
      <c r="J422" s="9" t="e">
        <f>+VLOOKUP(K422,Datos!$A:$C,3,FALSE)</f>
        <v>#N/A</v>
      </c>
      <c r="L422" s="9" t="e">
        <f>+VLOOKUP(K422,Datos!$A:$C,2,FALSE)</f>
        <v>#N/A</v>
      </c>
      <c r="N422" s="9" t="e">
        <f>+VLOOKUP(M422,Datos!$F:$G,2,FALSE)</f>
        <v>#N/A</v>
      </c>
      <c r="O422" s="10">
        <f>IFERROR(IF(A422="SI",VLOOKUP(R422,Datos!$J$1:$K$50,2,FALSE)*C422,VLOOKUP(R422,Datos!$P$1:$T$50,2,FALSE)*C422),0)</f>
        <v>0</v>
      </c>
      <c r="P422" s="6"/>
      <c r="Q422" s="9" t="e">
        <f>+VLOOKUP(P422,Datos!$F:$G,2,FALSE)</f>
        <v>#N/A</v>
      </c>
      <c r="T422" s="6">
        <f t="shared" si="6"/>
        <v>0</v>
      </c>
    </row>
    <row r="423" spans="1:20" x14ac:dyDescent="0.35">
      <c r="A423" s="6" t="s">
        <v>20</v>
      </c>
      <c r="D423" s="6" t="s">
        <v>22</v>
      </c>
      <c r="E423" s="6" t="s">
        <v>409</v>
      </c>
      <c r="F423" s="6" t="s">
        <v>409</v>
      </c>
      <c r="H423" s="8"/>
      <c r="I423" s="8"/>
      <c r="J423" s="9" t="e">
        <f>+VLOOKUP(K423,Datos!$A:$C,3,FALSE)</f>
        <v>#N/A</v>
      </c>
      <c r="L423" s="9" t="e">
        <f>+VLOOKUP(K423,Datos!$A:$C,2,FALSE)</f>
        <v>#N/A</v>
      </c>
      <c r="N423" s="9" t="e">
        <f>+VLOOKUP(M423,Datos!$F:$G,2,FALSE)</f>
        <v>#N/A</v>
      </c>
      <c r="O423" s="10">
        <f>IFERROR(IF(A423="SI",VLOOKUP(R423,Datos!$J$1:$K$50,2,FALSE)*C423,VLOOKUP(R423,Datos!$P$1:$T$50,2,FALSE)*C423),0)</f>
        <v>0</v>
      </c>
      <c r="P423" s="6"/>
      <c r="Q423" s="9" t="e">
        <f>+VLOOKUP(P423,Datos!$F:$G,2,FALSE)</f>
        <v>#N/A</v>
      </c>
      <c r="T423" s="6">
        <f t="shared" ref="T423:T486" si="7">+COUNTIFS($G$2:$G$623,G423)</f>
        <v>0</v>
      </c>
    </row>
    <row r="424" spans="1:20" x14ac:dyDescent="0.35">
      <c r="A424" s="6" t="s">
        <v>20</v>
      </c>
      <c r="D424" s="6" t="s">
        <v>22</v>
      </c>
      <c r="E424" s="6" t="s">
        <v>409</v>
      </c>
      <c r="F424" s="6" t="s">
        <v>409</v>
      </c>
      <c r="H424" s="8"/>
      <c r="I424" s="8"/>
      <c r="J424" s="9" t="e">
        <f>+VLOOKUP(K424,Datos!$A:$C,3,FALSE)</f>
        <v>#N/A</v>
      </c>
      <c r="L424" s="9" t="e">
        <f>+VLOOKUP(K424,Datos!$A:$C,2,FALSE)</f>
        <v>#N/A</v>
      </c>
      <c r="N424" s="9" t="e">
        <f>+VLOOKUP(M424,Datos!$F:$G,2,FALSE)</f>
        <v>#N/A</v>
      </c>
      <c r="O424" s="10">
        <f>IFERROR(IF(A424="SI",VLOOKUP(R424,Datos!$J$1:$K$50,2,FALSE)*C424,VLOOKUP(R424,Datos!$P$1:$T$50,2,FALSE)*C424),0)</f>
        <v>0</v>
      </c>
      <c r="P424" s="6"/>
      <c r="Q424" s="9" t="e">
        <f>+VLOOKUP(P424,Datos!$F:$G,2,FALSE)</f>
        <v>#N/A</v>
      </c>
      <c r="T424" s="6">
        <f t="shared" si="7"/>
        <v>0</v>
      </c>
    </row>
    <row r="425" spans="1:20" x14ac:dyDescent="0.35">
      <c r="A425" s="6" t="s">
        <v>20</v>
      </c>
      <c r="D425" s="6" t="s">
        <v>22</v>
      </c>
      <c r="E425" s="6" t="s">
        <v>409</v>
      </c>
      <c r="F425" s="6" t="s">
        <v>409</v>
      </c>
      <c r="H425" s="8"/>
      <c r="I425" s="8"/>
      <c r="J425" s="9" t="e">
        <f>+VLOOKUP(K425,Datos!$A:$C,3,FALSE)</f>
        <v>#N/A</v>
      </c>
      <c r="L425" s="9" t="e">
        <f>+VLOOKUP(K425,Datos!$A:$C,2,FALSE)</f>
        <v>#N/A</v>
      </c>
      <c r="N425" s="9" t="e">
        <f>+VLOOKUP(M425,Datos!$F:$G,2,FALSE)</f>
        <v>#N/A</v>
      </c>
      <c r="O425" s="10">
        <f>IFERROR(IF(A425="SI",VLOOKUP(R425,Datos!$J$1:$K$50,2,FALSE)*C425,VLOOKUP(R425,Datos!$P$1:$T$50,2,FALSE)*C425),0)</f>
        <v>0</v>
      </c>
      <c r="P425" s="6"/>
      <c r="Q425" s="9" t="e">
        <f>+VLOOKUP(P425,Datos!$F:$G,2,FALSE)</f>
        <v>#N/A</v>
      </c>
      <c r="T425" s="6">
        <f t="shared" si="7"/>
        <v>0</v>
      </c>
    </row>
    <row r="426" spans="1:20" x14ac:dyDescent="0.35">
      <c r="A426" s="6" t="s">
        <v>20</v>
      </c>
      <c r="D426" s="6" t="s">
        <v>22</v>
      </c>
      <c r="E426" s="6" t="s">
        <v>409</v>
      </c>
      <c r="F426" s="6" t="s">
        <v>409</v>
      </c>
      <c r="H426" s="8"/>
      <c r="I426" s="8"/>
      <c r="J426" s="9" t="e">
        <f>+VLOOKUP(K426,Datos!$A:$C,3,FALSE)</f>
        <v>#N/A</v>
      </c>
      <c r="L426" s="9" t="e">
        <f>+VLOOKUP(K426,Datos!$A:$C,2,FALSE)</f>
        <v>#N/A</v>
      </c>
      <c r="N426" s="9" t="e">
        <f>+VLOOKUP(M426,Datos!$F:$G,2,FALSE)</f>
        <v>#N/A</v>
      </c>
      <c r="O426" s="10">
        <f>IFERROR(IF(A426="SI",VLOOKUP(R426,Datos!$J$1:$K$50,2,FALSE)*C426,VLOOKUP(R426,Datos!$P$1:$T$50,2,FALSE)*C426),0)</f>
        <v>0</v>
      </c>
      <c r="P426" s="6"/>
      <c r="Q426" s="9" t="e">
        <f>+VLOOKUP(P426,Datos!$F:$G,2,FALSE)</f>
        <v>#N/A</v>
      </c>
      <c r="T426" s="6">
        <f t="shared" si="7"/>
        <v>0</v>
      </c>
    </row>
    <row r="427" spans="1:20" x14ac:dyDescent="0.35">
      <c r="A427" s="6" t="s">
        <v>20</v>
      </c>
      <c r="D427" s="6" t="s">
        <v>22</v>
      </c>
      <c r="E427" s="6" t="s">
        <v>409</v>
      </c>
      <c r="F427" s="6" t="s">
        <v>409</v>
      </c>
      <c r="H427" s="8"/>
      <c r="I427" s="8"/>
      <c r="J427" s="9" t="e">
        <f>+VLOOKUP(K427,Datos!$A:$C,3,FALSE)</f>
        <v>#N/A</v>
      </c>
      <c r="L427" s="9" t="e">
        <f>+VLOOKUP(K427,Datos!$A:$C,2,FALSE)</f>
        <v>#N/A</v>
      </c>
      <c r="N427" s="9" t="e">
        <f>+VLOOKUP(M427,Datos!$F:$G,2,FALSE)</f>
        <v>#N/A</v>
      </c>
      <c r="O427" s="10">
        <f>IFERROR(IF(A427="SI",VLOOKUP(R427,Datos!$J$1:$K$50,2,FALSE)*C427,VLOOKUP(R427,Datos!$P$1:$T$50,2,FALSE)*C427),0)</f>
        <v>0</v>
      </c>
      <c r="P427" s="6"/>
      <c r="Q427" s="9" t="e">
        <f>+VLOOKUP(P427,Datos!$F:$G,2,FALSE)</f>
        <v>#N/A</v>
      </c>
      <c r="T427" s="6">
        <f t="shared" si="7"/>
        <v>0</v>
      </c>
    </row>
    <row r="428" spans="1:20" x14ac:dyDescent="0.35">
      <c r="A428" s="6" t="s">
        <v>20</v>
      </c>
      <c r="D428" s="6" t="s">
        <v>22</v>
      </c>
      <c r="E428" s="6" t="s">
        <v>409</v>
      </c>
      <c r="F428" s="6" t="s">
        <v>409</v>
      </c>
      <c r="H428" s="8"/>
      <c r="I428" s="8"/>
      <c r="J428" s="9" t="e">
        <f>+VLOOKUP(K428,Datos!$A:$C,3,FALSE)</f>
        <v>#N/A</v>
      </c>
      <c r="L428" s="9" t="e">
        <f>+VLOOKUP(K428,Datos!$A:$C,2,FALSE)</f>
        <v>#N/A</v>
      </c>
      <c r="N428" s="9" t="e">
        <f>+VLOOKUP(M428,Datos!$F:$G,2,FALSE)</f>
        <v>#N/A</v>
      </c>
      <c r="O428" s="10">
        <f>IFERROR(IF(A428="SI",VLOOKUP(R428,Datos!$J$1:$K$50,2,FALSE)*C428,VLOOKUP(R428,Datos!$P$1:$T$50,2,FALSE)*C428),0)</f>
        <v>0</v>
      </c>
      <c r="P428" s="6"/>
      <c r="Q428" s="9" t="e">
        <f>+VLOOKUP(P428,Datos!$F:$G,2,FALSE)</f>
        <v>#N/A</v>
      </c>
      <c r="T428" s="6">
        <f t="shared" si="7"/>
        <v>0</v>
      </c>
    </row>
    <row r="429" spans="1:20" x14ac:dyDescent="0.35">
      <c r="A429" s="6" t="s">
        <v>20</v>
      </c>
      <c r="D429" s="6" t="s">
        <v>22</v>
      </c>
      <c r="E429" s="6" t="s">
        <v>409</v>
      </c>
      <c r="F429" s="6" t="s">
        <v>409</v>
      </c>
      <c r="H429" s="8"/>
      <c r="I429" s="8"/>
      <c r="J429" s="9" t="e">
        <f>+VLOOKUP(K429,Datos!$A:$C,3,FALSE)</f>
        <v>#N/A</v>
      </c>
      <c r="L429" s="9" t="e">
        <f>+VLOOKUP(K429,Datos!$A:$C,2,FALSE)</f>
        <v>#N/A</v>
      </c>
      <c r="N429" s="9" t="e">
        <f>+VLOOKUP(M429,Datos!$F:$G,2,FALSE)</f>
        <v>#N/A</v>
      </c>
      <c r="O429" s="10">
        <f>IFERROR(IF(A429="SI",VLOOKUP(R429,Datos!$J$1:$K$50,2,FALSE)*C429,VLOOKUP(R429,Datos!$P$1:$T$50,2,FALSE)*C429),0)</f>
        <v>0</v>
      </c>
      <c r="P429" s="6"/>
      <c r="Q429" s="9" t="e">
        <f>+VLOOKUP(P429,Datos!$F:$G,2,FALSE)</f>
        <v>#N/A</v>
      </c>
      <c r="T429" s="6">
        <f t="shared" si="7"/>
        <v>0</v>
      </c>
    </row>
    <row r="430" spans="1:20" x14ac:dyDescent="0.35">
      <c r="A430" s="6" t="s">
        <v>20</v>
      </c>
      <c r="D430" s="6" t="s">
        <v>22</v>
      </c>
      <c r="E430" s="6" t="s">
        <v>409</v>
      </c>
      <c r="F430" s="6" t="s">
        <v>409</v>
      </c>
      <c r="H430" s="8"/>
      <c r="I430" s="8"/>
      <c r="J430" s="9" t="e">
        <f>+VLOOKUP(K430,Datos!$A:$C,3,FALSE)</f>
        <v>#N/A</v>
      </c>
      <c r="L430" s="9" t="e">
        <f>+VLOOKUP(K430,Datos!$A:$C,2,FALSE)</f>
        <v>#N/A</v>
      </c>
      <c r="N430" s="9" t="e">
        <f>+VLOOKUP(M430,Datos!$F:$G,2,FALSE)</f>
        <v>#N/A</v>
      </c>
      <c r="O430" s="10">
        <f>IFERROR(IF(A430="SI",VLOOKUP(R430,Datos!$J$1:$K$50,2,FALSE)*C430,VLOOKUP(R430,Datos!$P$1:$T$50,2,FALSE)*C430),0)</f>
        <v>0</v>
      </c>
      <c r="P430" s="6"/>
      <c r="Q430" s="9" t="e">
        <f>+VLOOKUP(P430,Datos!$F:$G,2,FALSE)</f>
        <v>#N/A</v>
      </c>
      <c r="T430" s="6">
        <f t="shared" si="7"/>
        <v>0</v>
      </c>
    </row>
    <row r="431" spans="1:20" x14ac:dyDescent="0.35">
      <c r="A431" s="6" t="s">
        <v>20</v>
      </c>
      <c r="D431" s="6" t="s">
        <v>22</v>
      </c>
      <c r="E431" s="6" t="s">
        <v>409</v>
      </c>
      <c r="F431" s="6" t="s">
        <v>409</v>
      </c>
      <c r="H431" s="8"/>
      <c r="I431" s="8"/>
      <c r="J431" s="9" t="e">
        <f>+VLOOKUP(K431,Datos!$A:$C,3,FALSE)</f>
        <v>#N/A</v>
      </c>
      <c r="L431" s="9" t="e">
        <f>+VLOOKUP(K431,Datos!$A:$C,2,FALSE)</f>
        <v>#N/A</v>
      </c>
      <c r="N431" s="9" t="e">
        <f>+VLOOKUP(M431,Datos!$F:$G,2,FALSE)</f>
        <v>#N/A</v>
      </c>
      <c r="O431" s="10">
        <f>IFERROR(IF(A431="SI",VLOOKUP(R431,Datos!$J$1:$K$50,2,FALSE)*C431,VLOOKUP(R431,Datos!$P$1:$T$50,2,FALSE)*C431),0)</f>
        <v>0</v>
      </c>
      <c r="P431" s="6"/>
      <c r="Q431" s="9" t="e">
        <f>+VLOOKUP(P431,Datos!$F:$G,2,FALSE)</f>
        <v>#N/A</v>
      </c>
      <c r="T431" s="6">
        <f t="shared" si="7"/>
        <v>0</v>
      </c>
    </row>
    <row r="432" spans="1:20" x14ac:dyDescent="0.35">
      <c r="A432" s="6" t="s">
        <v>20</v>
      </c>
      <c r="D432" s="6" t="s">
        <v>22</v>
      </c>
      <c r="E432" s="6" t="s">
        <v>409</v>
      </c>
      <c r="F432" s="6" t="s">
        <v>409</v>
      </c>
      <c r="H432" s="8"/>
      <c r="I432" s="8"/>
      <c r="J432" s="9" t="e">
        <f>+VLOOKUP(K432,Datos!$A:$C,3,FALSE)</f>
        <v>#N/A</v>
      </c>
      <c r="L432" s="9" t="e">
        <f>+VLOOKUP(K432,Datos!$A:$C,2,FALSE)</f>
        <v>#N/A</v>
      </c>
      <c r="N432" s="9" t="e">
        <f>+VLOOKUP(M432,Datos!$F:$G,2,FALSE)</f>
        <v>#N/A</v>
      </c>
      <c r="O432" s="10">
        <f>IFERROR(IF(A432="SI",VLOOKUP(R432,Datos!$J$1:$K$50,2,FALSE)*C432,VLOOKUP(R432,Datos!$P$1:$T$50,2,FALSE)*C432),0)</f>
        <v>0</v>
      </c>
      <c r="P432" s="6"/>
      <c r="Q432" s="9" t="e">
        <f>+VLOOKUP(P432,Datos!$F:$G,2,FALSE)</f>
        <v>#N/A</v>
      </c>
      <c r="T432" s="6">
        <f t="shared" si="7"/>
        <v>0</v>
      </c>
    </row>
    <row r="433" spans="1:20" x14ac:dyDescent="0.35">
      <c r="A433" s="6" t="s">
        <v>20</v>
      </c>
      <c r="D433" s="6" t="s">
        <v>22</v>
      </c>
      <c r="E433" s="6" t="s">
        <v>409</v>
      </c>
      <c r="F433" s="6" t="s">
        <v>409</v>
      </c>
      <c r="H433" s="8"/>
      <c r="I433" s="8"/>
      <c r="J433" s="9" t="e">
        <f>+VLOOKUP(K433,Datos!$A:$C,3,FALSE)</f>
        <v>#N/A</v>
      </c>
      <c r="L433" s="9" t="e">
        <f>+VLOOKUP(K433,Datos!$A:$C,2,FALSE)</f>
        <v>#N/A</v>
      </c>
      <c r="N433" s="9" t="e">
        <f>+VLOOKUP(M433,Datos!$F:$G,2,FALSE)</f>
        <v>#N/A</v>
      </c>
      <c r="O433" s="10">
        <f>IFERROR(IF(A433="SI",VLOOKUP(R433,Datos!$J$1:$K$50,2,FALSE)*C433,VLOOKUP(R433,Datos!$P$1:$T$50,2,FALSE)*C433),0)</f>
        <v>0</v>
      </c>
      <c r="P433" s="6"/>
      <c r="Q433" s="9" t="e">
        <f>+VLOOKUP(P433,Datos!$F:$G,2,FALSE)</f>
        <v>#N/A</v>
      </c>
      <c r="T433" s="6">
        <f t="shared" si="7"/>
        <v>0</v>
      </c>
    </row>
    <row r="434" spans="1:20" x14ac:dyDescent="0.35">
      <c r="A434" s="6" t="s">
        <v>20</v>
      </c>
      <c r="D434" s="6" t="s">
        <v>22</v>
      </c>
      <c r="E434" s="6" t="s">
        <v>409</v>
      </c>
      <c r="F434" s="6" t="s">
        <v>409</v>
      </c>
      <c r="H434" s="8"/>
      <c r="I434" s="8"/>
      <c r="J434" s="9" t="e">
        <f>+VLOOKUP(K434,Datos!$A:$C,3,FALSE)</f>
        <v>#N/A</v>
      </c>
      <c r="L434" s="9" t="e">
        <f>+VLOOKUP(K434,Datos!$A:$C,2,FALSE)</f>
        <v>#N/A</v>
      </c>
      <c r="N434" s="9" t="e">
        <f>+VLOOKUP(M434,Datos!$F:$G,2,FALSE)</f>
        <v>#N/A</v>
      </c>
      <c r="O434" s="10">
        <f>IFERROR(IF(A434="SI",VLOOKUP(R434,Datos!$J$1:$K$50,2,FALSE)*C434,VLOOKUP(R434,Datos!$P$1:$T$50,2,FALSE)*C434),0)</f>
        <v>0</v>
      </c>
      <c r="P434" s="6"/>
      <c r="Q434" s="9" t="e">
        <f>+VLOOKUP(P434,Datos!$F:$G,2,FALSE)</f>
        <v>#N/A</v>
      </c>
      <c r="T434" s="6">
        <f t="shared" si="7"/>
        <v>0</v>
      </c>
    </row>
    <row r="435" spans="1:20" x14ac:dyDescent="0.35">
      <c r="A435" s="6" t="s">
        <v>20</v>
      </c>
      <c r="D435" s="6" t="s">
        <v>22</v>
      </c>
      <c r="E435" s="6" t="s">
        <v>409</v>
      </c>
      <c r="F435" s="6" t="s">
        <v>409</v>
      </c>
      <c r="H435" s="8"/>
      <c r="I435" s="8"/>
      <c r="J435" s="9" t="e">
        <f>+VLOOKUP(K435,Datos!$A:$C,3,FALSE)</f>
        <v>#N/A</v>
      </c>
      <c r="L435" s="9" t="e">
        <f>+VLOOKUP(K435,Datos!$A:$C,2,FALSE)</f>
        <v>#N/A</v>
      </c>
      <c r="N435" s="9" t="e">
        <f>+VLOOKUP(M435,Datos!$F:$G,2,FALSE)</f>
        <v>#N/A</v>
      </c>
      <c r="O435" s="10">
        <f>IFERROR(IF(A435="SI",VLOOKUP(R435,Datos!$J$1:$K$50,2,FALSE)*C435,VLOOKUP(R435,Datos!$P$1:$T$50,2,FALSE)*C435),0)</f>
        <v>0</v>
      </c>
      <c r="P435" s="6"/>
      <c r="Q435" s="9" t="e">
        <f>+VLOOKUP(P435,Datos!$F:$G,2,FALSE)</f>
        <v>#N/A</v>
      </c>
      <c r="T435" s="6">
        <f t="shared" si="7"/>
        <v>0</v>
      </c>
    </row>
    <row r="436" spans="1:20" x14ac:dyDescent="0.35">
      <c r="A436" s="6" t="s">
        <v>20</v>
      </c>
      <c r="D436" s="6" t="s">
        <v>22</v>
      </c>
      <c r="E436" s="6" t="s">
        <v>409</v>
      </c>
      <c r="F436" s="6" t="s">
        <v>409</v>
      </c>
      <c r="H436" s="8"/>
      <c r="I436" s="8"/>
      <c r="J436" s="9" t="e">
        <f>+VLOOKUP(K436,Datos!$A:$C,3,FALSE)</f>
        <v>#N/A</v>
      </c>
      <c r="L436" s="9" t="e">
        <f>+VLOOKUP(K436,Datos!$A:$C,2,FALSE)</f>
        <v>#N/A</v>
      </c>
      <c r="N436" s="9" t="e">
        <f>+VLOOKUP(M436,Datos!$F:$G,2,FALSE)</f>
        <v>#N/A</v>
      </c>
      <c r="O436" s="10">
        <f>IFERROR(IF(A436="SI",VLOOKUP(R436,Datos!$J$1:$K$50,2,FALSE)*C436,VLOOKUP(R436,Datos!$P$1:$T$50,2,FALSE)*C436),0)</f>
        <v>0</v>
      </c>
      <c r="P436" s="6"/>
      <c r="Q436" s="9" t="e">
        <f>+VLOOKUP(P436,Datos!$F:$G,2,FALSE)</f>
        <v>#N/A</v>
      </c>
      <c r="T436" s="6">
        <f t="shared" si="7"/>
        <v>0</v>
      </c>
    </row>
    <row r="437" spans="1:20" x14ac:dyDescent="0.35">
      <c r="A437" s="6" t="s">
        <v>20</v>
      </c>
      <c r="D437" s="6" t="s">
        <v>22</v>
      </c>
      <c r="E437" s="6" t="s">
        <v>409</v>
      </c>
      <c r="F437" s="6" t="s">
        <v>409</v>
      </c>
      <c r="H437" s="8"/>
      <c r="I437" s="8"/>
      <c r="J437" s="9" t="e">
        <f>+VLOOKUP(K437,Datos!$A:$C,3,FALSE)</f>
        <v>#N/A</v>
      </c>
      <c r="L437" s="9" t="e">
        <f>+VLOOKUP(K437,Datos!$A:$C,2,FALSE)</f>
        <v>#N/A</v>
      </c>
      <c r="N437" s="9" t="e">
        <f>+VLOOKUP(M437,Datos!$F:$G,2,FALSE)</f>
        <v>#N/A</v>
      </c>
      <c r="O437" s="10">
        <f>IFERROR(IF(A437="SI",VLOOKUP(R437,Datos!$J$1:$K$50,2,FALSE)*C437,VLOOKUP(R437,Datos!$P$1:$T$50,2,FALSE)*C437),0)</f>
        <v>0</v>
      </c>
      <c r="P437" s="6"/>
      <c r="Q437" s="9" t="e">
        <f>+VLOOKUP(P437,Datos!$F:$G,2,FALSE)</f>
        <v>#N/A</v>
      </c>
      <c r="T437" s="6">
        <f t="shared" si="7"/>
        <v>0</v>
      </c>
    </row>
    <row r="438" spans="1:20" x14ac:dyDescent="0.35">
      <c r="A438" s="6" t="s">
        <v>20</v>
      </c>
      <c r="D438" s="6" t="s">
        <v>22</v>
      </c>
      <c r="E438" s="6" t="s">
        <v>409</v>
      </c>
      <c r="F438" s="6" t="s">
        <v>409</v>
      </c>
      <c r="H438" s="8"/>
      <c r="I438" s="8"/>
      <c r="J438" s="9" t="e">
        <f>+VLOOKUP(K438,Datos!$A:$C,3,FALSE)</f>
        <v>#N/A</v>
      </c>
      <c r="L438" s="9" t="e">
        <f>+VLOOKUP(K438,Datos!$A:$C,2,FALSE)</f>
        <v>#N/A</v>
      </c>
      <c r="N438" s="9" t="e">
        <f>+VLOOKUP(M438,Datos!$F:$G,2,FALSE)</f>
        <v>#N/A</v>
      </c>
      <c r="O438" s="10">
        <f>IFERROR(IF(A438="SI",VLOOKUP(R438,Datos!$J$1:$K$50,2,FALSE)*C438,VLOOKUP(R438,Datos!$P$1:$T$50,2,FALSE)*C438),0)</f>
        <v>0</v>
      </c>
      <c r="P438" s="6"/>
      <c r="Q438" s="9" t="e">
        <f>+VLOOKUP(P438,Datos!$F:$G,2,FALSE)</f>
        <v>#N/A</v>
      </c>
      <c r="T438" s="6">
        <f t="shared" si="7"/>
        <v>0</v>
      </c>
    </row>
    <row r="439" spans="1:20" x14ac:dyDescent="0.35">
      <c r="A439" s="6" t="s">
        <v>20</v>
      </c>
      <c r="D439" s="6" t="s">
        <v>22</v>
      </c>
      <c r="E439" s="6" t="s">
        <v>409</v>
      </c>
      <c r="F439" s="6" t="s">
        <v>409</v>
      </c>
      <c r="H439" s="8"/>
      <c r="I439" s="8"/>
      <c r="J439" s="9" t="e">
        <f>+VLOOKUP(K439,Datos!$A:$C,3,FALSE)</f>
        <v>#N/A</v>
      </c>
      <c r="L439" s="9" t="e">
        <f>+VLOOKUP(K439,Datos!$A:$C,2,FALSE)</f>
        <v>#N/A</v>
      </c>
      <c r="N439" s="9" t="e">
        <f>+VLOOKUP(M439,Datos!$F:$G,2,FALSE)</f>
        <v>#N/A</v>
      </c>
      <c r="O439" s="10">
        <f>IFERROR(IF(A439="SI",VLOOKUP(R439,Datos!$J$1:$K$50,2,FALSE)*C439,VLOOKUP(R439,Datos!$P$1:$T$50,2,FALSE)*C439),0)</f>
        <v>0</v>
      </c>
      <c r="P439" s="6"/>
      <c r="Q439" s="9" t="e">
        <f>+VLOOKUP(P439,Datos!$F:$G,2,FALSE)</f>
        <v>#N/A</v>
      </c>
      <c r="T439" s="6">
        <f t="shared" si="7"/>
        <v>0</v>
      </c>
    </row>
    <row r="440" spans="1:20" x14ac:dyDescent="0.35">
      <c r="A440" s="6" t="s">
        <v>20</v>
      </c>
      <c r="D440" s="6" t="s">
        <v>22</v>
      </c>
      <c r="E440" s="6" t="s">
        <v>409</v>
      </c>
      <c r="F440" s="6" t="s">
        <v>409</v>
      </c>
      <c r="H440" s="8"/>
      <c r="I440" s="8"/>
      <c r="J440" s="9" t="e">
        <f>+VLOOKUP(K440,Datos!$A:$C,3,FALSE)</f>
        <v>#N/A</v>
      </c>
      <c r="L440" s="9" t="e">
        <f>+VLOOKUP(K440,Datos!$A:$C,2,FALSE)</f>
        <v>#N/A</v>
      </c>
      <c r="N440" s="9" t="e">
        <f>+VLOOKUP(M440,Datos!$F:$G,2,FALSE)</f>
        <v>#N/A</v>
      </c>
      <c r="O440" s="10">
        <f>IFERROR(IF(A440="SI",VLOOKUP(R440,Datos!$J$1:$K$50,2,FALSE)*C440,VLOOKUP(R440,Datos!$P$1:$T$50,2,FALSE)*C440),0)</f>
        <v>0</v>
      </c>
      <c r="P440" s="6"/>
      <c r="Q440" s="9" t="e">
        <f>+VLOOKUP(P440,Datos!$F:$G,2,FALSE)</f>
        <v>#N/A</v>
      </c>
      <c r="T440" s="6">
        <f t="shared" si="7"/>
        <v>0</v>
      </c>
    </row>
    <row r="441" spans="1:20" x14ac:dyDescent="0.35">
      <c r="A441" s="6" t="s">
        <v>20</v>
      </c>
      <c r="D441" s="6" t="s">
        <v>22</v>
      </c>
      <c r="E441" s="6" t="s">
        <v>409</v>
      </c>
      <c r="F441" s="6" t="s">
        <v>409</v>
      </c>
      <c r="H441" s="8"/>
      <c r="I441" s="8"/>
      <c r="J441" s="9" t="e">
        <f>+VLOOKUP(K441,Datos!$A:$C,3,FALSE)</f>
        <v>#N/A</v>
      </c>
      <c r="L441" s="9" t="e">
        <f>+VLOOKUP(K441,Datos!$A:$C,2,FALSE)</f>
        <v>#N/A</v>
      </c>
      <c r="N441" s="9" t="e">
        <f>+VLOOKUP(M441,Datos!$F:$G,2,FALSE)</f>
        <v>#N/A</v>
      </c>
      <c r="O441" s="10">
        <f>IFERROR(IF(A441="SI",VLOOKUP(R441,Datos!$J$1:$K$50,2,FALSE)*C441,VLOOKUP(R441,Datos!$P$1:$T$50,2,FALSE)*C441),0)</f>
        <v>0</v>
      </c>
      <c r="P441" s="6"/>
      <c r="Q441" s="9" t="e">
        <f>+VLOOKUP(P441,Datos!$F:$G,2,FALSE)</f>
        <v>#N/A</v>
      </c>
      <c r="T441" s="6">
        <f t="shared" si="7"/>
        <v>0</v>
      </c>
    </row>
    <row r="442" spans="1:20" x14ac:dyDescent="0.35">
      <c r="A442" s="6" t="s">
        <v>20</v>
      </c>
      <c r="D442" s="6" t="s">
        <v>22</v>
      </c>
      <c r="E442" s="6" t="s">
        <v>409</v>
      </c>
      <c r="F442" s="6" t="s">
        <v>409</v>
      </c>
      <c r="H442" s="8"/>
      <c r="I442" s="8"/>
      <c r="J442" s="9" t="e">
        <f>+VLOOKUP(K442,Datos!$A:$C,3,FALSE)</f>
        <v>#N/A</v>
      </c>
      <c r="L442" s="9" t="e">
        <f>+VLOOKUP(K442,Datos!$A:$C,2,FALSE)</f>
        <v>#N/A</v>
      </c>
      <c r="N442" s="9" t="e">
        <f>+VLOOKUP(M442,Datos!$F:$G,2,FALSE)</f>
        <v>#N/A</v>
      </c>
      <c r="O442" s="10">
        <f>IFERROR(IF(A442="SI",VLOOKUP(R442,Datos!$J$1:$K$50,2,FALSE)*C442,VLOOKUP(R442,Datos!$P$1:$T$50,2,FALSE)*C442),0)</f>
        <v>0</v>
      </c>
      <c r="P442" s="6"/>
      <c r="Q442" s="9" t="e">
        <f>+VLOOKUP(P442,Datos!$F:$G,2,FALSE)</f>
        <v>#N/A</v>
      </c>
      <c r="T442" s="6">
        <f t="shared" si="7"/>
        <v>0</v>
      </c>
    </row>
    <row r="443" spans="1:20" x14ac:dyDescent="0.35">
      <c r="A443" s="6" t="s">
        <v>20</v>
      </c>
      <c r="D443" s="6" t="s">
        <v>22</v>
      </c>
      <c r="E443" s="6" t="s">
        <v>409</v>
      </c>
      <c r="F443" s="6" t="s">
        <v>409</v>
      </c>
      <c r="H443" s="8"/>
      <c r="I443" s="8"/>
      <c r="J443" s="9" t="e">
        <f>+VLOOKUP(K443,Datos!$A:$C,3,FALSE)</f>
        <v>#N/A</v>
      </c>
      <c r="L443" s="9" t="e">
        <f>+VLOOKUP(K443,Datos!$A:$C,2,FALSE)</f>
        <v>#N/A</v>
      </c>
      <c r="N443" s="9" t="e">
        <f>+VLOOKUP(M443,Datos!$F:$G,2,FALSE)</f>
        <v>#N/A</v>
      </c>
      <c r="O443" s="10">
        <f>IFERROR(IF(A443="SI",VLOOKUP(R443,Datos!$J$1:$K$50,2,FALSE)*C443,VLOOKUP(R443,Datos!$P$1:$T$50,2,FALSE)*C443),0)</f>
        <v>0</v>
      </c>
      <c r="P443" s="6"/>
      <c r="Q443" s="9" t="e">
        <f>+VLOOKUP(P443,Datos!$F:$G,2,FALSE)</f>
        <v>#N/A</v>
      </c>
      <c r="T443" s="6">
        <f t="shared" si="7"/>
        <v>0</v>
      </c>
    </row>
    <row r="444" spans="1:20" x14ac:dyDescent="0.35">
      <c r="A444" s="6" t="s">
        <v>20</v>
      </c>
      <c r="D444" s="6" t="s">
        <v>22</v>
      </c>
      <c r="E444" s="6" t="s">
        <v>409</v>
      </c>
      <c r="F444" s="6" t="s">
        <v>409</v>
      </c>
      <c r="H444" s="8"/>
      <c r="I444" s="8"/>
      <c r="J444" s="9" t="e">
        <f>+VLOOKUP(K444,Datos!$A:$C,3,FALSE)</f>
        <v>#N/A</v>
      </c>
      <c r="L444" s="9" t="e">
        <f>+VLOOKUP(K444,Datos!$A:$C,2,FALSE)</f>
        <v>#N/A</v>
      </c>
      <c r="N444" s="9" t="e">
        <f>+VLOOKUP(M444,Datos!$F:$G,2,FALSE)</f>
        <v>#N/A</v>
      </c>
      <c r="O444" s="10">
        <f>IFERROR(IF(A444="SI",VLOOKUP(R444,Datos!$J$1:$K$50,2,FALSE)*C444,VLOOKUP(R444,Datos!$P$1:$T$50,2,FALSE)*C444),0)</f>
        <v>0</v>
      </c>
      <c r="P444" s="6"/>
      <c r="Q444" s="9" t="e">
        <f>+VLOOKUP(P444,Datos!$F:$G,2,FALSE)</f>
        <v>#N/A</v>
      </c>
      <c r="T444" s="6">
        <f t="shared" si="7"/>
        <v>0</v>
      </c>
    </row>
    <row r="445" spans="1:20" x14ac:dyDescent="0.35">
      <c r="A445" s="6" t="s">
        <v>20</v>
      </c>
      <c r="D445" s="6" t="s">
        <v>22</v>
      </c>
      <c r="E445" s="6" t="s">
        <v>409</v>
      </c>
      <c r="F445" s="6" t="s">
        <v>409</v>
      </c>
      <c r="H445" s="8"/>
      <c r="I445" s="8"/>
      <c r="J445" s="9" t="e">
        <f>+VLOOKUP(K445,Datos!$A:$C,3,FALSE)</f>
        <v>#N/A</v>
      </c>
      <c r="L445" s="9" t="e">
        <f>+VLOOKUP(K445,Datos!$A:$C,2,FALSE)</f>
        <v>#N/A</v>
      </c>
      <c r="N445" s="9" t="e">
        <f>+VLOOKUP(M445,Datos!$F:$G,2,FALSE)</f>
        <v>#N/A</v>
      </c>
      <c r="O445" s="10">
        <f>IFERROR(IF(A445="SI",VLOOKUP(R445,Datos!$J$1:$K$50,2,FALSE)*C445,VLOOKUP(R445,Datos!$P$1:$T$50,2,FALSE)*C445),0)</f>
        <v>0</v>
      </c>
      <c r="P445" s="6"/>
      <c r="Q445" s="9" t="e">
        <f>+VLOOKUP(P445,Datos!$F:$G,2,FALSE)</f>
        <v>#N/A</v>
      </c>
      <c r="T445" s="6">
        <f t="shared" si="7"/>
        <v>0</v>
      </c>
    </row>
    <row r="446" spans="1:20" x14ac:dyDescent="0.35">
      <c r="A446" s="6" t="s">
        <v>20</v>
      </c>
      <c r="D446" s="6" t="s">
        <v>22</v>
      </c>
      <c r="E446" s="6" t="s">
        <v>409</v>
      </c>
      <c r="F446" s="6" t="s">
        <v>409</v>
      </c>
      <c r="H446" s="8"/>
      <c r="I446" s="8"/>
      <c r="J446" s="9" t="e">
        <f>+VLOOKUP(K446,Datos!$A:$C,3,FALSE)</f>
        <v>#N/A</v>
      </c>
      <c r="L446" s="9" t="e">
        <f>+VLOOKUP(K446,Datos!$A:$C,2,FALSE)</f>
        <v>#N/A</v>
      </c>
      <c r="N446" s="9" t="e">
        <f>+VLOOKUP(M446,Datos!$F:$G,2,FALSE)</f>
        <v>#N/A</v>
      </c>
      <c r="O446" s="10">
        <f>IFERROR(IF(A446="SI",VLOOKUP(R446,Datos!$J$1:$K$50,2,FALSE)*C446,VLOOKUP(R446,Datos!$P$1:$T$50,2,FALSE)*C446),0)</f>
        <v>0</v>
      </c>
      <c r="P446" s="6"/>
      <c r="Q446" s="9" t="e">
        <f>+VLOOKUP(P446,Datos!$F:$G,2,FALSE)</f>
        <v>#N/A</v>
      </c>
      <c r="T446" s="6">
        <f t="shared" si="7"/>
        <v>0</v>
      </c>
    </row>
    <row r="447" spans="1:20" x14ac:dyDescent="0.35">
      <c r="A447" s="6" t="s">
        <v>20</v>
      </c>
      <c r="D447" s="6" t="s">
        <v>22</v>
      </c>
      <c r="E447" s="6" t="s">
        <v>409</v>
      </c>
      <c r="F447" s="6" t="s">
        <v>409</v>
      </c>
      <c r="H447" s="8"/>
      <c r="I447" s="8"/>
      <c r="J447" s="9" t="e">
        <f>+VLOOKUP(K447,Datos!$A:$C,3,FALSE)</f>
        <v>#N/A</v>
      </c>
      <c r="L447" s="9" t="e">
        <f>+VLOOKUP(K447,Datos!$A:$C,2,FALSE)</f>
        <v>#N/A</v>
      </c>
      <c r="N447" s="9" t="e">
        <f>+VLOOKUP(M447,Datos!$F:$G,2,FALSE)</f>
        <v>#N/A</v>
      </c>
      <c r="O447" s="10">
        <f>IFERROR(IF(A447="SI",VLOOKUP(R447,Datos!$J$1:$K$50,2,FALSE)*C447,VLOOKUP(R447,Datos!$P$1:$T$50,2,FALSE)*C447),0)</f>
        <v>0</v>
      </c>
      <c r="P447" s="6"/>
      <c r="Q447" s="9" t="e">
        <f>+VLOOKUP(P447,Datos!$F:$G,2,FALSE)</f>
        <v>#N/A</v>
      </c>
      <c r="T447" s="6">
        <f t="shared" si="7"/>
        <v>0</v>
      </c>
    </row>
    <row r="448" spans="1:20" x14ac:dyDescent="0.35">
      <c r="A448" s="6" t="s">
        <v>20</v>
      </c>
      <c r="D448" s="6" t="s">
        <v>22</v>
      </c>
      <c r="E448" s="6" t="s">
        <v>409</v>
      </c>
      <c r="F448" s="6" t="s">
        <v>409</v>
      </c>
      <c r="H448" s="8"/>
      <c r="I448" s="8"/>
      <c r="J448" s="9" t="e">
        <f>+VLOOKUP(K448,Datos!$A:$C,3,FALSE)</f>
        <v>#N/A</v>
      </c>
      <c r="L448" s="9" t="e">
        <f>+VLOOKUP(K448,Datos!$A:$C,2,FALSE)</f>
        <v>#N/A</v>
      </c>
      <c r="N448" s="9" t="e">
        <f>+VLOOKUP(M448,Datos!$F:$G,2,FALSE)</f>
        <v>#N/A</v>
      </c>
      <c r="O448" s="10">
        <f>IFERROR(IF(A448="SI",VLOOKUP(R448,Datos!$J$1:$K$50,2,FALSE)*C448,VLOOKUP(R448,Datos!$P$1:$T$50,2,FALSE)*C448),0)</f>
        <v>0</v>
      </c>
      <c r="P448" s="6"/>
      <c r="Q448" s="9" t="e">
        <f>+VLOOKUP(P448,Datos!$F:$G,2,FALSE)</f>
        <v>#N/A</v>
      </c>
      <c r="T448" s="6">
        <f t="shared" si="7"/>
        <v>0</v>
      </c>
    </row>
    <row r="449" spans="1:20" x14ac:dyDescent="0.35">
      <c r="A449" s="6" t="s">
        <v>20</v>
      </c>
      <c r="D449" s="6" t="s">
        <v>22</v>
      </c>
      <c r="E449" s="6" t="s">
        <v>409</v>
      </c>
      <c r="F449" s="6" t="s">
        <v>409</v>
      </c>
      <c r="H449" s="8"/>
      <c r="I449" s="8"/>
      <c r="J449" s="9" t="e">
        <f>+VLOOKUP(K449,Datos!$A:$C,3,FALSE)</f>
        <v>#N/A</v>
      </c>
      <c r="L449" s="9" t="e">
        <f>+VLOOKUP(K449,Datos!$A:$C,2,FALSE)</f>
        <v>#N/A</v>
      </c>
      <c r="N449" s="9" t="e">
        <f>+VLOOKUP(M449,Datos!$F:$G,2,FALSE)</f>
        <v>#N/A</v>
      </c>
      <c r="O449" s="10">
        <f>IFERROR(IF(A449="SI",VLOOKUP(R449,Datos!$J$1:$K$50,2,FALSE)*C449,VLOOKUP(R449,Datos!$P$1:$T$50,2,FALSE)*C449),0)</f>
        <v>0</v>
      </c>
      <c r="P449" s="6"/>
      <c r="Q449" s="9" t="e">
        <f>+VLOOKUP(P449,Datos!$F:$G,2,FALSE)</f>
        <v>#N/A</v>
      </c>
      <c r="T449" s="6">
        <f t="shared" si="7"/>
        <v>0</v>
      </c>
    </row>
    <row r="450" spans="1:20" x14ac:dyDescent="0.35">
      <c r="A450" s="6" t="s">
        <v>20</v>
      </c>
      <c r="D450" s="6" t="s">
        <v>22</v>
      </c>
      <c r="E450" s="6" t="s">
        <v>409</v>
      </c>
      <c r="F450" s="6" t="s">
        <v>409</v>
      </c>
      <c r="H450" s="8"/>
      <c r="I450" s="8"/>
      <c r="J450" s="9" t="e">
        <f>+VLOOKUP(K450,Datos!$A:$C,3,FALSE)</f>
        <v>#N/A</v>
      </c>
      <c r="L450" s="9" t="e">
        <f>+VLOOKUP(K450,Datos!$A:$C,2,FALSE)</f>
        <v>#N/A</v>
      </c>
      <c r="N450" s="9" t="e">
        <f>+VLOOKUP(M450,Datos!$F:$G,2,FALSE)</f>
        <v>#N/A</v>
      </c>
      <c r="O450" s="10">
        <f>IFERROR(IF(A450="SI",VLOOKUP(R450,Datos!$J$1:$K$50,2,FALSE)*C450,VLOOKUP(R450,Datos!$P$1:$T$50,2,FALSE)*C450),0)</f>
        <v>0</v>
      </c>
      <c r="P450" s="6"/>
      <c r="Q450" s="9" t="e">
        <f>+VLOOKUP(P450,Datos!$F:$G,2,FALSE)</f>
        <v>#N/A</v>
      </c>
      <c r="T450" s="6">
        <f t="shared" si="7"/>
        <v>0</v>
      </c>
    </row>
    <row r="451" spans="1:20" x14ac:dyDescent="0.35">
      <c r="A451" s="6" t="s">
        <v>20</v>
      </c>
      <c r="D451" s="6" t="s">
        <v>22</v>
      </c>
      <c r="E451" s="6" t="s">
        <v>409</v>
      </c>
      <c r="F451" s="6" t="s">
        <v>409</v>
      </c>
      <c r="H451" s="8"/>
      <c r="I451" s="8"/>
      <c r="J451" s="9" t="e">
        <f>+VLOOKUP(K451,Datos!$A:$C,3,FALSE)</f>
        <v>#N/A</v>
      </c>
      <c r="L451" s="9" t="e">
        <f>+VLOOKUP(K451,Datos!$A:$C,2,FALSE)</f>
        <v>#N/A</v>
      </c>
      <c r="N451" s="9" t="e">
        <f>+VLOOKUP(M451,Datos!$F:$G,2,FALSE)</f>
        <v>#N/A</v>
      </c>
      <c r="O451" s="10">
        <f>IFERROR(IF(A451="SI",VLOOKUP(R451,Datos!$J$1:$K$50,2,FALSE)*C451,VLOOKUP(R451,Datos!$P$1:$T$50,2,FALSE)*C451),0)</f>
        <v>0</v>
      </c>
      <c r="P451" s="6"/>
      <c r="Q451" s="9" t="e">
        <f>+VLOOKUP(P451,Datos!$F:$G,2,FALSE)</f>
        <v>#N/A</v>
      </c>
      <c r="T451" s="6">
        <f t="shared" si="7"/>
        <v>0</v>
      </c>
    </row>
    <row r="452" spans="1:20" x14ac:dyDescent="0.35">
      <c r="A452" s="6" t="s">
        <v>20</v>
      </c>
      <c r="D452" s="6" t="s">
        <v>22</v>
      </c>
      <c r="E452" s="6" t="s">
        <v>409</v>
      </c>
      <c r="F452" s="6" t="s">
        <v>409</v>
      </c>
      <c r="H452" s="8"/>
      <c r="I452" s="8"/>
      <c r="J452" s="9" t="e">
        <f>+VLOOKUP(K452,Datos!$A:$C,3,FALSE)</f>
        <v>#N/A</v>
      </c>
      <c r="L452" s="9" t="e">
        <f>+VLOOKUP(K452,Datos!$A:$C,2,FALSE)</f>
        <v>#N/A</v>
      </c>
      <c r="N452" s="9" t="e">
        <f>+VLOOKUP(M452,Datos!$F:$G,2,FALSE)</f>
        <v>#N/A</v>
      </c>
      <c r="O452" s="10">
        <f>IFERROR(IF(A452="SI",VLOOKUP(R452,Datos!$J$1:$K$50,2,FALSE)*C452,VLOOKUP(R452,Datos!$P$1:$T$50,2,FALSE)*C452),0)</f>
        <v>0</v>
      </c>
      <c r="P452" s="6"/>
      <c r="Q452" s="9" t="e">
        <f>+VLOOKUP(P452,Datos!$F:$G,2,FALSE)</f>
        <v>#N/A</v>
      </c>
      <c r="T452" s="6">
        <f t="shared" si="7"/>
        <v>0</v>
      </c>
    </row>
    <row r="453" spans="1:20" x14ac:dyDescent="0.35">
      <c r="A453" s="6" t="s">
        <v>20</v>
      </c>
      <c r="D453" s="6" t="s">
        <v>22</v>
      </c>
      <c r="E453" s="6" t="s">
        <v>409</v>
      </c>
      <c r="F453" s="6" t="s">
        <v>409</v>
      </c>
      <c r="H453" s="8"/>
      <c r="I453" s="8"/>
      <c r="J453" s="9" t="e">
        <f>+VLOOKUP(K453,Datos!$A:$C,3,FALSE)</f>
        <v>#N/A</v>
      </c>
      <c r="L453" s="9" t="e">
        <f>+VLOOKUP(K453,Datos!$A:$C,2,FALSE)</f>
        <v>#N/A</v>
      </c>
      <c r="N453" s="9" t="e">
        <f>+VLOOKUP(M453,Datos!$F:$G,2,FALSE)</f>
        <v>#N/A</v>
      </c>
      <c r="O453" s="10">
        <f>IFERROR(IF(A453="SI",VLOOKUP(R453,Datos!$J$1:$K$50,2,FALSE)*C453,VLOOKUP(R453,Datos!$P$1:$T$50,2,FALSE)*C453),0)</f>
        <v>0</v>
      </c>
      <c r="P453" s="6"/>
      <c r="Q453" s="9" t="e">
        <f>+VLOOKUP(P453,Datos!$F:$G,2,FALSE)</f>
        <v>#N/A</v>
      </c>
      <c r="T453" s="6">
        <f t="shared" si="7"/>
        <v>0</v>
      </c>
    </row>
    <row r="454" spans="1:20" x14ac:dyDescent="0.35">
      <c r="A454" s="6" t="s">
        <v>20</v>
      </c>
      <c r="D454" s="6" t="s">
        <v>22</v>
      </c>
      <c r="E454" s="6" t="s">
        <v>409</v>
      </c>
      <c r="F454" s="6" t="s">
        <v>409</v>
      </c>
      <c r="H454" s="8"/>
      <c r="I454" s="8"/>
      <c r="J454" s="9" t="e">
        <f>+VLOOKUP(K454,Datos!$A:$C,3,FALSE)</f>
        <v>#N/A</v>
      </c>
      <c r="L454" s="9" t="e">
        <f>+VLOOKUP(K454,Datos!$A:$C,2,FALSE)</f>
        <v>#N/A</v>
      </c>
      <c r="N454" s="9" t="e">
        <f>+VLOOKUP(M454,Datos!$F:$G,2,FALSE)</f>
        <v>#N/A</v>
      </c>
      <c r="O454" s="10">
        <f>IFERROR(IF(A454="SI",VLOOKUP(R454,Datos!$J$1:$K$50,2,FALSE)*C454,VLOOKUP(R454,Datos!$P$1:$T$50,2,FALSE)*C454),0)</f>
        <v>0</v>
      </c>
      <c r="P454" s="6"/>
      <c r="Q454" s="9" t="e">
        <f>+VLOOKUP(P454,Datos!$F:$G,2,FALSE)</f>
        <v>#N/A</v>
      </c>
      <c r="T454" s="6">
        <f t="shared" si="7"/>
        <v>0</v>
      </c>
    </row>
    <row r="455" spans="1:20" x14ac:dyDescent="0.35">
      <c r="A455" s="6" t="s">
        <v>20</v>
      </c>
      <c r="D455" s="6" t="s">
        <v>22</v>
      </c>
      <c r="E455" s="6" t="s">
        <v>409</v>
      </c>
      <c r="F455" s="6" t="s">
        <v>409</v>
      </c>
      <c r="H455" s="8"/>
      <c r="I455" s="8"/>
      <c r="J455" s="9" t="e">
        <f>+VLOOKUP(K455,Datos!$A:$C,3,FALSE)</f>
        <v>#N/A</v>
      </c>
      <c r="L455" s="9" t="e">
        <f>+VLOOKUP(K455,Datos!$A:$C,2,FALSE)</f>
        <v>#N/A</v>
      </c>
      <c r="N455" s="9" t="e">
        <f>+VLOOKUP(M455,Datos!$F:$G,2,FALSE)</f>
        <v>#N/A</v>
      </c>
      <c r="O455" s="10">
        <f>IFERROR(IF(A455="SI",VLOOKUP(R455,Datos!$J$1:$K$50,2,FALSE)*C455,VLOOKUP(R455,Datos!$P$1:$T$50,2,FALSE)*C455),0)</f>
        <v>0</v>
      </c>
      <c r="P455" s="6"/>
      <c r="Q455" s="9" t="e">
        <f>+VLOOKUP(P455,Datos!$F:$G,2,FALSE)</f>
        <v>#N/A</v>
      </c>
      <c r="T455" s="6">
        <f t="shared" si="7"/>
        <v>0</v>
      </c>
    </row>
    <row r="456" spans="1:20" x14ac:dyDescent="0.35">
      <c r="A456" s="6" t="s">
        <v>20</v>
      </c>
      <c r="D456" s="6" t="s">
        <v>22</v>
      </c>
      <c r="E456" s="6" t="s">
        <v>409</v>
      </c>
      <c r="F456" s="6" t="s">
        <v>409</v>
      </c>
      <c r="H456" s="8"/>
      <c r="I456" s="8"/>
      <c r="J456" s="9" t="e">
        <f>+VLOOKUP(K456,Datos!$A:$C,3,FALSE)</f>
        <v>#N/A</v>
      </c>
      <c r="L456" s="9" t="e">
        <f>+VLOOKUP(K456,Datos!$A:$C,2,FALSE)</f>
        <v>#N/A</v>
      </c>
      <c r="N456" s="9" t="e">
        <f>+VLOOKUP(M456,Datos!$F:$G,2,FALSE)</f>
        <v>#N/A</v>
      </c>
      <c r="O456" s="10">
        <f>IFERROR(IF(A456="SI",VLOOKUP(R456,Datos!$J$1:$K$50,2,FALSE)*C456,VLOOKUP(R456,Datos!$P$1:$T$50,2,FALSE)*C456),0)</f>
        <v>0</v>
      </c>
      <c r="P456" s="6"/>
      <c r="Q456" s="9" t="e">
        <f>+VLOOKUP(P456,Datos!$F:$G,2,FALSE)</f>
        <v>#N/A</v>
      </c>
      <c r="T456" s="6">
        <f t="shared" si="7"/>
        <v>0</v>
      </c>
    </row>
    <row r="457" spans="1:20" x14ac:dyDescent="0.35">
      <c r="A457" s="6" t="s">
        <v>20</v>
      </c>
      <c r="D457" s="6" t="s">
        <v>22</v>
      </c>
      <c r="E457" s="6" t="s">
        <v>409</v>
      </c>
      <c r="F457" s="6" t="s">
        <v>409</v>
      </c>
      <c r="H457" s="8"/>
      <c r="I457" s="8"/>
      <c r="J457" s="9" t="e">
        <f>+VLOOKUP(K457,Datos!$A:$C,3,FALSE)</f>
        <v>#N/A</v>
      </c>
      <c r="L457" s="9" t="e">
        <f>+VLOOKUP(K457,Datos!$A:$C,2,FALSE)</f>
        <v>#N/A</v>
      </c>
      <c r="N457" s="9" t="e">
        <f>+VLOOKUP(M457,Datos!$F:$G,2,FALSE)</f>
        <v>#N/A</v>
      </c>
      <c r="O457" s="10">
        <f>IFERROR(IF(A457="SI",VLOOKUP(R457,Datos!$J$1:$K$50,2,FALSE)*C457,VLOOKUP(R457,Datos!$P$1:$T$50,2,FALSE)*C457),0)</f>
        <v>0</v>
      </c>
      <c r="P457" s="6"/>
      <c r="Q457" s="9" t="e">
        <f>+VLOOKUP(P457,Datos!$F:$G,2,FALSE)</f>
        <v>#N/A</v>
      </c>
      <c r="T457" s="6">
        <f t="shared" si="7"/>
        <v>0</v>
      </c>
    </row>
    <row r="458" spans="1:20" x14ac:dyDescent="0.35">
      <c r="A458" s="6" t="s">
        <v>20</v>
      </c>
      <c r="D458" s="6" t="s">
        <v>22</v>
      </c>
      <c r="E458" s="6" t="s">
        <v>409</v>
      </c>
      <c r="F458" s="6" t="s">
        <v>409</v>
      </c>
      <c r="H458" s="8"/>
      <c r="I458" s="8"/>
      <c r="J458" s="9" t="e">
        <f>+VLOOKUP(K458,Datos!$A:$C,3,FALSE)</f>
        <v>#N/A</v>
      </c>
      <c r="L458" s="9" t="e">
        <f>+VLOOKUP(K458,Datos!$A:$C,2,FALSE)</f>
        <v>#N/A</v>
      </c>
      <c r="N458" s="9" t="e">
        <f>+VLOOKUP(M458,Datos!$F:$G,2,FALSE)</f>
        <v>#N/A</v>
      </c>
      <c r="O458" s="10">
        <f>IFERROR(IF(A458="SI",VLOOKUP(R458,Datos!$J$1:$K$50,2,FALSE)*C458,VLOOKUP(R458,Datos!$P$1:$T$50,2,FALSE)*C458),0)</f>
        <v>0</v>
      </c>
      <c r="P458" s="6"/>
      <c r="Q458" s="9" t="e">
        <f>+VLOOKUP(P458,Datos!$F:$G,2,FALSE)</f>
        <v>#N/A</v>
      </c>
      <c r="T458" s="6">
        <f t="shared" si="7"/>
        <v>0</v>
      </c>
    </row>
    <row r="459" spans="1:20" x14ac:dyDescent="0.35">
      <c r="A459" s="6" t="s">
        <v>20</v>
      </c>
      <c r="D459" s="6" t="s">
        <v>22</v>
      </c>
      <c r="E459" s="6" t="s">
        <v>409</v>
      </c>
      <c r="F459" s="6" t="s">
        <v>409</v>
      </c>
      <c r="H459" s="8"/>
      <c r="I459" s="8"/>
      <c r="J459" s="9" t="e">
        <f>+VLOOKUP(K459,Datos!$A:$C,3,FALSE)</f>
        <v>#N/A</v>
      </c>
      <c r="L459" s="9" t="e">
        <f>+VLOOKUP(K459,Datos!$A:$C,2,FALSE)</f>
        <v>#N/A</v>
      </c>
      <c r="N459" s="9" t="e">
        <f>+VLOOKUP(M459,Datos!$F:$G,2,FALSE)</f>
        <v>#N/A</v>
      </c>
      <c r="O459" s="10">
        <f>IFERROR(IF(A459="SI",VLOOKUP(R459,Datos!$J$1:$K$50,2,FALSE)*C459,VLOOKUP(R459,Datos!$P$1:$T$50,2,FALSE)*C459),0)</f>
        <v>0</v>
      </c>
      <c r="P459" s="6"/>
      <c r="Q459" s="9" t="e">
        <f>+VLOOKUP(P459,Datos!$F:$G,2,FALSE)</f>
        <v>#N/A</v>
      </c>
      <c r="T459" s="6">
        <f t="shared" si="7"/>
        <v>0</v>
      </c>
    </row>
    <row r="460" spans="1:20" x14ac:dyDescent="0.35">
      <c r="A460" s="6" t="s">
        <v>20</v>
      </c>
      <c r="D460" s="6" t="s">
        <v>22</v>
      </c>
      <c r="E460" s="6" t="s">
        <v>409</v>
      </c>
      <c r="F460" s="6" t="s">
        <v>409</v>
      </c>
      <c r="H460" s="8"/>
      <c r="I460" s="8"/>
      <c r="J460" s="9" t="e">
        <f>+VLOOKUP(K460,Datos!$A:$C,3,FALSE)</f>
        <v>#N/A</v>
      </c>
      <c r="L460" s="9" t="e">
        <f>+VLOOKUP(K460,Datos!$A:$C,2,FALSE)</f>
        <v>#N/A</v>
      </c>
      <c r="N460" s="9" t="e">
        <f>+VLOOKUP(M460,Datos!$F:$G,2,FALSE)</f>
        <v>#N/A</v>
      </c>
      <c r="O460" s="10">
        <f>IFERROR(IF(A460="SI",VLOOKUP(R460,Datos!$J$1:$K$50,2,FALSE)*C460,VLOOKUP(R460,Datos!$P$1:$T$50,2,FALSE)*C460),0)</f>
        <v>0</v>
      </c>
      <c r="P460" s="6"/>
      <c r="Q460" s="9" t="e">
        <f>+VLOOKUP(P460,Datos!$F:$G,2,FALSE)</f>
        <v>#N/A</v>
      </c>
      <c r="T460" s="6">
        <f t="shared" si="7"/>
        <v>0</v>
      </c>
    </row>
    <row r="461" spans="1:20" x14ac:dyDescent="0.35">
      <c r="A461" s="6" t="s">
        <v>20</v>
      </c>
      <c r="D461" s="6" t="s">
        <v>22</v>
      </c>
      <c r="E461" s="6" t="s">
        <v>409</v>
      </c>
      <c r="F461" s="6" t="s">
        <v>409</v>
      </c>
      <c r="H461" s="8"/>
      <c r="I461" s="8"/>
      <c r="J461" s="9" t="e">
        <f>+VLOOKUP(K461,Datos!$A:$C,3,FALSE)</f>
        <v>#N/A</v>
      </c>
      <c r="L461" s="9" t="e">
        <f>+VLOOKUP(K461,Datos!$A:$C,2,FALSE)</f>
        <v>#N/A</v>
      </c>
      <c r="N461" s="9" t="e">
        <f>+VLOOKUP(M461,Datos!$F:$G,2,FALSE)</f>
        <v>#N/A</v>
      </c>
      <c r="O461" s="10">
        <f>IFERROR(IF(A461="SI",VLOOKUP(R461,Datos!$J$1:$K$50,2,FALSE)*C461,VLOOKUP(R461,Datos!$P$1:$T$50,2,FALSE)*C461),0)</f>
        <v>0</v>
      </c>
      <c r="P461" s="6"/>
      <c r="Q461" s="9" t="e">
        <f>+VLOOKUP(P461,Datos!$F:$G,2,FALSE)</f>
        <v>#N/A</v>
      </c>
      <c r="T461" s="6">
        <f t="shared" si="7"/>
        <v>0</v>
      </c>
    </row>
    <row r="462" spans="1:20" x14ac:dyDescent="0.35">
      <c r="A462" s="6" t="s">
        <v>20</v>
      </c>
      <c r="D462" s="6" t="s">
        <v>22</v>
      </c>
      <c r="E462" s="6" t="s">
        <v>409</v>
      </c>
      <c r="F462" s="6" t="s">
        <v>409</v>
      </c>
      <c r="H462" s="8"/>
      <c r="I462" s="8"/>
      <c r="J462" s="9" t="e">
        <f>+VLOOKUP(K462,Datos!$A:$C,3,FALSE)</f>
        <v>#N/A</v>
      </c>
      <c r="L462" s="9" t="e">
        <f>+VLOOKUP(K462,Datos!$A:$C,2,FALSE)</f>
        <v>#N/A</v>
      </c>
      <c r="N462" s="9" t="e">
        <f>+VLOOKUP(M462,Datos!$F:$G,2,FALSE)</f>
        <v>#N/A</v>
      </c>
      <c r="O462" s="10">
        <f>IFERROR(IF(A462="SI",VLOOKUP(R462,Datos!$J$1:$K$50,2,FALSE)*C462,VLOOKUP(R462,Datos!$P$1:$T$50,2,FALSE)*C462),0)</f>
        <v>0</v>
      </c>
      <c r="P462" s="6"/>
      <c r="Q462" s="9" t="e">
        <f>+VLOOKUP(P462,Datos!$F:$G,2,FALSE)</f>
        <v>#N/A</v>
      </c>
      <c r="T462" s="6">
        <f t="shared" si="7"/>
        <v>0</v>
      </c>
    </row>
    <row r="463" spans="1:20" x14ac:dyDescent="0.35">
      <c r="A463" s="6" t="s">
        <v>20</v>
      </c>
      <c r="D463" s="6" t="s">
        <v>22</v>
      </c>
      <c r="E463" s="6" t="s">
        <v>409</v>
      </c>
      <c r="F463" s="6" t="s">
        <v>409</v>
      </c>
      <c r="H463" s="8"/>
      <c r="I463" s="8"/>
      <c r="J463" s="9" t="e">
        <f>+VLOOKUP(K463,Datos!$A:$C,3,FALSE)</f>
        <v>#N/A</v>
      </c>
      <c r="L463" s="9" t="e">
        <f>+VLOOKUP(K463,Datos!$A:$C,2,FALSE)</f>
        <v>#N/A</v>
      </c>
      <c r="N463" s="9" t="e">
        <f>+VLOOKUP(M463,Datos!$F:$G,2,FALSE)</f>
        <v>#N/A</v>
      </c>
      <c r="O463" s="10">
        <f>IFERROR(IF(A463="SI",VLOOKUP(R463,Datos!$J$1:$K$50,2,FALSE)*C463,VLOOKUP(R463,Datos!$P$1:$T$50,2,FALSE)*C463),0)</f>
        <v>0</v>
      </c>
      <c r="P463" s="6"/>
      <c r="Q463" s="9" t="e">
        <f>+VLOOKUP(P463,Datos!$F:$G,2,FALSE)</f>
        <v>#N/A</v>
      </c>
      <c r="T463" s="6">
        <f t="shared" si="7"/>
        <v>0</v>
      </c>
    </row>
    <row r="464" spans="1:20" x14ac:dyDescent="0.35">
      <c r="A464" s="6" t="s">
        <v>20</v>
      </c>
      <c r="D464" s="6" t="s">
        <v>22</v>
      </c>
      <c r="E464" s="6" t="s">
        <v>409</v>
      </c>
      <c r="F464" s="6" t="s">
        <v>409</v>
      </c>
      <c r="H464" s="8"/>
      <c r="I464" s="8"/>
      <c r="J464" s="9" t="e">
        <f>+VLOOKUP(K464,Datos!$A:$C,3,FALSE)</f>
        <v>#N/A</v>
      </c>
      <c r="L464" s="9" t="e">
        <f>+VLOOKUP(K464,Datos!$A:$C,2,FALSE)</f>
        <v>#N/A</v>
      </c>
      <c r="N464" s="9" t="e">
        <f>+VLOOKUP(M464,Datos!$F:$G,2,FALSE)</f>
        <v>#N/A</v>
      </c>
      <c r="O464" s="10">
        <f>IFERROR(IF(A464="SI",VLOOKUP(R464,Datos!$J$1:$K$50,2,FALSE)*C464,VLOOKUP(R464,Datos!$P$1:$T$50,2,FALSE)*C464),0)</f>
        <v>0</v>
      </c>
      <c r="P464" s="6"/>
      <c r="Q464" s="9" t="e">
        <f>+VLOOKUP(P464,Datos!$F:$G,2,FALSE)</f>
        <v>#N/A</v>
      </c>
      <c r="T464" s="6">
        <f t="shared" si="7"/>
        <v>0</v>
      </c>
    </row>
    <row r="465" spans="1:20" x14ac:dyDescent="0.35">
      <c r="A465" s="6" t="s">
        <v>20</v>
      </c>
      <c r="D465" s="6" t="s">
        <v>22</v>
      </c>
      <c r="E465" s="6" t="s">
        <v>409</v>
      </c>
      <c r="F465" s="6" t="s">
        <v>409</v>
      </c>
      <c r="H465" s="8"/>
      <c r="I465" s="8"/>
      <c r="J465" s="9" t="e">
        <f>+VLOOKUP(K465,Datos!$A:$C,3,FALSE)</f>
        <v>#N/A</v>
      </c>
      <c r="L465" s="9" t="e">
        <f>+VLOOKUP(K465,Datos!$A:$C,2,FALSE)</f>
        <v>#N/A</v>
      </c>
      <c r="N465" s="9" t="e">
        <f>+VLOOKUP(M465,Datos!$F:$G,2,FALSE)</f>
        <v>#N/A</v>
      </c>
      <c r="O465" s="10">
        <f>IFERROR(IF(A465="SI",VLOOKUP(R465,Datos!$J$1:$K$50,2,FALSE)*C465,VLOOKUP(R465,Datos!$P$1:$T$50,2,FALSE)*C465),0)</f>
        <v>0</v>
      </c>
      <c r="P465" s="6"/>
      <c r="Q465" s="9" t="e">
        <f>+VLOOKUP(P465,Datos!$F:$G,2,FALSE)</f>
        <v>#N/A</v>
      </c>
      <c r="T465" s="6">
        <f t="shared" si="7"/>
        <v>0</v>
      </c>
    </row>
    <row r="466" spans="1:20" x14ac:dyDescent="0.35">
      <c r="A466" s="6" t="s">
        <v>20</v>
      </c>
      <c r="D466" s="6" t="s">
        <v>22</v>
      </c>
      <c r="E466" s="6" t="s">
        <v>409</v>
      </c>
      <c r="F466" s="6" t="s">
        <v>409</v>
      </c>
      <c r="H466" s="8"/>
      <c r="I466" s="8"/>
      <c r="J466" s="9" t="e">
        <f>+VLOOKUP(K466,Datos!$A:$C,3,FALSE)</f>
        <v>#N/A</v>
      </c>
      <c r="L466" s="9" t="e">
        <f>+VLOOKUP(K466,Datos!$A:$C,2,FALSE)</f>
        <v>#N/A</v>
      </c>
      <c r="N466" s="9" t="e">
        <f>+VLOOKUP(M466,Datos!$F:$G,2,FALSE)</f>
        <v>#N/A</v>
      </c>
      <c r="O466" s="10">
        <f>IFERROR(IF(A466="SI",VLOOKUP(R466,Datos!$J$1:$K$50,2,FALSE)*C466,VLOOKUP(R466,Datos!$P$1:$T$50,2,FALSE)*C466),0)</f>
        <v>0</v>
      </c>
      <c r="P466" s="6"/>
      <c r="Q466" s="9" t="e">
        <f>+VLOOKUP(P466,Datos!$F:$G,2,FALSE)</f>
        <v>#N/A</v>
      </c>
      <c r="T466" s="6">
        <f t="shared" si="7"/>
        <v>0</v>
      </c>
    </row>
    <row r="467" spans="1:20" x14ac:dyDescent="0.35">
      <c r="A467" s="6" t="s">
        <v>20</v>
      </c>
      <c r="D467" s="6" t="s">
        <v>22</v>
      </c>
      <c r="E467" s="6" t="s">
        <v>409</v>
      </c>
      <c r="F467" s="6" t="s">
        <v>409</v>
      </c>
      <c r="H467" s="8"/>
      <c r="I467" s="8"/>
      <c r="J467" s="9" t="e">
        <f>+VLOOKUP(K467,Datos!$A:$C,3,FALSE)</f>
        <v>#N/A</v>
      </c>
      <c r="L467" s="9" t="e">
        <f>+VLOOKUP(K467,Datos!$A:$C,2,FALSE)</f>
        <v>#N/A</v>
      </c>
      <c r="N467" s="9" t="e">
        <f>+VLOOKUP(M467,Datos!$F:$G,2,FALSE)</f>
        <v>#N/A</v>
      </c>
      <c r="O467" s="10">
        <f>IFERROR(IF(A467="SI",VLOOKUP(R467,Datos!$J$1:$K$50,2,FALSE)*C467,VLOOKUP(R467,Datos!$P$1:$T$50,2,FALSE)*C467),0)</f>
        <v>0</v>
      </c>
      <c r="P467" s="6"/>
      <c r="Q467" s="9" t="e">
        <f>+VLOOKUP(P467,Datos!$F:$G,2,FALSE)</f>
        <v>#N/A</v>
      </c>
      <c r="T467" s="6">
        <f t="shared" si="7"/>
        <v>0</v>
      </c>
    </row>
    <row r="468" spans="1:20" x14ac:dyDescent="0.35">
      <c r="A468" s="6" t="s">
        <v>20</v>
      </c>
      <c r="D468" s="6" t="s">
        <v>22</v>
      </c>
      <c r="E468" s="6" t="s">
        <v>409</v>
      </c>
      <c r="F468" s="6" t="s">
        <v>409</v>
      </c>
      <c r="H468" s="8"/>
      <c r="I468" s="8"/>
      <c r="J468" s="9" t="e">
        <f>+VLOOKUP(K468,Datos!$A:$C,3,FALSE)</f>
        <v>#N/A</v>
      </c>
      <c r="L468" s="9" t="e">
        <f>+VLOOKUP(K468,Datos!$A:$C,2,FALSE)</f>
        <v>#N/A</v>
      </c>
      <c r="N468" s="9" t="e">
        <f>+VLOOKUP(M468,Datos!$F:$G,2,FALSE)</f>
        <v>#N/A</v>
      </c>
      <c r="O468" s="10">
        <f>IFERROR(IF(A468="SI",VLOOKUP(R468,Datos!$J$1:$K$50,2,FALSE)*C468,VLOOKUP(R468,Datos!$P$1:$T$50,2,FALSE)*C468),0)</f>
        <v>0</v>
      </c>
      <c r="P468" s="6"/>
      <c r="Q468" s="9" t="e">
        <f>+VLOOKUP(P468,Datos!$F:$G,2,FALSE)</f>
        <v>#N/A</v>
      </c>
      <c r="T468" s="6">
        <f t="shared" si="7"/>
        <v>0</v>
      </c>
    </row>
    <row r="469" spans="1:20" x14ac:dyDescent="0.35">
      <c r="A469" s="6" t="s">
        <v>20</v>
      </c>
      <c r="D469" s="6" t="s">
        <v>22</v>
      </c>
      <c r="E469" s="6" t="s">
        <v>409</v>
      </c>
      <c r="F469" s="6" t="s">
        <v>409</v>
      </c>
      <c r="H469" s="8"/>
      <c r="I469" s="8"/>
      <c r="J469" s="9" t="e">
        <f>+VLOOKUP(K469,Datos!$A:$C,3,FALSE)</f>
        <v>#N/A</v>
      </c>
      <c r="L469" s="9" t="e">
        <f>+VLOOKUP(K469,Datos!$A:$C,2,FALSE)</f>
        <v>#N/A</v>
      </c>
      <c r="N469" s="9" t="e">
        <f>+VLOOKUP(M469,Datos!$F:$G,2,FALSE)</f>
        <v>#N/A</v>
      </c>
      <c r="O469" s="10">
        <f>IFERROR(IF(A469="SI",VLOOKUP(R469,Datos!$J$1:$K$50,2,FALSE)*C469,VLOOKUP(R469,Datos!$P$1:$T$50,2,FALSE)*C469),0)</f>
        <v>0</v>
      </c>
      <c r="P469" s="6"/>
      <c r="Q469" s="9" t="e">
        <f>+VLOOKUP(P469,Datos!$F:$G,2,FALSE)</f>
        <v>#N/A</v>
      </c>
      <c r="T469" s="6">
        <f t="shared" si="7"/>
        <v>0</v>
      </c>
    </row>
    <row r="470" spans="1:20" x14ac:dyDescent="0.35">
      <c r="A470" s="6" t="s">
        <v>20</v>
      </c>
      <c r="D470" s="6" t="s">
        <v>22</v>
      </c>
      <c r="E470" s="6" t="s">
        <v>409</v>
      </c>
      <c r="F470" s="6" t="s">
        <v>409</v>
      </c>
      <c r="H470" s="8"/>
      <c r="I470" s="8"/>
      <c r="J470" s="9" t="e">
        <f>+VLOOKUP(K470,Datos!$A:$C,3,FALSE)</f>
        <v>#N/A</v>
      </c>
      <c r="L470" s="9" t="e">
        <f>+VLOOKUP(K470,Datos!$A:$C,2,FALSE)</f>
        <v>#N/A</v>
      </c>
      <c r="N470" s="9" t="e">
        <f>+VLOOKUP(M470,Datos!$F:$G,2,FALSE)</f>
        <v>#N/A</v>
      </c>
      <c r="O470" s="10">
        <f>IFERROR(IF(A470="SI",VLOOKUP(R470,Datos!$J$1:$K$50,2,FALSE)*C470,VLOOKUP(R470,Datos!$P$1:$T$50,2,FALSE)*C470),0)</f>
        <v>0</v>
      </c>
      <c r="P470" s="6"/>
      <c r="Q470" s="9" t="e">
        <f>+VLOOKUP(P470,Datos!$F:$G,2,FALSE)</f>
        <v>#N/A</v>
      </c>
      <c r="T470" s="6">
        <f t="shared" si="7"/>
        <v>0</v>
      </c>
    </row>
    <row r="471" spans="1:20" x14ac:dyDescent="0.35">
      <c r="A471" s="6" t="s">
        <v>20</v>
      </c>
      <c r="D471" s="6" t="s">
        <v>22</v>
      </c>
      <c r="E471" s="6" t="s">
        <v>409</v>
      </c>
      <c r="F471" s="6" t="s">
        <v>409</v>
      </c>
      <c r="H471" s="8"/>
      <c r="I471" s="8"/>
      <c r="J471" s="9" t="e">
        <f>+VLOOKUP(K471,Datos!$A:$C,3,FALSE)</f>
        <v>#N/A</v>
      </c>
      <c r="L471" s="9" t="e">
        <f>+VLOOKUP(K471,Datos!$A:$C,2,FALSE)</f>
        <v>#N/A</v>
      </c>
      <c r="N471" s="9" t="e">
        <f>+VLOOKUP(M471,Datos!$F:$G,2,FALSE)</f>
        <v>#N/A</v>
      </c>
      <c r="O471" s="10">
        <f>IFERROR(IF(A471="SI",VLOOKUP(R471,Datos!$J$1:$K$50,2,FALSE)*C471,VLOOKUP(R471,Datos!$P$1:$T$50,2,FALSE)*C471),0)</f>
        <v>0</v>
      </c>
      <c r="P471" s="6"/>
      <c r="Q471" s="9" t="e">
        <f>+VLOOKUP(P471,Datos!$F:$G,2,FALSE)</f>
        <v>#N/A</v>
      </c>
      <c r="T471" s="6">
        <f t="shared" si="7"/>
        <v>0</v>
      </c>
    </row>
    <row r="472" spans="1:20" x14ac:dyDescent="0.35">
      <c r="A472" s="6" t="s">
        <v>20</v>
      </c>
      <c r="D472" s="6" t="s">
        <v>22</v>
      </c>
      <c r="E472" s="6" t="s">
        <v>409</v>
      </c>
      <c r="F472" s="6" t="s">
        <v>409</v>
      </c>
      <c r="H472" s="8"/>
      <c r="I472" s="8"/>
      <c r="J472" s="9" t="e">
        <f>+VLOOKUP(K472,Datos!$A:$C,3,FALSE)</f>
        <v>#N/A</v>
      </c>
      <c r="L472" s="9" t="e">
        <f>+VLOOKUP(K472,Datos!$A:$C,2,FALSE)</f>
        <v>#N/A</v>
      </c>
      <c r="N472" s="9" t="e">
        <f>+VLOOKUP(M472,Datos!$F:$G,2,FALSE)</f>
        <v>#N/A</v>
      </c>
      <c r="O472" s="10">
        <f>IFERROR(IF(A472="SI",VLOOKUP(R472,Datos!$J$1:$K$50,2,FALSE)*C472,VLOOKUP(R472,Datos!$P$1:$T$50,2,FALSE)*C472),0)</f>
        <v>0</v>
      </c>
      <c r="P472" s="6"/>
      <c r="Q472" s="9" t="e">
        <f>+VLOOKUP(P472,Datos!$F:$G,2,FALSE)</f>
        <v>#N/A</v>
      </c>
      <c r="T472" s="6">
        <f t="shared" si="7"/>
        <v>0</v>
      </c>
    </row>
    <row r="473" spans="1:20" x14ac:dyDescent="0.35">
      <c r="A473" s="6" t="s">
        <v>20</v>
      </c>
      <c r="D473" s="6" t="s">
        <v>22</v>
      </c>
      <c r="E473" s="6" t="s">
        <v>409</v>
      </c>
      <c r="F473" s="6" t="s">
        <v>409</v>
      </c>
      <c r="H473" s="8"/>
      <c r="I473" s="8"/>
      <c r="J473" s="9" t="e">
        <f>+VLOOKUP(K473,Datos!$A:$C,3,FALSE)</f>
        <v>#N/A</v>
      </c>
      <c r="L473" s="9" t="e">
        <f>+VLOOKUP(K473,Datos!$A:$C,2,FALSE)</f>
        <v>#N/A</v>
      </c>
      <c r="N473" s="9" t="e">
        <f>+VLOOKUP(M473,Datos!$F:$G,2,FALSE)</f>
        <v>#N/A</v>
      </c>
      <c r="O473" s="10">
        <f>IFERROR(IF(A473="SI",VLOOKUP(R473,Datos!$J$1:$K$50,2,FALSE)*C473,VLOOKUP(R473,Datos!$P$1:$T$50,2,FALSE)*C473),0)</f>
        <v>0</v>
      </c>
      <c r="P473" s="6"/>
      <c r="Q473" s="9" t="e">
        <f>+VLOOKUP(P473,Datos!$F:$G,2,FALSE)</f>
        <v>#N/A</v>
      </c>
      <c r="T473" s="6">
        <f t="shared" si="7"/>
        <v>0</v>
      </c>
    </row>
    <row r="474" spans="1:20" x14ac:dyDescent="0.35">
      <c r="A474" s="6" t="s">
        <v>20</v>
      </c>
      <c r="D474" s="6" t="s">
        <v>22</v>
      </c>
      <c r="E474" s="6" t="s">
        <v>409</v>
      </c>
      <c r="F474" s="6" t="s">
        <v>409</v>
      </c>
      <c r="H474" s="8"/>
      <c r="I474" s="8"/>
      <c r="J474" s="9" t="e">
        <f>+VLOOKUP(K474,Datos!$A:$C,3,FALSE)</f>
        <v>#N/A</v>
      </c>
      <c r="L474" s="9" t="e">
        <f>+VLOOKUP(K474,Datos!$A:$C,2,FALSE)</f>
        <v>#N/A</v>
      </c>
      <c r="N474" s="9" t="e">
        <f>+VLOOKUP(M474,Datos!$F:$G,2,FALSE)</f>
        <v>#N/A</v>
      </c>
      <c r="O474" s="10">
        <f>IFERROR(IF(A474="SI",VLOOKUP(R474,Datos!$J$1:$K$50,2,FALSE)*C474,VLOOKUP(R474,Datos!$P$1:$T$50,2,FALSE)*C474),0)</f>
        <v>0</v>
      </c>
      <c r="P474" s="6"/>
      <c r="Q474" s="9" t="e">
        <f>+VLOOKUP(P474,Datos!$F:$G,2,FALSE)</f>
        <v>#N/A</v>
      </c>
      <c r="T474" s="6">
        <f t="shared" si="7"/>
        <v>0</v>
      </c>
    </row>
    <row r="475" spans="1:20" x14ac:dyDescent="0.35">
      <c r="A475" s="6" t="s">
        <v>20</v>
      </c>
      <c r="D475" s="6" t="s">
        <v>22</v>
      </c>
      <c r="E475" s="6" t="s">
        <v>409</v>
      </c>
      <c r="F475" s="6" t="s">
        <v>409</v>
      </c>
      <c r="H475" s="8"/>
      <c r="I475" s="8"/>
      <c r="J475" s="9" t="e">
        <f>+VLOOKUP(K475,Datos!$A:$C,3,FALSE)</f>
        <v>#N/A</v>
      </c>
      <c r="L475" s="9" t="e">
        <f>+VLOOKUP(K475,Datos!$A:$C,2,FALSE)</f>
        <v>#N/A</v>
      </c>
      <c r="N475" s="9" t="e">
        <f>+VLOOKUP(M475,Datos!$F:$G,2,FALSE)</f>
        <v>#N/A</v>
      </c>
      <c r="O475" s="10">
        <f>IFERROR(IF(A475="SI",VLOOKUP(R475,Datos!$J$1:$K$50,2,FALSE)*C475,VLOOKUP(R475,Datos!$P$1:$T$50,2,FALSE)*C475),0)</f>
        <v>0</v>
      </c>
      <c r="P475" s="6"/>
      <c r="Q475" s="9" t="e">
        <f>+VLOOKUP(P475,Datos!$F:$G,2,FALSE)</f>
        <v>#N/A</v>
      </c>
      <c r="T475" s="6">
        <f t="shared" si="7"/>
        <v>0</v>
      </c>
    </row>
    <row r="476" spans="1:20" x14ac:dyDescent="0.35">
      <c r="A476" s="6" t="s">
        <v>20</v>
      </c>
      <c r="D476" s="6" t="s">
        <v>22</v>
      </c>
      <c r="E476" s="6" t="s">
        <v>409</v>
      </c>
      <c r="F476" s="6" t="s">
        <v>409</v>
      </c>
      <c r="H476" s="8"/>
      <c r="I476" s="8"/>
      <c r="J476" s="9" t="e">
        <f>+VLOOKUP(K476,Datos!$A:$C,3,FALSE)</f>
        <v>#N/A</v>
      </c>
      <c r="L476" s="9" t="e">
        <f>+VLOOKUP(K476,Datos!$A:$C,2,FALSE)</f>
        <v>#N/A</v>
      </c>
      <c r="N476" s="9" t="e">
        <f>+VLOOKUP(M476,Datos!$F:$G,2,FALSE)</f>
        <v>#N/A</v>
      </c>
      <c r="O476" s="10">
        <f>IFERROR(IF(A476="SI",VLOOKUP(R476,Datos!$J$1:$K$50,2,FALSE)*C476,VLOOKUP(R476,Datos!$P$1:$T$50,2,FALSE)*C476),0)</f>
        <v>0</v>
      </c>
      <c r="P476" s="6"/>
      <c r="Q476" s="9" t="e">
        <f>+VLOOKUP(P476,Datos!$F:$G,2,FALSE)</f>
        <v>#N/A</v>
      </c>
      <c r="T476" s="6">
        <f t="shared" si="7"/>
        <v>0</v>
      </c>
    </row>
    <row r="477" spans="1:20" x14ac:dyDescent="0.35">
      <c r="A477" s="6" t="s">
        <v>20</v>
      </c>
      <c r="D477" s="6" t="s">
        <v>22</v>
      </c>
      <c r="E477" s="6" t="s">
        <v>409</v>
      </c>
      <c r="F477" s="6" t="s">
        <v>409</v>
      </c>
      <c r="H477" s="8"/>
      <c r="I477" s="8"/>
      <c r="J477" s="9" t="e">
        <f>+VLOOKUP(K477,Datos!$A:$C,3,FALSE)</f>
        <v>#N/A</v>
      </c>
      <c r="L477" s="9" t="e">
        <f>+VLOOKUP(K477,Datos!$A:$C,2,FALSE)</f>
        <v>#N/A</v>
      </c>
      <c r="N477" s="9" t="e">
        <f>+VLOOKUP(M477,Datos!$F:$G,2,FALSE)</f>
        <v>#N/A</v>
      </c>
      <c r="O477" s="10">
        <f>IFERROR(IF(A477="SI",VLOOKUP(R477,Datos!$J$1:$K$50,2,FALSE)*C477,VLOOKUP(R477,Datos!$P$1:$T$50,2,FALSE)*C477),0)</f>
        <v>0</v>
      </c>
      <c r="P477" s="6"/>
      <c r="Q477" s="9" t="e">
        <f>+VLOOKUP(P477,Datos!$F:$G,2,FALSE)</f>
        <v>#N/A</v>
      </c>
      <c r="T477" s="6">
        <f t="shared" si="7"/>
        <v>0</v>
      </c>
    </row>
    <row r="478" spans="1:20" x14ac:dyDescent="0.35">
      <c r="A478" s="6" t="s">
        <v>20</v>
      </c>
      <c r="D478" s="6" t="s">
        <v>22</v>
      </c>
      <c r="E478" s="6" t="s">
        <v>409</v>
      </c>
      <c r="F478" s="6" t="s">
        <v>409</v>
      </c>
      <c r="H478" s="8"/>
      <c r="I478" s="8"/>
      <c r="J478" s="9" t="e">
        <f>+VLOOKUP(K478,Datos!$A:$C,3,FALSE)</f>
        <v>#N/A</v>
      </c>
      <c r="L478" s="9" t="e">
        <f>+VLOOKUP(K478,Datos!$A:$C,2,FALSE)</f>
        <v>#N/A</v>
      </c>
      <c r="N478" s="9" t="e">
        <f>+VLOOKUP(M478,Datos!$F:$G,2,FALSE)</f>
        <v>#N/A</v>
      </c>
      <c r="O478" s="10">
        <f>IFERROR(IF(A478="SI",VLOOKUP(R478,Datos!$J$1:$K$50,2,FALSE)*C478,VLOOKUP(R478,Datos!$P$1:$T$50,2,FALSE)*C478),0)</f>
        <v>0</v>
      </c>
      <c r="P478" s="6"/>
      <c r="Q478" s="9" t="e">
        <f>+VLOOKUP(P478,Datos!$F:$G,2,FALSE)</f>
        <v>#N/A</v>
      </c>
      <c r="T478" s="6">
        <f t="shared" si="7"/>
        <v>0</v>
      </c>
    </row>
    <row r="479" spans="1:20" x14ac:dyDescent="0.35">
      <c r="A479" s="6" t="s">
        <v>20</v>
      </c>
      <c r="D479" s="6" t="s">
        <v>22</v>
      </c>
      <c r="E479" s="6" t="s">
        <v>409</v>
      </c>
      <c r="F479" s="6" t="s">
        <v>409</v>
      </c>
      <c r="H479" s="8"/>
      <c r="I479" s="8"/>
      <c r="J479" s="9" t="e">
        <f>+VLOOKUP(K479,Datos!$A:$C,3,FALSE)</f>
        <v>#N/A</v>
      </c>
      <c r="L479" s="9" t="e">
        <f>+VLOOKUP(K479,Datos!$A:$C,2,FALSE)</f>
        <v>#N/A</v>
      </c>
      <c r="N479" s="9" t="e">
        <f>+VLOOKUP(M479,Datos!$F:$G,2,FALSE)</f>
        <v>#N/A</v>
      </c>
      <c r="O479" s="10">
        <f>IFERROR(IF(A479="SI",VLOOKUP(R479,Datos!$J$1:$K$50,2,FALSE)*C479,VLOOKUP(R479,Datos!$P$1:$T$50,2,FALSE)*C479),0)</f>
        <v>0</v>
      </c>
      <c r="P479" s="6"/>
      <c r="Q479" s="9" t="e">
        <f>+VLOOKUP(P479,Datos!$F:$G,2,FALSE)</f>
        <v>#N/A</v>
      </c>
      <c r="T479" s="6">
        <f t="shared" si="7"/>
        <v>0</v>
      </c>
    </row>
    <row r="480" spans="1:20" x14ac:dyDescent="0.35">
      <c r="A480" s="6" t="s">
        <v>20</v>
      </c>
      <c r="D480" s="6" t="s">
        <v>22</v>
      </c>
      <c r="E480" s="6" t="s">
        <v>409</v>
      </c>
      <c r="F480" s="6" t="s">
        <v>409</v>
      </c>
      <c r="H480" s="8"/>
      <c r="I480" s="8"/>
      <c r="J480" s="9" t="e">
        <f>+VLOOKUP(K480,Datos!$A:$C,3,FALSE)</f>
        <v>#N/A</v>
      </c>
      <c r="L480" s="9" t="e">
        <f>+VLOOKUP(K480,Datos!$A:$C,2,FALSE)</f>
        <v>#N/A</v>
      </c>
      <c r="N480" s="9" t="e">
        <f>+VLOOKUP(M480,Datos!$F:$G,2,FALSE)</f>
        <v>#N/A</v>
      </c>
      <c r="O480" s="10">
        <f>IFERROR(IF(A480="SI",VLOOKUP(R480,Datos!$J$1:$K$50,2,FALSE)*C480,VLOOKUP(R480,Datos!$P$1:$T$50,2,FALSE)*C480),0)</f>
        <v>0</v>
      </c>
      <c r="P480" s="6"/>
      <c r="Q480" s="9" t="e">
        <f>+VLOOKUP(P480,Datos!$F:$G,2,FALSE)</f>
        <v>#N/A</v>
      </c>
      <c r="T480" s="6">
        <f t="shared" si="7"/>
        <v>0</v>
      </c>
    </row>
    <row r="481" spans="1:20" x14ac:dyDescent="0.35">
      <c r="A481" s="6" t="s">
        <v>20</v>
      </c>
      <c r="D481" s="6" t="s">
        <v>22</v>
      </c>
      <c r="E481" s="6" t="s">
        <v>409</v>
      </c>
      <c r="F481" s="6" t="s">
        <v>409</v>
      </c>
      <c r="H481" s="8"/>
      <c r="I481" s="8"/>
      <c r="J481" s="9" t="e">
        <f>+VLOOKUP(K481,Datos!$A:$C,3,FALSE)</f>
        <v>#N/A</v>
      </c>
      <c r="L481" s="9" t="e">
        <f>+VLOOKUP(K481,Datos!$A:$C,2,FALSE)</f>
        <v>#N/A</v>
      </c>
      <c r="N481" s="9" t="e">
        <f>+VLOOKUP(M481,Datos!$F:$G,2,FALSE)</f>
        <v>#N/A</v>
      </c>
      <c r="O481" s="10">
        <f>IFERROR(IF(A481="SI",VLOOKUP(R481,Datos!$J$1:$K$50,2,FALSE)*C481,VLOOKUP(R481,Datos!$P$1:$T$50,2,FALSE)*C481),0)</f>
        <v>0</v>
      </c>
      <c r="P481" s="6"/>
      <c r="Q481" s="9" t="e">
        <f>+VLOOKUP(P481,Datos!$F:$G,2,FALSE)</f>
        <v>#N/A</v>
      </c>
      <c r="T481" s="6">
        <f t="shared" si="7"/>
        <v>0</v>
      </c>
    </row>
    <row r="482" spans="1:20" x14ac:dyDescent="0.35">
      <c r="A482" s="6" t="s">
        <v>20</v>
      </c>
      <c r="D482" s="6" t="s">
        <v>22</v>
      </c>
      <c r="E482" s="6" t="s">
        <v>409</v>
      </c>
      <c r="F482" s="6" t="s">
        <v>409</v>
      </c>
      <c r="H482" s="8"/>
      <c r="I482" s="8"/>
      <c r="J482" s="9" t="e">
        <f>+VLOOKUP(K482,Datos!$A:$C,3,FALSE)</f>
        <v>#N/A</v>
      </c>
      <c r="L482" s="9" t="e">
        <f>+VLOOKUP(K482,Datos!$A:$C,2,FALSE)</f>
        <v>#N/A</v>
      </c>
      <c r="N482" s="9" t="e">
        <f>+VLOOKUP(M482,Datos!$F:$G,2,FALSE)</f>
        <v>#N/A</v>
      </c>
      <c r="O482" s="10">
        <f>IFERROR(IF(A482="SI",VLOOKUP(R482,Datos!$J$1:$K$50,2,FALSE)*C482,VLOOKUP(R482,Datos!$P$1:$T$50,2,FALSE)*C482),0)</f>
        <v>0</v>
      </c>
      <c r="P482" s="6"/>
      <c r="Q482" s="9" t="e">
        <f>+VLOOKUP(P482,Datos!$F:$G,2,FALSE)</f>
        <v>#N/A</v>
      </c>
      <c r="T482" s="6">
        <f t="shared" si="7"/>
        <v>0</v>
      </c>
    </row>
    <row r="483" spans="1:20" x14ac:dyDescent="0.35">
      <c r="A483" s="6" t="s">
        <v>20</v>
      </c>
      <c r="D483" s="6" t="s">
        <v>22</v>
      </c>
      <c r="E483" s="6" t="s">
        <v>409</v>
      </c>
      <c r="F483" s="6" t="s">
        <v>409</v>
      </c>
      <c r="H483" s="8"/>
      <c r="I483" s="8"/>
      <c r="J483" s="9" t="e">
        <f>+VLOOKUP(K483,Datos!$A:$C,3,FALSE)</f>
        <v>#N/A</v>
      </c>
      <c r="L483" s="9" t="e">
        <f>+VLOOKUP(K483,Datos!$A:$C,2,FALSE)</f>
        <v>#N/A</v>
      </c>
      <c r="N483" s="9" t="e">
        <f>+VLOOKUP(M483,Datos!$F:$G,2,FALSE)</f>
        <v>#N/A</v>
      </c>
      <c r="O483" s="10">
        <f>IFERROR(IF(A483="SI",VLOOKUP(R483,Datos!$J$1:$K$50,2,FALSE)*C483,VLOOKUP(R483,Datos!$P$1:$T$50,2,FALSE)*C483),0)</f>
        <v>0</v>
      </c>
      <c r="P483" s="6"/>
      <c r="Q483" s="9" t="e">
        <f>+VLOOKUP(P483,Datos!$F:$G,2,FALSE)</f>
        <v>#N/A</v>
      </c>
      <c r="T483" s="6">
        <f t="shared" si="7"/>
        <v>0</v>
      </c>
    </row>
    <row r="484" spans="1:20" x14ac:dyDescent="0.35">
      <c r="A484" s="6" t="s">
        <v>20</v>
      </c>
      <c r="D484" s="6" t="s">
        <v>22</v>
      </c>
      <c r="E484" s="6" t="s">
        <v>409</v>
      </c>
      <c r="F484" s="6" t="s">
        <v>409</v>
      </c>
      <c r="H484" s="8"/>
      <c r="I484" s="8"/>
      <c r="J484" s="9" t="e">
        <f>+VLOOKUP(K484,Datos!$A:$C,3,FALSE)</f>
        <v>#N/A</v>
      </c>
      <c r="L484" s="9" t="e">
        <f>+VLOOKUP(K484,Datos!$A:$C,2,FALSE)</f>
        <v>#N/A</v>
      </c>
      <c r="N484" s="9" t="e">
        <f>+VLOOKUP(M484,Datos!$F:$G,2,FALSE)</f>
        <v>#N/A</v>
      </c>
      <c r="O484" s="10">
        <f>IFERROR(IF(A484="SI",VLOOKUP(R484,Datos!$J$1:$K$50,2,FALSE)*C484,VLOOKUP(R484,Datos!$P$1:$T$50,2,FALSE)*C484),0)</f>
        <v>0</v>
      </c>
      <c r="P484" s="6"/>
      <c r="Q484" s="9" t="e">
        <f>+VLOOKUP(P484,Datos!$F:$G,2,FALSE)</f>
        <v>#N/A</v>
      </c>
      <c r="T484" s="6">
        <f t="shared" si="7"/>
        <v>0</v>
      </c>
    </row>
    <row r="485" spans="1:20" x14ac:dyDescent="0.35">
      <c r="A485" s="6" t="s">
        <v>20</v>
      </c>
      <c r="D485" s="6" t="s">
        <v>22</v>
      </c>
      <c r="E485" s="6" t="s">
        <v>409</v>
      </c>
      <c r="F485" s="6" t="s">
        <v>409</v>
      </c>
      <c r="H485" s="8"/>
      <c r="I485" s="8"/>
      <c r="J485" s="9" t="e">
        <f>+VLOOKUP(K485,Datos!$A:$C,3,FALSE)</f>
        <v>#N/A</v>
      </c>
      <c r="L485" s="9" t="e">
        <f>+VLOOKUP(K485,Datos!$A:$C,2,FALSE)</f>
        <v>#N/A</v>
      </c>
      <c r="N485" s="9" t="e">
        <f>+VLOOKUP(M485,Datos!$F:$G,2,FALSE)</f>
        <v>#N/A</v>
      </c>
      <c r="O485" s="10">
        <f>IFERROR(IF(A485="SI",VLOOKUP(R485,Datos!$J$1:$K$50,2,FALSE)*C485,VLOOKUP(R485,Datos!$P$1:$T$50,2,FALSE)*C485),0)</f>
        <v>0</v>
      </c>
      <c r="P485" s="6"/>
      <c r="Q485" s="9" t="e">
        <f>+VLOOKUP(P485,Datos!$F:$G,2,FALSE)</f>
        <v>#N/A</v>
      </c>
      <c r="T485" s="6">
        <f t="shared" si="7"/>
        <v>0</v>
      </c>
    </row>
    <row r="486" spans="1:20" x14ac:dyDescent="0.35">
      <c r="A486" s="6" t="s">
        <v>20</v>
      </c>
      <c r="D486" s="6" t="s">
        <v>22</v>
      </c>
      <c r="E486" s="6" t="s">
        <v>409</v>
      </c>
      <c r="F486" s="6" t="s">
        <v>409</v>
      </c>
      <c r="H486" s="8"/>
      <c r="I486" s="8"/>
      <c r="J486" s="9" t="e">
        <f>+VLOOKUP(K486,Datos!$A:$C,3,FALSE)</f>
        <v>#N/A</v>
      </c>
      <c r="L486" s="9" t="e">
        <f>+VLOOKUP(K486,Datos!$A:$C,2,FALSE)</f>
        <v>#N/A</v>
      </c>
      <c r="N486" s="9" t="e">
        <f>+VLOOKUP(M486,Datos!$F:$G,2,FALSE)</f>
        <v>#N/A</v>
      </c>
      <c r="O486" s="10">
        <f>IFERROR(IF(A486="SI",VLOOKUP(R486,Datos!$J$1:$K$50,2,FALSE)*C486,VLOOKUP(R486,Datos!$P$1:$T$50,2,FALSE)*C486),0)</f>
        <v>0</v>
      </c>
      <c r="P486" s="6"/>
      <c r="Q486" s="9" t="e">
        <f>+VLOOKUP(P486,Datos!$F:$G,2,FALSE)</f>
        <v>#N/A</v>
      </c>
      <c r="T486" s="6">
        <f t="shared" si="7"/>
        <v>0</v>
      </c>
    </row>
    <row r="487" spans="1:20" x14ac:dyDescent="0.35">
      <c r="A487" s="6" t="s">
        <v>20</v>
      </c>
      <c r="D487" s="6" t="s">
        <v>22</v>
      </c>
      <c r="E487" s="6" t="s">
        <v>409</v>
      </c>
      <c r="F487" s="6" t="s">
        <v>409</v>
      </c>
      <c r="H487" s="8"/>
      <c r="I487" s="8"/>
      <c r="J487" s="9" t="e">
        <f>+VLOOKUP(K487,Datos!$A:$C,3,FALSE)</f>
        <v>#N/A</v>
      </c>
      <c r="L487" s="9" t="e">
        <f>+VLOOKUP(K487,Datos!$A:$C,2,FALSE)</f>
        <v>#N/A</v>
      </c>
      <c r="N487" s="9" t="e">
        <f>+VLOOKUP(M487,Datos!$F:$G,2,FALSE)</f>
        <v>#N/A</v>
      </c>
      <c r="O487" s="10">
        <f>IFERROR(IF(A487="SI",VLOOKUP(R487,Datos!$J$1:$K$50,2,FALSE)*C487,VLOOKUP(R487,Datos!$P$1:$T$50,2,FALSE)*C487),0)</f>
        <v>0</v>
      </c>
      <c r="P487" s="6"/>
      <c r="Q487" s="9" t="e">
        <f>+VLOOKUP(P487,Datos!$F:$G,2,FALSE)</f>
        <v>#N/A</v>
      </c>
      <c r="T487" s="6">
        <f t="shared" ref="T487:T550" si="8">+COUNTIFS($G$2:$G$623,G487)</f>
        <v>0</v>
      </c>
    </row>
    <row r="488" spans="1:20" x14ac:dyDescent="0.35">
      <c r="A488" s="6" t="s">
        <v>20</v>
      </c>
      <c r="D488" s="6" t="s">
        <v>22</v>
      </c>
      <c r="E488" s="6" t="s">
        <v>409</v>
      </c>
      <c r="F488" s="6" t="s">
        <v>409</v>
      </c>
      <c r="H488" s="8"/>
      <c r="I488" s="8"/>
      <c r="J488" s="9" t="e">
        <f>+VLOOKUP(K488,Datos!$A:$C,3,FALSE)</f>
        <v>#N/A</v>
      </c>
      <c r="L488" s="9" t="e">
        <f>+VLOOKUP(K488,Datos!$A:$C,2,FALSE)</f>
        <v>#N/A</v>
      </c>
      <c r="N488" s="9" t="e">
        <f>+VLOOKUP(M488,Datos!$F:$G,2,FALSE)</f>
        <v>#N/A</v>
      </c>
      <c r="O488" s="10">
        <f>IFERROR(IF(A488="SI",VLOOKUP(R488,Datos!$J$1:$K$50,2,FALSE)*C488,VLOOKUP(R488,Datos!$P$1:$T$50,2,FALSE)*C488),0)</f>
        <v>0</v>
      </c>
      <c r="P488" s="6"/>
      <c r="Q488" s="9" t="e">
        <f>+VLOOKUP(P488,Datos!$F:$G,2,FALSE)</f>
        <v>#N/A</v>
      </c>
      <c r="T488" s="6">
        <f t="shared" si="8"/>
        <v>0</v>
      </c>
    </row>
    <row r="489" spans="1:20" x14ac:dyDescent="0.35">
      <c r="A489" s="6" t="s">
        <v>20</v>
      </c>
      <c r="D489" s="6" t="s">
        <v>22</v>
      </c>
      <c r="E489" s="6" t="s">
        <v>409</v>
      </c>
      <c r="F489" s="6" t="s">
        <v>409</v>
      </c>
      <c r="H489" s="8"/>
      <c r="I489" s="8"/>
      <c r="J489" s="9" t="e">
        <f>+VLOOKUP(K489,Datos!$A:$C,3,FALSE)</f>
        <v>#N/A</v>
      </c>
      <c r="L489" s="9" t="e">
        <f>+VLOOKUP(K489,Datos!$A:$C,2,FALSE)</f>
        <v>#N/A</v>
      </c>
      <c r="N489" s="9" t="e">
        <f>+VLOOKUP(M489,Datos!$F:$G,2,FALSE)</f>
        <v>#N/A</v>
      </c>
      <c r="O489" s="10">
        <f>IFERROR(IF(A489="SI",VLOOKUP(R489,Datos!$J$1:$K$50,2,FALSE)*C489,VLOOKUP(R489,Datos!$P$1:$T$50,2,FALSE)*C489),0)</f>
        <v>0</v>
      </c>
      <c r="P489" s="6"/>
      <c r="Q489" s="9" t="e">
        <f>+VLOOKUP(P489,Datos!$F:$G,2,FALSE)</f>
        <v>#N/A</v>
      </c>
      <c r="T489" s="6">
        <f t="shared" si="8"/>
        <v>0</v>
      </c>
    </row>
    <row r="490" spans="1:20" x14ac:dyDescent="0.35">
      <c r="A490" s="6" t="s">
        <v>20</v>
      </c>
      <c r="D490" s="6" t="s">
        <v>22</v>
      </c>
      <c r="E490" s="6" t="s">
        <v>409</v>
      </c>
      <c r="F490" s="6" t="s">
        <v>409</v>
      </c>
      <c r="H490" s="8"/>
      <c r="I490" s="8"/>
      <c r="J490" s="9" t="e">
        <f>+VLOOKUP(K490,Datos!$A:$C,3,FALSE)</f>
        <v>#N/A</v>
      </c>
      <c r="L490" s="9" t="e">
        <f>+VLOOKUP(K490,Datos!$A:$C,2,FALSE)</f>
        <v>#N/A</v>
      </c>
      <c r="N490" s="9" t="e">
        <f>+VLOOKUP(M490,Datos!$F:$G,2,FALSE)</f>
        <v>#N/A</v>
      </c>
      <c r="O490" s="10">
        <f>IFERROR(IF(A490="SI",VLOOKUP(R490,Datos!$J$1:$K$50,2,FALSE)*C490,VLOOKUP(R490,Datos!$P$1:$T$50,2,FALSE)*C490),0)</f>
        <v>0</v>
      </c>
      <c r="P490" s="6"/>
      <c r="Q490" s="9" t="e">
        <f>+VLOOKUP(P490,Datos!$F:$G,2,FALSE)</f>
        <v>#N/A</v>
      </c>
      <c r="T490" s="6">
        <f t="shared" si="8"/>
        <v>0</v>
      </c>
    </row>
    <row r="491" spans="1:20" x14ac:dyDescent="0.35">
      <c r="A491" s="6" t="s">
        <v>20</v>
      </c>
      <c r="D491" s="6" t="s">
        <v>22</v>
      </c>
      <c r="E491" s="6" t="s">
        <v>409</v>
      </c>
      <c r="F491" s="6" t="s">
        <v>409</v>
      </c>
      <c r="H491" s="8"/>
      <c r="I491" s="8"/>
      <c r="J491" s="9" t="e">
        <f>+VLOOKUP(K491,Datos!$A:$C,3,FALSE)</f>
        <v>#N/A</v>
      </c>
      <c r="L491" s="9" t="e">
        <f>+VLOOKUP(K491,Datos!$A:$C,2,FALSE)</f>
        <v>#N/A</v>
      </c>
      <c r="N491" s="9" t="e">
        <f>+VLOOKUP(M491,Datos!$F:$G,2,FALSE)</f>
        <v>#N/A</v>
      </c>
      <c r="O491" s="10">
        <f>IFERROR(IF(A491="SI",VLOOKUP(R491,Datos!$J$1:$K$50,2,FALSE)*C491,VLOOKUP(R491,Datos!$P$1:$T$50,2,FALSE)*C491),0)</f>
        <v>0</v>
      </c>
      <c r="P491" s="6"/>
      <c r="Q491" s="9" t="e">
        <f>+VLOOKUP(P491,Datos!$F:$G,2,FALSE)</f>
        <v>#N/A</v>
      </c>
      <c r="T491" s="6">
        <f t="shared" si="8"/>
        <v>0</v>
      </c>
    </row>
    <row r="492" spans="1:20" x14ac:dyDescent="0.35">
      <c r="A492" s="6" t="s">
        <v>20</v>
      </c>
      <c r="D492" s="6" t="s">
        <v>22</v>
      </c>
      <c r="E492" s="6" t="s">
        <v>409</v>
      </c>
      <c r="F492" s="6" t="s">
        <v>409</v>
      </c>
      <c r="H492" s="8"/>
      <c r="I492" s="8"/>
      <c r="J492" s="9" t="e">
        <f>+VLOOKUP(K492,Datos!$A:$C,3,FALSE)</f>
        <v>#N/A</v>
      </c>
      <c r="L492" s="9" t="e">
        <f>+VLOOKUP(K492,Datos!$A:$C,2,FALSE)</f>
        <v>#N/A</v>
      </c>
      <c r="N492" s="9" t="e">
        <f>+VLOOKUP(M492,Datos!$F:$G,2,FALSE)</f>
        <v>#N/A</v>
      </c>
      <c r="O492" s="10">
        <f>IFERROR(IF(A492="SI",VLOOKUP(R492,Datos!$J$1:$K$50,2,FALSE)*C492,VLOOKUP(R492,Datos!$P$1:$T$50,2,FALSE)*C492),0)</f>
        <v>0</v>
      </c>
      <c r="P492" s="6"/>
      <c r="Q492" s="9" t="e">
        <f>+VLOOKUP(P492,Datos!$F:$G,2,FALSE)</f>
        <v>#N/A</v>
      </c>
      <c r="T492" s="6">
        <f t="shared" si="8"/>
        <v>0</v>
      </c>
    </row>
    <row r="493" spans="1:20" x14ac:dyDescent="0.35">
      <c r="A493" s="6" t="s">
        <v>20</v>
      </c>
      <c r="D493" s="6" t="s">
        <v>22</v>
      </c>
      <c r="E493" s="6" t="s">
        <v>409</v>
      </c>
      <c r="F493" s="6" t="s">
        <v>409</v>
      </c>
      <c r="H493" s="8"/>
      <c r="I493" s="8"/>
      <c r="J493" s="9" t="e">
        <f>+VLOOKUP(K493,Datos!$A:$C,3,FALSE)</f>
        <v>#N/A</v>
      </c>
      <c r="L493" s="9" t="e">
        <f>+VLOOKUP(K493,Datos!$A:$C,2,FALSE)</f>
        <v>#N/A</v>
      </c>
      <c r="N493" s="9" t="e">
        <f>+VLOOKUP(M493,Datos!$F:$G,2,FALSE)</f>
        <v>#N/A</v>
      </c>
      <c r="O493" s="10">
        <f>IFERROR(IF(A493="SI",VLOOKUP(R493,Datos!$J$1:$K$50,2,FALSE)*C493,VLOOKUP(R493,Datos!$P$1:$T$50,2,FALSE)*C493),0)</f>
        <v>0</v>
      </c>
      <c r="P493" s="6"/>
      <c r="Q493" s="9" t="e">
        <f>+VLOOKUP(P493,Datos!$F:$G,2,FALSE)</f>
        <v>#N/A</v>
      </c>
      <c r="T493" s="6">
        <f t="shared" si="8"/>
        <v>0</v>
      </c>
    </row>
    <row r="494" spans="1:20" x14ac:dyDescent="0.35">
      <c r="A494" s="6" t="s">
        <v>20</v>
      </c>
      <c r="D494" s="6" t="s">
        <v>22</v>
      </c>
      <c r="E494" s="6" t="s">
        <v>409</v>
      </c>
      <c r="F494" s="6" t="s">
        <v>409</v>
      </c>
      <c r="H494" s="8"/>
      <c r="I494" s="8"/>
      <c r="J494" s="9" t="e">
        <f>+VLOOKUP(K494,Datos!$A:$C,3,FALSE)</f>
        <v>#N/A</v>
      </c>
      <c r="L494" s="9" t="e">
        <f>+VLOOKUP(K494,Datos!$A:$C,2,FALSE)</f>
        <v>#N/A</v>
      </c>
      <c r="N494" s="9" t="e">
        <f>+VLOOKUP(M494,Datos!$F:$G,2,FALSE)</f>
        <v>#N/A</v>
      </c>
      <c r="O494" s="10">
        <f>IFERROR(IF(A494="SI",VLOOKUP(R494,Datos!$J$1:$K$50,2,FALSE)*C494,VLOOKUP(R494,Datos!$P$1:$T$50,2,FALSE)*C494),0)</f>
        <v>0</v>
      </c>
      <c r="P494" s="6"/>
      <c r="Q494" s="9" t="e">
        <f>+VLOOKUP(P494,Datos!$F:$G,2,FALSE)</f>
        <v>#N/A</v>
      </c>
      <c r="T494" s="6">
        <f t="shared" si="8"/>
        <v>0</v>
      </c>
    </row>
    <row r="495" spans="1:20" x14ac:dyDescent="0.35">
      <c r="A495" s="6" t="s">
        <v>20</v>
      </c>
      <c r="D495" s="6" t="s">
        <v>22</v>
      </c>
      <c r="E495" s="6" t="s">
        <v>409</v>
      </c>
      <c r="F495" s="6" t="s">
        <v>409</v>
      </c>
      <c r="H495" s="8"/>
      <c r="I495" s="8"/>
      <c r="J495" s="9" t="e">
        <f>+VLOOKUP(K495,Datos!$A:$C,3,FALSE)</f>
        <v>#N/A</v>
      </c>
      <c r="L495" s="9" t="e">
        <f>+VLOOKUP(K495,Datos!$A:$C,2,FALSE)</f>
        <v>#N/A</v>
      </c>
      <c r="N495" s="9" t="e">
        <f>+VLOOKUP(M495,Datos!$F:$G,2,FALSE)</f>
        <v>#N/A</v>
      </c>
      <c r="O495" s="10">
        <f>IFERROR(IF(A495="SI",VLOOKUP(R495,Datos!$J$1:$K$50,2,FALSE)*C495,VLOOKUP(R495,Datos!$P$1:$T$50,2,FALSE)*C495),0)</f>
        <v>0</v>
      </c>
      <c r="P495" s="6"/>
      <c r="Q495" s="9" t="e">
        <f>+VLOOKUP(P495,Datos!$F:$G,2,FALSE)</f>
        <v>#N/A</v>
      </c>
      <c r="T495" s="6">
        <f t="shared" si="8"/>
        <v>0</v>
      </c>
    </row>
    <row r="496" spans="1:20" x14ac:dyDescent="0.35">
      <c r="A496" s="6" t="s">
        <v>20</v>
      </c>
      <c r="D496" s="6" t="s">
        <v>22</v>
      </c>
      <c r="E496" s="6" t="s">
        <v>409</v>
      </c>
      <c r="F496" s="6" t="s">
        <v>409</v>
      </c>
      <c r="H496" s="8"/>
      <c r="I496" s="8"/>
      <c r="J496" s="9" t="e">
        <f>+VLOOKUP(K496,Datos!$A:$C,3,FALSE)</f>
        <v>#N/A</v>
      </c>
      <c r="L496" s="9" t="e">
        <f>+VLOOKUP(K496,Datos!$A:$C,2,FALSE)</f>
        <v>#N/A</v>
      </c>
      <c r="N496" s="9" t="e">
        <f>+VLOOKUP(M496,Datos!$F:$G,2,FALSE)</f>
        <v>#N/A</v>
      </c>
      <c r="O496" s="10">
        <f>IFERROR(IF(A496="SI",VLOOKUP(R496,Datos!$J$1:$K$50,2,FALSE)*C496,VLOOKUP(R496,Datos!$P$1:$T$50,2,FALSE)*C496),0)</f>
        <v>0</v>
      </c>
      <c r="P496" s="6"/>
      <c r="Q496" s="9" t="e">
        <f>+VLOOKUP(P496,Datos!$F:$G,2,FALSE)</f>
        <v>#N/A</v>
      </c>
      <c r="T496" s="6">
        <f t="shared" si="8"/>
        <v>0</v>
      </c>
    </row>
    <row r="497" spans="1:20" x14ac:dyDescent="0.35">
      <c r="A497" s="6" t="s">
        <v>20</v>
      </c>
      <c r="D497" s="6" t="s">
        <v>22</v>
      </c>
      <c r="E497" s="6" t="s">
        <v>409</v>
      </c>
      <c r="F497" s="6" t="s">
        <v>409</v>
      </c>
      <c r="H497" s="8"/>
      <c r="I497" s="8"/>
      <c r="J497" s="9" t="e">
        <f>+VLOOKUP(K497,Datos!$A:$C,3,FALSE)</f>
        <v>#N/A</v>
      </c>
      <c r="L497" s="9" t="e">
        <f>+VLOOKUP(K497,Datos!$A:$C,2,FALSE)</f>
        <v>#N/A</v>
      </c>
      <c r="N497" s="9" t="e">
        <f>+VLOOKUP(M497,Datos!$F:$G,2,FALSE)</f>
        <v>#N/A</v>
      </c>
      <c r="O497" s="10">
        <f>IFERROR(IF(A497="SI",VLOOKUP(R497,Datos!$J$1:$K$50,2,FALSE)*C497,VLOOKUP(R497,Datos!$P$1:$T$50,2,FALSE)*C497),0)</f>
        <v>0</v>
      </c>
      <c r="P497" s="6"/>
      <c r="Q497" s="9" t="e">
        <f>+VLOOKUP(P497,Datos!$F:$G,2,FALSE)</f>
        <v>#N/A</v>
      </c>
      <c r="T497" s="6">
        <f t="shared" si="8"/>
        <v>0</v>
      </c>
    </row>
    <row r="498" spans="1:20" x14ac:dyDescent="0.35">
      <c r="A498" s="6" t="s">
        <v>20</v>
      </c>
      <c r="D498" s="6" t="s">
        <v>22</v>
      </c>
      <c r="E498" s="6" t="s">
        <v>409</v>
      </c>
      <c r="F498" s="6" t="s">
        <v>409</v>
      </c>
      <c r="H498" s="8"/>
      <c r="I498" s="8"/>
      <c r="J498" s="9" t="e">
        <f>+VLOOKUP(K498,Datos!$A:$C,3,FALSE)</f>
        <v>#N/A</v>
      </c>
      <c r="L498" s="9" t="e">
        <f>+VLOOKUP(K498,Datos!$A:$C,2,FALSE)</f>
        <v>#N/A</v>
      </c>
      <c r="N498" s="9" t="e">
        <f>+VLOOKUP(M498,Datos!$F:$G,2,FALSE)</f>
        <v>#N/A</v>
      </c>
      <c r="O498" s="10">
        <f>IFERROR(IF(A498="SI",VLOOKUP(R498,Datos!$J$1:$K$50,2,FALSE)*C498,VLOOKUP(R498,Datos!$P$1:$T$50,2,FALSE)*C498),0)</f>
        <v>0</v>
      </c>
      <c r="P498" s="6"/>
      <c r="Q498" s="9" t="e">
        <f>+VLOOKUP(P498,Datos!$F:$G,2,FALSE)</f>
        <v>#N/A</v>
      </c>
      <c r="T498" s="6">
        <f t="shared" si="8"/>
        <v>0</v>
      </c>
    </row>
    <row r="499" spans="1:20" x14ac:dyDescent="0.35">
      <c r="A499" s="6" t="s">
        <v>20</v>
      </c>
      <c r="D499" s="6" t="s">
        <v>22</v>
      </c>
      <c r="E499" s="6" t="s">
        <v>409</v>
      </c>
      <c r="F499" s="6" t="s">
        <v>409</v>
      </c>
      <c r="H499" s="8"/>
      <c r="I499" s="8"/>
      <c r="J499" s="9" t="e">
        <f>+VLOOKUP(K499,Datos!$A:$C,3,FALSE)</f>
        <v>#N/A</v>
      </c>
      <c r="L499" s="9" t="e">
        <f>+VLOOKUP(K499,Datos!$A:$C,2,FALSE)</f>
        <v>#N/A</v>
      </c>
      <c r="N499" s="9" t="e">
        <f>+VLOOKUP(M499,Datos!$F:$G,2,FALSE)</f>
        <v>#N/A</v>
      </c>
      <c r="O499" s="10">
        <f>IFERROR(IF(A499="SI",VLOOKUP(R499,Datos!$J$1:$K$50,2,FALSE)*C499,VLOOKUP(R499,Datos!$P$1:$T$50,2,FALSE)*C499),0)</f>
        <v>0</v>
      </c>
      <c r="P499" s="6"/>
      <c r="Q499" s="9" t="e">
        <f>+VLOOKUP(P499,Datos!$F:$G,2,FALSE)</f>
        <v>#N/A</v>
      </c>
      <c r="T499" s="6">
        <f t="shared" si="8"/>
        <v>0</v>
      </c>
    </row>
    <row r="500" spans="1:20" x14ac:dyDescent="0.35">
      <c r="A500" s="6" t="s">
        <v>20</v>
      </c>
      <c r="D500" s="6" t="s">
        <v>22</v>
      </c>
      <c r="E500" s="6" t="s">
        <v>409</v>
      </c>
      <c r="F500" s="6" t="s">
        <v>409</v>
      </c>
      <c r="H500" s="8"/>
      <c r="I500" s="8"/>
      <c r="J500" s="9" t="e">
        <f>+VLOOKUP(K500,Datos!$A:$C,3,FALSE)</f>
        <v>#N/A</v>
      </c>
      <c r="L500" s="9" t="e">
        <f>+VLOOKUP(K500,Datos!$A:$C,2,FALSE)</f>
        <v>#N/A</v>
      </c>
      <c r="N500" s="9" t="e">
        <f>+VLOOKUP(M500,Datos!$F:$G,2,FALSE)</f>
        <v>#N/A</v>
      </c>
      <c r="O500" s="10">
        <f>IFERROR(IF(A500="SI",VLOOKUP(R500,Datos!$J$1:$K$50,2,FALSE)*C500,VLOOKUP(R500,Datos!$P$1:$T$50,2,FALSE)*C500),0)</f>
        <v>0</v>
      </c>
      <c r="P500" s="6"/>
      <c r="Q500" s="9" t="e">
        <f>+VLOOKUP(P500,Datos!$F:$G,2,FALSE)</f>
        <v>#N/A</v>
      </c>
      <c r="T500" s="6">
        <f t="shared" si="8"/>
        <v>0</v>
      </c>
    </row>
    <row r="501" spans="1:20" x14ac:dyDescent="0.35">
      <c r="A501" s="6" t="s">
        <v>20</v>
      </c>
      <c r="D501" s="6" t="s">
        <v>22</v>
      </c>
      <c r="E501" s="6" t="s">
        <v>409</v>
      </c>
      <c r="F501" s="6" t="s">
        <v>409</v>
      </c>
      <c r="H501" s="8"/>
      <c r="I501" s="8"/>
      <c r="J501" s="9" t="e">
        <f>+VLOOKUP(K501,Datos!$A:$C,3,FALSE)</f>
        <v>#N/A</v>
      </c>
      <c r="L501" s="9" t="e">
        <f>+VLOOKUP(K501,Datos!$A:$C,2,FALSE)</f>
        <v>#N/A</v>
      </c>
      <c r="N501" s="9" t="e">
        <f>+VLOOKUP(M501,Datos!$F:$G,2,FALSE)</f>
        <v>#N/A</v>
      </c>
      <c r="O501" s="10">
        <f>IFERROR(IF(A501="SI",VLOOKUP(R501,Datos!$J$1:$K$50,2,FALSE)*C501,VLOOKUP(R501,Datos!$P$1:$T$50,2,FALSE)*C501),0)</f>
        <v>0</v>
      </c>
      <c r="P501" s="6"/>
      <c r="Q501" s="9" t="e">
        <f>+VLOOKUP(P501,Datos!$F:$G,2,FALSE)</f>
        <v>#N/A</v>
      </c>
      <c r="T501" s="6">
        <f t="shared" si="8"/>
        <v>0</v>
      </c>
    </row>
    <row r="502" spans="1:20" x14ac:dyDescent="0.35">
      <c r="A502" s="6" t="s">
        <v>20</v>
      </c>
      <c r="D502" s="6" t="s">
        <v>22</v>
      </c>
      <c r="E502" s="6" t="s">
        <v>409</v>
      </c>
      <c r="F502" s="6" t="s">
        <v>409</v>
      </c>
      <c r="H502" s="8"/>
      <c r="I502" s="8"/>
      <c r="J502" s="9" t="e">
        <f>+VLOOKUP(K502,Datos!$A:$C,3,FALSE)</f>
        <v>#N/A</v>
      </c>
      <c r="L502" s="9" t="e">
        <f>+VLOOKUP(K502,Datos!$A:$C,2,FALSE)</f>
        <v>#N/A</v>
      </c>
      <c r="N502" s="9" t="e">
        <f>+VLOOKUP(M502,Datos!$F:$G,2,FALSE)</f>
        <v>#N/A</v>
      </c>
      <c r="O502" s="10">
        <f>IFERROR(IF(A502="SI",VLOOKUP(R502,Datos!$J$1:$K$50,2,FALSE)*C502,VLOOKUP(R502,Datos!$P$1:$T$50,2,FALSE)*C502),0)</f>
        <v>0</v>
      </c>
      <c r="P502" s="6"/>
      <c r="Q502" s="9" t="e">
        <f>+VLOOKUP(P502,Datos!$F:$G,2,FALSE)</f>
        <v>#N/A</v>
      </c>
      <c r="T502" s="6">
        <f t="shared" si="8"/>
        <v>0</v>
      </c>
    </row>
    <row r="503" spans="1:20" x14ac:dyDescent="0.35">
      <c r="A503" s="6" t="s">
        <v>20</v>
      </c>
      <c r="D503" s="6" t="s">
        <v>22</v>
      </c>
      <c r="E503" s="6" t="s">
        <v>409</v>
      </c>
      <c r="F503" s="6" t="s">
        <v>409</v>
      </c>
      <c r="H503" s="8"/>
      <c r="I503" s="8"/>
      <c r="J503" s="9" t="e">
        <f>+VLOOKUP(K503,Datos!$A:$C,3,FALSE)</f>
        <v>#N/A</v>
      </c>
      <c r="L503" s="9" t="e">
        <f>+VLOOKUP(K503,Datos!$A:$C,2,FALSE)</f>
        <v>#N/A</v>
      </c>
      <c r="N503" s="9" t="e">
        <f>+VLOOKUP(M503,Datos!$F:$G,2,FALSE)</f>
        <v>#N/A</v>
      </c>
      <c r="O503" s="10">
        <f>IFERROR(IF(A503="SI",VLOOKUP(R503,Datos!$J$1:$K$50,2,FALSE)*C503,VLOOKUP(R503,Datos!$P$1:$T$50,2,FALSE)*C503),0)</f>
        <v>0</v>
      </c>
      <c r="P503" s="6"/>
      <c r="Q503" s="9" t="e">
        <f>+VLOOKUP(P503,Datos!$F:$G,2,FALSE)</f>
        <v>#N/A</v>
      </c>
      <c r="T503" s="6">
        <f t="shared" si="8"/>
        <v>0</v>
      </c>
    </row>
    <row r="504" spans="1:20" x14ac:dyDescent="0.35">
      <c r="A504" s="6" t="s">
        <v>20</v>
      </c>
      <c r="D504" s="6" t="s">
        <v>22</v>
      </c>
      <c r="E504" s="6" t="s">
        <v>409</v>
      </c>
      <c r="F504" s="6" t="s">
        <v>409</v>
      </c>
      <c r="H504" s="8"/>
      <c r="I504" s="8"/>
      <c r="J504" s="9" t="e">
        <f>+VLOOKUP(K504,Datos!$A:$C,3,FALSE)</f>
        <v>#N/A</v>
      </c>
      <c r="L504" s="9" t="e">
        <f>+VLOOKUP(K504,Datos!$A:$C,2,FALSE)</f>
        <v>#N/A</v>
      </c>
      <c r="N504" s="9" t="e">
        <f>+VLOOKUP(M504,Datos!$F:$G,2,FALSE)</f>
        <v>#N/A</v>
      </c>
      <c r="O504" s="10">
        <f>IFERROR(IF(A504="SI",VLOOKUP(R504,Datos!$J$1:$K$50,2,FALSE)*C504,VLOOKUP(R504,Datos!$P$1:$T$50,2,FALSE)*C504),0)</f>
        <v>0</v>
      </c>
      <c r="P504" s="6"/>
      <c r="Q504" s="9" t="e">
        <f>+VLOOKUP(P504,Datos!$F:$G,2,FALSE)</f>
        <v>#N/A</v>
      </c>
      <c r="T504" s="6">
        <f t="shared" si="8"/>
        <v>0</v>
      </c>
    </row>
    <row r="505" spans="1:20" x14ac:dyDescent="0.35">
      <c r="A505" s="6" t="s">
        <v>20</v>
      </c>
      <c r="D505" s="6" t="s">
        <v>22</v>
      </c>
      <c r="E505" s="6" t="s">
        <v>409</v>
      </c>
      <c r="F505" s="6" t="s">
        <v>409</v>
      </c>
      <c r="H505" s="8"/>
      <c r="I505" s="8"/>
      <c r="J505" s="9" t="e">
        <f>+VLOOKUP(K505,Datos!$A:$C,3,FALSE)</f>
        <v>#N/A</v>
      </c>
      <c r="L505" s="9" t="e">
        <f>+VLOOKUP(K505,Datos!$A:$C,2,FALSE)</f>
        <v>#N/A</v>
      </c>
      <c r="N505" s="9" t="e">
        <f>+VLOOKUP(M505,Datos!$F:$G,2,FALSE)</f>
        <v>#N/A</v>
      </c>
      <c r="O505" s="10">
        <f>IFERROR(IF(A505="SI",VLOOKUP(R505,Datos!$J$1:$K$50,2,FALSE)*C505,VLOOKUP(R505,Datos!$P$1:$T$50,2,FALSE)*C505),0)</f>
        <v>0</v>
      </c>
      <c r="P505" s="6"/>
      <c r="Q505" s="9" t="e">
        <f>+VLOOKUP(P505,Datos!$F:$G,2,FALSE)</f>
        <v>#N/A</v>
      </c>
      <c r="T505" s="6">
        <f t="shared" si="8"/>
        <v>0</v>
      </c>
    </row>
    <row r="506" spans="1:20" x14ac:dyDescent="0.35">
      <c r="A506" s="6" t="s">
        <v>20</v>
      </c>
      <c r="D506" s="6" t="s">
        <v>22</v>
      </c>
      <c r="E506" s="6" t="s">
        <v>409</v>
      </c>
      <c r="F506" s="6" t="s">
        <v>409</v>
      </c>
      <c r="H506" s="8"/>
      <c r="I506" s="8"/>
      <c r="J506" s="9" t="e">
        <f>+VLOOKUP(K506,Datos!$A:$C,3,FALSE)</f>
        <v>#N/A</v>
      </c>
      <c r="L506" s="9" t="e">
        <f>+VLOOKUP(K506,Datos!$A:$C,2,FALSE)</f>
        <v>#N/A</v>
      </c>
      <c r="N506" s="9" t="e">
        <f>+VLOOKUP(M506,Datos!$F:$G,2,FALSE)</f>
        <v>#N/A</v>
      </c>
      <c r="O506" s="10">
        <f>IFERROR(IF(A506="SI",VLOOKUP(R506,Datos!$J$1:$K$50,2,FALSE)*C506,VLOOKUP(R506,Datos!$P$1:$T$50,2,FALSE)*C506),0)</f>
        <v>0</v>
      </c>
      <c r="P506" s="6"/>
      <c r="Q506" s="9" t="e">
        <f>+VLOOKUP(P506,Datos!$F:$G,2,FALSE)</f>
        <v>#N/A</v>
      </c>
      <c r="T506" s="6">
        <f t="shared" si="8"/>
        <v>0</v>
      </c>
    </row>
    <row r="507" spans="1:20" x14ac:dyDescent="0.35">
      <c r="A507" s="6" t="s">
        <v>20</v>
      </c>
      <c r="D507" s="6" t="s">
        <v>22</v>
      </c>
      <c r="E507" s="6" t="s">
        <v>409</v>
      </c>
      <c r="F507" s="6" t="s">
        <v>409</v>
      </c>
      <c r="H507" s="8"/>
      <c r="I507" s="8"/>
      <c r="J507" s="9" t="e">
        <f>+VLOOKUP(K507,Datos!$A:$C,3,FALSE)</f>
        <v>#N/A</v>
      </c>
      <c r="L507" s="9" t="e">
        <f>+VLOOKUP(K507,Datos!$A:$C,2,FALSE)</f>
        <v>#N/A</v>
      </c>
      <c r="N507" s="9" t="e">
        <f>+VLOOKUP(M507,Datos!$F:$G,2,FALSE)</f>
        <v>#N/A</v>
      </c>
      <c r="O507" s="10">
        <f>IFERROR(IF(A507="SI",VLOOKUP(R507,Datos!$J$1:$K$50,2,FALSE)*C507,VLOOKUP(R507,Datos!$P$1:$T$50,2,FALSE)*C507),0)</f>
        <v>0</v>
      </c>
      <c r="P507" s="6"/>
      <c r="Q507" s="9" t="e">
        <f>+VLOOKUP(P507,Datos!$F:$G,2,FALSE)</f>
        <v>#N/A</v>
      </c>
      <c r="T507" s="6">
        <f t="shared" si="8"/>
        <v>0</v>
      </c>
    </row>
    <row r="508" spans="1:20" x14ac:dyDescent="0.35">
      <c r="A508" s="6" t="s">
        <v>20</v>
      </c>
      <c r="D508" s="6" t="s">
        <v>22</v>
      </c>
      <c r="E508" s="6" t="s">
        <v>409</v>
      </c>
      <c r="F508" s="6" t="s">
        <v>409</v>
      </c>
      <c r="H508" s="8"/>
      <c r="I508" s="8"/>
      <c r="J508" s="9" t="e">
        <f>+VLOOKUP(K508,Datos!$A:$C,3,FALSE)</f>
        <v>#N/A</v>
      </c>
      <c r="L508" s="9" t="e">
        <f>+VLOOKUP(K508,Datos!$A:$C,2,FALSE)</f>
        <v>#N/A</v>
      </c>
      <c r="N508" s="9" t="e">
        <f>+VLOOKUP(M508,Datos!$F:$G,2,FALSE)</f>
        <v>#N/A</v>
      </c>
      <c r="O508" s="10">
        <f>IFERROR(IF(A508="SI",VLOOKUP(R508,Datos!$J$1:$K$50,2,FALSE)*C508,VLOOKUP(R508,Datos!$P$1:$T$50,2,FALSE)*C508),0)</f>
        <v>0</v>
      </c>
      <c r="P508" s="6"/>
      <c r="Q508" s="9" t="e">
        <f>+VLOOKUP(P508,Datos!$F:$G,2,FALSE)</f>
        <v>#N/A</v>
      </c>
      <c r="T508" s="6">
        <f t="shared" si="8"/>
        <v>0</v>
      </c>
    </row>
    <row r="509" spans="1:20" x14ac:dyDescent="0.35">
      <c r="A509" s="6" t="s">
        <v>20</v>
      </c>
      <c r="D509" s="6" t="s">
        <v>22</v>
      </c>
      <c r="E509" s="6" t="s">
        <v>409</v>
      </c>
      <c r="F509" s="6" t="s">
        <v>409</v>
      </c>
      <c r="H509" s="8"/>
      <c r="I509" s="8"/>
      <c r="J509" s="9" t="e">
        <f>+VLOOKUP(K509,Datos!$A:$C,3,FALSE)</f>
        <v>#N/A</v>
      </c>
      <c r="L509" s="9" t="e">
        <f>+VLOOKUP(K509,Datos!$A:$C,2,FALSE)</f>
        <v>#N/A</v>
      </c>
      <c r="N509" s="9" t="e">
        <f>+VLOOKUP(M509,Datos!$F:$G,2,FALSE)</f>
        <v>#N/A</v>
      </c>
      <c r="O509" s="10">
        <f>IFERROR(IF(A509="SI",VLOOKUP(R509,Datos!$J$1:$K$50,2,FALSE)*C509,VLOOKUP(R509,Datos!$P$1:$T$50,2,FALSE)*C509),0)</f>
        <v>0</v>
      </c>
      <c r="P509" s="6"/>
      <c r="Q509" s="9" t="e">
        <f>+VLOOKUP(P509,Datos!$F:$G,2,FALSE)</f>
        <v>#N/A</v>
      </c>
      <c r="T509" s="6">
        <f t="shared" si="8"/>
        <v>0</v>
      </c>
    </row>
    <row r="510" spans="1:20" x14ac:dyDescent="0.35">
      <c r="A510" s="6" t="s">
        <v>20</v>
      </c>
      <c r="D510" s="6" t="s">
        <v>22</v>
      </c>
      <c r="E510" s="6" t="s">
        <v>409</v>
      </c>
      <c r="F510" s="6" t="s">
        <v>409</v>
      </c>
      <c r="H510" s="8"/>
      <c r="I510" s="8"/>
      <c r="J510" s="9" t="e">
        <f>+VLOOKUP(K510,Datos!$A:$C,3,FALSE)</f>
        <v>#N/A</v>
      </c>
      <c r="L510" s="9" t="e">
        <f>+VLOOKUP(K510,Datos!$A:$C,2,FALSE)</f>
        <v>#N/A</v>
      </c>
      <c r="N510" s="9" t="e">
        <f>+VLOOKUP(M510,Datos!$F:$G,2,FALSE)</f>
        <v>#N/A</v>
      </c>
      <c r="O510" s="10">
        <f>IFERROR(IF(A510="SI",VLOOKUP(R510,Datos!$J$1:$K$50,2,FALSE)*C510,VLOOKUP(R510,Datos!$P$1:$T$50,2,FALSE)*C510),0)</f>
        <v>0</v>
      </c>
      <c r="P510" s="6"/>
      <c r="Q510" s="9" t="e">
        <f>+VLOOKUP(P510,Datos!$F:$G,2,FALSE)</f>
        <v>#N/A</v>
      </c>
      <c r="T510" s="6">
        <f t="shared" si="8"/>
        <v>0</v>
      </c>
    </row>
    <row r="511" spans="1:20" x14ac:dyDescent="0.35">
      <c r="A511" s="6" t="s">
        <v>20</v>
      </c>
      <c r="D511" s="6" t="s">
        <v>22</v>
      </c>
      <c r="E511" s="6" t="s">
        <v>409</v>
      </c>
      <c r="F511" s="6" t="s">
        <v>409</v>
      </c>
      <c r="H511" s="8"/>
      <c r="I511" s="8"/>
      <c r="J511" s="9" t="e">
        <f>+VLOOKUP(K511,Datos!$A:$C,3,FALSE)</f>
        <v>#N/A</v>
      </c>
      <c r="L511" s="9" t="e">
        <f>+VLOOKUP(K511,Datos!$A:$C,2,FALSE)</f>
        <v>#N/A</v>
      </c>
      <c r="N511" s="9" t="e">
        <f>+VLOOKUP(M511,Datos!$F:$G,2,FALSE)</f>
        <v>#N/A</v>
      </c>
      <c r="O511" s="10">
        <f>IFERROR(IF(A511="SI",VLOOKUP(R511,Datos!$J$1:$K$50,2,FALSE)*C511,VLOOKUP(R511,Datos!$P$1:$T$50,2,FALSE)*C511),0)</f>
        <v>0</v>
      </c>
      <c r="P511" s="6"/>
      <c r="Q511" s="9" t="e">
        <f>+VLOOKUP(P511,Datos!$F:$G,2,FALSE)</f>
        <v>#N/A</v>
      </c>
      <c r="T511" s="6">
        <f t="shared" si="8"/>
        <v>0</v>
      </c>
    </row>
    <row r="512" spans="1:20" x14ac:dyDescent="0.35">
      <c r="A512" s="6" t="s">
        <v>20</v>
      </c>
      <c r="D512" s="6" t="s">
        <v>22</v>
      </c>
      <c r="E512" s="6" t="s">
        <v>409</v>
      </c>
      <c r="F512" s="6" t="s">
        <v>409</v>
      </c>
      <c r="H512" s="8"/>
      <c r="I512" s="8"/>
      <c r="J512" s="9" t="e">
        <f>+VLOOKUP(K512,Datos!$A:$C,3,FALSE)</f>
        <v>#N/A</v>
      </c>
      <c r="L512" s="9" t="e">
        <f>+VLOOKUP(K512,Datos!$A:$C,2,FALSE)</f>
        <v>#N/A</v>
      </c>
      <c r="N512" s="9" t="e">
        <f>+VLOOKUP(M512,Datos!$F:$G,2,FALSE)</f>
        <v>#N/A</v>
      </c>
      <c r="O512" s="10">
        <f>IFERROR(IF(A512="SI",VLOOKUP(R512,Datos!$J$1:$K$50,2,FALSE)*C512,VLOOKUP(R512,Datos!$P$1:$T$50,2,FALSE)*C512),0)</f>
        <v>0</v>
      </c>
      <c r="P512" s="6"/>
      <c r="Q512" s="9" t="e">
        <f>+VLOOKUP(P512,Datos!$F:$G,2,FALSE)</f>
        <v>#N/A</v>
      </c>
      <c r="T512" s="6">
        <f t="shared" si="8"/>
        <v>0</v>
      </c>
    </row>
    <row r="513" spans="1:20" x14ac:dyDescent="0.35">
      <c r="A513" s="6" t="s">
        <v>20</v>
      </c>
      <c r="D513" s="6" t="s">
        <v>22</v>
      </c>
      <c r="E513" s="6" t="s">
        <v>409</v>
      </c>
      <c r="F513" s="6" t="s">
        <v>409</v>
      </c>
      <c r="H513" s="8"/>
      <c r="I513" s="8"/>
      <c r="J513" s="9" t="e">
        <f>+VLOOKUP(K513,Datos!$A:$C,3,FALSE)</f>
        <v>#N/A</v>
      </c>
      <c r="L513" s="9" t="e">
        <f>+VLOOKUP(K513,Datos!$A:$C,2,FALSE)</f>
        <v>#N/A</v>
      </c>
      <c r="N513" s="9" t="e">
        <f>+VLOOKUP(M513,Datos!$F:$G,2,FALSE)</f>
        <v>#N/A</v>
      </c>
      <c r="O513" s="10">
        <f>IFERROR(IF(A513="SI",VLOOKUP(R513,Datos!$J$1:$K$50,2,FALSE)*C513,VLOOKUP(R513,Datos!$P$1:$T$50,2,FALSE)*C513),0)</f>
        <v>0</v>
      </c>
      <c r="P513" s="6"/>
      <c r="Q513" s="9" t="e">
        <f>+VLOOKUP(P513,Datos!$F:$G,2,FALSE)</f>
        <v>#N/A</v>
      </c>
      <c r="T513" s="6">
        <f t="shared" si="8"/>
        <v>0</v>
      </c>
    </row>
    <row r="514" spans="1:20" x14ac:dyDescent="0.35">
      <c r="A514" s="6" t="s">
        <v>20</v>
      </c>
      <c r="D514" s="6" t="s">
        <v>22</v>
      </c>
      <c r="E514" s="6" t="s">
        <v>409</v>
      </c>
      <c r="F514" s="6" t="s">
        <v>409</v>
      </c>
      <c r="H514" s="8"/>
      <c r="I514" s="8"/>
      <c r="J514" s="9" t="e">
        <f>+VLOOKUP(K514,Datos!$A:$C,3,FALSE)</f>
        <v>#N/A</v>
      </c>
      <c r="L514" s="9" t="e">
        <f>+VLOOKUP(K514,Datos!$A:$C,2,FALSE)</f>
        <v>#N/A</v>
      </c>
      <c r="N514" s="9" t="e">
        <f>+VLOOKUP(M514,Datos!$F:$G,2,FALSE)</f>
        <v>#N/A</v>
      </c>
      <c r="O514" s="10">
        <f>IFERROR(IF(A514="SI",VLOOKUP(R514,Datos!$J$1:$K$50,2,FALSE)*C514,VLOOKUP(R514,Datos!$P$1:$T$50,2,FALSE)*C514),0)</f>
        <v>0</v>
      </c>
      <c r="P514" s="6"/>
      <c r="Q514" s="9" t="e">
        <f>+VLOOKUP(P514,Datos!$F:$G,2,FALSE)</f>
        <v>#N/A</v>
      </c>
      <c r="T514" s="6">
        <f t="shared" si="8"/>
        <v>0</v>
      </c>
    </row>
    <row r="515" spans="1:20" x14ac:dyDescent="0.35">
      <c r="A515" s="6" t="s">
        <v>20</v>
      </c>
      <c r="D515" s="6" t="s">
        <v>22</v>
      </c>
      <c r="E515" s="6" t="s">
        <v>409</v>
      </c>
      <c r="F515" s="6" t="s">
        <v>409</v>
      </c>
      <c r="H515" s="8"/>
      <c r="I515" s="8"/>
      <c r="J515" s="9" t="e">
        <f>+VLOOKUP(K515,Datos!$A:$C,3,FALSE)</f>
        <v>#N/A</v>
      </c>
      <c r="L515" s="9" t="e">
        <f>+VLOOKUP(K515,Datos!$A:$C,2,FALSE)</f>
        <v>#N/A</v>
      </c>
      <c r="N515" s="9" t="e">
        <f>+VLOOKUP(M515,Datos!$F:$G,2,FALSE)</f>
        <v>#N/A</v>
      </c>
      <c r="O515" s="10">
        <f>IFERROR(IF(A515="SI",VLOOKUP(R515,Datos!$J$1:$K$50,2,FALSE)*C515,VLOOKUP(R515,Datos!$P$1:$T$50,2,FALSE)*C515),0)</f>
        <v>0</v>
      </c>
      <c r="P515" s="6"/>
      <c r="Q515" s="9" t="e">
        <f>+VLOOKUP(P515,Datos!$F:$G,2,FALSE)</f>
        <v>#N/A</v>
      </c>
      <c r="T515" s="6">
        <f t="shared" si="8"/>
        <v>0</v>
      </c>
    </row>
    <row r="516" spans="1:20" x14ac:dyDescent="0.35">
      <c r="A516" s="6" t="s">
        <v>20</v>
      </c>
      <c r="D516" s="6" t="s">
        <v>22</v>
      </c>
      <c r="E516" s="6" t="s">
        <v>409</v>
      </c>
      <c r="F516" s="6" t="s">
        <v>409</v>
      </c>
      <c r="H516" s="8"/>
      <c r="I516" s="8"/>
      <c r="J516" s="9" t="e">
        <f>+VLOOKUP(K516,Datos!$A:$C,3,FALSE)</f>
        <v>#N/A</v>
      </c>
      <c r="L516" s="9" t="e">
        <f>+VLOOKUP(K516,Datos!$A:$C,2,FALSE)</f>
        <v>#N/A</v>
      </c>
      <c r="N516" s="9" t="e">
        <f>+VLOOKUP(M516,Datos!$F:$G,2,FALSE)</f>
        <v>#N/A</v>
      </c>
      <c r="O516" s="10">
        <f>IFERROR(IF(A516="SI",VLOOKUP(R516,Datos!$J$1:$K$50,2,FALSE)*C516,VLOOKUP(R516,Datos!$P$1:$T$50,2,FALSE)*C516),0)</f>
        <v>0</v>
      </c>
      <c r="P516" s="6"/>
      <c r="Q516" s="9" t="e">
        <f>+VLOOKUP(P516,Datos!$F:$G,2,FALSE)</f>
        <v>#N/A</v>
      </c>
      <c r="T516" s="6">
        <f t="shared" si="8"/>
        <v>0</v>
      </c>
    </row>
    <row r="517" spans="1:20" x14ac:dyDescent="0.35">
      <c r="A517" s="6" t="s">
        <v>20</v>
      </c>
      <c r="D517" s="6" t="s">
        <v>22</v>
      </c>
      <c r="E517" s="6" t="s">
        <v>409</v>
      </c>
      <c r="F517" s="6" t="s">
        <v>409</v>
      </c>
      <c r="H517" s="8"/>
      <c r="I517" s="8"/>
      <c r="J517" s="9" t="e">
        <f>+VLOOKUP(K517,Datos!$A:$C,3,FALSE)</f>
        <v>#N/A</v>
      </c>
      <c r="L517" s="9" t="e">
        <f>+VLOOKUP(K517,Datos!$A:$C,2,FALSE)</f>
        <v>#N/A</v>
      </c>
      <c r="N517" s="9" t="e">
        <f>+VLOOKUP(M517,Datos!$F:$G,2,FALSE)</f>
        <v>#N/A</v>
      </c>
      <c r="O517" s="10">
        <f>IFERROR(IF(A517="SI",VLOOKUP(R517,Datos!$J$1:$K$50,2,FALSE)*C517,VLOOKUP(R517,Datos!$P$1:$T$50,2,FALSE)*C517),0)</f>
        <v>0</v>
      </c>
      <c r="P517" s="6"/>
      <c r="Q517" s="9" t="e">
        <f>+VLOOKUP(P517,Datos!$F:$G,2,FALSE)</f>
        <v>#N/A</v>
      </c>
      <c r="T517" s="6">
        <f t="shared" si="8"/>
        <v>0</v>
      </c>
    </row>
    <row r="518" spans="1:20" x14ac:dyDescent="0.35">
      <c r="A518" s="6" t="s">
        <v>20</v>
      </c>
      <c r="D518" s="6" t="s">
        <v>22</v>
      </c>
      <c r="E518" s="6" t="s">
        <v>409</v>
      </c>
      <c r="F518" s="6" t="s">
        <v>409</v>
      </c>
      <c r="H518" s="8"/>
      <c r="I518" s="8"/>
      <c r="J518" s="9" t="e">
        <f>+VLOOKUP(K518,Datos!$A:$C,3,FALSE)</f>
        <v>#N/A</v>
      </c>
      <c r="L518" s="9" t="e">
        <f>+VLOOKUP(K518,Datos!$A:$C,2,FALSE)</f>
        <v>#N/A</v>
      </c>
      <c r="N518" s="9" t="e">
        <f>+VLOOKUP(M518,Datos!$F:$G,2,FALSE)</f>
        <v>#N/A</v>
      </c>
      <c r="O518" s="10">
        <f>IFERROR(IF(A518="SI",VLOOKUP(R518,Datos!$J$1:$K$50,2,FALSE)*C518,VLOOKUP(R518,Datos!$P$1:$T$50,2,FALSE)*C518),0)</f>
        <v>0</v>
      </c>
      <c r="P518" s="6"/>
      <c r="Q518" s="9" t="e">
        <f>+VLOOKUP(P518,Datos!$F:$G,2,FALSE)</f>
        <v>#N/A</v>
      </c>
      <c r="T518" s="6">
        <f t="shared" si="8"/>
        <v>0</v>
      </c>
    </row>
    <row r="519" spans="1:20" x14ac:dyDescent="0.35">
      <c r="A519" s="6" t="s">
        <v>20</v>
      </c>
      <c r="D519" s="6" t="s">
        <v>22</v>
      </c>
      <c r="E519" s="6" t="s">
        <v>409</v>
      </c>
      <c r="F519" s="6" t="s">
        <v>409</v>
      </c>
      <c r="H519" s="8"/>
      <c r="I519" s="8"/>
      <c r="J519" s="9" t="e">
        <f>+VLOOKUP(K519,Datos!$A:$C,3,FALSE)</f>
        <v>#N/A</v>
      </c>
      <c r="L519" s="9" t="e">
        <f>+VLOOKUP(K519,Datos!$A:$C,2,FALSE)</f>
        <v>#N/A</v>
      </c>
      <c r="N519" s="9" t="e">
        <f>+VLOOKUP(M519,Datos!$F:$G,2,FALSE)</f>
        <v>#N/A</v>
      </c>
      <c r="O519" s="10">
        <f>IFERROR(IF(A519="SI",VLOOKUP(R519,Datos!$J$1:$K$50,2,FALSE)*C519,VLOOKUP(R519,Datos!$P$1:$T$50,2,FALSE)*C519),0)</f>
        <v>0</v>
      </c>
      <c r="P519" s="6"/>
      <c r="Q519" s="9" t="e">
        <f>+VLOOKUP(P519,Datos!$F:$G,2,FALSE)</f>
        <v>#N/A</v>
      </c>
      <c r="T519" s="6">
        <f t="shared" si="8"/>
        <v>0</v>
      </c>
    </row>
    <row r="520" spans="1:20" x14ac:dyDescent="0.35">
      <c r="A520" s="6" t="s">
        <v>20</v>
      </c>
      <c r="D520" s="6" t="s">
        <v>22</v>
      </c>
      <c r="E520" s="6" t="s">
        <v>409</v>
      </c>
      <c r="F520" s="6" t="s">
        <v>409</v>
      </c>
      <c r="H520" s="8"/>
      <c r="I520" s="8"/>
      <c r="J520" s="9" t="e">
        <f>+VLOOKUP(K520,Datos!$A:$C,3,FALSE)</f>
        <v>#N/A</v>
      </c>
      <c r="L520" s="9" t="e">
        <f>+VLOOKUP(K520,Datos!$A:$C,2,FALSE)</f>
        <v>#N/A</v>
      </c>
      <c r="N520" s="9" t="e">
        <f>+VLOOKUP(M520,Datos!$F:$G,2,FALSE)</f>
        <v>#N/A</v>
      </c>
      <c r="O520" s="10">
        <f>IFERROR(IF(A520="SI",VLOOKUP(R520,Datos!$J$1:$K$50,2,FALSE)*C520,VLOOKUP(R520,Datos!$P$1:$T$50,2,FALSE)*C520),0)</f>
        <v>0</v>
      </c>
      <c r="P520" s="6"/>
      <c r="Q520" s="9" t="e">
        <f>+VLOOKUP(P520,Datos!$F:$G,2,FALSE)</f>
        <v>#N/A</v>
      </c>
      <c r="T520" s="6">
        <f t="shared" si="8"/>
        <v>0</v>
      </c>
    </row>
    <row r="521" spans="1:20" x14ac:dyDescent="0.35">
      <c r="A521" s="6" t="s">
        <v>20</v>
      </c>
      <c r="D521" s="6" t="s">
        <v>22</v>
      </c>
      <c r="E521" s="6" t="s">
        <v>409</v>
      </c>
      <c r="F521" s="6" t="s">
        <v>409</v>
      </c>
      <c r="H521" s="8"/>
      <c r="I521" s="8"/>
      <c r="J521" s="9" t="e">
        <f>+VLOOKUP(K521,Datos!$A:$C,3,FALSE)</f>
        <v>#N/A</v>
      </c>
      <c r="L521" s="9" t="e">
        <f>+VLOOKUP(K521,Datos!$A:$C,2,FALSE)</f>
        <v>#N/A</v>
      </c>
      <c r="N521" s="9" t="e">
        <f>+VLOOKUP(M521,Datos!$F:$G,2,FALSE)</f>
        <v>#N/A</v>
      </c>
      <c r="O521" s="10">
        <f>IFERROR(IF(A521="SI",VLOOKUP(R521,Datos!$J$1:$K$50,2,FALSE)*C521,VLOOKUP(R521,Datos!$P$1:$T$50,2,FALSE)*C521),0)</f>
        <v>0</v>
      </c>
      <c r="P521" s="6"/>
      <c r="Q521" s="9" t="e">
        <f>+VLOOKUP(P521,Datos!$F:$G,2,FALSE)</f>
        <v>#N/A</v>
      </c>
      <c r="T521" s="6">
        <f t="shared" si="8"/>
        <v>0</v>
      </c>
    </row>
    <row r="522" spans="1:20" x14ac:dyDescent="0.35">
      <c r="A522" s="6" t="s">
        <v>20</v>
      </c>
      <c r="D522" s="6" t="s">
        <v>22</v>
      </c>
      <c r="E522" s="6" t="s">
        <v>409</v>
      </c>
      <c r="F522" s="6" t="s">
        <v>409</v>
      </c>
      <c r="H522" s="8"/>
      <c r="I522" s="8"/>
      <c r="J522" s="9" t="e">
        <f>+VLOOKUP(K522,Datos!$A:$C,3,FALSE)</f>
        <v>#N/A</v>
      </c>
      <c r="L522" s="9" t="e">
        <f>+VLOOKUP(K522,Datos!$A:$C,2,FALSE)</f>
        <v>#N/A</v>
      </c>
      <c r="N522" s="9" t="e">
        <f>+VLOOKUP(M522,Datos!$F:$G,2,FALSE)</f>
        <v>#N/A</v>
      </c>
      <c r="O522" s="10">
        <f>IFERROR(IF(A522="SI",VLOOKUP(R522,Datos!$J$1:$K$50,2,FALSE)*C522,VLOOKUP(R522,Datos!$P$1:$T$50,2,FALSE)*C522),0)</f>
        <v>0</v>
      </c>
      <c r="P522" s="6"/>
      <c r="Q522" s="9" t="e">
        <f>+VLOOKUP(P522,Datos!$F:$G,2,FALSE)</f>
        <v>#N/A</v>
      </c>
      <c r="T522" s="6">
        <f t="shared" si="8"/>
        <v>0</v>
      </c>
    </row>
    <row r="523" spans="1:20" x14ac:dyDescent="0.35">
      <c r="A523" s="6" t="s">
        <v>20</v>
      </c>
      <c r="D523" s="6" t="s">
        <v>22</v>
      </c>
      <c r="E523" s="6" t="s">
        <v>409</v>
      </c>
      <c r="F523" s="6" t="s">
        <v>409</v>
      </c>
      <c r="H523" s="8"/>
      <c r="I523" s="8"/>
      <c r="J523" s="9" t="e">
        <f>+VLOOKUP(K523,Datos!$A:$C,3,FALSE)</f>
        <v>#N/A</v>
      </c>
      <c r="L523" s="9" t="e">
        <f>+VLOOKUP(K523,Datos!$A:$C,2,FALSE)</f>
        <v>#N/A</v>
      </c>
      <c r="N523" s="9" t="e">
        <f>+VLOOKUP(M523,Datos!$F:$G,2,FALSE)</f>
        <v>#N/A</v>
      </c>
      <c r="O523" s="10">
        <f>IFERROR(IF(A523="SI",VLOOKUP(R523,Datos!$J$1:$K$50,2,FALSE)*C523,VLOOKUP(R523,Datos!$P$1:$T$50,2,FALSE)*C523),0)</f>
        <v>0</v>
      </c>
      <c r="P523" s="6"/>
      <c r="Q523" s="9" t="e">
        <f>+VLOOKUP(P523,Datos!$F:$G,2,FALSE)</f>
        <v>#N/A</v>
      </c>
      <c r="T523" s="6">
        <f t="shared" si="8"/>
        <v>0</v>
      </c>
    </row>
    <row r="524" spans="1:20" x14ac:dyDescent="0.35">
      <c r="A524" s="6" t="s">
        <v>20</v>
      </c>
      <c r="D524" s="6" t="s">
        <v>22</v>
      </c>
      <c r="E524" s="6" t="s">
        <v>409</v>
      </c>
      <c r="F524" s="6" t="s">
        <v>409</v>
      </c>
      <c r="H524" s="8"/>
      <c r="I524" s="8"/>
      <c r="J524" s="9" t="e">
        <f>+VLOOKUP(K524,Datos!$A:$C,3,FALSE)</f>
        <v>#N/A</v>
      </c>
      <c r="L524" s="9" t="e">
        <f>+VLOOKUP(K524,Datos!$A:$C,2,FALSE)</f>
        <v>#N/A</v>
      </c>
      <c r="N524" s="9" t="e">
        <f>+VLOOKUP(M524,Datos!$F:$G,2,FALSE)</f>
        <v>#N/A</v>
      </c>
      <c r="O524" s="10">
        <f>IFERROR(IF(A524="SI",VLOOKUP(R524,Datos!$J$1:$K$50,2,FALSE)*C524,VLOOKUP(R524,Datos!$P$1:$T$50,2,FALSE)*C524),0)</f>
        <v>0</v>
      </c>
      <c r="P524" s="6"/>
      <c r="Q524" s="9" t="e">
        <f>+VLOOKUP(P524,Datos!$F:$G,2,FALSE)</f>
        <v>#N/A</v>
      </c>
      <c r="T524" s="6">
        <f t="shared" si="8"/>
        <v>0</v>
      </c>
    </row>
    <row r="525" spans="1:20" x14ac:dyDescent="0.35">
      <c r="A525" s="6" t="s">
        <v>20</v>
      </c>
      <c r="D525" s="6" t="s">
        <v>22</v>
      </c>
      <c r="E525" s="6" t="s">
        <v>409</v>
      </c>
      <c r="F525" s="6" t="s">
        <v>409</v>
      </c>
      <c r="H525" s="8"/>
      <c r="I525" s="8"/>
      <c r="J525" s="9" t="e">
        <f>+VLOOKUP(K525,Datos!$A:$C,3,FALSE)</f>
        <v>#N/A</v>
      </c>
      <c r="L525" s="9" t="e">
        <f>+VLOOKUP(K525,Datos!$A:$C,2,FALSE)</f>
        <v>#N/A</v>
      </c>
      <c r="N525" s="9" t="e">
        <f>+VLOOKUP(M525,Datos!$F:$G,2,FALSE)</f>
        <v>#N/A</v>
      </c>
      <c r="O525" s="10">
        <f>IFERROR(IF(A525="SI",VLOOKUP(R525,Datos!$J$1:$K$50,2,FALSE)*C525,VLOOKUP(R525,Datos!$P$1:$T$50,2,FALSE)*C525),0)</f>
        <v>0</v>
      </c>
      <c r="P525" s="6"/>
      <c r="Q525" s="9" t="e">
        <f>+VLOOKUP(P525,Datos!$F:$G,2,FALSE)</f>
        <v>#N/A</v>
      </c>
      <c r="T525" s="6">
        <f t="shared" si="8"/>
        <v>0</v>
      </c>
    </row>
    <row r="526" spans="1:20" x14ac:dyDescent="0.35">
      <c r="A526" s="6" t="s">
        <v>20</v>
      </c>
      <c r="D526" s="6" t="s">
        <v>22</v>
      </c>
      <c r="E526" s="6" t="s">
        <v>409</v>
      </c>
      <c r="F526" s="6" t="s">
        <v>409</v>
      </c>
      <c r="H526" s="8"/>
      <c r="I526" s="8"/>
      <c r="J526" s="9" t="e">
        <f>+VLOOKUP(K526,Datos!$A:$C,3,FALSE)</f>
        <v>#N/A</v>
      </c>
      <c r="L526" s="9" t="e">
        <f>+VLOOKUP(K526,Datos!$A:$C,2,FALSE)</f>
        <v>#N/A</v>
      </c>
      <c r="N526" s="9" t="e">
        <f>+VLOOKUP(M526,Datos!$F:$G,2,FALSE)</f>
        <v>#N/A</v>
      </c>
      <c r="O526" s="10">
        <f>IFERROR(IF(A526="SI",VLOOKUP(R526,Datos!$J$1:$K$50,2,FALSE)*C526,VLOOKUP(R526,Datos!$P$1:$T$50,2,FALSE)*C526),0)</f>
        <v>0</v>
      </c>
      <c r="P526" s="6"/>
      <c r="Q526" s="9" t="e">
        <f>+VLOOKUP(P526,Datos!$F:$G,2,FALSE)</f>
        <v>#N/A</v>
      </c>
      <c r="T526" s="6">
        <f t="shared" si="8"/>
        <v>0</v>
      </c>
    </row>
    <row r="527" spans="1:20" x14ac:dyDescent="0.35">
      <c r="A527" s="6" t="s">
        <v>20</v>
      </c>
      <c r="D527" s="6" t="s">
        <v>22</v>
      </c>
      <c r="E527" s="6" t="s">
        <v>409</v>
      </c>
      <c r="F527" s="6" t="s">
        <v>409</v>
      </c>
      <c r="H527" s="8"/>
      <c r="I527" s="8"/>
      <c r="J527" s="9" t="e">
        <f>+VLOOKUP(K527,Datos!$A:$C,3,FALSE)</f>
        <v>#N/A</v>
      </c>
      <c r="L527" s="9" t="e">
        <f>+VLOOKUP(K527,Datos!$A:$C,2,FALSE)</f>
        <v>#N/A</v>
      </c>
      <c r="N527" s="9" t="e">
        <f>+VLOOKUP(M527,Datos!$F:$G,2,FALSE)</f>
        <v>#N/A</v>
      </c>
      <c r="O527" s="10">
        <f>IFERROR(IF(A527="SI",VLOOKUP(R527,Datos!$J$1:$K$50,2,FALSE)*C527,VLOOKUP(R527,Datos!$P$1:$T$50,2,FALSE)*C527),0)</f>
        <v>0</v>
      </c>
      <c r="P527" s="6"/>
      <c r="Q527" s="9" t="e">
        <f>+VLOOKUP(P527,Datos!$F:$G,2,FALSE)</f>
        <v>#N/A</v>
      </c>
      <c r="T527" s="6">
        <f t="shared" si="8"/>
        <v>0</v>
      </c>
    </row>
    <row r="528" spans="1:20" x14ac:dyDescent="0.35">
      <c r="A528" s="6" t="s">
        <v>20</v>
      </c>
      <c r="D528" s="6" t="s">
        <v>22</v>
      </c>
      <c r="E528" s="6" t="s">
        <v>409</v>
      </c>
      <c r="F528" s="6" t="s">
        <v>409</v>
      </c>
      <c r="H528" s="8"/>
      <c r="I528" s="8"/>
      <c r="J528" s="9" t="e">
        <f>+VLOOKUP(K528,Datos!$A:$C,3,FALSE)</f>
        <v>#N/A</v>
      </c>
      <c r="L528" s="9" t="e">
        <f>+VLOOKUP(K528,Datos!$A:$C,2,FALSE)</f>
        <v>#N/A</v>
      </c>
      <c r="N528" s="9" t="e">
        <f>+VLOOKUP(M528,Datos!$F:$G,2,FALSE)</f>
        <v>#N/A</v>
      </c>
      <c r="O528" s="10">
        <f>IFERROR(IF(A528="SI",VLOOKUP(R528,Datos!$J$1:$K$50,2,FALSE)*C528,VLOOKUP(R528,Datos!$P$1:$T$50,2,FALSE)*C528),0)</f>
        <v>0</v>
      </c>
      <c r="P528" s="6"/>
      <c r="Q528" s="9" t="e">
        <f>+VLOOKUP(P528,Datos!$F:$G,2,FALSE)</f>
        <v>#N/A</v>
      </c>
      <c r="T528" s="6">
        <f t="shared" si="8"/>
        <v>0</v>
      </c>
    </row>
    <row r="529" spans="1:20" x14ac:dyDescent="0.35">
      <c r="A529" s="6" t="s">
        <v>20</v>
      </c>
      <c r="D529" s="6" t="s">
        <v>22</v>
      </c>
      <c r="E529" s="6" t="s">
        <v>409</v>
      </c>
      <c r="F529" s="6" t="s">
        <v>409</v>
      </c>
      <c r="H529" s="8"/>
      <c r="I529" s="8"/>
      <c r="J529" s="9" t="e">
        <f>+VLOOKUP(K529,Datos!$A:$C,3,FALSE)</f>
        <v>#N/A</v>
      </c>
      <c r="L529" s="9" t="e">
        <f>+VLOOKUP(K529,Datos!$A:$C,2,FALSE)</f>
        <v>#N/A</v>
      </c>
      <c r="N529" s="9" t="e">
        <f>+VLOOKUP(M529,Datos!$F:$G,2,FALSE)</f>
        <v>#N/A</v>
      </c>
      <c r="O529" s="10">
        <f>IFERROR(IF(A529="SI",VLOOKUP(R529,Datos!$J$1:$K$50,2,FALSE)*C529,VLOOKUP(R529,Datos!$P$1:$T$50,2,FALSE)*C529),0)</f>
        <v>0</v>
      </c>
      <c r="P529" s="6"/>
      <c r="Q529" s="9" t="e">
        <f>+VLOOKUP(P529,Datos!$F:$G,2,FALSE)</f>
        <v>#N/A</v>
      </c>
      <c r="T529" s="6">
        <f t="shared" si="8"/>
        <v>0</v>
      </c>
    </row>
    <row r="530" spans="1:20" x14ac:dyDescent="0.35">
      <c r="A530" s="6" t="s">
        <v>20</v>
      </c>
      <c r="D530" s="6" t="s">
        <v>22</v>
      </c>
      <c r="E530" s="6" t="s">
        <v>409</v>
      </c>
      <c r="F530" s="6" t="s">
        <v>409</v>
      </c>
      <c r="H530" s="8"/>
      <c r="I530" s="8"/>
      <c r="J530" s="9" t="e">
        <f>+VLOOKUP(K530,Datos!$A:$C,3,FALSE)</f>
        <v>#N/A</v>
      </c>
      <c r="L530" s="9" t="e">
        <f>+VLOOKUP(K530,Datos!$A:$C,2,FALSE)</f>
        <v>#N/A</v>
      </c>
      <c r="N530" s="9" t="e">
        <f>+VLOOKUP(M530,Datos!$F:$G,2,FALSE)</f>
        <v>#N/A</v>
      </c>
      <c r="O530" s="10">
        <f>IFERROR(IF(A530="SI",VLOOKUP(R530,Datos!$J$1:$K$50,2,FALSE)*C530,VLOOKUP(R530,Datos!$P$1:$T$50,2,FALSE)*C530),0)</f>
        <v>0</v>
      </c>
      <c r="P530" s="6"/>
      <c r="Q530" s="9" t="e">
        <f>+VLOOKUP(P530,Datos!$F:$G,2,FALSE)</f>
        <v>#N/A</v>
      </c>
      <c r="T530" s="6">
        <f t="shared" si="8"/>
        <v>0</v>
      </c>
    </row>
    <row r="531" spans="1:20" x14ac:dyDescent="0.35">
      <c r="A531" s="6" t="s">
        <v>20</v>
      </c>
      <c r="D531" s="6" t="s">
        <v>22</v>
      </c>
      <c r="E531" s="6" t="s">
        <v>409</v>
      </c>
      <c r="F531" s="6" t="s">
        <v>409</v>
      </c>
      <c r="H531" s="8"/>
      <c r="I531" s="8"/>
      <c r="J531" s="9" t="e">
        <f>+VLOOKUP(K531,Datos!$A:$C,3,FALSE)</f>
        <v>#N/A</v>
      </c>
      <c r="L531" s="9" t="e">
        <f>+VLOOKUP(K531,Datos!$A:$C,2,FALSE)</f>
        <v>#N/A</v>
      </c>
      <c r="N531" s="9" t="e">
        <f>+VLOOKUP(M531,Datos!$F:$G,2,FALSE)</f>
        <v>#N/A</v>
      </c>
      <c r="O531" s="10">
        <f>IFERROR(IF(A531="SI",VLOOKUP(R531,Datos!$J$1:$K$50,2,FALSE)*C531,VLOOKUP(R531,Datos!$P$1:$T$50,2,FALSE)*C531),0)</f>
        <v>0</v>
      </c>
      <c r="P531" s="6"/>
      <c r="Q531" s="9" t="e">
        <f>+VLOOKUP(P531,Datos!$F:$G,2,FALSE)</f>
        <v>#N/A</v>
      </c>
      <c r="T531" s="6">
        <f t="shared" si="8"/>
        <v>0</v>
      </c>
    </row>
    <row r="532" spans="1:20" x14ac:dyDescent="0.35">
      <c r="A532" s="6" t="s">
        <v>20</v>
      </c>
      <c r="D532" s="6" t="s">
        <v>22</v>
      </c>
      <c r="E532" s="6" t="s">
        <v>409</v>
      </c>
      <c r="F532" s="6" t="s">
        <v>409</v>
      </c>
      <c r="H532" s="8"/>
      <c r="I532" s="8"/>
      <c r="J532" s="9" t="e">
        <f>+VLOOKUP(K532,Datos!$A:$C,3,FALSE)</f>
        <v>#N/A</v>
      </c>
      <c r="L532" s="9" t="e">
        <f>+VLOOKUP(K532,Datos!$A:$C,2,FALSE)</f>
        <v>#N/A</v>
      </c>
      <c r="N532" s="9" t="e">
        <f>+VLOOKUP(M532,Datos!$F:$G,2,FALSE)</f>
        <v>#N/A</v>
      </c>
      <c r="O532" s="10">
        <f>IFERROR(IF(A532="SI",VLOOKUP(R532,Datos!$J$1:$K$50,2,FALSE)*C532,VLOOKUP(R532,Datos!$P$1:$T$50,2,FALSE)*C532),0)</f>
        <v>0</v>
      </c>
      <c r="P532" s="6"/>
      <c r="Q532" s="9" t="e">
        <f>+VLOOKUP(P532,Datos!$F:$G,2,FALSE)</f>
        <v>#N/A</v>
      </c>
      <c r="T532" s="6">
        <f t="shared" si="8"/>
        <v>0</v>
      </c>
    </row>
    <row r="533" spans="1:20" x14ac:dyDescent="0.35">
      <c r="A533" s="6" t="s">
        <v>20</v>
      </c>
      <c r="D533" s="6" t="s">
        <v>22</v>
      </c>
      <c r="E533" s="6" t="s">
        <v>409</v>
      </c>
      <c r="F533" s="6" t="s">
        <v>409</v>
      </c>
      <c r="H533" s="8"/>
      <c r="I533" s="8"/>
      <c r="J533" s="9" t="e">
        <f>+VLOOKUP(K533,Datos!$A:$C,3,FALSE)</f>
        <v>#N/A</v>
      </c>
      <c r="L533" s="9" t="e">
        <f>+VLOOKUP(K533,Datos!$A:$C,2,FALSE)</f>
        <v>#N/A</v>
      </c>
      <c r="N533" s="9" t="e">
        <f>+VLOOKUP(M533,Datos!$F:$G,2,FALSE)</f>
        <v>#N/A</v>
      </c>
      <c r="O533" s="10">
        <f>IFERROR(IF(A533="SI",VLOOKUP(R533,Datos!$J$1:$K$50,2,FALSE)*C533,VLOOKUP(R533,Datos!$P$1:$T$50,2,FALSE)*C533),0)</f>
        <v>0</v>
      </c>
      <c r="P533" s="6"/>
      <c r="Q533" s="9" t="e">
        <f>+VLOOKUP(P533,Datos!$F:$G,2,FALSE)</f>
        <v>#N/A</v>
      </c>
      <c r="T533" s="6">
        <f t="shared" si="8"/>
        <v>0</v>
      </c>
    </row>
    <row r="534" spans="1:20" x14ac:dyDescent="0.35">
      <c r="A534" s="6" t="s">
        <v>20</v>
      </c>
      <c r="D534" s="6" t="s">
        <v>22</v>
      </c>
      <c r="E534" s="6" t="s">
        <v>409</v>
      </c>
      <c r="F534" s="6" t="s">
        <v>409</v>
      </c>
      <c r="H534" s="8"/>
      <c r="I534" s="8"/>
      <c r="J534" s="9" t="e">
        <f>+VLOOKUP(K534,Datos!$A:$C,3,FALSE)</f>
        <v>#N/A</v>
      </c>
      <c r="L534" s="9" t="e">
        <f>+VLOOKUP(K534,Datos!$A:$C,2,FALSE)</f>
        <v>#N/A</v>
      </c>
      <c r="N534" s="9" t="e">
        <f>+VLOOKUP(M534,Datos!$F:$G,2,FALSE)</f>
        <v>#N/A</v>
      </c>
      <c r="O534" s="10">
        <f>IFERROR(IF(A534="SI",VLOOKUP(R534,Datos!$J$1:$K$50,2,FALSE)*C534,VLOOKUP(R534,Datos!$P$1:$T$50,2,FALSE)*C534),0)</f>
        <v>0</v>
      </c>
      <c r="P534" s="6"/>
      <c r="Q534" s="9" t="e">
        <f>+VLOOKUP(P534,Datos!$F:$G,2,FALSE)</f>
        <v>#N/A</v>
      </c>
      <c r="T534" s="6">
        <f t="shared" si="8"/>
        <v>0</v>
      </c>
    </row>
    <row r="535" spans="1:20" x14ac:dyDescent="0.35">
      <c r="A535" s="6" t="s">
        <v>20</v>
      </c>
      <c r="D535" s="6" t="s">
        <v>22</v>
      </c>
      <c r="E535" s="6" t="s">
        <v>409</v>
      </c>
      <c r="F535" s="6" t="s">
        <v>409</v>
      </c>
      <c r="H535" s="8"/>
      <c r="I535" s="8"/>
      <c r="J535" s="9" t="e">
        <f>+VLOOKUP(K535,Datos!$A:$C,3,FALSE)</f>
        <v>#N/A</v>
      </c>
      <c r="L535" s="9" t="e">
        <f>+VLOOKUP(K535,Datos!$A:$C,2,FALSE)</f>
        <v>#N/A</v>
      </c>
      <c r="N535" s="9" t="e">
        <f>+VLOOKUP(M535,Datos!$F:$G,2,FALSE)</f>
        <v>#N/A</v>
      </c>
      <c r="O535" s="10">
        <f>IFERROR(IF(A535="SI",VLOOKUP(R535,Datos!$J$1:$K$50,2,FALSE)*C535,VLOOKUP(R535,Datos!$P$1:$T$50,2,FALSE)*C535),0)</f>
        <v>0</v>
      </c>
      <c r="P535" s="6"/>
      <c r="Q535" s="9" t="e">
        <f>+VLOOKUP(P535,Datos!$F:$G,2,FALSE)</f>
        <v>#N/A</v>
      </c>
      <c r="T535" s="6">
        <f t="shared" si="8"/>
        <v>0</v>
      </c>
    </row>
    <row r="536" spans="1:20" x14ac:dyDescent="0.35">
      <c r="A536" s="6" t="s">
        <v>20</v>
      </c>
      <c r="D536" s="6" t="s">
        <v>22</v>
      </c>
      <c r="E536" s="6" t="s">
        <v>409</v>
      </c>
      <c r="F536" s="6" t="s">
        <v>409</v>
      </c>
      <c r="H536" s="8"/>
      <c r="I536" s="8"/>
      <c r="J536" s="9" t="e">
        <f>+VLOOKUP(K536,Datos!$A:$C,3,FALSE)</f>
        <v>#N/A</v>
      </c>
      <c r="L536" s="9" t="e">
        <f>+VLOOKUP(K536,Datos!$A:$C,2,FALSE)</f>
        <v>#N/A</v>
      </c>
      <c r="N536" s="9" t="e">
        <f>+VLOOKUP(M536,Datos!$F:$G,2,FALSE)</f>
        <v>#N/A</v>
      </c>
      <c r="O536" s="10">
        <f>IFERROR(IF(A536="SI",VLOOKUP(R536,Datos!$J$1:$K$50,2,FALSE)*C536,VLOOKUP(R536,Datos!$P$1:$T$50,2,FALSE)*C536),0)</f>
        <v>0</v>
      </c>
      <c r="P536" s="6"/>
      <c r="Q536" s="9" t="e">
        <f>+VLOOKUP(P536,Datos!$F:$G,2,FALSE)</f>
        <v>#N/A</v>
      </c>
      <c r="T536" s="6">
        <f t="shared" si="8"/>
        <v>0</v>
      </c>
    </row>
    <row r="537" spans="1:20" x14ac:dyDescent="0.35">
      <c r="A537" s="6" t="s">
        <v>20</v>
      </c>
      <c r="D537" s="6" t="s">
        <v>22</v>
      </c>
      <c r="E537" s="6" t="s">
        <v>409</v>
      </c>
      <c r="F537" s="6" t="s">
        <v>409</v>
      </c>
      <c r="H537" s="8"/>
      <c r="I537" s="8"/>
      <c r="J537" s="9" t="e">
        <f>+VLOOKUP(K537,Datos!$A:$C,3,FALSE)</f>
        <v>#N/A</v>
      </c>
      <c r="L537" s="9" t="e">
        <f>+VLOOKUP(K537,Datos!$A:$C,2,FALSE)</f>
        <v>#N/A</v>
      </c>
      <c r="N537" s="9" t="e">
        <f>+VLOOKUP(M537,Datos!$F:$G,2,FALSE)</f>
        <v>#N/A</v>
      </c>
      <c r="O537" s="10">
        <f>IFERROR(IF(A537="SI",VLOOKUP(R537,Datos!$J$1:$K$50,2,FALSE)*C537,VLOOKUP(R537,Datos!$P$1:$T$50,2,FALSE)*C537),0)</f>
        <v>0</v>
      </c>
      <c r="P537" s="6"/>
      <c r="Q537" s="9" t="e">
        <f>+VLOOKUP(P537,Datos!$F:$G,2,FALSE)</f>
        <v>#N/A</v>
      </c>
      <c r="T537" s="6">
        <f t="shared" si="8"/>
        <v>0</v>
      </c>
    </row>
    <row r="538" spans="1:20" x14ac:dyDescent="0.35">
      <c r="A538" s="6" t="s">
        <v>20</v>
      </c>
      <c r="D538" s="6" t="s">
        <v>22</v>
      </c>
      <c r="E538" s="6" t="s">
        <v>409</v>
      </c>
      <c r="F538" s="6" t="s">
        <v>409</v>
      </c>
      <c r="H538" s="8"/>
      <c r="I538" s="8"/>
      <c r="J538" s="9" t="e">
        <f>+VLOOKUP(K538,Datos!$A:$C,3,FALSE)</f>
        <v>#N/A</v>
      </c>
      <c r="L538" s="9" t="e">
        <f>+VLOOKUP(K538,Datos!$A:$C,2,FALSE)</f>
        <v>#N/A</v>
      </c>
      <c r="N538" s="9" t="e">
        <f>+VLOOKUP(M538,Datos!$F:$G,2,FALSE)</f>
        <v>#N/A</v>
      </c>
      <c r="O538" s="10">
        <f>IFERROR(IF(A538="SI",VLOOKUP(R538,Datos!$J$1:$K$50,2,FALSE)*C538,VLOOKUP(R538,Datos!$P$1:$T$50,2,FALSE)*C538),0)</f>
        <v>0</v>
      </c>
      <c r="P538" s="6"/>
      <c r="Q538" s="9" t="e">
        <f>+VLOOKUP(P538,Datos!$F:$G,2,FALSE)</f>
        <v>#N/A</v>
      </c>
      <c r="T538" s="6">
        <f t="shared" si="8"/>
        <v>0</v>
      </c>
    </row>
    <row r="539" spans="1:20" x14ac:dyDescent="0.35">
      <c r="A539" s="6" t="s">
        <v>20</v>
      </c>
      <c r="D539" s="6" t="s">
        <v>22</v>
      </c>
      <c r="E539" s="6" t="s">
        <v>409</v>
      </c>
      <c r="F539" s="6" t="s">
        <v>409</v>
      </c>
      <c r="H539" s="8"/>
      <c r="I539" s="8"/>
      <c r="J539" s="9" t="e">
        <f>+VLOOKUP(K539,Datos!$A:$C,3,FALSE)</f>
        <v>#N/A</v>
      </c>
      <c r="L539" s="9" t="e">
        <f>+VLOOKUP(K539,Datos!$A:$C,2,FALSE)</f>
        <v>#N/A</v>
      </c>
      <c r="N539" s="9" t="e">
        <f>+VLOOKUP(M539,Datos!$F:$G,2,FALSE)</f>
        <v>#N/A</v>
      </c>
      <c r="O539" s="10">
        <f>IFERROR(IF(A539="SI",VLOOKUP(R539,Datos!$J$1:$K$50,2,FALSE)*C539,VLOOKUP(R539,Datos!$P$1:$T$50,2,FALSE)*C539),0)</f>
        <v>0</v>
      </c>
      <c r="P539" s="6"/>
      <c r="Q539" s="9" t="e">
        <f>+VLOOKUP(P539,Datos!$F:$G,2,FALSE)</f>
        <v>#N/A</v>
      </c>
      <c r="T539" s="6">
        <f t="shared" si="8"/>
        <v>0</v>
      </c>
    </row>
    <row r="540" spans="1:20" x14ac:dyDescent="0.35">
      <c r="A540" s="6" t="s">
        <v>20</v>
      </c>
      <c r="D540" s="6" t="s">
        <v>22</v>
      </c>
      <c r="E540" s="6" t="s">
        <v>409</v>
      </c>
      <c r="F540" s="6" t="s">
        <v>409</v>
      </c>
      <c r="H540" s="8"/>
      <c r="I540" s="8"/>
      <c r="J540" s="9" t="e">
        <f>+VLOOKUP(K540,Datos!$A:$C,3,FALSE)</f>
        <v>#N/A</v>
      </c>
      <c r="L540" s="9" t="e">
        <f>+VLOOKUP(K540,Datos!$A:$C,2,FALSE)</f>
        <v>#N/A</v>
      </c>
      <c r="N540" s="9" t="e">
        <f>+VLOOKUP(M540,Datos!$F:$G,2,FALSE)</f>
        <v>#N/A</v>
      </c>
      <c r="O540" s="10">
        <f>IFERROR(IF(A540="SI",VLOOKUP(R540,Datos!$J$1:$K$50,2,FALSE)*C540,VLOOKUP(R540,Datos!$P$1:$T$50,2,FALSE)*C540),0)</f>
        <v>0</v>
      </c>
      <c r="P540" s="6"/>
      <c r="Q540" s="9" t="e">
        <f>+VLOOKUP(P540,Datos!$F:$G,2,FALSE)</f>
        <v>#N/A</v>
      </c>
      <c r="T540" s="6">
        <f t="shared" si="8"/>
        <v>0</v>
      </c>
    </row>
    <row r="541" spans="1:20" x14ac:dyDescent="0.35">
      <c r="A541" s="6" t="s">
        <v>20</v>
      </c>
      <c r="D541" s="6" t="s">
        <v>22</v>
      </c>
      <c r="E541" s="6" t="s">
        <v>409</v>
      </c>
      <c r="F541" s="6" t="s">
        <v>409</v>
      </c>
      <c r="H541" s="8"/>
      <c r="I541" s="8"/>
      <c r="J541" s="9" t="e">
        <f>+VLOOKUP(K541,Datos!$A:$C,3,FALSE)</f>
        <v>#N/A</v>
      </c>
      <c r="L541" s="9" t="e">
        <f>+VLOOKUP(K541,Datos!$A:$C,2,FALSE)</f>
        <v>#N/A</v>
      </c>
      <c r="N541" s="9" t="e">
        <f>+VLOOKUP(M541,Datos!$F:$G,2,FALSE)</f>
        <v>#N/A</v>
      </c>
      <c r="O541" s="10">
        <f>IFERROR(IF(A541="SI",VLOOKUP(R541,Datos!$J$1:$K$50,2,FALSE)*C541,VLOOKUP(R541,Datos!$P$1:$T$50,2,FALSE)*C541),0)</f>
        <v>0</v>
      </c>
      <c r="P541" s="6"/>
      <c r="Q541" s="9" t="e">
        <f>+VLOOKUP(P541,Datos!$F:$G,2,FALSE)</f>
        <v>#N/A</v>
      </c>
      <c r="T541" s="6">
        <f t="shared" si="8"/>
        <v>0</v>
      </c>
    </row>
    <row r="542" spans="1:20" x14ac:dyDescent="0.35">
      <c r="A542" s="6" t="s">
        <v>20</v>
      </c>
      <c r="D542" s="6" t="s">
        <v>22</v>
      </c>
      <c r="E542" s="6" t="s">
        <v>409</v>
      </c>
      <c r="F542" s="6" t="s">
        <v>409</v>
      </c>
      <c r="H542" s="8"/>
      <c r="I542" s="8"/>
      <c r="J542" s="9" t="e">
        <f>+VLOOKUP(K542,Datos!$A:$C,3,FALSE)</f>
        <v>#N/A</v>
      </c>
      <c r="L542" s="9" t="e">
        <f>+VLOOKUP(K542,Datos!$A:$C,2,FALSE)</f>
        <v>#N/A</v>
      </c>
      <c r="N542" s="9" t="e">
        <f>+VLOOKUP(M542,Datos!$F:$G,2,FALSE)</f>
        <v>#N/A</v>
      </c>
      <c r="O542" s="10">
        <f>IFERROR(IF(A542="SI",VLOOKUP(R542,Datos!$J$1:$K$50,2,FALSE)*C542,VLOOKUP(R542,Datos!$P$1:$T$50,2,FALSE)*C542),0)</f>
        <v>0</v>
      </c>
      <c r="P542" s="6"/>
      <c r="Q542" s="9" t="e">
        <f>+VLOOKUP(P542,Datos!$F:$G,2,FALSE)</f>
        <v>#N/A</v>
      </c>
      <c r="T542" s="6">
        <f t="shared" si="8"/>
        <v>0</v>
      </c>
    </row>
    <row r="543" spans="1:20" x14ac:dyDescent="0.35">
      <c r="A543" s="6" t="s">
        <v>20</v>
      </c>
      <c r="D543" s="6" t="s">
        <v>22</v>
      </c>
      <c r="E543" s="6" t="s">
        <v>409</v>
      </c>
      <c r="F543" s="6" t="s">
        <v>409</v>
      </c>
      <c r="H543" s="8"/>
      <c r="I543" s="8"/>
      <c r="J543" s="9" t="e">
        <f>+VLOOKUP(K543,Datos!$A:$C,3,FALSE)</f>
        <v>#N/A</v>
      </c>
      <c r="L543" s="9" t="e">
        <f>+VLOOKUP(K543,Datos!$A:$C,2,FALSE)</f>
        <v>#N/A</v>
      </c>
      <c r="N543" s="9" t="e">
        <f>+VLOOKUP(M543,Datos!$F:$G,2,FALSE)</f>
        <v>#N/A</v>
      </c>
      <c r="O543" s="10">
        <f>IFERROR(IF(A543="SI",VLOOKUP(R543,Datos!$J$1:$K$50,2,FALSE)*C543,VLOOKUP(R543,Datos!$P$1:$T$50,2,FALSE)*C543),0)</f>
        <v>0</v>
      </c>
      <c r="P543" s="6"/>
      <c r="Q543" s="9" t="e">
        <f>+VLOOKUP(P543,Datos!$F:$G,2,FALSE)</f>
        <v>#N/A</v>
      </c>
      <c r="T543" s="6">
        <f t="shared" si="8"/>
        <v>0</v>
      </c>
    </row>
    <row r="544" spans="1:20" x14ac:dyDescent="0.35">
      <c r="A544" s="6" t="s">
        <v>20</v>
      </c>
      <c r="D544" s="6" t="s">
        <v>22</v>
      </c>
      <c r="E544" s="6" t="s">
        <v>409</v>
      </c>
      <c r="F544" s="6" t="s">
        <v>409</v>
      </c>
      <c r="H544" s="8"/>
      <c r="I544" s="8"/>
      <c r="J544" s="9" t="e">
        <f>+VLOOKUP(K544,Datos!$A:$C,3,FALSE)</f>
        <v>#N/A</v>
      </c>
      <c r="L544" s="9" t="e">
        <f>+VLOOKUP(K544,Datos!$A:$C,2,FALSE)</f>
        <v>#N/A</v>
      </c>
      <c r="N544" s="9" t="e">
        <f>+VLOOKUP(M544,Datos!$F:$G,2,FALSE)</f>
        <v>#N/A</v>
      </c>
      <c r="O544" s="10">
        <f>IFERROR(IF(A544="SI",VLOOKUP(R544,Datos!$J$1:$K$50,2,FALSE)*C544,VLOOKUP(R544,Datos!$P$1:$T$50,2,FALSE)*C544),0)</f>
        <v>0</v>
      </c>
      <c r="P544" s="6"/>
      <c r="Q544" s="9" t="e">
        <f>+VLOOKUP(P544,Datos!$F:$G,2,FALSE)</f>
        <v>#N/A</v>
      </c>
      <c r="T544" s="6">
        <f t="shared" si="8"/>
        <v>0</v>
      </c>
    </row>
    <row r="545" spans="1:20" x14ac:dyDescent="0.35">
      <c r="A545" s="6" t="s">
        <v>20</v>
      </c>
      <c r="D545" s="6" t="s">
        <v>22</v>
      </c>
      <c r="E545" s="6" t="s">
        <v>409</v>
      </c>
      <c r="F545" s="6" t="s">
        <v>409</v>
      </c>
      <c r="H545" s="8"/>
      <c r="I545" s="8"/>
      <c r="J545" s="9" t="e">
        <f>+VLOOKUP(K545,Datos!$A:$C,3,FALSE)</f>
        <v>#N/A</v>
      </c>
      <c r="L545" s="9" t="e">
        <f>+VLOOKUP(K545,Datos!$A:$C,2,FALSE)</f>
        <v>#N/A</v>
      </c>
      <c r="N545" s="9" t="e">
        <f>+VLOOKUP(M545,Datos!$F:$G,2,FALSE)</f>
        <v>#N/A</v>
      </c>
      <c r="O545" s="10">
        <f>IFERROR(IF(A545="SI",VLOOKUP(R545,Datos!$J$1:$K$50,2,FALSE)*C545,VLOOKUP(R545,Datos!$P$1:$T$50,2,FALSE)*C545),0)</f>
        <v>0</v>
      </c>
      <c r="P545" s="6"/>
      <c r="Q545" s="9" t="e">
        <f>+VLOOKUP(P545,Datos!$F:$G,2,FALSE)</f>
        <v>#N/A</v>
      </c>
      <c r="T545" s="6">
        <f t="shared" si="8"/>
        <v>0</v>
      </c>
    </row>
    <row r="546" spans="1:20" x14ac:dyDescent="0.35">
      <c r="A546" s="6" t="s">
        <v>20</v>
      </c>
      <c r="D546" s="6" t="s">
        <v>22</v>
      </c>
      <c r="E546" s="6" t="s">
        <v>409</v>
      </c>
      <c r="F546" s="6" t="s">
        <v>409</v>
      </c>
      <c r="H546" s="8"/>
      <c r="I546" s="8"/>
      <c r="J546" s="9" t="e">
        <f>+VLOOKUP(K546,Datos!$A:$C,3,FALSE)</f>
        <v>#N/A</v>
      </c>
      <c r="L546" s="9" t="e">
        <f>+VLOOKUP(K546,Datos!$A:$C,2,FALSE)</f>
        <v>#N/A</v>
      </c>
      <c r="N546" s="9" t="e">
        <f>+VLOOKUP(M546,Datos!$F:$G,2,FALSE)</f>
        <v>#N/A</v>
      </c>
      <c r="O546" s="10">
        <f>IFERROR(IF(A546="SI",VLOOKUP(R546,Datos!$J$1:$K$50,2,FALSE)*C546,VLOOKUP(R546,Datos!$P$1:$T$50,2,FALSE)*C546),0)</f>
        <v>0</v>
      </c>
      <c r="P546" s="6"/>
      <c r="Q546" s="9" t="e">
        <f>+VLOOKUP(P546,Datos!$F:$G,2,FALSE)</f>
        <v>#N/A</v>
      </c>
      <c r="T546" s="6">
        <f t="shared" si="8"/>
        <v>0</v>
      </c>
    </row>
    <row r="547" spans="1:20" x14ac:dyDescent="0.35">
      <c r="A547" s="6" t="s">
        <v>20</v>
      </c>
      <c r="D547" s="6" t="s">
        <v>22</v>
      </c>
      <c r="E547" s="6" t="s">
        <v>409</v>
      </c>
      <c r="F547" s="6" t="s">
        <v>409</v>
      </c>
      <c r="H547" s="8"/>
      <c r="I547" s="8"/>
      <c r="J547" s="9" t="e">
        <f>+VLOOKUP(K547,Datos!$A:$C,3,FALSE)</f>
        <v>#N/A</v>
      </c>
      <c r="L547" s="9" t="e">
        <f>+VLOOKUP(K547,Datos!$A:$C,2,FALSE)</f>
        <v>#N/A</v>
      </c>
      <c r="N547" s="9" t="e">
        <f>+VLOOKUP(M547,Datos!$F:$G,2,FALSE)</f>
        <v>#N/A</v>
      </c>
      <c r="O547" s="10">
        <f>IFERROR(IF(A547="SI",VLOOKUP(R547,Datos!$J$1:$K$50,2,FALSE)*C547,VLOOKUP(R547,Datos!$P$1:$T$50,2,FALSE)*C547),0)</f>
        <v>0</v>
      </c>
      <c r="P547" s="6"/>
      <c r="Q547" s="9" t="e">
        <f>+VLOOKUP(P547,Datos!$F:$G,2,FALSE)</f>
        <v>#N/A</v>
      </c>
      <c r="T547" s="6">
        <f t="shared" si="8"/>
        <v>0</v>
      </c>
    </row>
    <row r="548" spans="1:20" x14ac:dyDescent="0.35">
      <c r="A548" s="6" t="s">
        <v>20</v>
      </c>
      <c r="D548" s="6" t="s">
        <v>22</v>
      </c>
      <c r="E548" s="6" t="s">
        <v>409</v>
      </c>
      <c r="F548" s="6" t="s">
        <v>409</v>
      </c>
      <c r="H548" s="8"/>
      <c r="I548" s="8"/>
      <c r="J548" s="9" t="e">
        <f>+VLOOKUP(K548,Datos!$A:$C,3,FALSE)</f>
        <v>#N/A</v>
      </c>
      <c r="L548" s="9" t="e">
        <f>+VLOOKUP(K548,Datos!$A:$C,2,FALSE)</f>
        <v>#N/A</v>
      </c>
      <c r="N548" s="9" t="e">
        <f>+VLOOKUP(M548,Datos!$F:$G,2,FALSE)</f>
        <v>#N/A</v>
      </c>
      <c r="O548" s="10">
        <f>IFERROR(IF(A548="SI",VLOOKUP(R548,Datos!$J$1:$K$50,2,FALSE)*C548,VLOOKUP(R548,Datos!$P$1:$T$50,2,FALSE)*C548),0)</f>
        <v>0</v>
      </c>
      <c r="P548" s="6"/>
      <c r="Q548" s="9" t="e">
        <f>+VLOOKUP(P548,Datos!$F:$G,2,FALSE)</f>
        <v>#N/A</v>
      </c>
      <c r="T548" s="6">
        <f t="shared" si="8"/>
        <v>0</v>
      </c>
    </row>
    <row r="549" spans="1:20" x14ac:dyDescent="0.35">
      <c r="A549" s="6" t="s">
        <v>20</v>
      </c>
      <c r="D549" s="6" t="s">
        <v>22</v>
      </c>
      <c r="E549" s="6" t="s">
        <v>409</v>
      </c>
      <c r="F549" s="6" t="s">
        <v>409</v>
      </c>
      <c r="H549" s="8"/>
      <c r="I549" s="8"/>
      <c r="J549" s="9" t="e">
        <f>+VLOOKUP(K549,Datos!$A:$C,3,FALSE)</f>
        <v>#N/A</v>
      </c>
      <c r="L549" s="9" t="e">
        <f>+VLOOKUP(K549,Datos!$A:$C,2,FALSE)</f>
        <v>#N/A</v>
      </c>
      <c r="N549" s="9" t="e">
        <f>+VLOOKUP(M549,Datos!$F:$G,2,FALSE)</f>
        <v>#N/A</v>
      </c>
      <c r="O549" s="10">
        <f>IFERROR(IF(A549="SI",VLOOKUP(R549,Datos!$J$1:$K$50,2,FALSE)*C549,VLOOKUP(R549,Datos!$P$1:$T$50,2,FALSE)*C549),0)</f>
        <v>0</v>
      </c>
      <c r="P549" s="6"/>
      <c r="Q549" s="9" t="e">
        <f>+VLOOKUP(P549,Datos!$F:$G,2,FALSE)</f>
        <v>#N/A</v>
      </c>
      <c r="T549" s="6">
        <f t="shared" si="8"/>
        <v>0</v>
      </c>
    </row>
    <row r="550" spans="1:20" x14ac:dyDescent="0.35">
      <c r="A550" s="6" t="s">
        <v>20</v>
      </c>
      <c r="D550" s="6" t="s">
        <v>22</v>
      </c>
      <c r="E550" s="6" t="s">
        <v>409</v>
      </c>
      <c r="F550" s="6" t="s">
        <v>409</v>
      </c>
      <c r="H550" s="8"/>
      <c r="I550" s="8"/>
      <c r="J550" s="9" t="e">
        <f>+VLOOKUP(K550,Datos!$A:$C,3,FALSE)</f>
        <v>#N/A</v>
      </c>
      <c r="L550" s="9" t="e">
        <f>+VLOOKUP(K550,Datos!$A:$C,2,FALSE)</f>
        <v>#N/A</v>
      </c>
      <c r="N550" s="9" t="e">
        <f>+VLOOKUP(M550,Datos!$F:$G,2,FALSE)</f>
        <v>#N/A</v>
      </c>
      <c r="O550" s="10">
        <f>IFERROR(IF(A550="SI",VLOOKUP(R550,Datos!$J$1:$K$50,2,FALSE)*C550,VLOOKUP(R550,Datos!$P$1:$T$50,2,FALSE)*C550),0)</f>
        <v>0</v>
      </c>
      <c r="P550" s="6"/>
      <c r="Q550" s="9" t="e">
        <f>+VLOOKUP(P550,Datos!$F:$G,2,FALSE)</f>
        <v>#N/A</v>
      </c>
      <c r="T550" s="6">
        <f t="shared" si="8"/>
        <v>0</v>
      </c>
    </row>
    <row r="551" spans="1:20" x14ac:dyDescent="0.35">
      <c r="A551" s="6" t="s">
        <v>20</v>
      </c>
      <c r="D551" s="6" t="s">
        <v>22</v>
      </c>
      <c r="E551" s="6" t="s">
        <v>409</v>
      </c>
      <c r="F551" s="6" t="s">
        <v>409</v>
      </c>
      <c r="H551" s="8"/>
      <c r="I551" s="8"/>
      <c r="J551" s="9" t="e">
        <f>+VLOOKUP(K551,Datos!$A:$C,3,FALSE)</f>
        <v>#N/A</v>
      </c>
      <c r="L551" s="9" t="e">
        <f>+VLOOKUP(K551,Datos!$A:$C,2,FALSE)</f>
        <v>#N/A</v>
      </c>
      <c r="N551" s="9" t="e">
        <f>+VLOOKUP(M551,Datos!$F:$G,2,FALSE)</f>
        <v>#N/A</v>
      </c>
      <c r="O551" s="10">
        <f>IFERROR(IF(A551="SI",VLOOKUP(R551,Datos!$J$1:$K$50,2,FALSE)*C551,VLOOKUP(R551,Datos!$P$1:$T$50,2,FALSE)*C551),0)</f>
        <v>0</v>
      </c>
      <c r="P551" s="6"/>
      <c r="Q551" s="9" t="e">
        <f>+VLOOKUP(P551,Datos!$F:$G,2,FALSE)</f>
        <v>#N/A</v>
      </c>
      <c r="T551" s="6">
        <f t="shared" ref="T551:T614" si="9">+COUNTIFS($G$2:$G$623,G551)</f>
        <v>0</v>
      </c>
    </row>
    <row r="552" spans="1:20" x14ac:dyDescent="0.35">
      <c r="A552" s="6" t="s">
        <v>20</v>
      </c>
      <c r="D552" s="6" t="s">
        <v>22</v>
      </c>
      <c r="E552" s="6" t="s">
        <v>409</v>
      </c>
      <c r="F552" s="6" t="s">
        <v>409</v>
      </c>
      <c r="H552" s="8"/>
      <c r="I552" s="8"/>
      <c r="J552" s="9" t="e">
        <f>+VLOOKUP(K552,Datos!$A:$C,3,FALSE)</f>
        <v>#N/A</v>
      </c>
      <c r="L552" s="9" t="e">
        <f>+VLOOKUP(K552,Datos!$A:$C,2,FALSE)</f>
        <v>#N/A</v>
      </c>
      <c r="N552" s="9" t="e">
        <f>+VLOOKUP(M552,Datos!$F:$G,2,FALSE)</f>
        <v>#N/A</v>
      </c>
      <c r="O552" s="10">
        <f>IFERROR(IF(A552="SI",VLOOKUP(R552,Datos!$J$1:$K$50,2,FALSE)*C552,VLOOKUP(R552,Datos!$P$1:$T$50,2,FALSE)*C552),0)</f>
        <v>0</v>
      </c>
      <c r="P552" s="6"/>
      <c r="Q552" s="9" t="e">
        <f>+VLOOKUP(P552,Datos!$F:$G,2,FALSE)</f>
        <v>#N/A</v>
      </c>
      <c r="T552" s="6">
        <f t="shared" si="9"/>
        <v>0</v>
      </c>
    </row>
    <row r="553" spans="1:20" x14ac:dyDescent="0.35">
      <c r="A553" s="6" t="s">
        <v>20</v>
      </c>
      <c r="D553" s="6" t="s">
        <v>22</v>
      </c>
      <c r="E553" s="6" t="s">
        <v>409</v>
      </c>
      <c r="F553" s="6" t="s">
        <v>409</v>
      </c>
      <c r="H553" s="8"/>
      <c r="I553" s="8"/>
      <c r="J553" s="9" t="e">
        <f>+VLOOKUP(K553,Datos!$A:$C,3,FALSE)</f>
        <v>#N/A</v>
      </c>
      <c r="L553" s="9" t="e">
        <f>+VLOOKUP(K553,Datos!$A:$C,2,FALSE)</f>
        <v>#N/A</v>
      </c>
      <c r="N553" s="9" t="e">
        <f>+VLOOKUP(M553,Datos!$F:$G,2,FALSE)</f>
        <v>#N/A</v>
      </c>
      <c r="O553" s="10">
        <f>IFERROR(IF(A553="SI",VLOOKUP(R553,Datos!$J$1:$K$50,2,FALSE)*C553,VLOOKUP(R553,Datos!$P$1:$T$50,2,FALSE)*C553),0)</f>
        <v>0</v>
      </c>
      <c r="P553" s="6"/>
      <c r="Q553" s="9" t="e">
        <f>+VLOOKUP(P553,Datos!$F:$G,2,FALSE)</f>
        <v>#N/A</v>
      </c>
      <c r="T553" s="6">
        <f t="shared" si="9"/>
        <v>0</v>
      </c>
    </row>
    <row r="554" spans="1:20" x14ac:dyDescent="0.35">
      <c r="A554" s="6" t="s">
        <v>20</v>
      </c>
      <c r="D554" s="6" t="s">
        <v>22</v>
      </c>
      <c r="E554" s="6" t="s">
        <v>409</v>
      </c>
      <c r="F554" s="6" t="s">
        <v>409</v>
      </c>
      <c r="H554" s="8"/>
      <c r="I554" s="8"/>
      <c r="J554" s="9" t="e">
        <f>+VLOOKUP(K554,Datos!$A:$C,3,FALSE)</f>
        <v>#N/A</v>
      </c>
      <c r="L554" s="9" t="e">
        <f>+VLOOKUP(K554,Datos!$A:$C,2,FALSE)</f>
        <v>#N/A</v>
      </c>
      <c r="N554" s="9" t="e">
        <f>+VLOOKUP(M554,Datos!$F:$G,2,FALSE)</f>
        <v>#N/A</v>
      </c>
      <c r="O554" s="10">
        <f>IFERROR(IF(A554="SI",VLOOKUP(R554,Datos!$J$1:$K$50,2,FALSE)*C554,VLOOKUP(R554,Datos!$P$1:$T$50,2,FALSE)*C554),0)</f>
        <v>0</v>
      </c>
      <c r="P554" s="6"/>
      <c r="Q554" s="9" t="e">
        <f>+VLOOKUP(P554,Datos!$F:$G,2,FALSE)</f>
        <v>#N/A</v>
      </c>
      <c r="T554" s="6">
        <f t="shared" si="9"/>
        <v>0</v>
      </c>
    </row>
    <row r="555" spans="1:20" x14ac:dyDescent="0.35">
      <c r="A555" s="6" t="s">
        <v>20</v>
      </c>
      <c r="D555" s="6" t="s">
        <v>22</v>
      </c>
      <c r="E555" s="6" t="s">
        <v>409</v>
      </c>
      <c r="F555" s="6" t="s">
        <v>409</v>
      </c>
      <c r="H555" s="8"/>
      <c r="I555" s="8"/>
      <c r="J555" s="9" t="e">
        <f>+VLOOKUP(K555,Datos!$A:$C,3,FALSE)</f>
        <v>#N/A</v>
      </c>
      <c r="L555" s="9" t="e">
        <f>+VLOOKUP(K555,Datos!$A:$C,2,FALSE)</f>
        <v>#N/A</v>
      </c>
      <c r="N555" s="9" t="e">
        <f>+VLOOKUP(M555,Datos!$F:$G,2,FALSE)</f>
        <v>#N/A</v>
      </c>
      <c r="O555" s="10">
        <f>IFERROR(IF(A555="SI",VLOOKUP(R555,Datos!$J$1:$K$50,2,FALSE)*C555,VLOOKUP(R555,Datos!$P$1:$T$50,2,FALSE)*C555),0)</f>
        <v>0</v>
      </c>
      <c r="P555" s="6"/>
      <c r="Q555" s="9" t="e">
        <f>+VLOOKUP(P555,Datos!$F:$G,2,FALSE)</f>
        <v>#N/A</v>
      </c>
      <c r="T555" s="6">
        <f t="shared" si="9"/>
        <v>0</v>
      </c>
    </row>
    <row r="556" spans="1:20" x14ac:dyDescent="0.35">
      <c r="A556" s="6" t="s">
        <v>20</v>
      </c>
      <c r="D556" s="6" t="s">
        <v>22</v>
      </c>
      <c r="E556" s="6" t="s">
        <v>409</v>
      </c>
      <c r="F556" s="6" t="s">
        <v>409</v>
      </c>
      <c r="H556" s="8"/>
      <c r="I556" s="8"/>
      <c r="J556" s="9" t="e">
        <f>+VLOOKUP(K556,Datos!$A:$C,3,FALSE)</f>
        <v>#N/A</v>
      </c>
      <c r="L556" s="9" t="e">
        <f>+VLOOKUP(K556,Datos!$A:$C,2,FALSE)</f>
        <v>#N/A</v>
      </c>
      <c r="N556" s="9" t="e">
        <f>+VLOOKUP(M556,Datos!$F:$G,2,FALSE)</f>
        <v>#N/A</v>
      </c>
      <c r="O556" s="10">
        <f>IFERROR(IF(A556="SI",VLOOKUP(R556,Datos!$J$1:$K$50,2,FALSE)*C556,VLOOKUP(R556,Datos!$P$1:$T$50,2,FALSE)*C556),0)</f>
        <v>0</v>
      </c>
      <c r="P556" s="6"/>
      <c r="Q556" s="9" t="e">
        <f>+VLOOKUP(P556,Datos!$F:$G,2,FALSE)</f>
        <v>#N/A</v>
      </c>
      <c r="T556" s="6">
        <f t="shared" si="9"/>
        <v>0</v>
      </c>
    </row>
    <row r="557" spans="1:20" x14ac:dyDescent="0.35">
      <c r="A557" s="6" t="s">
        <v>20</v>
      </c>
      <c r="D557" s="6" t="s">
        <v>22</v>
      </c>
      <c r="E557" s="6" t="s">
        <v>409</v>
      </c>
      <c r="F557" s="6" t="s">
        <v>409</v>
      </c>
      <c r="H557" s="8"/>
      <c r="I557" s="8"/>
      <c r="J557" s="9" t="e">
        <f>+VLOOKUP(K557,Datos!$A:$C,3,FALSE)</f>
        <v>#N/A</v>
      </c>
      <c r="L557" s="9" t="e">
        <f>+VLOOKUP(K557,Datos!$A:$C,2,FALSE)</f>
        <v>#N/A</v>
      </c>
      <c r="N557" s="9" t="e">
        <f>+VLOOKUP(M557,Datos!$F:$G,2,FALSE)</f>
        <v>#N/A</v>
      </c>
      <c r="O557" s="10">
        <f>IFERROR(IF(A557="SI",VLOOKUP(R557,Datos!$J$1:$K$50,2,FALSE)*C557,VLOOKUP(R557,Datos!$P$1:$T$50,2,FALSE)*C557),0)</f>
        <v>0</v>
      </c>
      <c r="P557" s="6"/>
      <c r="Q557" s="9" t="e">
        <f>+VLOOKUP(P557,Datos!$F:$G,2,FALSE)</f>
        <v>#N/A</v>
      </c>
      <c r="T557" s="6">
        <f t="shared" si="9"/>
        <v>0</v>
      </c>
    </row>
    <row r="558" spans="1:20" x14ac:dyDescent="0.35">
      <c r="A558" s="6" t="s">
        <v>20</v>
      </c>
      <c r="D558" s="6" t="s">
        <v>22</v>
      </c>
      <c r="E558" s="6" t="s">
        <v>409</v>
      </c>
      <c r="F558" s="6" t="s">
        <v>409</v>
      </c>
      <c r="H558" s="8"/>
      <c r="I558" s="8"/>
      <c r="J558" s="9" t="e">
        <f>+VLOOKUP(K558,Datos!$A:$C,3,FALSE)</f>
        <v>#N/A</v>
      </c>
      <c r="L558" s="9" t="e">
        <f>+VLOOKUP(K558,Datos!$A:$C,2,FALSE)</f>
        <v>#N/A</v>
      </c>
      <c r="N558" s="9" t="e">
        <f>+VLOOKUP(M558,Datos!$F:$G,2,FALSE)</f>
        <v>#N/A</v>
      </c>
      <c r="O558" s="10">
        <f>IFERROR(IF(A558="SI",VLOOKUP(R558,Datos!$J$1:$K$50,2,FALSE)*C558,VLOOKUP(R558,Datos!$P$1:$T$50,2,FALSE)*C558),0)</f>
        <v>0</v>
      </c>
      <c r="P558" s="6"/>
      <c r="Q558" s="9" t="e">
        <f>+VLOOKUP(P558,Datos!$F:$G,2,FALSE)</f>
        <v>#N/A</v>
      </c>
      <c r="T558" s="6">
        <f t="shared" si="9"/>
        <v>0</v>
      </c>
    </row>
    <row r="559" spans="1:20" x14ac:dyDescent="0.35">
      <c r="A559" s="6" t="s">
        <v>20</v>
      </c>
      <c r="D559" s="6" t="s">
        <v>22</v>
      </c>
      <c r="E559" s="6" t="s">
        <v>409</v>
      </c>
      <c r="F559" s="6" t="s">
        <v>409</v>
      </c>
      <c r="H559" s="8"/>
      <c r="I559" s="8"/>
      <c r="J559" s="9" t="e">
        <f>+VLOOKUP(K559,Datos!$A:$C,3,FALSE)</f>
        <v>#N/A</v>
      </c>
      <c r="L559" s="9" t="e">
        <f>+VLOOKUP(K559,Datos!$A:$C,2,FALSE)</f>
        <v>#N/A</v>
      </c>
      <c r="N559" s="9" t="e">
        <f>+VLOOKUP(M559,Datos!$F:$G,2,FALSE)</f>
        <v>#N/A</v>
      </c>
      <c r="O559" s="10">
        <f>IFERROR(IF(A559="SI",VLOOKUP(R559,Datos!$J$1:$K$50,2,FALSE)*C559,VLOOKUP(R559,Datos!$P$1:$T$50,2,FALSE)*C559),0)</f>
        <v>0</v>
      </c>
      <c r="P559" s="6"/>
      <c r="Q559" s="9" t="e">
        <f>+VLOOKUP(P559,Datos!$F:$G,2,FALSE)</f>
        <v>#N/A</v>
      </c>
      <c r="T559" s="6">
        <f t="shared" si="9"/>
        <v>0</v>
      </c>
    </row>
    <row r="560" spans="1:20" x14ac:dyDescent="0.35">
      <c r="A560" s="6" t="s">
        <v>20</v>
      </c>
      <c r="D560" s="6" t="s">
        <v>22</v>
      </c>
      <c r="E560" s="6" t="s">
        <v>409</v>
      </c>
      <c r="F560" s="6" t="s">
        <v>409</v>
      </c>
      <c r="H560" s="8"/>
      <c r="I560" s="8"/>
      <c r="J560" s="9" t="e">
        <f>+VLOOKUP(K560,Datos!$A:$C,3,FALSE)</f>
        <v>#N/A</v>
      </c>
      <c r="L560" s="9" t="e">
        <f>+VLOOKUP(K560,Datos!$A:$C,2,FALSE)</f>
        <v>#N/A</v>
      </c>
      <c r="N560" s="9" t="e">
        <f>+VLOOKUP(M560,Datos!$F:$G,2,FALSE)</f>
        <v>#N/A</v>
      </c>
      <c r="O560" s="10">
        <f>IFERROR(IF(A560="SI",VLOOKUP(R560,Datos!$J$1:$K$50,2,FALSE)*C560,VLOOKUP(R560,Datos!$P$1:$T$50,2,FALSE)*C560),0)</f>
        <v>0</v>
      </c>
      <c r="P560" s="6"/>
      <c r="Q560" s="9" t="e">
        <f>+VLOOKUP(P560,Datos!$F:$G,2,FALSE)</f>
        <v>#N/A</v>
      </c>
      <c r="T560" s="6">
        <f t="shared" si="9"/>
        <v>0</v>
      </c>
    </row>
    <row r="561" spans="1:20" x14ac:dyDescent="0.35">
      <c r="A561" s="6" t="s">
        <v>20</v>
      </c>
      <c r="D561" s="6" t="s">
        <v>22</v>
      </c>
      <c r="E561" s="6" t="s">
        <v>409</v>
      </c>
      <c r="F561" s="6" t="s">
        <v>409</v>
      </c>
      <c r="H561" s="8"/>
      <c r="I561" s="8"/>
      <c r="J561" s="9" t="e">
        <f>+VLOOKUP(K561,Datos!$A:$C,3,FALSE)</f>
        <v>#N/A</v>
      </c>
      <c r="L561" s="9" t="e">
        <f>+VLOOKUP(K561,Datos!$A:$C,2,FALSE)</f>
        <v>#N/A</v>
      </c>
      <c r="N561" s="9" t="e">
        <f>+VLOOKUP(M561,Datos!$F:$G,2,FALSE)</f>
        <v>#N/A</v>
      </c>
      <c r="O561" s="10">
        <f>IFERROR(IF(A561="SI",VLOOKUP(R561,Datos!$J$1:$K$50,2,FALSE)*C561,VLOOKUP(R561,Datos!$P$1:$T$50,2,FALSE)*C561),0)</f>
        <v>0</v>
      </c>
      <c r="P561" s="6"/>
      <c r="Q561" s="9" t="e">
        <f>+VLOOKUP(P561,Datos!$F:$G,2,FALSE)</f>
        <v>#N/A</v>
      </c>
      <c r="T561" s="6">
        <f t="shared" si="9"/>
        <v>0</v>
      </c>
    </row>
    <row r="562" spans="1:20" x14ac:dyDescent="0.35">
      <c r="A562" s="6" t="s">
        <v>20</v>
      </c>
      <c r="D562" s="6" t="s">
        <v>22</v>
      </c>
      <c r="E562" s="6" t="s">
        <v>409</v>
      </c>
      <c r="F562" s="6" t="s">
        <v>409</v>
      </c>
      <c r="H562" s="8"/>
      <c r="I562" s="8"/>
      <c r="J562" s="9" t="e">
        <f>+VLOOKUP(K562,Datos!$A:$C,3,FALSE)</f>
        <v>#N/A</v>
      </c>
      <c r="L562" s="9" t="e">
        <f>+VLOOKUP(K562,Datos!$A:$C,2,FALSE)</f>
        <v>#N/A</v>
      </c>
      <c r="N562" s="9" t="e">
        <f>+VLOOKUP(M562,Datos!$F:$G,2,FALSE)</f>
        <v>#N/A</v>
      </c>
      <c r="O562" s="10">
        <f>IFERROR(IF(A562="SI",VLOOKUP(R562,Datos!$J$1:$K$50,2,FALSE)*C562,VLOOKUP(R562,Datos!$P$1:$T$50,2,FALSE)*C562),0)</f>
        <v>0</v>
      </c>
      <c r="P562" s="6"/>
      <c r="Q562" s="9" t="e">
        <f>+VLOOKUP(P562,Datos!$F:$G,2,FALSE)</f>
        <v>#N/A</v>
      </c>
      <c r="T562" s="6">
        <f t="shared" si="9"/>
        <v>0</v>
      </c>
    </row>
    <row r="563" spans="1:20" x14ac:dyDescent="0.35">
      <c r="A563" s="6" t="s">
        <v>20</v>
      </c>
      <c r="D563" s="6" t="s">
        <v>22</v>
      </c>
      <c r="E563" s="6" t="s">
        <v>409</v>
      </c>
      <c r="F563" s="6" t="s">
        <v>409</v>
      </c>
      <c r="H563" s="8"/>
      <c r="I563" s="8"/>
      <c r="J563" s="9" t="e">
        <f>+VLOOKUP(K563,Datos!$A:$C,3,FALSE)</f>
        <v>#N/A</v>
      </c>
      <c r="L563" s="9" t="e">
        <f>+VLOOKUP(K563,Datos!$A:$C,2,FALSE)</f>
        <v>#N/A</v>
      </c>
      <c r="N563" s="9" t="e">
        <f>+VLOOKUP(M563,Datos!$F:$G,2,FALSE)</f>
        <v>#N/A</v>
      </c>
      <c r="O563" s="10">
        <f>IFERROR(IF(A563="SI",VLOOKUP(R563,Datos!$J$1:$K$50,2,FALSE)*C563,VLOOKUP(R563,Datos!$P$1:$T$50,2,FALSE)*C563),0)</f>
        <v>0</v>
      </c>
      <c r="P563" s="6"/>
      <c r="Q563" s="9" t="e">
        <f>+VLOOKUP(P563,Datos!$F:$G,2,FALSE)</f>
        <v>#N/A</v>
      </c>
      <c r="T563" s="6">
        <f t="shared" si="9"/>
        <v>0</v>
      </c>
    </row>
    <row r="564" spans="1:20" x14ac:dyDescent="0.35">
      <c r="A564" s="6" t="s">
        <v>20</v>
      </c>
      <c r="D564" s="6" t="s">
        <v>22</v>
      </c>
      <c r="E564" s="6" t="s">
        <v>409</v>
      </c>
      <c r="F564" s="6" t="s">
        <v>409</v>
      </c>
      <c r="H564" s="8"/>
      <c r="I564" s="8"/>
      <c r="J564" s="9" t="e">
        <f>+VLOOKUP(K564,Datos!$A:$C,3,FALSE)</f>
        <v>#N/A</v>
      </c>
      <c r="L564" s="9" t="e">
        <f>+VLOOKUP(K564,Datos!$A:$C,2,FALSE)</f>
        <v>#N/A</v>
      </c>
      <c r="N564" s="9" t="e">
        <f>+VLOOKUP(M564,Datos!$F:$G,2,FALSE)</f>
        <v>#N/A</v>
      </c>
      <c r="O564" s="10">
        <f>IFERROR(IF(A564="SI",VLOOKUP(R564,Datos!$J$1:$K$50,2,FALSE)*C564,VLOOKUP(R564,Datos!$P$1:$T$50,2,FALSE)*C564),0)</f>
        <v>0</v>
      </c>
      <c r="P564" s="6"/>
      <c r="Q564" s="9" t="e">
        <f>+VLOOKUP(P564,Datos!$F:$G,2,FALSE)</f>
        <v>#N/A</v>
      </c>
      <c r="T564" s="6">
        <f t="shared" si="9"/>
        <v>0</v>
      </c>
    </row>
    <row r="565" spans="1:20" x14ac:dyDescent="0.35">
      <c r="A565" s="6" t="s">
        <v>20</v>
      </c>
      <c r="D565" s="6" t="s">
        <v>22</v>
      </c>
      <c r="E565" s="6" t="s">
        <v>409</v>
      </c>
      <c r="F565" s="6" t="s">
        <v>409</v>
      </c>
      <c r="H565" s="8"/>
      <c r="I565" s="8"/>
      <c r="J565" s="9" t="e">
        <f>+VLOOKUP(K565,Datos!$A:$C,3,FALSE)</f>
        <v>#N/A</v>
      </c>
      <c r="L565" s="9" t="e">
        <f>+VLOOKUP(K565,Datos!$A:$C,2,FALSE)</f>
        <v>#N/A</v>
      </c>
      <c r="N565" s="9" t="e">
        <f>+VLOOKUP(M565,Datos!$F:$G,2,FALSE)</f>
        <v>#N/A</v>
      </c>
      <c r="O565" s="10">
        <f>IFERROR(IF(A565="SI",VLOOKUP(R565,Datos!$J$1:$K$50,2,FALSE)*C565,VLOOKUP(R565,Datos!$P$1:$T$50,2,FALSE)*C565),0)</f>
        <v>0</v>
      </c>
      <c r="P565" s="6"/>
      <c r="Q565" s="9" t="e">
        <f>+VLOOKUP(P565,Datos!$F:$G,2,FALSE)</f>
        <v>#N/A</v>
      </c>
      <c r="T565" s="6">
        <f t="shared" si="9"/>
        <v>0</v>
      </c>
    </row>
    <row r="566" spans="1:20" x14ac:dyDescent="0.35">
      <c r="A566" s="6" t="s">
        <v>20</v>
      </c>
      <c r="D566" s="6" t="s">
        <v>22</v>
      </c>
      <c r="E566" s="6" t="s">
        <v>409</v>
      </c>
      <c r="F566" s="6" t="s">
        <v>409</v>
      </c>
      <c r="H566" s="8"/>
      <c r="I566" s="8"/>
      <c r="J566" s="9" t="e">
        <f>+VLOOKUP(K566,Datos!$A:$C,3,FALSE)</f>
        <v>#N/A</v>
      </c>
      <c r="L566" s="9" t="e">
        <f>+VLOOKUP(K566,Datos!$A:$C,2,FALSE)</f>
        <v>#N/A</v>
      </c>
      <c r="N566" s="9" t="e">
        <f>+VLOOKUP(M566,Datos!$F:$G,2,FALSE)</f>
        <v>#N/A</v>
      </c>
      <c r="O566" s="10">
        <f>IFERROR(IF(A566="SI",VLOOKUP(R566,Datos!$J$1:$K$50,2,FALSE)*C566,VLOOKUP(R566,Datos!$P$1:$T$50,2,FALSE)*C566),0)</f>
        <v>0</v>
      </c>
      <c r="P566" s="6"/>
      <c r="Q566" s="9" t="e">
        <f>+VLOOKUP(P566,Datos!$F:$G,2,FALSE)</f>
        <v>#N/A</v>
      </c>
      <c r="T566" s="6">
        <f t="shared" si="9"/>
        <v>0</v>
      </c>
    </row>
    <row r="567" spans="1:20" x14ac:dyDescent="0.35">
      <c r="A567" s="6" t="s">
        <v>20</v>
      </c>
      <c r="D567" s="6" t="s">
        <v>22</v>
      </c>
      <c r="E567" s="6" t="s">
        <v>409</v>
      </c>
      <c r="F567" s="6" t="s">
        <v>409</v>
      </c>
      <c r="H567" s="8"/>
      <c r="I567" s="8"/>
      <c r="J567" s="9" t="e">
        <f>+VLOOKUP(K567,Datos!$A:$C,3,FALSE)</f>
        <v>#N/A</v>
      </c>
      <c r="L567" s="9" t="e">
        <f>+VLOOKUP(K567,Datos!$A:$C,2,FALSE)</f>
        <v>#N/A</v>
      </c>
      <c r="N567" s="9" t="e">
        <f>+VLOOKUP(M567,Datos!$F:$G,2,FALSE)</f>
        <v>#N/A</v>
      </c>
      <c r="O567" s="10">
        <f>IFERROR(IF(A567="SI",VLOOKUP(R567,Datos!$J$1:$K$50,2,FALSE)*C567,VLOOKUP(R567,Datos!$P$1:$T$50,2,FALSE)*C567),0)</f>
        <v>0</v>
      </c>
      <c r="P567" s="6"/>
      <c r="Q567" s="9" t="e">
        <f>+VLOOKUP(P567,Datos!$F:$G,2,FALSE)</f>
        <v>#N/A</v>
      </c>
      <c r="T567" s="6">
        <f t="shared" si="9"/>
        <v>0</v>
      </c>
    </row>
    <row r="568" spans="1:20" x14ac:dyDescent="0.35">
      <c r="A568" s="6" t="s">
        <v>20</v>
      </c>
      <c r="D568" s="6" t="s">
        <v>22</v>
      </c>
      <c r="E568" s="6" t="s">
        <v>409</v>
      </c>
      <c r="F568" s="6" t="s">
        <v>409</v>
      </c>
      <c r="H568" s="8"/>
      <c r="I568" s="8"/>
      <c r="J568" s="9" t="e">
        <f>+VLOOKUP(K568,Datos!$A:$C,3,FALSE)</f>
        <v>#N/A</v>
      </c>
      <c r="L568" s="9" t="e">
        <f>+VLOOKUP(K568,Datos!$A:$C,2,FALSE)</f>
        <v>#N/A</v>
      </c>
      <c r="N568" s="9" t="e">
        <f>+VLOOKUP(M568,Datos!$F:$G,2,FALSE)</f>
        <v>#N/A</v>
      </c>
      <c r="O568" s="10">
        <f>IFERROR(IF(A568="SI",VLOOKUP(R568,Datos!$J$1:$K$50,2,FALSE)*C568,VLOOKUP(R568,Datos!$P$1:$T$50,2,FALSE)*C568),0)</f>
        <v>0</v>
      </c>
      <c r="P568" s="6"/>
      <c r="Q568" s="9" t="e">
        <f>+VLOOKUP(P568,Datos!$F:$G,2,FALSE)</f>
        <v>#N/A</v>
      </c>
      <c r="T568" s="6">
        <f t="shared" si="9"/>
        <v>0</v>
      </c>
    </row>
    <row r="569" spans="1:20" x14ac:dyDescent="0.35">
      <c r="A569" s="6" t="s">
        <v>20</v>
      </c>
      <c r="D569" s="6" t="s">
        <v>22</v>
      </c>
      <c r="E569" s="6" t="s">
        <v>409</v>
      </c>
      <c r="F569" s="6" t="s">
        <v>409</v>
      </c>
      <c r="H569" s="8"/>
      <c r="I569" s="8"/>
      <c r="J569" s="9" t="e">
        <f>+VLOOKUP(K569,Datos!$A:$C,3,FALSE)</f>
        <v>#N/A</v>
      </c>
      <c r="L569" s="9" t="e">
        <f>+VLOOKUP(K569,Datos!$A:$C,2,FALSE)</f>
        <v>#N/A</v>
      </c>
      <c r="N569" s="9" t="e">
        <f>+VLOOKUP(M569,Datos!$F:$G,2,FALSE)</f>
        <v>#N/A</v>
      </c>
      <c r="O569" s="10">
        <f>IFERROR(IF(A569="SI",VLOOKUP(R569,Datos!$J$1:$K$50,2,FALSE)*C569,VLOOKUP(R569,Datos!$P$1:$T$50,2,FALSE)*C569),0)</f>
        <v>0</v>
      </c>
      <c r="P569" s="6"/>
      <c r="Q569" s="9" t="e">
        <f>+VLOOKUP(P569,Datos!$F:$G,2,FALSE)</f>
        <v>#N/A</v>
      </c>
      <c r="T569" s="6">
        <f t="shared" si="9"/>
        <v>0</v>
      </c>
    </row>
    <row r="570" spans="1:20" x14ac:dyDescent="0.35">
      <c r="A570" s="6" t="s">
        <v>20</v>
      </c>
      <c r="D570" s="6" t="s">
        <v>22</v>
      </c>
      <c r="E570" s="6" t="s">
        <v>409</v>
      </c>
      <c r="F570" s="6" t="s">
        <v>409</v>
      </c>
      <c r="H570" s="8"/>
      <c r="I570" s="8"/>
      <c r="J570" s="9" t="e">
        <f>+VLOOKUP(K570,Datos!$A:$C,3,FALSE)</f>
        <v>#N/A</v>
      </c>
      <c r="L570" s="9" t="e">
        <f>+VLOOKUP(K570,Datos!$A:$C,2,FALSE)</f>
        <v>#N/A</v>
      </c>
      <c r="N570" s="9" t="e">
        <f>+VLOOKUP(M570,Datos!$F:$G,2,FALSE)</f>
        <v>#N/A</v>
      </c>
      <c r="O570" s="10">
        <f>IFERROR(IF(A570="SI",VLOOKUP(R570,Datos!$J$1:$K$50,2,FALSE)*C570,VLOOKUP(R570,Datos!$P$1:$T$50,2,FALSE)*C570),0)</f>
        <v>0</v>
      </c>
      <c r="P570" s="6"/>
      <c r="Q570" s="9" t="e">
        <f>+VLOOKUP(P570,Datos!$F:$G,2,FALSE)</f>
        <v>#N/A</v>
      </c>
      <c r="T570" s="6">
        <f t="shared" si="9"/>
        <v>0</v>
      </c>
    </row>
    <row r="571" spans="1:20" x14ac:dyDescent="0.35">
      <c r="A571" s="6" t="s">
        <v>20</v>
      </c>
      <c r="D571" s="6" t="s">
        <v>22</v>
      </c>
      <c r="E571" s="6" t="s">
        <v>409</v>
      </c>
      <c r="F571" s="6" t="s">
        <v>409</v>
      </c>
      <c r="H571" s="8"/>
      <c r="I571" s="8"/>
      <c r="J571" s="9" t="e">
        <f>+VLOOKUP(K571,Datos!$A:$C,3,FALSE)</f>
        <v>#N/A</v>
      </c>
      <c r="L571" s="9" t="e">
        <f>+VLOOKUP(K571,Datos!$A:$C,2,FALSE)</f>
        <v>#N/A</v>
      </c>
      <c r="N571" s="9" t="e">
        <f>+VLOOKUP(M571,Datos!$F:$G,2,FALSE)</f>
        <v>#N/A</v>
      </c>
      <c r="O571" s="10">
        <f>IFERROR(IF(A571="SI",VLOOKUP(R571,Datos!$J$1:$K$50,2,FALSE)*C571,VLOOKUP(R571,Datos!$P$1:$T$50,2,FALSE)*C571),0)</f>
        <v>0</v>
      </c>
      <c r="P571" s="6"/>
      <c r="Q571" s="9" t="e">
        <f>+VLOOKUP(P571,Datos!$F:$G,2,FALSE)</f>
        <v>#N/A</v>
      </c>
      <c r="T571" s="6">
        <f t="shared" si="9"/>
        <v>0</v>
      </c>
    </row>
    <row r="572" spans="1:20" x14ac:dyDescent="0.35">
      <c r="A572" s="6" t="s">
        <v>20</v>
      </c>
      <c r="D572" s="6" t="s">
        <v>22</v>
      </c>
      <c r="E572" s="6" t="s">
        <v>409</v>
      </c>
      <c r="F572" s="6" t="s">
        <v>409</v>
      </c>
      <c r="H572" s="8"/>
      <c r="I572" s="8"/>
      <c r="J572" s="9" t="e">
        <f>+VLOOKUP(K572,Datos!$A:$C,3,FALSE)</f>
        <v>#N/A</v>
      </c>
      <c r="L572" s="9" t="e">
        <f>+VLOOKUP(K572,Datos!$A:$C,2,FALSE)</f>
        <v>#N/A</v>
      </c>
      <c r="N572" s="9" t="e">
        <f>+VLOOKUP(M572,Datos!$F:$G,2,FALSE)</f>
        <v>#N/A</v>
      </c>
      <c r="O572" s="10">
        <f>IFERROR(IF(A572="SI",VLOOKUP(R572,Datos!$J$1:$K$50,2,FALSE)*C572,VLOOKUP(R572,Datos!$P$1:$T$50,2,FALSE)*C572),0)</f>
        <v>0</v>
      </c>
      <c r="P572" s="6"/>
      <c r="Q572" s="9" t="e">
        <f>+VLOOKUP(P572,Datos!$F:$G,2,FALSE)</f>
        <v>#N/A</v>
      </c>
      <c r="T572" s="6">
        <f t="shared" si="9"/>
        <v>0</v>
      </c>
    </row>
    <row r="573" spans="1:20" x14ac:dyDescent="0.35">
      <c r="A573" s="6" t="s">
        <v>20</v>
      </c>
      <c r="D573" s="6" t="s">
        <v>22</v>
      </c>
      <c r="E573" s="6" t="s">
        <v>409</v>
      </c>
      <c r="F573" s="6" t="s">
        <v>409</v>
      </c>
      <c r="H573" s="8"/>
      <c r="I573" s="8"/>
      <c r="J573" s="9" t="e">
        <f>+VLOOKUP(K573,Datos!$A:$C,3,FALSE)</f>
        <v>#N/A</v>
      </c>
      <c r="L573" s="9" t="e">
        <f>+VLOOKUP(K573,Datos!$A:$C,2,FALSE)</f>
        <v>#N/A</v>
      </c>
      <c r="N573" s="9" t="e">
        <f>+VLOOKUP(M573,Datos!$F:$G,2,FALSE)</f>
        <v>#N/A</v>
      </c>
      <c r="O573" s="10">
        <f>IFERROR(IF(A573="SI",VLOOKUP(R573,Datos!$J$1:$K$50,2,FALSE)*C573,VLOOKUP(R573,Datos!$P$1:$T$50,2,FALSE)*C573),0)</f>
        <v>0</v>
      </c>
      <c r="P573" s="6"/>
      <c r="Q573" s="9" t="e">
        <f>+VLOOKUP(P573,Datos!$F:$G,2,FALSE)</f>
        <v>#N/A</v>
      </c>
      <c r="T573" s="6">
        <f t="shared" si="9"/>
        <v>0</v>
      </c>
    </row>
    <row r="574" spans="1:20" x14ac:dyDescent="0.35">
      <c r="A574" s="6" t="s">
        <v>20</v>
      </c>
      <c r="D574" s="6" t="s">
        <v>22</v>
      </c>
      <c r="E574" s="6" t="s">
        <v>409</v>
      </c>
      <c r="F574" s="6" t="s">
        <v>409</v>
      </c>
      <c r="H574" s="8"/>
      <c r="I574" s="8"/>
      <c r="J574" s="9" t="e">
        <f>+VLOOKUP(K574,Datos!$A:$C,3,FALSE)</f>
        <v>#N/A</v>
      </c>
      <c r="L574" s="9" t="e">
        <f>+VLOOKUP(K574,Datos!$A:$C,2,FALSE)</f>
        <v>#N/A</v>
      </c>
      <c r="N574" s="9" t="e">
        <f>+VLOOKUP(M574,Datos!$F:$G,2,FALSE)</f>
        <v>#N/A</v>
      </c>
      <c r="O574" s="10">
        <f>IFERROR(IF(A574="SI",VLOOKUP(R574,Datos!$J$1:$K$50,2,FALSE)*C574,VLOOKUP(R574,Datos!$P$1:$T$50,2,FALSE)*C574),0)</f>
        <v>0</v>
      </c>
      <c r="P574" s="6"/>
      <c r="Q574" s="9" t="e">
        <f>+VLOOKUP(P574,Datos!$F:$G,2,FALSE)</f>
        <v>#N/A</v>
      </c>
      <c r="T574" s="6">
        <f t="shared" si="9"/>
        <v>0</v>
      </c>
    </row>
    <row r="575" spans="1:20" x14ac:dyDescent="0.35">
      <c r="A575" s="6" t="s">
        <v>20</v>
      </c>
      <c r="D575" s="6" t="s">
        <v>22</v>
      </c>
      <c r="E575" s="6" t="s">
        <v>409</v>
      </c>
      <c r="F575" s="6" t="s">
        <v>409</v>
      </c>
      <c r="H575" s="8"/>
      <c r="I575" s="8"/>
      <c r="J575" s="9" t="e">
        <f>+VLOOKUP(K575,Datos!$A:$C,3,FALSE)</f>
        <v>#N/A</v>
      </c>
      <c r="L575" s="9" t="e">
        <f>+VLOOKUP(K575,Datos!$A:$C,2,FALSE)</f>
        <v>#N/A</v>
      </c>
      <c r="N575" s="9" t="e">
        <f>+VLOOKUP(M575,Datos!$F:$G,2,FALSE)</f>
        <v>#N/A</v>
      </c>
      <c r="O575" s="10">
        <f>IFERROR(IF(A575="SI",VLOOKUP(R575,Datos!$J$1:$K$50,2,FALSE)*C575,VLOOKUP(R575,Datos!$P$1:$T$50,2,FALSE)*C575),0)</f>
        <v>0</v>
      </c>
      <c r="P575" s="6"/>
      <c r="Q575" s="9" t="e">
        <f>+VLOOKUP(P575,Datos!$F:$G,2,FALSE)</f>
        <v>#N/A</v>
      </c>
      <c r="T575" s="6">
        <f t="shared" si="9"/>
        <v>0</v>
      </c>
    </row>
    <row r="576" spans="1:20" x14ac:dyDescent="0.35">
      <c r="A576" s="6" t="s">
        <v>20</v>
      </c>
      <c r="D576" s="6" t="s">
        <v>22</v>
      </c>
      <c r="E576" s="6" t="s">
        <v>409</v>
      </c>
      <c r="F576" s="6" t="s">
        <v>409</v>
      </c>
      <c r="H576" s="8"/>
      <c r="I576" s="8"/>
      <c r="J576" s="9" t="e">
        <f>+VLOOKUP(K576,Datos!$A:$C,3,FALSE)</f>
        <v>#N/A</v>
      </c>
      <c r="L576" s="9" t="e">
        <f>+VLOOKUP(K576,Datos!$A:$C,2,FALSE)</f>
        <v>#N/A</v>
      </c>
      <c r="N576" s="9" t="e">
        <f>+VLOOKUP(M576,Datos!$F:$G,2,FALSE)</f>
        <v>#N/A</v>
      </c>
      <c r="O576" s="10">
        <f>IFERROR(IF(A576="SI",VLOOKUP(R576,Datos!$J$1:$K$50,2,FALSE)*C576,VLOOKUP(R576,Datos!$P$1:$T$50,2,FALSE)*C576),0)</f>
        <v>0</v>
      </c>
      <c r="P576" s="6"/>
      <c r="Q576" s="9" t="e">
        <f>+VLOOKUP(P576,Datos!$F:$G,2,FALSE)</f>
        <v>#N/A</v>
      </c>
      <c r="T576" s="6">
        <f t="shared" si="9"/>
        <v>0</v>
      </c>
    </row>
    <row r="577" spans="1:20" x14ac:dyDescent="0.35">
      <c r="A577" s="6" t="s">
        <v>20</v>
      </c>
      <c r="D577" s="6" t="s">
        <v>22</v>
      </c>
      <c r="E577" s="6" t="s">
        <v>409</v>
      </c>
      <c r="F577" s="6" t="s">
        <v>409</v>
      </c>
      <c r="H577" s="8"/>
      <c r="I577" s="8"/>
      <c r="J577" s="9" t="e">
        <f>+VLOOKUP(K577,Datos!$A:$C,3,FALSE)</f>
        <v>#N/A</v>
      </c>
      <c r="L577" s="9" t="e">
        <f>+VLOOKUP(K577,Datos!$A:$C,2,FALSE)</f>
        <v>#N/A</v>
      </c>
      <c r="N577" s="9" t="e">
        <f>+VLOOKUP(M577,Datos!$F:$G,2,FALSE)</f>
        <v>#N/A</v>
      </c>
      <c r="O577" s="10">
        <f>IFERROR(IF(A577="SI",VLOOKUP(R577,Datos!$J$1:$K$50,2,FALSE)*C577,VLOOKUP(R577,Datos!$P$1:$T$50,2,FALSE)*C577),0)</f>
        <v>0</v>
      </c>
      <c r="P577" s="6"/>
      <c r="Q577" s="9" t="e">
        <f>+VLOOKUP(P577,Datos!$F:$G,2,FALSE)</f>
        <v>#N/A</v>
      </c>
      <c r="T577" s="6">
        <f t="shared" si="9"/>
        <v>0</v>
      </c>
    </row>
    <row r="578" spans="1:20" x14ac:dyDescent="0.35">
      <c r="A578" s="6" t="s">
        <v>20</v>
      </c>
      <c r="D578" s="6" t="s">
        <v>22</v>
      </c>
      <c r="E578" s="6" t="s">
        <v>409</v>
      </c>
      <c r="F578" s="6" t="s">
        <v>409</v>
      </c>
      <c r="H578" s="8"/>
      <c r="I578" s="8"/>
      <c r="J578" s="9" t="e">
        <f>+VLOOKUP(K578,Datos!$A:$C,3,FALSE)</f>
        <v>#N/A</v>
      </c>
      <c r="L578" s="9" t="e">
        <f>+VLOOKUP(K578,Datos!$A:$C,2,FALSE)</f>
        <v>#N/A</v>
      </c>
      <c r="N578" s="9" t="e">
        <f>+VLOOKUP(M578,Datos!$F:$G,2,FALSE)</f>
        <v>#N/A</v>
      </c>
      <c r="O578" s="10">
        <f>IFERROR(IF(A578="SI",VLOOKUP(R578,Datos!$J$1:$K$50,2,FALSE)*C578,VLOOKUP(R578,Datos!$P$1:$T$50,2,FALSE)*C578),0)</f>
        <v>0</v>
      </c>
      <c r="P578" s="6"/>
      <c r="Q578" s="9" t="e">
        <f>+VLOOKUP(P578,Datos!$F:$G,2,FALSE)</f>
        <v>#N/A</v>
      </c>
      <c r="T578" s="6">
        <f t="shared" si="9"/>
        <v>0</v>
      </c>
    </row>
    <row r="579" spans="1:20" x14ac:dyDescent="0.35">
      <c r="A579" s="6" t="s">
        <v>20</v>
      </c>
      <c r="D579" s="6" t="s">
        <v>22</v>
      </c>
      <c r="E579" s="6" t="s">
        <v>409</v>
      </c>
      <c r="F579" s="6" t="s">
        <v>409</v>
      </c>
      <c r="H579" s="8"/>
      <c r="I579" s="8"/>
      <c r="J579" s="9" t="e">
        <f>+VLOOKUP(K579,Datos!$A:$C,3,FALSE)</f>
        <v>#N/A</v>
      </c>
      <c r="L579" s="9" t="e">
        <f>+VLOOKUP(K579,Datos!$A:$C,2,FALSE)</f>
        <v>#N/A</v>
      </c>
      <c r="N579" s="9" t="e">
        <f>+VLOOKUP(M579,Datos!$F:$G,2,FALSE)</f>
        <v>#N/A</v>
      </c>
      <c r="O579" s="10">
        <f>IFERROR(IF(A579="SI",VLOOKUP(R579,Datos!$J$1:$K$50,2,FALSE)*C579,VLOOKUP(R579,Datos!$P$1:$T$50,2,FALSE)*C579),0)</f>
        <v>0</v>
      </c>
      <c r="P579" s="6"/>
      <c r="Q579" s="9" t="e">
        <f>+VLOOKUP(P579,Datos!$F:$G,2,FALSE)</f>
        <v>#N/A</v>
      </c>
      <c r="T579" s="6">
        <f t="shared" si="9"/>
        <v>0</v>
      </c>
    </row>
    <row r="580" spans="1:20" x14ac:dyDescent="0.35">
      <c r="A580" s="6" t="s">
        <v>20</v>
      </c>
      <c r="D580" s="6" t="s">
        <v>22</v>
      </c>
      <c r="E580" s="6" t="s">
        <v>409</v>
      </c>
      <c r="F580" s="6" t="s">
        <v>409</v>
      </c>
      <c r="H580" s="8"/>
      <c r="I580" s="8"/>
      <c r="J580" s="9" t="e">
        <f>+VLOOKUP(K580,Datos!$A:$C,3,FALSE)</f>
        <v>#N/A</v>
      </c>
      <c r="L580" s="9" t="e">
        <f>+VLOOKUP(K580,Datos!$A:$C,2,FALSE)</f>
        <v>#N/A</v>
      </c>
      <c r="N580" s="9" t="e">
        <f>+VLOOKUP(M580,Datos!$F:$G,2,FALSE)</f>
        <v>#N/A</v>
      </c>
      <c r="O580" s="10">
        <f>IFERROR(IF(A580="SI",VLOOKUP(R580,Datos!$J$1:$K$50,2,FALSE)*C580,VLOOKUP(R580,Datos!$P$1:$T$50,2,FALSE)*C580),0)</f>
        <v>0</v>
      </c>
      <c r="P580" s="6"/>
      <c r="Q580" s="9" t="e">
        <f>+VLOOKUP(P580,Datos!$F:$G,2,FALSE)</f>
        <v>#N/A</v>
      </c>
      <c r="T580" s="6">
        <f t="shared" si="9"/>
        <v>0</v>
      </c>
    </row>
    <row r="581" spans="1:20" x14ac:dyDescent="0.35">
      <c r="A581" s="6" t="s">
        <v>20</v>
      </c>
      <c r="D581" s="6" t="s">
        <v>22</v>
      </c>
      <c r="E581" s="6" t="s">
        <v>409</v>
      </c>
      <c r="F581" s="6" t="s">
        <v>409</v>
      </c>
      <c r="H581" s="8"/>
      <c r="I581" s="8"/>
      <c r="J581" s="9" t="e">
        <f>+VLOOKUP(K581,Datos!$A:$C,3,FALSE)</f>
        <v>#N/A</v>
      </c>
      <c r="L581" s="9" t="e">
        <f>+VLOOKUP(K581,Datos!$A:$C,2,FALSE)</f>
        <v>#N/A</v>
      </c>
      <c r="N581" s="9" t="e">
        <f>+VLOOKUP(M581,Datos!$F:$G,2,FALSE)</f>
        <v>#N/A</v>
      </c>
      <c r="O581" s="10">
        <f>IFERROR(IF(A581="SI",VLOOKUP(R581,Datos!$J$1:$K$50,2,FALSE)*C581,VLOOKUP(R581,Datos!$P$1:$T$50,2,FALSE)*C581),0)</f>
        <v>0</v>
      </c>
      <c r="P581" s="6"/>
      <c r="Q581" s="9" t="e">
        <f>+VLOOKUP(P581,Datos!$F:$G,2,FALSE)</f>
        <v>#N/A</v>
      </c>
      <c r="T581" s="6">
        <f t="shared" si="9"/>
        <v>0</v>
      </c>
    </row>
    <row r="582" spans="1:20" x14ac:dyDescent="0.35">
      <c r="A582" s="6" t="s">
        <v>20</v>
      </c>
      <c r="D582" s="6" t="s">
        <v>22</v>
      </c>
      <c r="E582" s="6" t="s">
        <v>409</v>
      </c>
      <c r="F582" s="6" t="s">
        <v>409</v>
      </c>
      <c r="H582" s="8"/>
      <c r="I582" s="8"/>
      <c r="J582" s="9" t="e">
        <f>+VLOOKUP(K582,Datos!$A:$C,3,FALSE)</f>
        <v>#N/A</v>
      </c>
      <c r="L582" s="9" t="e">
        <f>+VLOOKUP(K582,Datos!$A:$C,2,FALSE)</f>
        <v>#N/A</v>
      </c>
      <c r="N582" s="9" t="e">
        <f>+VLOOKUP(M582,Datos!$F:$G,2,FALSE)</f>
        <v>#N/A</v>
      </c>
      <c r="O582" s="10">
        <f>IFERROR(IF(A582="SI",VLOOKUP(R582,Datos!$J$1:$K$50,2,FALSE)*C582,VLOOKUP(R582,Datos!$P$1:$T$50,2,FALSE)*C582),0)</f>
        <v>0</v>
      </c>
      <c r="P582" s="6"/>
      <c r="Q582" s="9" t="e">
        <f>+VLOOKUP(P582,Datos!$F:$G,2,FALSE)</f>
        <v>#N/A</v>
      </c>
      <c r="T582" s="6">
        <f t="shared" si="9"/>
        <v>0</v>
      </c>
    </row>
    <row r="583" spans="1:20" x14ac:dyDescent="0.35">
      <c r="A583" s="6" t="s">
        <v>20</v>
      </c>
      <c r="D583" s="6" t="s">
        <v>22</v>
      </c>
      <c r="E583" s="6" t="s">
        <v>409</v>
      </c>
      <c r="F583" s="6" t="s">
        <v>409</v>
      </c>
      <c r="H583" s="8"/>
      <c r="I583" s="8"/>
      <c r="J583" s="9" t="e">
        <f>+VLOOKUP(K583,Datos!$A:$C,3,FALSE)</f>
        <v>#N/A</v>
      </c>
      <c r="L583" s="9" t="e">
        <f>+VLOOKUP(K583,Datos!$A:$C,2,FALSE)</f>
        <v>#N/A</v>
      </c>
      <c r="N583" s="9" t="e">
        <f>+VLOOKUP(M583,Datos!$F:$G,2,FALSE)</f>
        <v>#N/A</v>
      </c>
      <c r="O583" s="10">
        <f>IFERROR(IF(A583="SI",VLOOKUP(R583,Datos!$J$1:$K$50,2,FALSE)*C583,VLOOKUP(R583,Datos!$P$1:$T$50,2,FALSE)*C583),0)</f>
        <v>0</v>
      </c>
      <c r="P583" s="6"/>
      <c r="Q583" s="9" t="e">
        <f>+VLOOKUP(P583,Datos!$F:$G,2,FALSE)</f>
        <v>#N/A</v>
      </c>
      <c r="T583" s="6">
        <f t="shared" si="9"/>
        <v>0</v>
      </c>
    </row>
    <row r="584" spans="1:20" x14ac:dyDescent="0.35">
      <c r="A584" s="6" t="s">
        <v>20</v>
      </c>
      <c r="D584" s="6" t="s">
        <v>22</v>
      </c>
      <c r="E584" s="6" t="s">
        <v>409</v>
      </c>
      <c r="F584" s="6" t="s">
        <v>409</v>
      </c>
      <c r="H584" s="8"/>
      <c r="I584" s="8"/>
      <c r="J584" s="9" t="e">
        <f>+VLOOKUP(K584,Datos!$A:$C,3,FALSE)</f>
        <v>#N/A</v>
      </c>
      <c r="L584" s="9" t="e">
        <f>+VLOOKUP(K584,Datos!$A:$C,2,FALSE)</f>
        <v>#N/A</v>
      </c>
      <c r="N584" s="9" t="e">
        <f>+VLOOKUP(M584,Datos!$F:$G,2,FALSE)</f>
        <v>#N/A</v>
      </c>
      <c r="O584" s="10">
        <f>IFERROR(IF(A584="SI",VLOOKUP(R584,Datos!$J$1:$K$50,2,FALSE)*C584,VLOOKUP(R584,Datos!$P$1:$T$50,2,FALSE)*C584),0)</f>
        <v>0</v>
      </c>
      <c r="P584" s="6"/>
      <c r="Q584" s="9" t="e">
        <f>+VLOOKUP(P584,Datos!$F:$G,2,FALSE)</f>
        <v>#N/A</v>
      </c>
      <c r="T584" s="6">
        <f t="shared" si="9"/>
        <v>0</v>
      </c>
    </row>
    <row r="585" spans="1:20" x14ac:dyDescent="0.35">
      <c r="A585" s="6" t="s">
        <v>20</v>
      </c>
      <c r="D585" s="6" t="s">
        <v>22</v>
      </c>
      <c r="E585" s="6" t="s">
        <v>409</v>
      </c>
      <c r="F585" s="6" t="s">
        <v>409</v>
      </c>
      <c r="H585" s="8"/>
      <c r="I585" s="8"/>
      <c r="J585" s="9" t="e">
        <f>+VLOOKUP(K585,Datos!$A:$C,3,FALSE)</f>
        <v>#N/A</v>
      </c>
      <c r="L585" s="9" t="e">
        <f>+VLOOKUP(K585,Datos!$A:$C,2,FALSE)</f>
        <v>#N/A</v>
      </c>
      <c r="N585" s="9" t="e">
        <f>+VLOOKUP(M585,Datos!$F:$G,2,FALSE)</f>
        <v>#N/A</v>
      </c>
      <c r="O585" s="10">
        <f>IFERROR(IF(A585="SI",VLOOKUP(R585,Datos!$J$1:$K$50,2,FALSE)*C585,VLOOKUP(R585,Datos!$P$1:$T$50,2,FALSE)*C585),0)</f>
        <v>0</v>
      </c>
      <c r="P585" s="6"/>
      <c r="Q585" s="9" t="e">
        <f>+VLOOKUP(P585,Datos!$F:$G,2,FALSE)</f>
        <v>#N/A</v>
      </c>
      <c r="T585" s="6">
        <f t="shared" si="9"/>
        <v>0</v>
      </c>
    </row>
    <row r="586" spans="1:20" x14ac:dyDescent="0.35">
      <c r="A586" s="6" t="s">
        <v>20</v>
      </c>
      <c r="D586" s="6" t="s">
        <v>22</v>
      </c>
      <c r="E586" s="6" t="s">
        <v>409</v>
      </c>
      <c r="F586" s="6" t="s">
        <v>409</v>
      </c>
      <c r="H586" s="8"/>
      <c r="I586" s="8"/>
      <c r="J586" s="9" t="e">
        <f>+VLOOKUP(K586,Datos!$A:$C,3,FALSE)</f>
        <v>#N/A</v>
      </c>
      <c r="L586" s="9" t="e">
        <f>+VLOOKUP(K586,Datos!$A:$C,2,FALSE)</f>
        <v>#N/A</v>
      </c>
      <c r="N586" s="9" t="e">
        <f>+VLOOKUP(M586,Datos!$F:$G,2,FALSE)</f>
        <v>#N/A</v>
      </c>
      <c r="O586" s="10">
        <f>IFERROR(IF(A586="SI",VLOOKUP(R586,Datos!$J$1:$K$50,2,FALSE)*C586,VLOOKUP(R586,Datos!$P$1:$T$50,2,FALSE)*C586),0)</f>
        <v>0</v>
      </c>
      <c r="P586" s="6"/>
      <c r="Q586" s="9" t="e">
        <f>+VLOOKUP(P586,Datos!$F:$G,2,FALSE)</f>
        <v>#N/A</v>
      </c>
      <c r="T586" s="6">
        <f t="shared" si="9"/>
        <v>0</v>
      </c>
    </row>
    <row r="587" spans="1:20" x14ac:dyDescent="0.35">
      <c r="A587" s="6" t="s">
        <v>20</v>
      </c>
      <c r="D587" s="6" t="s">
        <v>22</v>
      </c>
      <c r="E587" s="6" t="s">
        <v>409</v>
      </c>
      <c r="F587" s="6" t="s">
        <v>409</v>
      </c>
      <c r="H587" s="8"/>
      <c r="I587" s="8"/>
      <c r="J587" s="9" t="e">
        <f>+VLOOKUP(K587,Datos!$A:$C,3,FALSE)</f>
        <v>#N/A</v>
      </c>
      <c r="L587" s="9" t="e">
        <f>+VLOOKUP(K587,Datos!$A:$C,2,FALSE)</f>
        <v>#N/A</v>
      </c>
      <c r="N587" s="9" t="e">
        <f>+VLOOKUP(M587,Datos!$F:$G,2,FALSE)</f>
        <v>#N/A</v>
      </c>
      <c r="O587" s="10">
        <f>IFERROR(IF(A587="SI",VLOOKUP(R587,Datos!$J$1:$K$50,2,FALSE)*C587,VLOOKUP(R587,Datos!$P$1:$T$50,2,FALSE)*C587),0)</f>
        <v>0</v>
      </c>
      <c r="P587" s="6"/>
      <c r="Q587" s="9" t="e">
        <f>+VLOOKUP(P587,Datos!$F:$G,2,FALSE)</f>
        <v>#N/A</v>
      </c>
      <c r="T587" s="6">
        <f t="shared" si="9"/>
        <v>0</v>
      </c>
    </row>
    <row r="588" spans="1:20" x14ac:dyDescent="0.35">
      <c r="A588" s="6" t="s">
        <v>20</v>
      </c>
      <c r="D588" s="6" t="s">
        <v>22</v>
      </c>
      <c r="E588" s="6" t="s">
        <v>409</v>
      </c>
      <c r="F588" s="6" t="s">
        <v>409</v>
      </c>
      <c r="H588" s="8"/>
      <c r="I588" s="8"/>
      <c r="J588" s="9" t="e">
        <f>+VLOOKUP(K588,Datos!$A:$C,3,FALSE)</f>
        <v>#N/A</v>
      </c>
      <c r="L588" s="9" t="e">
        <f>+VLOOKUP(K588,Datos!$A:$C,2,FALSE)</f>
        <v>#N/A</v>
      </c>
      <c r="N588" s="9" t="e">
        <f>+VLOOKUP(M588,Datos!$F:$G,2,FALSE)</f>
        <v>#N/A</v>
      </c>
      <c r="O588" s="10">
        <f>IFERROR(IF(A588="SI",VLOOKUP(R588,Datos!$J$1:$K$50,2,FALSE)*C588,VLOOKUP(R588,Datos!$P$1:$T$50,2,FALSE)*C588),0)</f>
        <v>0</v>
      </c>
      <c r="P588" s="6"/>
      <c r="Q588" s="9" t="e">
        <f>+VLOOKUP(P588,Datos!$F:$G,2,FALSE)</f>
        <v>#N/A</v>
      </c>
      <c r="T588" s="6">
        <f t="shared" si="9"/>
        <v>0</v>
      </c>
    </row>
    <row r="589" spans="1:20" x14ac:dyDescent="0.35">
      <c r="A589" s="6" t="s">
        <v>20</v>
      </c>
      <c r="D589" s="6" t="s">
        <v>22</v>
      </c>
      <c r="E589" s="6" t="s">
        <v>409</v>
      </c>
      <c r="F589" s="6" t="s">
        <v>409</v>
      </c>
      <c r="H589" s="8"/>
      <c r="I589" s="8"/>
      <c r="J589" s="9" t="e">
        <f>+VLOOKUP(K589,Datos!$A:$C,3,FALSE)</f>
        <v>#N/A</v>
      </c>
      <c r="L589" s="9" t="e">
        <f>+VLOOKUP(K589,Datos!$A:$C,2,FALSE)</f>
        <v>#N/A</v>
      </c>
      <c r="N589" s="9" t="e">
        <f>+VLOOKUP(M589,Datos!$F:$G,2,FALSE)</f>
        <v>#N/A</v>
      </c>
      <c r="O589" s="10">
        <f>IFERROR(IF(A589="SI",VLOOKUP(R589,Datos!$J$1:$K$50,2,FALSE)*C589,VLOOKUP(R589,Datos!$P$1:$T$50,2,FALSE)*C589),0)</f>
        <v>0</v>
      </c>
      <c r="P589" s="6"/>
      <c r="Q589" s="9" t="e">
        <f>+VLOOKUP(P589,Datos!$F:$G,2,FALSE)</f>
        <v>#N/A</v>
      </c>
      <c r="T589" s="6">
        <f t="shared" si="9"/>
        <v>0</v>
      </c>
    </row>
    <row r="590" spans="1:20" x14ac:dyDescent="0.35">
      <c r="A590" s="6" t="s">
        <v>20</v>
      </c>
      <c r="D590" s="6" t="s">
        <v>22</v>
      </c>
      <c r="E590" s="6" t="s">
        <v>409</v>
      </c>
      <c r="F590" s="6" t="s">
        <v>409</v>
      </c>
      <c r="H590" s="8"/>
      <c r="I590" s="8"/>
      <c r="J590" s="9" t="e">
        <f>+VLOOKUP(K590,Datos!$A:$C,3,FALSE)</f>
        <v>#N/A</v>
      </c>
      <c r="L590" s="9" t="e">
        <f>+VLOOKUP(K590,Datos!$A:$C,2,FALSE)</f>
        <v>#N/A</v>
      </c>
      <c r="N590" s="9" t="e">
        <f>+VLOOKUP(M590,Datos!$F:$G,2,FALSE)</f>
        <v>#N/A</v>
      </c>
      <c r="O590" s="10">
        <f>IFERROR(IF(A590="SI",VLOOKUP(R590,Datos!$J$1:$K$50,2,FALSE)*C590,VLOOKUP(R590,Datos!$P$1:$T$50,2,FALSE)*C590),0)</f>
        <v>0</v>
      </c>
      <c r="P590" s="6"/>
      <c r="Q590" s="9" t="e">
        <f>+VLOOKUP(P590,Datos!$F:$G,2,FALSE)</f>
        <v>#N/A</v>
      </c>
      <c r="T590" s="6">
        <f t="shared" si="9"/>
        <v>0</v>
      </c>
    </row>
    <row r="591" spans="1:20" x14ac:dyDescent="0.35">
      <c r="A591" s="6" t="s">
        <v>20</v>
      </c>
      <c r="D591" s="6" t="s">
        <v>22</v>
      </c>
      <c r="E591" s="6" t="s">
        <v>409</v>
      </c>
      <c r="F591" s="6" t="s">
        <v>409</v>
      </c>
      <c r="H591" s="8"/>
      <c r="I591" s="8"/>
      <c r="J591" s="9" t="e">
        <f>+VLOOKUP(K591,Datos!$A:$C,3,FALSE)</f>
        <v>#N/A</v>
      </c>
      <c r="L591" s="9" t="e">
        <f>+VLOOKUP(K591,Datos!$A:$C,2,FALSE)</f>
        <v>#N/A</v>
      </c>
      <c r="N591" s="9" t="e">
        <f>+VLOOKUP(M591,Datos!$F:$G,2,FALSE)</f>
        <v>#N/A</v>
      </c>
      <c r="O591" s="10">
        <f>IFERROR(IF(A591="SI",VLOOKUP(R591,Datos!$J$1:$K$50,2,FALSE)*C591,VLOOKUP(R591,Datos!$P$1:$T$50,2,FALSE)*C591),0)</f>
        <v>0</v>
      </c>
      <c r="P591" s="6"/>
      <c r="Q591" s="9" t="e">
        <f>+VLOOKUP(P591,Datos!$F:$G,2,FALSE)</f>
        <v>#N/A</v>
      </c>
      <c r="T591" s="6">
        <f t="shared" si="9"/>
        <v>0</v>
      </c>
    </row>
    <row r="592" spans="1:20" x14ac:dyDescent="0.35">
      <c r="A592" s="6" t="s">
        <v>20</v>
      </c>
      <c r="D592" s="6" t="s">
        <v>22</v>
      </c>
      <c r="E592" s="6" t="s">
        <v>409</v>
      </c>
      <c r="F592" s="6" t="s">
        <v>409</v>
      </c>
      <c r="H592" s="8"/>
      <c r="I592" s="8"/>
      <c r="J592" s="9" t="e">
        <f>+VLOOKUP(K592,Datos!$A:$C,3,FALSE)</f>
        <v>#N/A</v>
      </c>
      <c r="L592" s="9" t="e">
        <f>+VLOOKUP(K592,Datos!$A:$C,2,FALSE)</f>
        <v>#N/A</v>
      </c>
      <c r="N592" s="9" t="e">
        <f>+VLOOKUP(M592,Datos!$F:$G,2,FALSE)</f>
        <v>#N/A</v>
      </c>
      <c r="O592" s="10">
        <f>IFERROR(IF(A592="SI",VLOOKUP(R592,Datos!$J$1:$K$50,2,FALSE)*C592,VLOOKUP(R592,Datos!$P$1:$T$50,2,FALSE)*C592),0)</f>
        <v>0</v>
      </c>
      <c r="P592" s="6"/>
      <c r="Q592" s="9" t="e">
        <f>+VLOOKUP(P592,Datos!$F:$G,2,FALSE)</f>
        <v>#N/A</v>
      </c>
      <c r="T592" s="6">
        <f t="shared" si="9"/>
        <v>0</v>
      </c>
    </row>
    <row r="593" spans="1:20" x14ac:dyDescent="0.35">
      <c r="A593" s="6" t="s">
        <v>20</v>
      </c>
      <c r="D593" s="6" t="s">
        <v>22</v>
      </c>
      <c r="E593" s="6" t="s">
        <v>409</v>
      </c>
      <c r="F593" s="6" t="s">
        <v>409</v>
      </c>
      <c r="H593" s="8"/>
      <c r="I593" s="8"/>
      <c r="J593" s="9" t="e">
        <f>+VLOOKUP(K593,Datos!$A:$C,3,FALSE)</f>
        <v>#N/A</v>
      </c>
      <c r="L593" s="9" t="e">
        <f>+VLOOKUP(K593,Datos!$A:$C,2,FALSE)</f>
        <v>#N/A</v>
      </c>
      <c r="N593" s="9" t="e">
        <f>+VLOOKUP(M593,Datos!$F:$G,2,FALSE)</f>
        <v>#N/A</v>
      </c>
      <c r="O593" s="10">
        <f>IFERROR(IF(A593="SI",VLOOKUP(R593,Datos!$J$1:$K$50,2,FALSE)*C593,VLOOKUP(R593,Datos!$P$1:$T$50,2,FALSE)*C593),0)</f>
        <v>0</v>
      </c>
      <c r="P593" s="6"/>
      <c r="Q593" s="9" t="e">
        <f>+VLOOKUP(P593,Datos!$F:$G,2,FALSE)</f>
        <v>#N/A</v>
      </c>
      <c r="T593" s="6">
        <f t="shared" si="9"/>
        <v>0</v>
      </c>
    </row>
    <row r="594" spans="1:20" x14ac:dyDescent="0.35">
      <c r="A594" s="6" t="s">
        <v>20</v>
      </c>
      <c r="D594" s="6" t="s">
        <v>22</v>
      </c>
      <c r="E594" s="6" t="s">
        <v>409</v>
      </c>
      <c r="F594" s="6" t="s">
        <v>409</v>
      </c>
      <c r="H594" s="8"/>
      <c r="I594" s="8"/>
      <c r="J594" s="9" t="e">
        <f>+VLOOKUP(K594,Datos!$A:$C,3,FALSE)</f>
        <v>#N/A</v>
      </c>
      <c r="L594" s="9" t="e">
        <f>+VLOOKUP(K594,Datos!$A:$C,2,FALSE)</f>
        <v>#N/A</v>
      </c>
      <c r="N594" s="9" t="e">
        <f>+VLOOKUP(M594,Datos!$F:$G,2,FALSE)</f>
        <v>#N/A</v>
      </c>
      <c r="O594" s="10">
        <f>IFERROR(IF(A594="SI",VLOOKUP(R594,Datos!$J$1:$K$50,2,FALSE)*C594,VLOOKUP(R594,Datos!$P$1:$T$50,2,FALSE)*C594),0)</f>
        <v>0</v>
      </c>
      <c r="P594" s="6"/>
      <c r="Q594" s="9" t="e">
        <f>+VLOOKUP(P594,Datos!$F:$G,2,FALSE)</f>
        <v>#N/A</v>
      </c>
      <c r="T594" s="6">
        <f t="shared" si="9"/>
        <v>0</v>
      </c>
    </row>
    <row r="595" spans="1:20" x14ac:dyDescent="0.35">
      <c r="A595" s="6" t="s">
        <v>20</v>
      </c>
      <c r="D595" s="6" t="s">
        <v>22</v>
      </c>
      <c r="E595" s="6" t="s">
        <v>409</v>
      </c>
      <c r="F595" s="6" t="s">
        <v>409</v>
      </c>
      <c r="H595" s="8"/>
      <c r="I595" s="8"/>
      <c r="J595" s="9" t="e">
        <f>+VLOOKUP(K595,Datos!$A:$C,3,FALSE)</f>
        <v>#N/A</v>
      </c>
      <c r="L595" s="9" t="e">
        <f>+VLOOKUP(K595,Datos!$A:$C,2,FALSE)</f>
        <v>#N/A</v>
      </c>
      <c r="N595" s="9" t="e">
        <f>+VLOOKUP(M595,Datos!$F:$G,2,FALSE)</f>
        <v>#N/A</v>
      </c>
      <c r="O595" s="10">
        <f>IFERROR(IF(A595="SI",VLOOKUP(R595,Datos!$J$1:$K$50,2,FALSE)*C595,VLOOKUP(R595,Datos!$P$1:$T$50,2,FALSE)*C595),0)</f>
        <v>0</v>
      </c>
      <c r="P595" s="6"/>
      <c r="Q595" s="9" t="e">
        <f>+VLOOKUP(P595,Datos!$F:$G,2,FALSE)</f>
        <v>#N/A</v>
      </c>
      <c r="T595" s="6">
        <f t="shared" si="9"/>
        <v>0</v>
      </c>
    </row>
    <row r="596" spans="1:20" x14ac:dyDescent="0.35">
      <c r="A596" s="6" t="s">
        <v>20</v>
      </c>
      <c r="D596" s="6" t="s">
        <v>22</v>
      </c>
      <c r="E596" s="6" t="s">
        <v>409</v>
      </c>
      <c r="F596" s="6" t="s">
        <v>409</v>
      </c>
      <c r="H596" s="8"/>
      <c r="I596" s="8"/>
      <c r="J596" s="9" t="e">
        <f>+VLOOKUP(K596,Datos!$A:$C,3,FALSE)</f>
        <v>#N/A</v>
      </c>
      <c r="L596" s="9" t="e">
        <f>+VLOOKUP(K596,Datos!$A:$C,2,FALSE)</f>
        <v>#N/A</v>
      </c>
      <c r="N596" s="9" t="e">
        <f>+VLOOKUP(M596,Datos!$F:$G,2,FALSE)</f>
        <v>#N/A</v>
      </c>
      <c r="O596" s="10">
        <f>IFERROR(IF(A596="SI",VLOOKUP(R596,Datos!$J$1:$K$50,2,FALSE)*C596,VLOOKUP(R596,Datos!$P$1:$T$50,2,FALSE)*C596),0)</f>
        <v>0</v>
      </c>
      <c r="P596" s="6"/>
      <c r="Q596" s="9" t="e">
        <f>+VLOOKUP(P596,Datos!$F:$G,2,FALSE)</f>
        <v>#N/A</v>
      </c>
      <c r="T596" s="6">
        <f t="shared" si="9"/>
        <v>0</v>
      </c>
    </row>
    <row r="597" spans="1:20" x14ac:dyDescent="0.35">
      <c r="A597" s="6" t="s">
        <v>20</v>
      </c>
      <c r="D597" s="6" t="s">
        <v>22</v>
      </c>
      <c r="E597" s="6" t="s">
        <v>409</v>
      </c>
      <c r="F597" s="6" t="s">
        <v>409</v>
      </c>
      <c r="H597" s="8"/>
      <c r="I597" s="8"/>
      <c r="J597" s="9" t="e">
        <f>+VLOOKUP(K597,Datos!$A:$C,3,FALSE)</f>
        <v>#N/A</v>
      </c>
      <c r="L597" s="9" t="e">
        <f>+VLOOKUP(K597,Datos!$A:$C,2,FALSE)</f>
        <v>#N/A</v>
      </c>
      <c r="N597" s="9" t="e">
        <f>+VLOOKUP(M597,Datos!$F:$G,2,FALSE)</f>
        <v>#N/A</v>
      </c>
      <c r="O597" s="10">
        <f>IFERROR(IF(A597="SI",VLOOKUP(R597,Datos!$J$1:$K$50,2,FALSE)*C597,VLOOKUP(R597,Datos!$P$1:$T$50,2,FALSE)*C597),0)</f>
        <v>0</v>
      </c>
      <c r="P597" s="6"/>
      <c r="Q597" s="9" t="e">
        <f>+VLOOKUP(P597,Datos!$F:$G,2,FALSE)</f>
        <v>#N/A</v>
      </c>
      <c r="T597" s="6">
        <f t="shared" si="9"/>
        <v>0</v>
      </c>
    </row>
    <row r="598" spans="1:20" x14ac:dyDescent="0.35">
      <c r="A598" s="6" t="s">
        <v>20</v>
      </c>
      <c r="D598" s="6" t="s">
        <v>22</v>
      </c>
      <c r="E598" s="6" t="s">
        <v>409</v>
      </c>
      <c r="F598" s="6" t="s">
        <v>409</v>
      </c>
      <c r="H598" s="8"/>
      <c r="I598" s="8"/>
      <c r="J598" s="9" t="e">
        <f>+VLOOKUP(K598,Datos!$A:$C,3,FALSE)</f>
        <v>#N/A</v>
      </c>
      <c r="L598" s="9" t="e">
        <f>+VLOOKUP(K598,Datos!$A:$C,2,FALSE)</f>
        <v>#N/A</v>
      </c>
      <c r="N598" s="9" t="e">
        <f>+VLOOKUP(M598,Datos!$F:$G,2,FALSE)</f>
        <v>#N/A</v>
      </c>
      <c r="O598" s="10">
        <f>IFERROR(IF(A598="SI",VLOOKUP(R598,Datos!$J$1:$K$50,2,FALSE)*C598,VLOOKUP(R598,Datos!$P$1:$T$50,2,FALSE)*C598),0)</f>
        <v>0</v>
      </c>
      <c r="P598" s="6"/>
      <c r="Q598" s="9" t="e">
        <f>+VLOOKUP(P598,Datos!$F:$G,2,FALSE)</f>
        <v>#N/A</v>
      </c>
      <c r="T598" s="6">
        <f t="shared" si="9"/>
        <v>0</v>
      </c>
    </row>
    <row r="599" spans="1:20" x14ac:dyDescent="0.35">
      <c r="A599" s="6" t="s">
        <v>20</v>
      </c>
      <c r="D599" s="6" t="s">
        <v>22</v>
      </c>
      <c r="E599" s="6" t="s">
        <v>409</v>
      </c>
      <c r="F599" s="6" t="s">
        <v>409</v>
      </c>
      <c r="H599" s="8"/>
      <c r="I599" s="8"/>
      <c r="J599" s="9" t="e">
        <f>+VLOOKUP(K599,Datos!$A:$C,3,FALSE)</f>
        <v>#N/A</v>
      </c>
      <c r="L599" s="9" t="e">
        <f>+VLOOKUP(K599,Datos!$A:$C,2,FALSE)</f>
        <v>#N/A</v>
      </c>
      <c r="N599" s="9" t="e">
        <f>+VLOOKUP(M599,Datos!$F:$G,2,FALSE)</f>
        <v>#N/A</v>
      </c>
      <c r="O599" s="10">
        <f>IFERROR(IF(A599="SI",VLOOKUP(R599,Datos!$J$1:$K$50,2,FALSE)*C599,VLOOKUP(R599,Datos!$P$1:$T$50,2,FALSE)*C599),0)</f>
        <v>0</v>
      </c>
      <c r="P599" s="6"/>
      <c r="Q599" s="9" t="e">
        <f>+VLOOKUP(P599,Datos!$F:$G,2,FALSE)</f>
        <v>#N/A</v>
      </c>
      <c r="T599" s="6">
        <f t="shared" si="9"/>
        <v>0</v>
      </c>
    </row>
    <row r="600" spans="1:20" x14ac:dyDescent="0.35">
      <c r="A600" s="6" t="s">
        <v>20</v>
      </c>
      <c r="D600" s="6" t="s">
        <v>22</v>
      </c>
      <c r="E600" s="6" t="s">
        <v>409</v>
      </c>
      <c r="F600" s="6" t="s">
        <v>409</v>
      </c>
      <c r="H600" s="8"/>
      <c r="I600" s="8"/>
      <c r="J600" s="9" t="e">
        <f>+VLOOKUP(K600,Datos!$A:$C,3,FALSE)</f>
        <v>#N/A</v>
      </c>
      <c r="L600" s="9" t="e">
        <f>+VLOOKUP(K600,Datos!$A:$C,2,FALSE)</f>
        <v>#N/A</v>
      </c>
      <c r="N600" s="9" t="e">
        <f>+VLOOKUP(M600,Datos!$F:$G,2,FALSE)</f>
        <v>#N/A</v>
      </c>
      <c r="O600" s="10">
        <f>IFERROR(IF(A600="SI",VLOOKUP(R600,Datos!$J$1:$K$50,2,FALSE)*C600,VLOOKUP(R600,Datos!$P$1:$T$50,2,FALSE)*C600),0)</f>
        <v>0</v>
      </c>
      <c r="P600" s="6"/>
      <c r="Q600" s="9" t="e">
        <f>+VLOOKUP(P600,Datos!$F:$G,2,FALSE)</f>
        <v>#N/A</v>
      </c>
      <c r="T600" s="6">
        <f t="shared" si="9"/>
        <v>0</v>
      </c>
    </row>
    <row r="601" spans="1:20" x14ac:dyDescent="0.35">
      <c r="A601" s="6" t="s">
        <v>20</v>
      </c>
      <c r="D601" s="6" t="s">
        <v>22</v>
      </c>
      <c r="E601" s="6" t="s">
        <v>409</v>
      </c>
      <c r="F601" s="6" t="s">
        <v>409</v>
      </c>
      <c r="H601" s="8"/>
      <c r="I601" s="8"/>
      <c r="J601" s="9" t="e">
        <f>+VLOOKUP(K601,Datos!$A:$C,3,FALSE)</f>
        <v>#N/A</v>
      </c>
      <c r="L601" s="9" t="e">
        <f>+VLOOKUP(K601,Datos!$A:$C,2,FALSE)</f>
        <v>#N/A</v>
      </c>
      <c r="N601" s="9" t="e">
        <f>+VLOOKUP(M601,Datos!$F:$G,2,FALSE)</f>
        <v>#N/A</v>
      </c>
      <c r="O601" s="10">
        <f>IFERROR(IF(A601="SI",VLOOKUP(R601,Datos!$J$1:$K$50,2,FALSE)*C601,VLOOKUP(R601,Datos!$P$1:$T$50,2,FALSE)*C601),0)</f>
        <v>0</v>
      </c>
      <c r="P601" s="6"/>
      <c r="Q601" s="9" t="e">
        <f>+VLOOKUP(P601,Datos!$F:$G,2,FALSE)</f>
        <v>#N/A</v>
      </c>
      <c r="T601" s="6">
        <f t="shared" si="9"/>
        <v>0</v>
      </c>
    </row>
    <row r="602" spans="1:20" x14ac:dyDescent="0.35">
      <c r="A602" s="6" t="s">
        <v>20</v>
      </c>
      <c r="D602" s="6" t="s">
        <v>22</v>
      </c>
      <c r="E602" s="6" t="s">
        <v>409</v>
      </c>
      <c r="F602" s="6" t="s">
        <v>409</v>
      </c>
      <c r="H602" s="8"/>
      <c r="I602" s="8"/>
      <c r="J602" s="9" t="e">
        <f>+VLOOKUP(K602,Datos!$A:$C,3,FALSE)</f>
        <v>#N/A</v>
      </c>
      <c r="L602" s="9" t="e">
        <f>+VLOOKUP(K602,Datos!$A:$C,2,FALSE)</f>
        <v>#N/A</v>
      </c>
      <c r="N602" s="9" t="e">
        <f>+VLOOKUP(M602,Datos!$F:$G,2,FALSE)</f>
        <v>#N/A</v>
      </c>
      <c r="O602" s="10">
        <f>IFERROR(IF(A602="SI",VLOOKUP(R602,Datos!$J$1:$K$50,2,FALSE)*C602,VLOOKUP(R602,Datos!$P$1:$T$50,2,FALSE)*C602),0)</f>
        <v>0</v>
      </c>
      <c r="P602" s="6"/>
      <c r="Q602" s="9" t="e">
        <f>+VLOOKUP(P602,Datos!$F:$G,2,FALSE)</f>
        <v>#N/A</v>
      </c>
      <c r="T602" s="6">
        <f t="shared" si="9"/>
        <v>0</v>
      </c>
    </row>
    <row r="603" spans="1:20" x14ac:dyDescent="0.35">
      <c r="A603" s="6" t="s">
        <v>20</v>
      </c>
      <c r="D603" s="6" t="s">
        <v>22</v>
      </c>
      <c r="E603" s="6" t="s">
        <v>409</v>
      </c>
      <c r="F603" s="6" t="s">
        <v>409</v>
      </c>
      <c r="H603" s="8"/>
      <c r="I603" s="8"/>
      <c r="J603" s="9" t="e">
        <f>+VLOOKUP(K603,Datos!$A:$C,3,FALSE)</f>
        <v>#N/A</v>
      </c>
      <c r="L603" s="9" t="e">
        <f>+VLOOKUP(K603,Datos!$A:$C,2,FALSE)</f>
        <v>#N/A</v>
      </c>
      <c r="N603" s="9" t="e">
        <f>+VLOOKUP(M603,Datos!$F:$G,2,FALSE)</f>
        <v>#N/A</v>
      </c>
      <c r="O603" s="10">
        <f>IFERROR(IF(A603="SI",VLOOKUP(R603,Datos!$J$1:$K$50,2,FALSE)*C603,VLOOKUP(R603,Datos!$P$1:$T$50,2,FALSE)*C603),0)</f>
        <v>0</v>
      </c>
      <c r="P603" s="6"/>
      <c r="Q603" s="9" t="e">
        <f>+VLOOKUP(P603,Datos!$F:$G,2,FALSE)</f>
        <v>#N/A</v>
      </c>
      <c r="T603" s="6">
        <f t="shared" si="9"/>
        <v>0</v>
      </c>
    </row>
    <row r="604" spans="1:20" x14ac:dyDescent="0.35">
      <c r="A604" s="6" t="s">
        <v>20</v>
      </c>
      <c r="D604" s="6" t="s">
        <v>22</v>
      </c>
      <c r="E604" s="6" t="s">
        <v>409</v>
      </c>
      <c r="F604" s="6" t="s">
        <v>409</v>
      </c>
      <c r="H604" s="8"/>
      <c r="I604" s="8"/>
      <c r="J604" s="9" t="e">
        <f>+VLOOKUP(K604,Datos!$A:$C,3,FALSE)</f>
        <v>#N/A</v>
      </c>
      <c r="L604" s="9" t="e">
        <f>+VLOOKUP(K604,Datos!$A:$C,2,FALSE)</f>
        <v>#N/A</v>
      </c>
      <c r="N604" s="9" t="e">
        <f>+VLOOKUP(M604,Datos!$F:$G,2,FALSE)</f>
        <v>#N/A</v>
      </c>
      <c r="O604" s="10">
        <f>IFERROR(IF(A604="SI",VLOOKUP(R604,Datos!$J$1:$K$50,2,FALSE)*C604,VLOOKUP(R604,Datos!$P$1:$T$50,2,FALSE)*C604),0)</f>
        <v>0</v>
      </c>
      <c r="P604" s="6"/>
      <c r="Q604" s="9" t="e">
        <f>+VLOOKUP(P604,Datos!$F:$G,2,FALSE)</f>
        <v>#N/A</v>
      </c>
      <c r="T604" s="6">
        <f t="shared" si="9"/>
        <v>0</v>
      </c>
    </row>
    <row r="605" spans="1:20" x14ac:dyDescent="0.35">
      <c r="A605" s="6" t="s">
        <v>20</v>
      </c>
      <c r="D605" s="6" t="s">
        <v>22</v>
      </c>
      <c r="E605" s="6" t="s">
        <v>409</v>
      </c>
      <c r="F605" s="6" t="s">
        <v>409</v>
      </c>
      <c r="H605" s="8"/>
      <c r="I605" s="8"/>
      <c r="J605" s="9" t="e">
        <f>+VLOOKUP(K605,Datos!$A:$C,3,FALSE)</f>
        <v>#N/A</v>
      </c>
      <c r="L605" s="9" t="e">
        <f>+VLOOKUP(K605,Datos!$A:$C,2,FALSE)</f>
        <v>#N/A</v>
      </c>
      <c r="N605" s="9" t="e">
        <f>+VLOOKUP(M605,Datos!$F:$G,2,FALSE)</f>
        <v>#N/A</v>
      </c>
      <c r="O605" s="10">
        <f>IFERROR(IF(A605="SI",VLOOKUP(R605,Datos!$J$1:$K$50,2,FALSE)*C605,VLOOKUP(R605,Datos!$P$1:$T$50,2,FALSE)*C605),0)</f>
        <v>0</v>
      </c>
      <c r="P605" s="6"/>
      <c r="Q605" s="9" t="e">
        <f>+VLOOKUP(P605,Datos!$F:$G,2,FALSE)</f>
        <v>#N/A</v>
      </c>
      <c r="T605" s="6">
        <f t="shared" si="9"/>
        <v>0</v>
      </c>
    </row>
    <row r="606" spans="1:20" x14ac:dyDescent="0.35">
      <c r="A606" s="6" t="s">
        <v>20</v>
      </c>
      <c r="D606" s="6" t="s">
        <v>22</v>
      </c>
      <c r="E606" s="6" t="s">
        <v>409</v>
      </c>
      <c r="F606" s="6" t="s">
        <v>409</v>
      </c>
      <c r="H606" s="8"/>
      <c r="I606" s="8"/>
      <c r="J606" s="9" t="e">
        <f>+VLOOKUP(K606,Datos!$A:$C,3,FALSE)</f>
        <v>#N/A</v>
      </c>
      <c r="L606" s="9" t="e">
        <f>+VLOOKUP(K606,Datos!$A:$C,2,FALSE)</f>
        <v>#N/A</v>
      </c>
      <c r="N606" s="9" t="e">
        <f>+VLOOKUP(M606,Datos!$F:$G,2,FALSE)</f>
        <v>#N/A</v>
      </c>
      <c r="O606" s="10">
        <f>IFERROR(IF(A606="SI",VLOOKUP(R606,Datos!$J$1:$K$50,2,FALSE)*C606,VLOOKUP(R606,Datos!$P$1:$T$50,2,FALSE)*C606),0)</f>
        <v>0</v>
      </c>
      <c r="P606" s="6"/>
      <c r="Q606" s="9" t="e">
        <f>+VLOOKUP(P606,Datos!$F:$G,2,FALSE)</f>
        <v>#N/A</v>
      </c>
      <c r="T606" s="6">
        <f t="shared" si="9"/>
        <v>0</v>
      </c>
    </row>
    <row r="607" spans="1:20" x14ac:dyDescent="0.35">
      <c r="A607" s="6" t="s">
        <v>20</v>
      </c>
      <c r="D607" s="6" t="s">
        <v>22</v>
      </c>
      <c r="E607" s="6" t="s">
        <v>409</v>
      </c>
      <c r="F607" s="6" t="s">
        <v>409</v>
      </c>
      <c r="H607" s="8"/>
      <c r="I607" s="8"/>
      <c r="J607" s="9" t="e">
        <f>+VLOOKUP(K607,Datos!$A:$C,3,FALSE)</f>
        <v>#N/A</v>
      </c>
      <c r="L607" s="9" t="e">
        <f>+VLOOKUP(K607,Datos!$A:$C,2,FALSE)</f>
        <v>#N/A</v>
      </c>
      <c r="N607" s="9" t="e">
        <f>+VLOOKUP(M607,Datos!$F:$G,2,FALSE)</f>
        <v>#N/A</v>
      </c>
      <c r="O607" s="10">
        <f>IFERROR(IF(A607="SI",VLOOKUP(R607,Datos!$J$1:$K$50,2,FALSE)*C607,VLOOKUP(R607,Datos!$P$1:$T$50,2,FALSE)*C607),0)</f>
        <v>0</v>
      </c>
      <c r="P607" s="6"/>
      <c r="Q607" s="9" t="e">
        <f>+VLOOKUP(P607,Datos!$F:$G,2,FALSE)</f>
        <v>#N/A</v>
      </c>
      <c r="T607" s="6">
        <f t="shared" si="9"/>
        <v>0</v>
      </c>
    </row>
    <row r="608" spans="1:20" x14ac:dyDescent="0.35">
      <c r="A608" s="6" t="s">
        <v>20</v>
      </c>
      <c r="D608" s="6" t="s">
        <v>22</v>
      </c>
      <c r="E608" s="6" t="s">
        <v>409</v>
      </c>
      <c r="F608" s="6" t="s">
        <v>409</v>
      </c>
      <c r="H608" s="8"/>
      <c r="I608" s="8"/>
      <c r="J608" s="9" t="e">
        <f>+VLOOKUP(K608,Datos!$A:$C,3,FALSE)</f>
        <v>#N/A</v>
      </c>
      <c r="L608" s="9" t="e">
        <f>+VLOOKUP(K608,Datos!$A:$C,2,FALSE)</f>
        <v>#N/A</v>
      </c>
      <c r="N608" s="9" t="e">
        <f>+VLOOKUP(M608,Datos!$F:$G,2,FALSE)</f>
        <v>#N/A</v>
      </c>
      <c r="O608" s="10">
        <f>IFERROR(IF(A608="SI",VLOOKUP(R608,Datos!$J$1:$K$50,2,FALSE)*C608,VLOOKUP(R608,Datos!$P$1:$T$50,2,FALSE)*C608),0)</f>
        <v>0</v>
      </c>
      <c r="P608" s="6"/>
      <c r="Q608" s="9" t="e">
        <f>+VLOOKUP(P608,Datos!$F:$G,2,FALSE)</f>
        <v>#N/A</v>
      </c>
      <c r="T608" s="6">
        <f t="shared" si="9"/>
        <v>0</v>
      </c>
    </row>
    <row r="609" spans="1:20" x14ac:dyDescent="0.35">
      <c r="A609" s="6" t="s">
        <v>20</v>
      </c>
      <c r="D609" s="6" t="s">
        <v>22</v>
      </c>
      <c r="E609" s="6" t="s">
        <v>409</v>
      </c>
      <c r="F609" s="6" t="s">
        <v>409</v>
      </c>
      <c r="H609" s="8"/>
      <c r="I609" s="8"/>
      <c r="J609" s="9" t="e">
        <f>+VLOOKUP(K609,Datos!$A:$C,3,FALSE)</f>
        <v>#N/A</v>
      </c>
      <c r="L609" s="9" t="e">
        <f>+VLOOKUP(K609,Datos!$A:$C,2,FALSE)</f>
        <v>#N/A</v>
      </c>
      <c r="N609" s="9" t="e">
        <f>+VLOOKUP(M609,Datos!$F:$G,2,FALSE)</f>
        <v>#N/A</v>
      </c>
      <c r="O609" s="10">
        <f>IFERROR(IF(A609="SI",VLOOKUP(R609,Datos!$J$1:$K$50,2,FALSE)*C609,VLOOKUP(R609,Datos!$P$1:$T$50,2,FALSE)*C609),0)</f>
        <v>0</v>
      </c>
      <c r="P609" s="6"/>
      <c r="Q609" s="9" t="e">
        <f>+VLOOKUP(P609,Datos!$F:$G,2,FALSE)</f>
        <v>#N/A</v>
      </c>
      <c r="T609" s="6">
        <f t="shared" si="9"/>
        <v>0</v>
      </c>
    </row>
    <row r="610" spans="1:20" x14ac:dyDescent="0.35">
      <c r="A610" s="6" t="s">
        <v>20</v>
      </c>
      <c r="D610" s="6" t="s">
        <v>22</v>
      </c>
      <c r="E610" s="6" t="s">
        <v>409</v>
      </c>
      <c r="F610" s="6" t="s">
        <v>409</v>
      </c>
      <c r="H610" s="8"/>
      <c r="I610" s="8"/>
      <c r="J610" s="9" t="e">
        <f>+VLOOKUP(K610,Datos!$A:$C,3,FALSE)</f>
        <v>#N/A</v>
      </c>
      <c r="L610" s="9" t="e">
        <f>+VLOOKUP(K610,Datos!$A:$C,2,FALSE)</f>
        <v>#N/A</v>
      </c>
      <c r="N610" s="9" t="e">
        <f>+VLOOKUP(M610,Datos!$F:$G,2,FALSE)</f>
        <v>#N/A</v>
      </c>
      <c r="O610" s="10">
        <f>IFERROR(IF(A610="SI",VLOOKUP(R610,Datos!$J$1:$K$50,2,FALSE)*C610,VLOOKUP(R610,Datos!$P$1:$T$50,2,FALSE)*C610),0)</f>
        <v>0</v>
      </c>
      <c r="P610" s="6"/>
      <c r="Q610" s="9" t="e">
        <f>+VLOOKUP(P610,Datos!$F:$G,2,FALSE)</f>
        <v>#N/A</v>
      </c>
      <c r="T610" s="6">
        <f t="shared" si="9"/>
        <v>0</v>
      </c>
    </row>
    <row r="611" spans="1:20" x14ac:dyDescent="0.35">
      <c r="A611" s="6" t="s">
        <v>20</v>
      </c>
      <c r="D611" s="6" t="s">
        <v>22</v>
      </c>
      <c r="E611" s="6" t="s">
        <v>409</v>
      </c>
      <c r="F611" s="6" t="s">
        <v>409</v>
      </c>
      <c r="H611" s="8"/>
      <c r="I611" s="8"/>
      <c r="J611" s="9" t="e">
        <f>+VLOOKUP(K611,Datos!$A:$C,3,FALSE)</f>
        <v>#N/A</v>
      </c>
      <c r="L611" s="9" t="e">
        <f>+VLOOKUP(K611,Datos!$A:$C,2,FALSE)</f>
        <v>#N/A</v>
      </c>
      <c r="N611" s="9" t="e">
        <f>+VLOOKUP(M611,Datos!$F:$G,2,FALSE)</f>
        <v>#N/A</v>
      </c>
      <c r="O611" s="10">
        <f>IFERROR(IF(A611="SI",VLOOKUP(R611,Datos!$J$1:$K$50,2,FALSE)*C611,VLOOKUP(R611,Datos!$P$1:$T$50,2,FALSE)*C611),0)</f>
        <v>0</v>
      </c>
      <c r="P611" s="6"/>
      <c r="Q611" s="9" t="e">
        <f>+VLOOKUP(P611,Datos!$F:$G,2,FALSE)</f>
        <v>#N/A</v>
      </c>
      <c r="T611" s="6">
        <f t="shared" si="9"/>
        <v>0</v>
      </c>
    </row>
    <row r="612" spans="1:20" x14ac:dyDescent="0.35">
      <c r="A612" s="6" t="s">
        <v>20</v>
      </c>
      <c r="D612" s="6" t="s">
        <v>22</v>
      </c>
      <c r="E612" s="6" t="s">
        <v>409</v>
      </c>
      <c r="F612" s="6" t="s">
        <v>409</v>
      </c>
      <c r="H612" s="8"/>
      <c r="I612" s="8"/>
      <c r="J612" s="9" t="e">
        <f>+VLOOKUP(K612,Datos!$A:$C,3,FALSE)</f>
        <v>#N/A</v>
      </c>
      <c r="L612" s="9" t="e">
        <f>+VLOOKUP(K612,Datos!$A:$C,2,FALSE)</f>
        <v>#N/A</v>
      </c>
      <c r="N612" s="9" t="e">
        <f>+VLOOKUP(M612,Datos!$F:$G,2,FALSE)</f>
        <v>#N/A</v>
      </c>
      <c r="O612" s="10">
        <f>IFERROR(IF(A612="SI",VLOOKUP(R612,Datos!$J$1:$K$50,2,FALSE)*C612,VLOOKUP(R612,Datos!$P$1:$T$50,2,FALSE)*C612),0)</f>
        <v>0</v>
      </c>
      <c r="P612" s="6"/>
      <c r="Q612" s="9" t="e">
        <f>+VLOOKUP(P612,Datos!$F:$G,2,FALSE)</f>
        <v>#N/A</v>
      </c>
      <c r="T612" s="6">
        <f t="shared" si="9"/>
        <v>0</v>
      </c>
    </row>
    <row r="613" spans="1:20" x14ac:dyDescent="0.35">
      <c r="A613" s="6" t="s">
        <v>20</v>
      </c>
      <c r="D613" s="6" t="s">
        <v>22</v>
      </c>
      <c r="E613" s="6" t="s">
        <v>409</v>
      </c>
      <c r="F613" s="6" t="s">
        <v>409</v>
      </c>
      <c r="H613" s="8"/>
      <c r="I613" s="8"/>
      <c r="J613" s="9" t="e">
        <f>+VLOOKUP(K613,Datos!$A:$C,3,FALSE)</f>
        <v>#N/A</v>
      </c>
      <c r="L613" s="9" t="e">
        <f>+VLOOKUP(K613,Datos!$A:$C,2,FALSE)</f>
        <v>#N/A</v>
      </c>
      <c r="N613" s="9" t="e">
        <f>+VLOOKUP(M613,Datos!$F:$G,2,FALSE)</f>
        <v>#N/A</v>
      </c>
      <c r="O613" s="10">
        <f>IFERROR(IF(A613="SI",VLOOKUP(R613,Datos!$J$1:$K$50,2,FALSE)*C613,VLOOKUP(R613,Datos!$P$1:$T$50,2,FALSE)*C613),0)</f>
        <v>0</v>
      </c>
      <c r="P613" s="6"/>
      <c r="Q613" s="9" t="e">
        <f>+VLOOKUP(P613,Datos!$F:$G,2,FALSE)</f>
        <v>#N/A</v>
      </c>
      <c r="T613" s="6">
        <f t="shared" si="9"/>
        <v>0</v>
      </c>
    </row>
    <row r="614" spans="1:20" x14ac:dyDescent="0.35">
      <c r="A614" s="6" t="s">
        <v>20</v>
      </c>
      <c r="D614" s="6" t="s">
        <v>22</v>
      </c>
      <c r="E614" s="6" t="s">
        <v>409</v>
      </c>
      <c r="F614" s="6" t="s">
        <v>409</v>
      </c>
      <c r="H614" s="8"/>
      <c r="I614" s="8"/>
      <c r="J614" s="9" t="e">
        <f>+VLOOKUP(K614,Datos!$A:$C,3,FALSE)</f>
        <v>#N/A</v>
      </c>
      <c r="L614" s="9" t="e">
        <f>+VLOOKUP(K614,Datos!$A:$C,2,FALSE)</f>
        <v>#N/A</v>
      </c>
      <c r="N614" s="9" t="e">
        <f>+VLOOKUP(M614,Datos!$F:$G,2,FALSE)</f>
        <v>#N/A</v>
      </c>
      <c r="O614" s="10">
        <f>IFERROR(IF(A614="SI",VLOOKUP(R614,Datos!$J$1:$K$50,2,FALSE)*C614,VLOOKUP(R614,Datos!$P$1:$T$50,2,FALSE)*C614),0)</f>
        <v>0</v>
      </c>
      <c r="P614" s="6"/>
      <c r="Q614" s="9" t="e">
        <f>+VLOOKUP(P614,Datos!$F:$G,2,FALSE)</f>
        <v>#N/A</v>
      </c>
      <c r="T614" s="6">
        <f t="shared" si="9"/>
        <v>0</v>
      </c>
    </row>
    <row r="615" spans="1:20" x14ac:dyDescent="0.35">
      <c r="A615" s="6" t="s">
        <v>20</v>
      </c>
      <c r="D615" s="6" t="s">
        <v>22</v>
      </c>
      <c r="E615" s="6" t="s">
        <v>409</v>
      </c>
      <c r="F615" s="6" t="s">
        <v>409</v>
      </c>
      <c r="H615" s="8"/>
      <c r="I615" s="8"/>
      <c r="J615" s="9" t="e">
        <f>+VLOOKUP(K615,Datos!$A:$C,3,FALSE)</f>
        <v>#N/A</v>
      </c>
      <c r="L615" s="9" t="e">
        <f>+VLOOKUP(K615,Datos!$A:$C,2,FALSE)</f>
        <v>#N/A</v>
      </c>
      <c r="N615" s="9" t="e">
        <f>+VLOOKUP(M615,Datos!$F:$G,2,FALSE)</f>
        <v>#N/A</v>
      </c>
      <c r="O615" s="10">
        <f>IFERROR(IF(A615="SI",VLOOKUP(R615,Datos!$J$1:$K$50,2,FALSE)*C615,VLOOKUP(R615,Datos!$P$1:$T$50,2,FALSE)*C615),0)</f>
        <v>0</v>
      </c>
      <c r="P615" s="6"/>
      <c r="Q615" s="9" t="e">
        <f>+VLOOKUP(P615,Datos!$F:$G,2,FALSE)</f>
        <v>#N/A</v>
      </c>
      <c r="T615" s="6">
        <f t="shared" ref="T615:T678" si="10">+COUNTIFS($G$2:$G$623,G615)</f>
        <v>0</v>
      </c>
    </row>
    <row r="616" spans="1:20" x14ac:dyDescent="0.35">
      <c r="A616" s="6" t="s">
        <v>20</v>
      </c>
      <c r="D616" s="6" t="s">
        <v>22</v>
      </c>
      <c r="E616" s="6" t="s">
        <v>409</v>
      </c>
      <c r="F616" s="6" t="s">
        <v>409</v>
      </c>
      <c r="H616" s="8"/>
      <c r="I616" s="8"/>
      <c r="J616" s="9" t="e">
        <f>+VLOOKUP(K616,Datos!$A:$C,3,FALSE)</f>
        <v>#N/A</v>
      </c>
      <c r="L616" s="9" t="e">
        <f>+VLOOKUP(K616,Datos!$A:$C,2,FALSE)</f>
        <v>#N/A</v>
      </c>
      <c r="N616" s="9" t="e">
        <f>+VLOOKUP(M616,Datos!$F:$G,2,FALSE)</f>
        <v>#N/A</v>
      </c>
      <c r="O616" s="10">
        <f>IFERROR(IF(A616="SI",VLOOKUP(R616,Datos!$J$1:$K$50,2,FALSE)*C616,VLOOKUP(R616,Datos!$P$1:$T$50,2,FALSE)*C616),0)</f>
        <v>0</v>
      </c>
      <c r="P616" s="6"/>
      <c r="Q616" s="9" t="e">
        <f>+VLOOKUP(P616,Datos!$F:$G,2,FALSE)</f>
        <v>#N/A</v>
      </c>
      <c r="T616" s="6">
        <f t="shared" si="10"/>
        <v>0</v>
      </c>
    </row>
    <row r="617" spans="1:20" x14ac:dyDescent="0.35">
      <c r="A617" s="6" t="s">
        <v>20</v>
      </c>
      <c r="D617" s="6" t="s">
        <v>22</v>
      </c>
      <c r="E617" s="6" t="s">
        <v>409</v>
      </c>
      <c r="F617" s="6" t="s">
        <v>409</v>
      </c>
      <c r="H617" s="8"/>
      <c r="I617" s="8"/>
      <c r="J617" s="9" t="e">
        <f>+VLOOKUP(K617,Datos!$A:$C,3,FALSE)</f>
        <v>#N/A</v>
      </c>
      <c r="L617" s="9" t="e">
        <f>+VLOOKUP(K617,Datos!$A:$C,2,FALSE)</f>
        <v>#N/A</v>
      </c>
      <c r="N617" s="9" t="e">
        <f>+VLOOKUP(M617,Datos!$F:$G,2,FALSE)</f>
        <v>#N/A</v>
      </c>
      <c r="O617" s="10">
        <f>IFERROR(IF(A617="SI",VLOOKUP(R617,Datos!$J$1:$K$50,2,FALSE)*C617,VLOOKUP(R617,Datos!$P$1:$T$50,2,FALSE)*C617),0)</f>
        <v>0</v>
      </c>
      <c r="P617" s="6"/>
      <c r="Q617" s="9" t="e">
        <f>+VLOOKUP(P617,Datos!$F:$G,2,FALSE)</f>
        <v>#N/A</v>
      </c>
      <c r="T617" s="6">
        <f t="shared" si="10"/>
        <v>0</v>
      </c>
    </row>
    <row r="618" spans="1:20" x14ac:dyDescent="0.35">
      <c r="A618" s="6" t="s">
        <v>20</v>
      </c>
      <c r="D618" s="6" t="s">
        <v>22</v>
      </c>
      <c r="E618" s="6" t="s">
        <v>409</v>
      </c>
      <c r="F618" s="6" t="s">
        <v>409</v>
      </c>
      <c r="H618" s="8"/>
      <c r="I618" s="8"/>
      <c r="J618" s="9" t="e">
        <f>+VLOOKUP(K618,Datos!$A:$C,3,FALSE)</f>
        <v>#N/A</v>
      </c>
      <c r="L618" s="9" t="e">
        <f>+VLOOKUP(K618,Datos!$A:$C,2,FALSE)</f>
        <v>#N/A</v>
      </c>
      <c r="N618" s="9" t="e">
        <f>+VLOOKUP(M618,Datos!$F:$G,2,FALSE)</f>
        <v>#N/A</v>
      </c>
      <c r="O618" s="10">
        <f>IFERROR(IF(A618="SI",VLOOKUP(R618,Datos!$J$1:$K$50,2,FALSE)*C618,VLOOKUP(R618,Datos!$P$1:$T$50,2,FALSE)*C618),0)</f>
        <v>0</v>
      </c>
      <c r="P618" s="6"/>
      <c r="Q618" s="9" t="e">
        <f>+VLOOKUP(P618,Datos!$F:$G,2,FALSE)</f>
        <v>#N/A</v>
      </c>
      <c r="T618" s="6">
        <f t="shared" si="10"/>
        <v>0</v>
      </c>
    </row>
    <row r="619" spans="1:20" x14ac:dyDescent="0.35">
      <c r="A619" s="6" t="s">
        <v>20</v>
      </c>
      <c r="D619" s="6" t="s">
        <v>22</v>
      </c>
      <c r="E619" s="6" t="s">
        <v>409</v>
      </c>
      <c r="F619" s="6" t="s">
        <v>409</v>
      </c>
      <c r="H619" s="8"/>
      <c r="I619" s="8"/>
      <c r="J619" s="9" t="e">
        <f>+VLOOKUP(K619,Datos!$A:$C,3,FALSE)</f>
        <v>#N/A</v>
      </c>
      <c r="L619" s="9" t="e">
        <f>+VLOOKUP(K619,Datos!$A:$C,2,FALSE)</f>
        <v>#N/A</v>
      </c>
      <c r="N619" s="9" t="e">
        <f>+VLOOKUP(M619,Datos!$F:$G,2,FALSE)</f>
        <v>#N/A</v>
      </c>
      <c r="O619" s="10">
        <f>IFERROR(IF(A619="SI",VLOOKUP(R619,Datos!$J$1:$K$50,2,FALSE)*C619,VLOOKUP(R619,Datos!$P$1:$T$50,2,FALSE)*C619),0)</f>
        <v>0</v>
      </c>
      <c r="P619" s="6"/>
      <c r="Q619" s="9" t="e">
        <f>+VLOOKUP(P619,Datos!$F:$G,2,FALSE)</f>
        <v>#N/A</v>
      </c>
      <c r="T619" s="6">
        <f t="shared" si="10"/>
        <v>0</v>
      </c>
    </row>
    <row r="620" spans="1:20" x14ac:dyDescent="0.35">
      <c r="A620" s="6" t="s">
        <v>20</v>
      </c>
      <c r="D620" s="6" t="s">
        <v>22</v>
      </c>
      <c r="E620" s="6" t="s">
        <v>409</v>
      </c>
      <c r="F620" s="6" t="s">
        <v>409</v>
      </c>
      <c r="H620" s="8"/>
      <c r="I620" s="8"/>
      <c r="J620" s="9" t="e">
        <f>+VLOOKUP(K620,Datos!$A:$C,3,FALSE)</f>
        <v>#N/A</v>
      </c>
      <c r="L620" s="9" t="e">
        <f>+VLOOKUP(K620,Datos!$A:$C,2,FALSE)</f>
        <v>#N/A</v>
      </c>
      <c r="N620" s="9" t="e">
        <f>+VLOOKUP(M620,Datos!$F:$G,2,FALSE)</f>
        <v>#N/A</v>
      </c>
      <c r="O620" s="10">
        <f>IFERROR(IF(A620="SI",VLOOKUP(R620,Datos!$J$1:$K$50,2,FALSE)*C620,VLOOKUP(R620,Datos!$P$1:$T$50,2,FALSE)*C620),0)</f>
        <v>0</v>
      </c>
      <c r="P620" s="6"/>
      <c r="Q620" s="9" t="e">
        <f>+VLOOKUP(P620,Datos!$F:$G,2,FALSE)</f>
        <v>#N/A</v>
      </c>
      <c r="T620" s="6">
        <f t="shared" si="10"/>
        <v>0</v>
      </c>
    </row>
    <row r="621" spans="1:20" x14ac:dyDescent="0.35">
      <c r="A621" s="6" t="s">
        <v>20</v>
      </c>
      <c r="D621" s="6" t="s">
        <v>22</v>
      </c>
      <c r="E621" s="6" t="s">
        <v>409</v>
      </c>
      <c r="F621" s="6" t="s">
        <v>409</v>
      </c>
      <c r="H621" s="8"/>
      <c r="I621" s="8"/>
      <c r="J621" s="9" t="e">
        <f>+VLOOKUP(K621,Datos!$A:$C,3,FALSE)</f>
        <v>#N/A</v>
      </c>
      <c r="L621" s="9" t="e">
        <f>+VLOOKUP(K621,Datos!$A:$C,2,FALSE)</f>
        <v>#N/A</v>
      </c>
      <c r="N621" s="9" t="e">
        <f>+VLOOKUP(M621,Datos!$F:$G,2,FALSE)</f>
        <v>#N/A</v>
      </c>
      <c r="O621" s="10">
        <f>IFERROR(IF(A621="SI",VLOOKUP(R621,Datos!$J$1:$K$50,2,FALSE)*C621,VLOOKUP(R621,Datos!$P$1:$T$50,2,FALSE)*C621),0)</f>
        <v>0</v>
      </c>
      <c r="P621" s="6"/>
      <c r="Q621" s="9" t="e">
        <f>+VLOOKUP(P621,Datos!$F:$G,2,FALSE)</f>
        <v>#N/A</v>
      </c>
      <c r="T621" s="6">
        <f t="shared" si="10"/>
        <v>0</v>
      </c>
    </row>
    <row r="622" spans="1:20" x14ac:dyDescent="0.35">
      <c r="A622" s="6" t="s">
        <v>20</v>
      </c>
      <c r="D622" s="6" t="s">
        <v>22</v>
      </c>
      <c r="E622" s="6" t="s">
        <v>409</v>
      </c>
      <c r="F622" s="6" t="s">
        <v>409</v>
      </c>
      <c r="H622" s="8"/>
      <c r="I622" s="8"/>
      <c r="J622" s="9" t="e">
        <f>+VLOOKUP(K622,Datos!$A:$C,3,FALSE)</f>
        <v>#N/A</v>
      </c>
      <c r="L622" s="9" t="e">
        <f>+VLOOKUP(K622,Datos!$A:$C,2,FALSE)</f>
        <v>#N/A</v>
      </c>
      <c r="N622" s="9" t="e">
        <f>+VLOOKUP(M622,Datos!$F:$G,2,FALSE)</f>
        <v>#N/A</v>
      </c>
      <c r="O622" s="10">
        <f>IFERROR(IF(A622="SI",VLOOKUP(R622,Datos!$J$1:$K$50,2,FALSE)*C622,VLOOKUP(R622,Datos!$P$1:$T$50,2,FALSE)*C622),0)</f>
        <v>0</v>
      </c>
      <c r="P622" s="6"/>
      <c r="Q622" s="9" t="e">
        <f>+VLOOKUP(P622,Datos!$F:$G,2,FALSE)</f>
        <v>#N/A</v>
      </c>
      <c r="T622" s="6">
        <f t="shared" si="10"/>
        <v>0</v>
      </c>
    </row>
    <row r="623" spans="1:20" x14ac:dyDescent="0.35">
      <c r="A623" s="6" t="s">
        <v>20</v>
      </c>
      <c r="D623" s="6" t="s">
        <v>22</v>
      </c>
      <c r="E623" s="6" t="s">
        <v>409</v>
      </c>
      <c r="F623" s="6" t="s">
        <v>409</v>
      </c>
      <c r="H623" s="8"/>
      <c r="I623" s="8"/>
      <c r="J623" s="9" t="e">
        <f>+VLOOKUP(K623,Datos!$A:$C,3,FALSE)</f>
        <v>#N/A</v>
      </c>
      <c r="L623" s="9" t="e">
        <f>+VLOOKUP(K623,Datos!$A:$C,2,FALSE)</f>
        <v>#N/A</v>
      </c>
      <c r="N623" s="9" t="e">
        <f>+VLOOKUP(M623,Datos!$F:$G,2,FALSE)</f>
        <v>#N/A</v>
      </c>
      <c r="O623" s="10">
        <f>IFERROR(IF(A623="SI",VLOOKUP(R623,Datos!$J$1:$K$50,2,FALSE)*C623,VLOOKUP(R623,Datos!$P$1:$T$50,2,FALSE)*C623),0)</f>
        <v>0</v>
      </c>
      <c r="P623" s="6"/>
      <c r="Q623" s="9" t="e">
        <f>+VLOOKUP(P623,Datos!$F:$G,2,FALSE)</f>
        <v>#N/A</v>
      </c>
      <c r="T623" s="6">
        <f t="shared" si="10"/>
        <v>0</v>
      </c>
    </row>
    <row r="624" spans="1:20" x14ac:dyDescent="0.35">
      <c r="A624" s="6" t="s">
        <v>20</v>
      </c>
      <c r="D624" s="6" t="s">
        <v>22</v>
      </c>
      <c r="E624" s="6" t="s">
        <v>409</v>
      </c>
      <c r="F624" s="6" t="s">
        <v>409</v>
      </c>
      <c r="H624" s="8"/>
      <c r="I624" s="8"/>
      <c r="J624" s="9" t="e">
        <f>+VLOOKUP(K624,Datos!$A:$C,3,FALSE)</f>
        <v>#N/A</v>
      </c>
      <c r="L624" s="9" t="e">
        <f>+VLOOKUP(K624,Datos!$A:$C,2,FALSE)</f>
        <v>#N/A</v>
      </c>
      <c r="N624" s="9" t="e">
        <f>+VLOOKUP(M624,Datos!$F:$G,2,FALSE)</f>
        <v>#N/A</v>
      </c>
      <c r="O624" s="10">
        <f>IFERROR(IF(A624="SI",VLOOKUP(R624,Datos!$J$1:$K$50,2,FALSE)*C624,VLOOKUP(R624,Datos!$P$1:$T$50,2,FALSE)*C624),0)</f>
        <v>0</v>
      </c>
      <c r="P624" s="6"/>
      <c r="Q624" s="9" t="e">
        <f>+VLOOKUP(P624,Datos!$F:$G,2,FALSE)</f>
        <v>#N/A</v>
      </c>
      <c r="T624" s="6">
        <f t="shared" si="10"/>
        <v>0</v>
      </c>
    </row>
    <row r="625" spans="1:20" x14ac:dyDescent="0.35">
      <c r="A625" s="6" t="s">
        <v>20</v>
      </c>
      <c r="D625" s="6" t="s">
        <v>22</v>
      </c>
      <c r="E625" s="6" t="s">
        <v>409</v>
      </c>
      <c r="F625" s="6" t="s">
        <v>409</v>
      </c>
      <c r="H625" s="8"/>
      <c r="I625" s="8"/>
      <c r="J625" s="9" t="e">
        <f>+VLOOKUP(K625,Datos!$A:$C,3,FALSE)</f>
        <v>#N/A</v>
      </c>
      <c r="L625" s="9" t="e">
        <f>+VLOOKUP(K625,Datos!$A:$C,2,FALSE)</f>
        <v>#N/A</v>
      </c>
      <c r="N625" s="9" t="e">
        <f>+VLOOKUP(M625,Datos!$F:$G,2,FALSE)</f>
        <v>#N/A</v>
      </c>
      <c r="O625" s="10">
        <f>IFERROR(IF(A625="SI",VLOOKUP(R625,Datos!$J$1:$K$50,2,FALSE)*C625,VLOOKUP(R625,Datos!$P$1:$T$50,2,FALSE)*C625),0)</f>
        <v>0</v>
      </c>
      <c r="P625" s="6"/>
      <c r="Q625" s="9" t="e">
        <f>+VLOOKUP(P625,Datos!$F:$G,2,FALSE)</f>
        <v>#N/A</v>
      </c>
      <c r="T625" s="6">
        <f t="shared" si="10"/>
        <v>0</v>
      </c>
    </row>
    <row r="626" spans="1:20" x14ac:dyDescent="0.35">
      <c r="A626" s="6" t="s">
        <v>20</v>
      </c>
      <c r="D626" s="6" t="s">
        <v>22</v>
      </c>
      <c r="E626" s="6" t="s">
        <v>409</v>
      </c>
      <c r="F626" s="6" t="s">
        <v>409</v>
      </c>
      <c r="H626" s="8"/>
      <c r="I626" s="8"/>
      <c r="J626" s="9" t="e">
        <f>+VLOOKUP(K626,Datos!$A:$C,3,FALSE)</f>
        <v>#N/A</v>
      </c>
      <c r="L626" s="9" t="e">
        <f>+VLOOKUP(K626,Datos!$A:$C,2,FALSE)</f>
        <v>#N/A</v>
      </c>
      <c r="N626" s="9" t="e">
        <f>+VLOOKUP(M626,Datos!$F:$G,2,FALSE)</f>
        <v>#N/A</v>
      </c>
      <c r="O626" s="10">
        <f>IFERROR(IF(A626="SI",VLOOKUP(R626,Datos!$J$1:$K$50,2,FALSE)*C626,VLOOKUP(R626,Datos!$P$1:$T$50,2,FALSE)*C626),0)</f>
        <v>0</v>
      </c>
      <c r="P626" s="6"/>
      <c r="Q626" s="9" t="e">
        <f>+VLOOKUP(P626,Datos!$F:$G,2,FALSE)</f>
        <v>#N/A</v>
      </c>
      <c r="T626" s="6">
        <f t="shared" si="10"/>
        <v>0</v>
      </c>
    </row>
    <row r="627" spans="1:20" x14ac:dyDescent="0.35">
      <c r="A627" s="6" t="s">
        <v>20</v>
      </c>
      <c r="D627" s="6" t="s">
        <v>22</v>
      </c>
      <c r="E627" s="6" t="s">
        <v>409</v>
      </c>
      <c r="F627" s="6" t="s">
        <v>409</v>
      </c>
      <c r="H627" s="8"/>
      <c r="I627" s="8"/>
      <c r="J627" s="9" t="e">
        <f>+VLOOKUP(K627,Datos!$A:$C,3,FALSE)</f>
        <v>#N/A</v>
      </c>
      <c r="L627" s="9" t="e">
        <f>+VLOOKUP(K627,Datos!$A:$C,2,FALSE)</f>
        <v>#N/A</v>
      </c>
      <c r="N627" s="9" t="e">
        <f>+VLOOKUP(M627,Datos!$F:$G,2,FALSE)</f>
        <v>#N/A</v>
      </c>
      <c r="O627" s="10">
        <f>IFERROR(IF(A627="SI",VLOOKUP(R627,Datos!$J$1:$K$50,2,FALSE)*C627,VLOOKUP(R627,Datos!$P$1:$T$50,2,FALSE)*C627),0)</f>
        <v>0</v>
      </c>
      <c r="P627" s="6"/>
      <c r="Q627" s="9" t="e">
        <f>+VLOOKUP(P627,Datos!$F:$G,2,FALSE)</f>
        <v>#N/A</v>
      </c>
      <c r="T627" s="6">
        <f t="shared" si="10"/>
        <v>0</v>
      </c>
    </row>
    <row r="628" spans="1:20" x14ac:dyDescent="0.35">
      <c r="A628" s="6" t="s">
        <v>20</v>
      </c>
      <c r="D628" s="6" t="s">
        <v>22</v>
      </c>
      <c r="E628" s="6" t="s">
        <v>409</v>
      </c>
      <c r="F628" s="6" t="s">
        <v>409</v>
      </c>
      <c r="H628" s="8"/>
      <c r="I628" s="8"/>
      <c r="J628" s="9" t="e">
        <f>+VLOOKUP(K628,Datos!$A:$C,3,FALSE)</f>
        <v>#N/A</v>
      </c>
      <c r="L628" s="9" t="e">
        <f>+VLOOKUP(K628,Datos!$A:$C,2,FALSE)</f>
        <v>#N/A</v>
      </c>
      <c r="N628" s="9" t="e">
        <f>+VLOOKUP(M628,Datos!$F:$G,2,FALSE)</f>
        <v>#N/A</v>
      </c>
      <c r="O628" s="10">
        <f>IFERROR(IF(A628="SI",VLOOKUP(R628,Datos!$J$1:$K$50,2,FALSE)*C628,VLOOKUP(R628,Datos!$P$1:$T$50,2,FALSE)*C628),0)</f>
        <v>0</v>
      </c>
      <c r="P628" s="6"/>
      <c r="Q628" s="9" t="e">
        <f>+VLOOKUP(P628,Datos!$F:$G,2,FALSE)</f>
        <v>#N/A</v>
      </c>
      <c r="T628" s="6">
        <f t="shared" si="10"/>
        <v>0</v>
      </c>
    </row>
    <row r="629" spans="1:20" x14ac:dyDescent="0.35">
      <c r="A629" s="6" t="s">
        <v>20</v>
      </c>
      <c r="D629" s="6" t="s">
        <v>22</v>
      </c>
      <c r="E629" s="6" t="s">
        <v>409</v>
      </c>
      <c r="F629" s="6" t="s">
        <v>409</v>
      </c>
      <c r="H629" s="8"/>
      <c r="I629" s="8"/>
      <c r="J629" s="9" t="e">
        <f>+VLOOKUP(K629,Datos!$A:$C,3,FALSE)</f>
        <v>#N/A</v>
      </c>
      <c r="L629" s="9" t="e">
        <f>+VLOOKUP(K629,Datos!$A:$C,2,FALSE)</f>
        <v>#N/A</v>
      </c>
      <c r="N629" s="9" t="e">
        <f>+VLOOKUP(M629,Datos!$F:$G,2,FALSE)</f>
        <v>#N/A</v>
      </c>
      <c r="O629" s="10">
        <f>IFERROR(IF(A629="SI",VLOOKUP(R629,Datos!$J$1:$K$50,2,FALSE)*C629,VLOOKUP(R629,Datos!$P$1:$T$50,2,FALSE)*C629),0)</f>
        <v>0</v>
      </c>
      <c r="P629" s="6"/>
      <c r="Q629" s="9" t="e">
        <f>+VLOOKUP(P629,Datos!$F:$G,2,FALSE)</f>
        <v>#N/A</v>
      </c>
      <c r="T629" s="6">
        <f t="shared" si="10"/>
        <v>0</v>
      </c>
    </row>
    <row r="630" spans="1:20" x14ac:dyDescent="0.35">
      <c r="A630" s="6" t="s">
        <v>20</v>
      </c>
      <c r="D630" s="6" t="s">
        <v>22</v>
      </c>
      <c r="E630" s="6" t="s">
        <v>409</v>
      </c>
      <c r="F630" s="6" t="s">
        <v>409</v>
      </c>
      <c r="H630" s="8"/>
      <c r="I630" s="8"/>
      <c r="J630" s="9" t="e">
        <f>+VLOOKUP(K630,Datos!$A:$C,3,FALSE)</f>
        <v>#N/A</v>
      </c>
      <c r="L630" s="9" t="e">
        <f>+VLOOKUP(K630,Datos!$A:$C,2,FALSE)</f>
        <v>#N/A</v>
      </c>
      <c r="N630" s="9" t="e">
        <f>+VLOOKUP(M630,Datos!$F:$G,2,FALSE)</f>
        <v>#N/A</v>
      </c>
      <c r="O630" s="10">
        <f>IFERROR(IF(A630="SI",VLOOKUP(R630,Datos!$J$1:$K$50,2,FALSE)*C630,VLOOKUP(R630,Datos!$P$1:$T$50,2,FALSE)*C630),0)</f>
        <v>0</v>
      </c>
      <c r="P630" s="6"/>
      <c r="Q630" s="9" t="e">
        <f>+VLOOKUP(P630,Datos!$F:$G,2,FALSE)</f>
        <v>#N/A</v>
      </c>
      <c r="T630" s="6">
        <f t="shared" si="10"/>
        <v>0</v>
      </c>
    </row>
    <row r="631" spans="1:20" x14ac:dyDescent="0.35">
      <c r="A631" s="6" t="s">
        <v>20</v>
      </c>
      <c r="D631" s="6" t="s">
        <v>22</v>
      </c>
      <c r="E631" s="6" t="s">
        <v>409</v>
      </c>
      <c r="F631" s="6" t="s">
        <v>409</v>
      </c>
      <c r="H631" s="8"/>
      <c r="I631" s="8"/>
      <c r="J631" s="9" t="e">
        <f>+VLOOKUP(K631,Datos!$A:$C,3,FALSE)</f>
        <v>#N/A</v>
      </c>
      <c r="L631" s="9" t="e">
        <f>+VLOOKUP(K631,Datos!$A:$C,2,FALSE)</f>
        <v>#N/A</v>
      </c>
      <c r="N631" s="9" t="e">
        <f>+VLOOKUP(M631,Datos!$F:$G,2,FALSE)</f>
        <v>#N/A</v>
      </c>
      <c r="O631" s="10">
        <f>IFERROR(IF(A631="SI",VLOOKUP(R631,Datos!$J$1:$K$50,2,FALSE)*C631,VLOOKUP(R631,Datos!$P$1:$T$50,2,FALSE)*C631),0)</f>
        <v>0</v>
      </c>
      <c r="P631" s="6"/>
      <c r="Q631" s="9" t="e">
        <f>+VLOOKUP(P631,Datos!$F:$G,2,FALSE)</f>
        <v>#N/A</v>
      </c>
      <c r="T631" s="6">
        <f t="shared" si="10"/>
        <v>0</v>
      </c>
    </row>
    <row r="632" spans="1:20" x14ac:dyDescent="0.35">
      <c r="A632" s="6" t="s">
        <v>20</v>
      </c>
      <c r="D632" s="6" t="s">
        <v>22</v>
      </c>
      <c r="E632" s="6" t="s">
        <v>409</v>
      </c>
      <c r="F632" s="6" t="s">
        <v>409</v>
      </c>
      <c r="H632" s="8"/>
      <c r="I632" s="8"/>
      <c r="J632" s="9" t="e">
        <f>+VLOOKUP(K632,Datos!$A:$C,3,FALSE)</f>
        <v>#N/A</v>
      </c>
      <c r="L632" s="9" t="e">
        <f>+VLOOKUP(K632,Datos!$A:$C,2,FALSE)</f>
        <v>#N/A</v>
      </c>
      <c r="N632" s="9" t="e">
        <f>+VLOOKUP(M632,Datos!$F:$G,2,FALSE)</f>
        <v>#N/A</v>
      </c>
      <c r="O632" s="10">
        <f>IFERROR(IF(A632="SI",VLOOKUP(R632,Datos!$J$1:$K$50,2,FALSE)*C632,VLOOKUP(R632,Datos!$P$1:$T$50,2,FALSE)*C632),0)</f>
        <v>0</v>
      </c>
      <c r="P632" s="6"/>
      <c r="Q632" s="9" t="e">
        <f>+VLOOKUP(P632,Datos!$F:$G,2,FALSE)</f>
        <v>#N/A</v>
      </c>
      <c r="T632" s="6">
        <f t="shared" si="10"/>
        <v>0</v>
      </c>
    </row>
    <row r="633" spans="1:20" x14ac:dyDescent="0.35">
      <c r="A633" s="6" t="s">
        <v>20</v>
      </c>
      <c r="D633" s="6" t="s">
        <v>22</v>
      </c>
      <c r="E633" s="6" t="s">
        <v>409</v>
      </c>
      <c r="F633" s="6" t="s">
        <v>409</v>
      </c>
      <c r="H633" s="8"/>
      <c r="I633" s="8"/>
      <c r="J633" s="9" t="e">
        <f>+VLOOKUP(K633,Datos!$A:$C,3,FALSE)</f>
        <v>#N/A</v>
      </c>
      <c r="L633" s="9" t="e">
        <f>+VLOOKUP(K633,Datos!$A:$C,2,FALSE)</f>
        <v>#N/A</v>
      </c>
      <c r="N633" s="9" t="e">
        <f>+VLOOKUP(M633,Datos!$F:$G,2,FALSE)</f>
        <v>#N/A</v>
      </c>
      <c r="O633" s="10">
        <f>IFERROR(IF(A633="SI",VLOOKUP(R633,Datos!$J$1:$K$50,2,FALSE)*C633,VLOOKUP(R633,Datos!$P$1:$T$50,2,FALSE)*C633),0)</f>
        <v>0</v>
      </c>
      <c r="P633" s="6"/>
      <c r="Q633" s="9" t="e">
        <f>+VLOOKUP(P633,Datos!$F:$G,2,FALSE)</f>
        <v>#N/A</v>
      </c>
      <c r="T633" s="6">
        <f t="shared" si="10"/>
        <v>0</v>
      </c>
    </row>
    <row r="634" spans="1:20" x14ac:dyDescent="0.35">
      <c r="A634" s="6" t="s">
        <v>20</v>
      </c>
      <c r="D634" s="6" t="s">
        <v>22</v>
      </c>
      <c r="E634" s="6" t="s">
        <v>409</v>
      </c>
      <c r="F634" s="6" t="s">
        <v>409</v>
      </c>
      <c r="H634" s="8"/>
      <c r="I634" s="8"/>
      <c r="J634" s="9" t="e">
        <f>+VLOOKUP(K634,Datos!$A:$C,3,FALSE)</f>
        <v>#N/A</v>
      </c>
      <c r="L634" s="9" t="e">
        <f>+VLOOKUP(K634,Datos!$A:$C,2,FALSE)</f>
        <v>#N/A</v>
      </c>
      <c r="N634" s="9" t="e">
        <f>+VLOOKUP(M634,Datos!$F:$G,2,FALSE)</f>
        <v>#N/A</v>
      </c>
      <c r="O634" s="10">
        <f>IFERROR(IF(A634="SI",VLOOKUP(R634,Datos!$J$1:$K$50,2,FALSE)*C634,VLOOKUP(R634,Datos!$P$1:$T$50,2,FALSE)*C634),0)</f>
        <v>0</v>
      </c>
      <c r="P634" s="6"/>
      <c r="Q634" s="9" t="e">
        <f>+VLOOKUP(P634,Datos!$F:$G,2,FALSE)</f>
        <v>#N/A</v>
      </c>
      <c r="T634" s="6">
        <f t="shared" si="10"/>
        <v>0</v>
      </c>
    </row>
    <row r="635" spans="1:20" x14ac:dyDescent="0.35">
      <c r="A635" s="6" t="s">
        <v>20</v>
      </c>
      <c r="D635" s="6" t="s">
        <v>22</v>
      </c>
      <c r="E635" s="6" t="s">
        <v>409</v>
      </c>
      <c r="F635" s="6" t="s">
        <v>409</v>
      </c>
      <c r="H635" s="8"/>
      <c r="I635" s="8"/>
      <c r="J635" s="9" t="e">
        <f>+VLOOKUP(K635,Datos!$A:$C,3,FALSE)</f>
        <v>#N/A</v>
      </c>
      <c r="L635" s="9" t="e">
        <f>+VLOOKUP(K635,Datos!$A:$C,2,FALSE)</f>
        <v>#N/A</v>
      </c>
      <c r="N635" s="9" t="e">
        <f>+VLOOKUP(M635,Datos!$F:$G,2,FALSE)</f>
        <v>#N/A</v>
      </c>
      <c r="O635" s="10">
        <f>IFERROR(IF(A635="SI",VLOOKUP(R635,Datos!$J$1:$K$50,2,FALSE)*C635,VLOOKUP(R635,Datos!$P$1:$T$50,2,FALSE)*C635),0)</f>
        <v>0</v>
      </c>
      <c r="P635" s="6"/>
      <c r="Q635" s="9" t="e">
        <f>+VLOOKUP(P635,Datos!$F:$G,2,FALSE)</f>
        <v>#N/A</v>
      </c>
      <c r="T635" s="6">
        <f t="shared" si="10"/>
        <v>0</v>
      </c>
    </row>
    <row r="636" spans="1:20" x14ac:dyDescent="0.35">
      <c r="A636" s="6" t="s">
        <v>20</v>
      </c>
      <c r="D636" s="6" t="s">
        <v>22</v>
      </c>
      <c r="E636" s="6" t="s">
        <v>409</v>
      </c>
      <c r="F636" s="6" t="s">
        <v>409</v>
      </c>
      <c r="H636" s="8"/>
      <c r="I636" s="8"/>
      <c r="J636" s="9" t="e">
        <f>+VLOOKUP(K636,Datos!$A:$C,3,FALSE)</f>
        <v>#N/A</v>
      </c>
      <c r="L636" s="9" t="e">
        <f>+VLOOKUP(K636,Datos!$A:$C,2,FALSE)</f>
        <v>#N/A</v>
      </c>
      <c r="N636" s="9" t="e">
        <f>+VLOOKUP(M636,Datos!$F:$G,2,FALSE)</f>
        <v>#N/A</v>
      </c>
      <c r="O636" s="10">
        <f>IFERROR(IF(A636="SI",VLOOKUP(R636,Datos!$J$1:$K$50,2,FALSE)*C636,VLOOKUP(R636,Datos!$P$1:$T$50,2,FALSE)*C636),0)</f>
        <v>0</v>
      </c>
      <c r="P636" s="6"/>
      <c r="Q636" s="9" t="e">
        <f>+VLOOKUP(P636,Datos!$F:$G,2,FALSE)</f>
        <v>#N/A</v>
      </c>
      <c r="T636" s="6">
        <f t="shared" si="10"/>
        <v>0</v>
      </c>
    </row>
    <row r="637" spans="1:20" x14ac:dyDescent="0.35">
      <c r="A637" s="6" t="s">
        <v>20</v>
      </c>
      <c r="D637" s="6" t="s">
        <v>22</v>
      </c>
      <c r="E637" s="6" t="s">
        <v>409</v>
      </c>
      <c r="F637" s="6" t="s">
        <v>409</v>
      </c>
      <c r="H637" s="8"/>
      <c r="I637" s="8"/>
      <c r="J637" s="9" t="e">
        <f>+VLOOKUP(K637,Datos!$A:$C,3,FALSE)</f>
        <v>#N/A</v>
      </c>
      <c r="L637" s="9" t="e">
        <f>+VLOOKUP(K637,Datos!$A:$C,2,FALSE)</f>
        <v>#N/A</v>
      </c>
      <c r="N637" s="9" t="e">
        <f>+VLOOKUP(M637,Datos!$F:$G,2,FALSE)</f>
        <v>#N/A</v>
      </c>
      <c r="O637" s="10">
        <f>IFERROR(IF(A637="SI",VLOOKUP(R637,Datos!$J$1:$K$50,2,FALSE)*C637,VLOOKUP(R637,Datos!$P$1:$T$50,2,FALSE)*C637),0)</f>
        <v>0</v>
      </c>
      <c r="P637" s="6"/>
      <c r="Q637" s="9" t="e">
        <f>+VLOOKUP(P637,Datos!$F:$G,2,FALSE)</f>
        <v>#N/A</v>
      </c>
      <c r="T637" s="6">
        <f t="shared" si="10"/>
        <v>0</v>
      </c>
    </row>
    <row r="638" spans="1:20" x14ac:dyDescent="0.35">
      <c r="A638" s="6" t="s">
        <v>20</v>
      </c>
      <c r="D638" s="6" t="s">
        <v>22</v>
      </c>
      <c r="E638" s="6" t="s">
        <v>409</v>
      </c>
      <c r="F638" s="6" t="s">
        <v>409</v>
      </c>
      <c r="H638" s="8"/>
      <c r="I638" s="8"/>
      <c r="J638" s="9" t="e">
        <f>+VLOOKUP(K638,Datos!$A:$C,3,FALSE)</f>
        <v>#N/A</v>
      </c>
      <c r="L638" s="9" t="e">
        <f>+VLOOKUP(K638,Datos!$A:$C,2,FALSE)</f>
        <v>#N/A</v>
      </c>
      <c r="N638" s="9" t="e">
        <f>+VLOOKUP(M638,Datos!$F:$G,2,FALSE)</f>
        <v>#N/A</v>
      </c>
      <c r="O638" s="10">
        <f>IFERROR(IF(A638="SI",VLOOKUP(R638,Datos!$J$1:$K$50,2,FALSE)*C638,VLOOKUP(R638,Datos!$P$1:$T$50,2,FALSE)*C638),0)</f>
        <v>0</v>
      </c>
      <c r="P638" s="6"/>
      <c r="Q638" s="9" t="e">
        <f>+VLOOKUP(P638,Datos!$F:$G,2,FALSE)</f>
        <v>#N/A</v>
      </c>
      <c r="T638" s="6">
        <f t="shared" si="10"/>
        <v>0</v>
      </c>
    </row>
    <row r="639" spans="1:20" x14ac:dyDescent="0.35">
      <c r="A639" s="6" t="s">
        <v>20</v>
      </c>
      <c r="D639" s="6" t="s">
        <v>22</v>
      </c>
      <c r="E639" s="6" t="s">
        <v>409</v>
      </c>
      <c r="F639" s="6" t="s">
        <v>409</v>
      </c>
      <c r="H639" s="8"/>
      <c r="I639" s="8"/>
      <c r="J639" s="9" t="e">
        <f>+VLOOKUP(K639,Datos!$A:$C,3,FALSE)</f>
        <v>#N/A</v>
      </c>
      <c r="L639" s="9" t="e">
        <f>+VLOOKUP(K639,Datos!$A:$C,2,FALSE)</f>
        <v>#N/A</v>
      </c>
      <c r="N639" s="9" t="e">
        <f>+VLOOKUP(M639,Datos!$F:$G,2,FALSE)</f>
        <v>#N/A</v>
      </c>
      <c r="O639" s="10">
        <f>IFERROR(IF(A639="SI",VLOOKUP(R639,Datos!$J$1:$K$50,2,FALSE)*C639,VLOOKUP(R639,Datos!$P$1:$T$50,2,FALSE)*C639),0)</f>
        <v>0</v>
      </c>
      <c r="P639" s="6"/>
      <c r="Q639" s="9" t="e">
        <f>+VLOOKUP(P639,Datos!$F:$G,2,FALSE)</f>
        <v>#N/A</v>
      </c>
      <c r="T639" s="6">
        <f t="shared" si="10"/>
        <v>0</v>
      </c>
    </row>
    <row r="640" spans="1:20" x14ac:dyDescent="0.35">
      <c r="A640" s="6" t="s">
        <v>20</v>
      </c>
      <c r="D640" s="6" t="s">
        <v>22</v>
      </c>
      <c r="E640" s="6" t="s">
        <v>409</v>
      </c>
      <c r="F640" s="6" t="s">
        <v>409</v>
      </c>
      <c r="H640" s="8"/>
      <c r="I640" s="8"/>
      <c r="J640" s="9" t="e">
        <f>+VLOOKUP(K640,Datos!$A:$C,3,FALSE)</f>
        <v>#N/A</v>
      </c>
      <c r="L640" s="9" t="e">
        <f>+VLOOKUP(K640,Datos!$A:$C,2,FALSE)</f>
        <v>#N/A</v>
      </c>
      <c r="N640" s="9" t="e">
        <f>+VLOOKUP(M640,Datos!$F:$G,2,FALSE)</f>
        <v>#N/A</v>
      </c>
      <c r="O640" s="10">
        <f>IFERROR(IF(A640="SI",VLOOKUP(R640,Datos!$J$1:$K$50,2,FALSE)*C640,VLOOKUP(R640,Datos!$P$1:$T$50,2,FALSE)*C640),0)</f>
        <v>0</v>
      </c>
      <c r="P640" s="6"/>
      <c r="Q640" s="9" t="e">
        <f>+VLOOKUP(P640,Datos!$F:$G,2,FALSE)</f>
        <v>#N/A</v>
      </c>
      <c r="T640" s="6">
        <f t="shared" si="10"/>
        <v>0</v>
      </c>
    </row>
    <row r="641" spans="1:20" x14ac:dyDescent="0.35">
      <c r="A641" s="6" t="s">
        <v>20</v>
      </c>
      <c r="D641" s="6" t="s">
        <v>22</v>
      </c>
      <c r="E641" s="6" t="s">
        <v>409</v>
      </c>
      <c r="F641" s="6" t="s">
        <v>409</v>
      </c>
      <c r="H641" s="8"/>
      <c r="I641" s="8"/>
      <c r="J641" s="9" t="e">
        <f>+VLOOKUP(K641,Datos!$A:$C,3,FALSE)</f>
        <v>#N/A</v>
      </c>
      <c r="L641" s="9" t="e">
        <f>+VLOOKUP(K641,Datos!$A:$C,2,FALSE)</f>
        <v>#N/A</v>
      </c>
      <c r="N641" s="9" t="e">
        <f>+VLOOKUP(M641,Datos!$F:$G,2,FALSE)</f>
        <v>#N/A</v>
      </c>
      <c r="O641" s="10">
        <f>IFERROR(IF(A641="SI",VLOOKUP(R641,Datos!$J$1:$K$50,2,FALSE)*C641,VLOOKUP(R641,Datos!$P$1:$T$50,2,FALSE)*C641),0)</f>
        <v>0</v>
      </c>
      <c r="P641" s="6"/>
      <c r="Q641" s="9" t="e">
        <f>+VLOOKUP(P641,Datos!$F:$G,2,FALSE)</f>
        <v>#N/A</v>
      </c>
      <c r="T641" s="6">
        <f t="shared" si="10"/>
        <v>0</v>
      </c>
    </row>
    <row r="642" spans="1:20" x14ac:dyDescent="0.35">
      <c r="A642" s="6" t="s">
        <v>20</v>
      </c>
      <c r="D642" s="6" t="s">
        <v>22</v>
      </c>
      <c r="E642" s="6" t="s">
        <v>409</v>
      </c>
      <c r="F642" s="6" t="s">
        <v>409</v>
      </c>
      <c r="H642" s="8"/>
      <c r="I642" s="8"/>
      <c r="J642" s="9" t="e">
        <f>+VLOOKUP(K642,Datos!$A:$C,3,FALSE)</f>
        <v>#N/A</v>
      </c>
      <c r="L642" s="9" t="e">
        <f>+VLOOKUP(K642,Datos!$A:$C,2,FALSE)</f>
        <v>#N/A</v>
      </c>
      <c r="N642" s="9" t="e">
        <f>+VLOOKUP(M642,Datos!$F:$G,2,FALSE)</f>
        <v>#N/A</v>
      </c>
      <c r="O642" s="10">
        <f>IFERROR(IF(A642="SI",VLOOKUP(R642,Datos!$J$1:$K$50,2,FALSE)*C642,VLOOKUP(R642,Datos!$P$1:$T$50,2,FALSE)*C642),0)</f>
        <v>0</v>
      </c>
      <c r="P642" s="6"/>
      <c r="Q642" s="9" t="e">
        <f>+VLOOKUP(P642,Datos!$F:$G,2,FALSE)</f>
        <v>#N/A</v>
      </c>
      <c r="T642" s="6">
        <f t="shared" si="10"/>
        <v>0</v>
      </c>
    </row>
    <row r="643" spans="1:20" x14ac:dyDescent="0.35">
      <c r="A643" s="6" t="s">
        <v>20</v>
      </c>
      <c r="D643" s="6" t="s">
        <v>22</v>
      </c>
      <c r="E643" s="6" t="s">
        <v>409</v>
      </c>
      <c r="F643" s="6" t="s">
        <v>409</v>
      </c>
      <c r="H643" s="8"/>
      <c r="I643" s="8"/>
      <c r="J643" s="9" t="e">
        <f>+VLOOKUP(K643,Datos!$A:$C,3,FALSE)</f>
        <v>#N/A</v>
      </c>
      <c r="L643" s="9" t="e">
        <f>+VLOOKUP(K643,Datos!$A:$C,2,FALSE)</f>
        <v>#N/A</v>
      </c>
      <c r="N643" s="9" t="e">
        <f>+VLOOKUP(M643,Datos!$F:$G,2,FALSE)</f>
        <v>#N/A</v>
      </c>
      <c r="O643" s="10">
        <f>IFERROR(IF(A643="SI",VLOOKUP(R643,Datos!$J$1:$K$50,2,FALSE)*C643,VLOOKUP(R643,Datos!$P$1:$T$50,2,FALSE)*C643),0)</f>
        <v>0</v>
      </c>
      <c r="P643" s="6"/>
      <c r="Q643" s="9" t="e">
        <f>+VLOOKUP(P643,Datos!$F:$G,2,FALSE)</f>
        <v>#N/A</v>
      </c>
      <c r="T643" s="6">
        <f t="shared" si="10"/>
        <v>0</v>
      </c>
    </row>
    <row r="644" spans="1:20" x14ac:dyDescent="0.35">
      <c r="A644" s="6" t="s">
        <v>20</v>
      </c>
      <c r="D644" s="6" t="s">
        <v>22</v>
      </c>
      <c r="E644" s="6" t="s">
        <v>409</v>
      </c>
      <c r="F644" s="6" t="s">
        <v>409</v>
      </c>
      <c r="H644" s="8"/>
      <c r="I644" s="8"/>
      <c r="J644" s="9" t="e">
        <f>+VLOOKUP(K644,Datos!$A:$C,3,FALSE)</f>
        <v>#N/A</v>
      </c>
      <c r="L644" s="9" t="e">
        <f>+VLOOKUP(K644,Datos!$A:$C,2,FALSE)</f>
        <v>#N/A</v>
      </c>
      <c r="N644" s="9" t="e">
        <f>+VLOOKUP(M644,Datos!$F:$G,2,FALSE)</f>
        <v>#N/A</v>
      </c>
      <c r="O644" s="10">
        <f>IFERROR(IF(A644="SI",VLOOKUP(R644,Datos!$J$1:$K$50,2,FALSE)*C644,VLOOKUP(R644,Datos!$P$1:$T$50,2,FALSE)*C644),0)</f>
        <v>0</v>
      </c>
      <c r="P644" s="6"/>
      <c r="Q644" s="9" t="e">
        <f>+VLOOKUP(P644,Datos!$F:$G,2,FALSE)</f>
        <v>#N/A</v>
      </c>
      <c r="T644" s="6">
        <f t="shared" si="10"/>
        <v>0</v>
      </c>
    </row>
    <row r="645" spans="1:20" x14ac:dyDescent="0.35">
      <c r="A645" s="6" t="s">
        <v>20</v>
      </c>
      <c r="D645" s="6" t="s">
        <v>22</v>
      </c>
      <c r="E645" s="6" t="s">
        <v>409</v>
      </c>
      <c r="F645" s="6" t="s">
        <v>409</v>
      </c>
      <c r="H645" s="8"/>
      <c r="I645" s="8"/>
      <c r="J645" s="9" t="e">
        <f>+VLOOKUP(K645,Datos!$A:$C,3,FALSE)</f>
        <v>#N/A</v>
      </c>
      <c r="L645" s="9" t="e">
        <f>+VLOOKUP(K645,Datos!$A:$C,2,FALSE)</f>
        <v>#N/A</v>
      </c>
      <c r="N645" s="9" t="e">
        <f>+VLOOKUP(M645,Datos!$F:$G,2,FALSE)</f>
        <v>#N/A</v>
      </c>
      <c r="O645" s="10">
        <f>IFERROR(IF(A645="SI",VLOOKUP(R645,Datos!$J$1:$K$50,2,FALSE)*C645,VLOOKUP(R645,Datos!$P$1:$T$50,2,FALSE)*C645),0)</f>
        <v>0</v>
      </c>
      <c r="P645" s="6"/>
      <c r="Q645" s="9" t="e">
        <f>+VLOOKUP(P645,Datos!$F:$G,2,FALSE)</f>
        <v>#N/A</v>
      </c>
      <c r="T645" s="6">
        <f t="shared" si="10"/>
        <v>0</v>
      </c>
    </row>
    <row r="646" spans="1:20" x14ac:dyDescent="0.35">
      <c r="A646" s="6" t="s">
        <v>20</v>
      </c>
      <c r="D646" s="6" t="s">
        <v>22</v>
      </c>
      <c r="E646" s="6" t="s">
        <v>409</v>
      </c>
      <c r="F646" s="6" t="s">
        <v>409</v>
      </c>
      <c r="H646" s="8"/>
      <c r="I646" s="8"/>
      <c r="J646" s="9" t="e">
        <f>+VLOOKUP(K646,Datos!$A:$C,3,FALSE)</f>
        <v>#N/A</v>
      </c>
      <c r="L646" s="9" t="e">
        <f>+VLOOKUP(K646,Datos!$A:$C,2,FALSE)</f>
        <v>#N/A</v>
      </c>
      <c r="N646" s="9" t="e">
        <f>+VLOOKUP(M646,Datos!$F:$G,2,FALSE)</f>
        <v>#N/A</v>
      </c>
      <c r="O646" s="10">
        <f>IFERROR(IF(A646="SI",VLOOKUP(R646,Datos!$J$1:$K$50,2,FALSE)*C646,VLOOKUP(R646,Datos!$P$1:$T$50,2,FALSE)*C646),0)</f>
        <v>0</v>
      </c>
      <c r="P646" s="6"/>
      <c r="Q646" s="9" t="e">
        <f>+VLOOKUP(P646,Datos!$F:$G,2,FALSE)</f>
        <v>#N/A</v>
      </c>
      <c r="T646" s="6">
        <f t="shared" si="10"/>
        <v>0</v>
      </c>
    </row>
    <row r="647" spans="1:20" x14ac:dyDescent="0.35">
      <c r="A647" s="6" t="s">
        <v>20</v>
      </c>
      <c r="D647" s="6" t="s">
        <v>22</v>
      </c>
      <c r="E647" s="6" t="s">
        <v>409</v>
      </c>
      <c r="F647" s="6" t="s">
        <v>409</v>
      </c>
      <c r="H647" s="8"/>
      <c r="I647" s="8"/>
      <c r="J647" s="9" t="e">
        <f>+VLOOKUP(K647,Datos!$A:$C,3,FALSE)</f>
        <v>#N/A</v>
      </c>
      <c r="L647" s="9" t="e">
        <f>+VLOOKUP(K647,Datos!$A:$C,2,FALSE)</f>
        <v>#N/A</v>
      </c>
      <c r="N647" s="9" t="e">
        <f>+VLOOKUP(M647,Datos!$F:$G,2,FALSE)</f>
        <v>#N/A</v>
      </c>
      <c r="O647" s="10">
        <f>IFERROR(IF(A647="SI",VLOOKUP(R647,Datos!$J$1:$K$50,2,FALSE)*C647,VLOOKUP(R647,Datos!$P$1:$T$50,2,FALSE)*C647),0)</f>
        <v>0</v>
      </c>
      <c r="P647" s="6"/>
      <c r="Q647" s="9" t="e">
        <f>+VLOOKUP(P647,Datos!$F:$G,2,FALSE)</f>
        <v>#N/A</v>
      </c>
      <c r="T647" s="6">
        <f t="shared" si="10"/>
        <v>0</v>
      </c>
    </row>
    <row r="648" spans="1:20" x14ac:dyDescent="0.35">
      <c r="A648" s="6" t="s">
        <v>20</v>
      </c>
      <c r="D648" s="6" t="s">
        <v>22</v>
      </c>
      <c r="E648" s="6" t="s">
        <v>409</v>
      </c>
      <c r="F648" s="6" t="s">
        <v>409</v>
      </c>
      <c r="H648" s="8"/>
      <c r="I648" s="8"/>
      <c r="J648" s="9" t="e">
        <f>+VLOOKUP(K648,Datos!$A:$C,3,FALSE)</f>
        <v>#N/A</v>
      </c>
      <c r="L648" s="9" t="e">
        <f>+VLOOKUP(K648,Datos!$A:$C,2,FALSE)</f>
        <v>#N/A</v>
      </c>
      <c r="N648" s="9" t="e">
        <f>+VLOOKUP(M648,Datos!$F:$G,2,FALSE)</f>
        <v>#N/A</v>
      </c>
      <c r="O648" s="10">
        <f>IFERROR(IF(A648="SI",VLOOKUP(R648,Datos!$J$1:$K$50,2,FALSE)*C648,VLOOKUP(R648,Datos!$P$1:$T$50,2,FALSE)*C648),0)</f>
        <v>0</v>
      </c>
      <c r="P648" s="6"/>
      <c r="Q648" s="9" t="e">
        <f>+VLOOKUP(P648,Datos!$F:$G,2,FALSE)</f>
        <v>#N/A</v>
      </c>
      <c r="T648" s="6">
        <f t="shared" si="10"/>
        <v>0</v>
      </c>
    </row>
    <row r="649" spans="1:20" x14ac:dyDescent="0.35">
      <c r="A649" s="6" t="s">
        <v>20</v>
      </c>
      <c r="D649" s="6" t="s">
        <v>22</v>
      </c>
      <c r="E649" s="6" t="s">
        <v>409</v>
      </c>
      <c r="F649" s="6" t="s">
        <v>409</v>
      </c>
      <c r="H649" s="8"/>
      <c r="I649" s="8"/>
      <c r="J649" s="9" t="e">
        <f>+VLOOKUP(K649,Datos!$A:$C,3,FALSE)</f>
        <v>#N/A</v>
      </c>
      <c r="L649" s="9" t="e">
        <f>+VLOOKUP(K649,Datos!$A:$C,2,FALSE)</f>
        <v>#N/A</v>
      </c>
      <c r="N649" s="9" t="e">
        <f>+VLOOKUP(M649,Datos!$F:$G,2,FALSE)</f>
        <v>#N/A</v>
      </c>
      <c r="O649" s="10">
        <f>IFERROR(IF(A649="SI",VLOOKUP(R649,Datos!$J$1:$K$50,2,FALSE)*C649,VLOOKUP(R649,Datos!$P$1:$T$50,2,FALSE)*C649),0)</f>
        <v>0</v>
      </c>
      <c r="P649" s="6"/>
      <c r="Q649" s="9" t="e">
        <f>+VLOOKUP(P649,Datos!$F:$G,2,FALSE)</f>
        <v>#N/A</v>
      </c>
      <c r="T649" s="6">
        <f t="shared" si="10"/>
        <v>0</v>
      </c>
    </row>
    <row r="650" spans="1:20" x14ac:dyDescent="0.35">
      <c r="A650" s="6" t="s">
        <v>20</v>
      </c>
      <c r="D650" s="6" t="s">
        <v>22</v>
      </c>
      <c r="E650" s="6" t="s">
        <v>409</v>
      </c>
      <c r="F650" s="6" t="s">
        <v>409</v>
      </c>
      <c r="H650" s="8"/>
      <c r="I650" s="8"/>
      <c r="J650" s="9" t="e">
        <f>+VLOOKUP(K650,Datos!$A:$C,3,FALSE)</f>
        <v>#N/A</v>
      </c>
      <c r="L650" s="9" t="e">
        <f>+VLOOKUP(K650,Datos!$A:$C,2,FALSE)</f>
        <v>#N/A</v>
      </c>
      <c r="N650" s="9" t="e">
        <f>+VLOOKUP(M650,Datos!$F:$G,2,FALSE)</f>
        <v>#N/A</v>
      </c>
      <c r="O650" s="10">
        <f>IFERROR(IF(A650="SI",VLOOKUP(R650,Datos!$J$1:$K$50,2,FALSE)*C650,VLOOKUP(R650,Datos!$P$1:$T$50,2,FALSE)*C650),0)</f>
        <v>0</v>
      </c>
      <c r="P650" s="6"/>
      <c r="Q650" s="9" t="e">
        <f>+VLOOKUP(P650,Datos!$F:$G,2,FALSE)</f>
        <v>#N/A</v>
      </c>
      <c r="R650" s="6" t="s">
        <v>29</v>
      </c>
      <c r="T650" s="6">
        <f t="shared" si="10"/>
        <v>0</v>
      </c>
    </row>
    <row r="651" spans="1:20" x14ac:dyDescent="0.35">
      <c r="A651" s="6" t="s">
        <v>20</v>
      </c>
      <c r="D651" s="6" t="s">
        <v>22</v>
      </c>
      <c r="E651" s="6" t="s">
        <v>409</v>
      </c>
      <c r="F651" s="6" t="s">
        <v>409</v>
      </c>
      <c r="H651" s="8"/>
      <c r="I651" s="8"/>
      <c r="J651" s="9" t="e">
        <f>+VLOOKUP(K651,Datos!$A:$C,3,FALSE)</f>
        <v>#N/A</v>
      </c>
      <c r="L651" s="9" t="e">
        <f>+VLOOKUP(K651,Datos!$A:$C,2,FALSE)</f>
        <v>#N/A</v>
      </c>
      <c r="N651" s="9" t="e">
        <f>+VLOOKUP(M651,Datos!$F:$G,2,FALSE)</f>
        <v>#N/A</v>
      </c>
      <c r="O651" s="10">
        <f>IFERROR(IF(A651="SI",VLOOKUP(R651,Datos!$J$1:$K$50,2,FALSE)*C651,VLOOKUP(R651,Datos!$P$1:$T$50,2,FALSE)*C651),0)</f>
        <v>0</v>
      </c>
      <c r="P651" s="6"/>
      <c r="Q651" s="9" t="e">
        <f>+VLOOKUP(P651,Datos!$F:$G,2,FALSE)</f>
        <v>#N/A</v>
      </c>
      <c r="T651" s="6">
        <f t="shared" si="10"/>
        <v>0</v>
      </c>
    </row>
    <row r="652" spans="1:20" x14ac:dyDescent="0.35">
      <c r="A652" s="6" t="s">
        <v>20</v>
      </c>
      <c r="D652" s="6" t="s">
        <v>22</v>
      </c>
      <c r="E652" s="6" t="s">
        <v>409</v>
      </c>
      <c r="F652" s="6" t="s">
        <v>409</v>
      </c>
      <c r="H652" s="8"/>
      <c r="I652" s="8"/>
      <c r="J652" s="9" t="e">
        <f>+VLOOKUP(K652,Datos!$A:$C,3,FALSE)</f>
        <v>#N/A</v>
      </c>
      <c r="L652" s="9" t="e">
        <f>+VLOOKUP(K652,Datos!$A:$C,2,FALSE)</f>
        <v>#N/A</v>
      </c>
      <c r="N652" s="9" t="e">
        <f>+VLOOKUP(M652,Datos!$F:$G,2,FALSE)</f>
        <v>#N/A</v>
      </c>
      <c r="O652" s="10">
        <f>IFERROR(IF(A652="SI",VLOOKUP(R652,Datos!$J$1:$K$50,2,FALSE)*C652,VLOOKUP(R652,Datos!$P$1:$T$50,2,FALSE)*C652),0)</f>
        <v>0</v>
      </c>
      <c r="P652" s="6"/>
      <c r="Q652" s="9" t="e">
        <f>+VLOOKUP(P652,Datos!$F:$G,2,FALSE)</f>
        <v>#N/A</v>
      </c>
      <c r="T652" s="6">
        <f t="shared" si="10"/>
        <v>0</v>
      </c>
    </row>
    <row r="653" spans="1:20" x14ac:dyDescent="0.35">
      <c r="A653" s="6" t="s">
        <v>20</v>
      </c>
      <c r="D653" s="6" t="s">
        <v>22</v>
      </c>
      <c r="E653" s="6" t="s">
        <v>409</v>
      </c>
      <c r="F653" s="6" t="s">
        <v>409</v>
      </c>
      <c r="H653" s="8"/>
      <c r="I653" s="8"/>
      <c r="J653" s="9" t="e">
        <f>+VLOOKUP(K653,Datos!$A:$C,3,FALSE)</f>
        <v>#N/A</v>
      </c>
      <c r="L653" s="9" t="e">
        <f>+VLOOKUP(K653,Datos!$A:$C,2,FALSE)</f>
        <v>#N/A</v>
      </c>
      <c r="N653" s="9" t="e">
        <f>+VLOOKUP(M653,Datos!$F:$G,2,FALSE)</f>
        <v>#N/A</v>
      </c>
      <c r="O653" s="10">
        <f>IFERROR(IF(A653="SI",VLOOKUP(R653,Datos!$J$1:$K$50,2,FALSE)*C653,VLOOKUP(R653,Datos!$P$1:$T$50,2,FALSE)*C653),0)</f>
        <v>0</v>
      </c>
      <c r="P653" s="6"/>
      <c r="Q653" s="9" t="e">
        <f>+VLOOKUP(P653,Datos!$F:$G,2,FALSE)</f>
        <v>#N/A</v>
      </c>
      <c r="T653" s="6">
        <f t="shared" si="10"/>
        <v>0</v>
      </c>
    </row>
    <row r="654" spans="1:20" x14ac:dyDescent="0.35">
      <c r="A654" s="6" t="s">
        <v>20</v>
      </c>
      <c r="D654" s="6" t="s">
        <v>22</v>
      </c>
      <c r="E654" s="6" t="s">
        <v>409</v>
      </c>
      <c r="F654" s="6" t="s">
        <v>409</v>
      </c>
      <c r="H654" s="8"/>
      <c r="I654" s="8"/>
      <c r="J654" s="9" t="e">
        <f>+VLOOKUP(K654,Datos!$A:$C,3,FALSE)</f>
        <v>#N/A</v>
      </c>
      <c r="L654" s="9" t="e">
        <f>+VLOOKUP(K654,Datos!$A:$C,2,FALSE)</f>
        <v>#N/A</v>
      </c>
      <c r="N654" s="9" t="e">
        <f>+VLOOKUP(M654,Datos!$F:$G,2,FALSE)</f>
        <v>#N/A</v>
      </c>
      <c r="O654" s="10">
        <f>IFERROR(IF(A654="SI",VLOOKUP(R654,Datos!$J$1:$K$50,2,FALSE)*C654,VLOOKUP(R654,Datos!$P$1:$T$50,2,FALSE)*C654),0)</f>
        <v>0</v>
      </c>
      <c r="P654" s="6"/>
      <c r="Q654" s="9" t="e">
        <f>+VLOOKUP(P654,Datos!$F:$G,2,FALSE)</f>
        <v>#N/A</v>
      </c>
      <c r="T654" s="6">
        <f t="shared" si="10"/>
        <v>0</v>
      </c>
    </row>
    <row r="655" spans="1:20" x14ac:dyDescent="0.35">
      <c r="A655" s="6" t="s">
        <v>20</v>
      </c>
      <c r="D655" s="6" t="s">
        <v>22</v>
      </c>
      <c r="E655" s="6" t="s">
        <v>409</v>
      </c>
      <c r="F655" s="6" t="s">
        <v>409</v>
      </c>
      <c r="H655" s="8"/>
      <c r="I655" s="8"/>
      <c r="J655" s="9" t="e">
        <f>+VLOOKUP(K655,Datos!$A:$C,3,FALSE)</f>
        <v>#N/A</v>
      </c>
      <c r="L655" s="9" t="e">
        <f>+VLOOKUP(K655,Datos!$A:$C,2,FALSE)</f>
        <v>#N/A</v>
      </c>
      <c r="N655" s="9" t="e">
        <f>+VLOOKUP(M655,Datos!$F:$G,2,FALSE)</f>
        <v>#N/A</v>
      </c>
      <c r="O655" s="10">
        <f>IFERROR(IF(A655="SI",VLOOKUP(R655,Datos!$J$1:$K$50,2,FALSE)*C655,VLOOKUP(R655,Datos!$P$1:$T$50,2,FALSE)*C655),0)</f>
        <v>0</v>
      </c>
      <c r="P655" s="6"/>
      <c r="Q655" s="9" t="e">
        <f>+VLOOKUP(P655,Datos!$F:$G,2,FALSE)</f>
        <v>#N/A</v>
      </c>
      <c r="T655" s="6">
        <f t="shared" si="10"/>
        <v>0</v>
      </c>
    </row>
    <row r="656" spans="1:20" x14ac:dyDescent="0.35">
      <c r="A656" s="6" t="s">
        <v>20</v>
      </c>
      <c r="D656" s="6" t="s">
        <v>22</v>
      </c>
      <c r="E656" s="6" t="s">
        <v>409</v>
      </c>
      <c r="F656" s="6" t="s">
        <v>409</v>
      </c>
      <c r="H656" s="8"/>
      <c r="I656" s="8"/>
      <c r="J656" s="9" t="e">
        <f>+VLOOKUP(K656,Datos!$A:$C,3,FALSE)</f>
        <v>#N/A</v>
      </c>
      <c r="L656" s="9" t="e">
        <f>+VLOOKUP(K656,Datos!$A:$C,2,FALSE)</f>
        <v>#N/A</v>
      </c>
      <c r="N656" s="9" t="e">
        <f>+VLOOKUP(M656,Datos!$F:$G,2,FALSE)</f>
        <v>#N/A</v>
      </c>
      <c r="O656" s="10">
        <f>IFERROR(IF(A656="SI",VLOOKUP(R656,Datos!$J$1:$K$50,2,FALSE)*C656,VLOOKUP(R656,Datos!$P$1:$T$50,2,FALSE)*C656),0)</f>
        <v>0</v>
      </c>
      <c r="P656" s="6"/>
      <c r="Q656" s="9" t="e">
        <f>+VLOOKUP(P656,Datos!$F:$G,2,FALSE)</f>
        <v>#N/A</v>
      </c>
      <c r="T656" s="6">
        <f t="shared" si="10"/>
        <v>0</v>
      </c>
    </row>
    <row r="657" spans="1:20" x14ac:dyDescent="0.35">
      <c r="A657" s="6" t="s">
        <v>20</v>
      </c>
      <c r="D657" s="6" t="s">
        <v>22</v>
      </c>
      <c r="E657" s="6" t="s">
        <v>409</v>
      </c>
      <c r="F657" s="6" t="s">
        <v>409</v>
      </c>
      <c r="H657" s="8"/>
      <c r="I657" s="8"/>
      <c r="J657" s="9" t="e">
        <f>+VLOOKUP(K657,Datos!$A:$C,3,FALSE)</f>
        <v>#N/A</v>
      </c>
      <c r="L657" s="9" t="e">
        <f>+VLOOKUP(K657,Datos!$A:$C,2,FALSE)</f>
        <v>#N/A</v>
      </c>
      <c r="N657" s="9" t="e">
        <f>+VLOOKUP(M657,Datos!$F:$G,2,FALSE)</f>
        <v>#N/A</v>
      </c>
      <c r="O657" s="10">
        <f>IFERROR(IF(A657="SI",VLOOKUP(R657,Datos!$J$1:$K$50,2,FALSE)*C657,VLOOKUP(R657,Datos!$P$1:$T$50,2,FALSE)*C657),0)</f>
        <v>0</v>
      </c>
      <c r="P657" s="6"/>
      <c r="Q657" s="9" t="e">
        <f>+VLOOKUP(P657,Datos!$F:$G,2,FALSE)</f>
        <v>#N/A</v>
      </c>
      <c r="T657" s="6">
        <f t="shared" si="10"/>
        <v>0</v>
      </c>
    </row>
    <row r="658" spans="1:20" x14ac:dyDescent="0.35">
      <c r="A658" s="6" t="s">
        <v>20</v>
      </c>
      <c r="D658" s="6" t="s">
        <v>22</v>
      </c>
      <c r="E658" s="6" t="s">
        <v>409</v>
      </c>
      <c r="F658" s="6" t="s">
        <v>409</v>
      </c>
      <c r="H658" s="8"/>
      <c r="I658" s="8"/>
      <c r="J658" s="9" t="e">
        <f>+VLOOKUP(K658,Datos!$A:$C,3,FALSE)</f>
        <v>#N/A</v>
      </c>
      <c r="L658" s="9" t="e">
        <f>+VLOOKUP(K658,Datos!$A:$C,2,FALSE)</f>
        <v>#N/A</v>
      </c>
      <c r="N658" s="9" t="e">
        <f>+VLOOKUP(M658,Datos!$F:$G,2,FALSE)</f>
        <v>#N/A</v>
      </c>
      <c r="O658" s="10">
        <f>IFERROR(IF(A658="SI",VLOOKUP(R658,Datos!$J$1:$K$50,2,FALSE)*C658,VLOOKUP(R658,Datos!$P$1:$T$50,2,FALSE)*C658),0)</f>
        <v>0</v>
      </c>
      <c r="P658" s="6"/>
      <c r="Q658" s="9" t="e">
        <f>+VLOOKUP(P658,Datos!$F:$G,2,FALSE)</f>
        <v>#N/A</v>
      </c>
      <c r="T658" s="6">
        <f t="shared" si="10"/>
        <v>0</v>
      </c>
    </row>
    <row r="659" spans="1:20" x14ac:dyDescent="0.35">
      <c r="A659" s="6" t="s">
        <v>20</v>
      </c>
      <c r="D659" s="6" t="s">
        <v>22</v>
      </c>
      <c r="E659" s="6" t="s">
        <v>409</v>
      </c>
      <c r="F659" s="6" t="s">
        <v>409</v>
      </c>
      <c r="H659" s="8"/>
      <c r="I659" s="8"/>
      <c r="J659" s="9" t="e">
        <f>+VLOOKUP(K659,Datos!$A:$C,3,FALSE)</f>
        <v>#N/A</v>
      </c>
      <c r="L659" s="9" t="e">
        <f>+VLOOKUP(K659,Datos!$A:$C,2,FALSE)</f>
        <v>#N/A</v>
      </c>
      <c r="N659" s="9" t="e">
        <f>+VLOOKUP(M659,Datos!$F:$G,2,FALSE)</f>
        <v>#N/A</v>
      </c>
      <c r="O659" s="10">
        <f>IFERROR(IF(A659="SI",VLOOKUP(R659,Datos!$J$1:$K$50,2,FALSE)*C659,VLOOKUP(R659,Datos!$P$1:$T$50,2,FALSE)*C659),0)</f>
        <v>0</v>
      </c>
      <c r="P659" s="6"/>
      <c r="Q659" s="9" t="e">
        <f>+VLOOKUP(P659,Datos!$F:$G,2,FALSE)</f>
        <v>#N/A</v>
      </c>
      <c r="T659" s="6">
        <f t="shared" si="10"/>
        <v>0</v>
      </c>
    </row>
    <row r="660" spans="1:20" x14ac:dyDescent="0.35">
      <c r="A660" s="6" t="s">
        <v>20</v>
      </c>
      <c r="D660" s="6" t="s">
        <v>22</v>
      </c>
      <c r="E660" s="6" t="s">
        <v>409</v>
      </c>
      <c r="F660" s="6" t="s">
        <v>409</v>
      </c>
      <c r="H660" s="8"/>
      <c r="I660" s="8"/>
      <c r="J660" s="9" t="e">
        <f>+VLOOKUP(K660,Datos!$A:$C,3,FALSE)</f>
        <v>#N/A</v>
      </c>
      <c r="L660" s="9" t="e">
        <f>+VLOOKUP(K660,Datos!$A:$C,2,FALSE)</f>
        <v>#N/A</v>
      </c>
      <c r="N660" s="9" t="e">
        <f>+VLOOKUP(M660,Datos!$F:$G,2,FALSE)</f>
        <v>#N/A</v>
      </c>
      <c r="O660" s="10">
        <f>IFERROR(IF(A660="SI",VLOOKUP(R660,Datos!$J$1:$K$50,2,FALSE)*C660,VLOOKUP(R660,Datos!$P$1:$T$50,2,FALSE)*C660),0)</f>
        <v>0</v>
      </c>
      <c r="P660" s="6"/>
      <c r="Q660" s="9" t="e">
        <f>+VLOOKUP(P660,Datos!$F:$G,2,FALSE)</f>
        <v>#N/A</v>
      </c>
      <c r="T660" s="6">
        <f t="shared" si="10"/>
        <v>0</v>
      </c>
    </row>
    <row r="661" spans="1:20" x14ac:dyDescent="0.35">
      <c r="A661" s="6" t="s">
        <v>20</v>
      </c>
      <c r="D661" s="6" t="s">
        <v>22</v>
      </c>
      <c r="E661" s="6" t="s">
        <v>409</v>
      </c>
      <c r="F661" s="6" t="s">
        <v>409</v>
      </c>
      <c r="H661" s="8"/>
      <c r="I661" s="8"/>
      <c r="J661" s="9" t="e">
        <f>+VLOOKUP(K661,Datos!$A:$C,3,FALSE)</f>
        <v>#N/A</v>
      </c>
      <c r="L661" s="9" t="e">
        <f>+VLOOKUP(K661,Datos!$A:$C,2,FALSE)</f>
        <v>#N/A</v>
      </c>
      <c r="N661" s="9" t="e">
        <f>+VLOOKUP(M661,Datos!$F:$G,2,FALSE)</f>
        <v>#N/A</v>
      </c>
      <c r="O661" s="10">
        <f>IFERROR(IF(A661="SI",VLOOKUP(R661,Datos!$J$1:$K$50,2,FALSE)*C661,VLOOKUP(R661,Datos!$P$1:$T$50,2,FALSE)*C661),0)</f>
        <v>0</v>
      </c>
      <c r="P661" s="6"/>
      <c r="Q661" s="9" t="e">
        <f>+VLOOKUP(P661,Datos!$F:$G,2,FALSE)</f>
        <v>#N/A</v>
      </c>
      <c r="T661" s="6">
        <f t="shared" si="10"/>
        <v>0</v>
      </c>
    </row>
    <row r="662" spans="1:20" x14ac:dyDescent="0.35">
      <c r="A662" s="6" t="s">
        <v>20</v>
      </c>
      <c r="D662" s="6" t="s">
        <v>22</v>
      </c>
      <c r="E662" s="6" t="s">
        <v>409</v>
      </c>
      <c r="F662" s="6" t="s">
        <v>409</v>
      </c>
      <c r="H662" s="8"/>
      <c r="I662" s="8"/>
      <c r="J662" s="9" t="e">
        <f>+VLOOKUP(K662,Datos!$A:$C,3,FALSE)</f>
        <v>#N/A</v>
      </c>
      <c r="L662" s="9" t="e">
        <f>+VLOOKUP(K662,Datos!$A:$C,2,FALSE)</f>
        <v>#N/A</v>
      </c>
      <c r="N662" s="9" t="e">
        <f>+VLOOKUP(M662,Datos!$F:$G,2,FALSE)</f>
        <v>#N/A</v>
      </c>
      <c r="O662" s="10">
        <f>IFERROR(IF(A662="SI",VLOOKUP(R662,Datos!$J$1:$K$50,2,FALSE)*C662,VLOOKUP(R662,Datos!$P$1:$T$50,2,FALSE)*C662),0)</f>
        <v>0</v>
      </c>
      <c r="P662" s="6"/>
      <c r="Q662" s="9" t="e">
        <f>+VLOOKUP(P662,Datos!$F:$G,2,FALSE)</f>
        <v>#N/A</v>
      </c>
      <c r="T662" s="6">
        <f t="shared" si="10"/>
        <v>0</v>
      </c>
    </row>
    <row r="663" spans="1:20" x14ac:dyDescent="0.35">
      <c r="A663" s="6" t="s">
        <v>20</v>
      </c>
      <c r="D663" s="6" t="s">
        <v>22</v>
      </c>
      <c r="E663" s="6" t="s">
        <v>409</v>
      </c>
      <c r="F663" s="6" t="s">
        <v>409</v>
      </c>
      <c r="H663" s="8"/>
      <c r="I663" s="8"/>
      <c r="J663" s="9" t="e">
        <f>+VLOOKUP(K663,Datos!$A:$C,3,FALSE)</f>
        <v>#N/A</v>
      </c>
      <c r="L663" s="9" t="e">
        <f>+VLOOKUP(K663,Datos!$A:$C,2,FALSE)</f>
        <v>#N/A</v>
      </c>
      <c r="N663" s="9" t="e">
        <f>+VLOOKUP(M663,Datos!$F:$G,2,FALSE)</f>
        <v>#N/A</v>
      </c>
      <c r="O663" s="10">
        <f>IFERROR(IF(A663="SI",VLOOKUP(R663,Datos!$J$1:$K$50,2,FALSE)*C663,VLOOKUP(R663,Datos!$P$1:$T$50,2,FALSE)*C663),0)</f>
        <v>0</v>
      </c>
      <c r="P663" s="6"/>
      <c r="Q663" s="9" t="e">
        <f>+VLOOKUP(P663,Datos!$F:$G,2,FALSE)</f>
        <v>#N/A</v>
      </c>
      <c r="T663" s="6">
        <f t="shared" si="10"/>
        <v>0</v>
      </c>
    </row>
    <row r="664" spans="1:20" x14ac:dyDescent="0.35">
      <c r="A664" s="6" t="s">
        <v>20</v>
      </c>
      <c r="D664" s="6" t="s">
        <v>22</v>
      </c>
      <c r="E664" s="6" t="s">
        <v>409</v>
      </c>
      <c r="F664" s="6" t="s">
        <v>409</v>
      </c>
      <c r="H664" s="8"/>
      <c r="I664" s="8"/>
      <c r="J664" s="9" t="e">
        <f>+VLOOKUP(K664,Datos!$A:$C,3,FALSE)</f>
        <v>#N/A</v>
      </c>
      <c r="L664" s="9" t="e">
        <f>+VLOOKUP(K664,Datos!$A:$C,2,FALSE)</f>
        <v>#N/A</v>
      </c>
      <c r="N664" s="9" t="e">
        <f>+VLOOKUP(M664,Datos!$F:$G,2,FALSE)</f>
        <v>#N/A</v>
      </c>
      <c r="O664" s="10">
        <f>IFERROR(IF(A664="SI",VLOOKUP(R664,Datos!$J$1:$K$50,2,FALSE)*C664,VLOOKUP(R664,Datos!$P$1:$T$50,2,FALSE)*C664),0)</f>
        <v>0</v>
      </c>
      <c r="P664" s="6"/>
      <c r="Q664" s="9" t="e">
        <f>+VLOOKUP(P664,Datos!$F:$G,2,FALSE)</f>
        <v>#N/A</v>
      </c>
      <c r="T664" s="6">
        <f t="shared" si="10"/>
        <v>0</v>
      </c>
    </row>
    <row r="665" spans="1:20" x14ac:dyDescent="0.35">
      <c r="A665" s="6" t="s">
        <v>20</v>
      </c>
      <c r="D665" s="6" t="s">
        <v>22</v>
      </c>
      <c r="E665" s="6" t="s">
        <v>409</v>
      </c>
      <c r="F665" s="6" t="s">
        <v>409</v>
      </c>
      <c r="H665" s="8"/>
      <c r="I665" s="8"/>
      <c r="J665" s="9" t="e">
        <f>+VLOOKUP(K665,Datos!$A:$C,3,FALSE)</f>
        <v>#N/A</v>
      </c>
      <c r="L665" s="9" t="e">
        <f>+VLOOKUP(K665,Datos!$A:$C,2,FALSE)</f>
        <v>#N/A</v>
      </c>
      <c r="N665" s="9" t="e">
        <f>+VLOOKUP(M665,Datos!$F:$G,2,FALSE)</f>
        <v>#N/A</v>
      </c>
      <c r="O665" s="10">
        <f>IFERROR(IF(A665="SI",VLOOKUP(R665,Datos!$J$1:$K$50,2,FALSE)*C665,VLOOKUP(R665,Datos!$P$1:$T$50,2,FALSE)*C665),0)</f>
        <v>0</v>
      </c>
      <c r="P665" s="6"/>
      <c r="Q665" s="9" t="e">
        <f>+VLOOKUP(P665,Datos!$F:$G,2,FALSE)</f>
        <v>#N/A</v>
      </c>
      <c r="T665" s="6">
        <f t="shared" si="10"/>
        <v>0</v>
      </c>
    </row>
    <row r="666" spans="1:20" x14ac:dyDescent="0.35">
      <c r="A666" s="6" t="s">
        <v>20</v>
      </c>
      <c r="D666" s="6" t="s">
        <v>22</v>
      </c>
      <c r="E666" s="6" t="s">
        <v>409</v>
      </c>
      <c r="F666" s="6" t="s">
        <v>409</v>
      </c>
      <c r="H666" s="8"/>
      <c r="I666" s="8"/>
      <c r="J666" s="9" t="e">
        <f>+VLOOKUP(K666,Datos!$A:$C,3,FALSE)</f>
        <v>#N/A</v>
      </c>
      <c r="L666" s="9" t="e">
        <f>+VLOOKUP(K666,Datos!$A:$C,2,FALSE)</f>
        <v>#N/A</v>
      </c>
      <c r="N666" s="9" t="e">
        <f>+VLOOKUP(M666,Datos!$F:$G,2,FALSE)</f>
        <v>#N/A</v>
      </c>
      <c r="O666" s="10">
        <f>IFERROR(IF(A666="SI",VLOOKUP(R666,Datos!$J$1:$K$50,2,FALSE)*C666,VLOOKUP(R666,Datos!$P$1:$T$50,2,FALSE)*C666),0)</f>
        <v>0</v>
      </c>
      <c r="P666" s="6"/>
      <c r="Q666" s="9" t="e">
        <f>+VLOOKUP(P666,Datos!$F:$G,2,FALSE)</f>
        <v>#N/A</v>
      </c>
      <c r="T666" s="6">
        <f t="shared" si="10"/>
        <v>0</v>
      </c>
    </row>
    <row r="667" spans="1:20" x14ac:dyDescent="0.35">
      <c r="A667" s="6" t="s">
        <v>20</v>
      </c>
      <c r="D667" s="6" t="s">
        <v>22</v>
      </c>
      <c r="E667" s="6" t="s">
        <v>409</v>
      </c>
      <c r="F667" s="6" t="s">
        <v>409</v>
      </c>
      <c r="H667" s="8"/>
      <c r="I667" s="8"/>
      <c r="J667" s="9" t="e">
        <f>+VLOOKUP(K667,Datos!$A:$C,3,FALSE)</f>
        <v>#N/A</v>
      </c>
      <c r="L667" s="9" t="e">
        <f>+VLOOKUP(K667,Datos!$A:$C,2,FALSE)</f>
        <v>#N/A</v>
      </c>
      <c r="N667" s="9" t="e">
        <f>+VLOOKUP(M667,Datos!$F:$G,2,FALSE)</f>
        <v>#N/A</v>
      </c>
      <c r="O667" s="10">
        <f>IFERROR(IF(A667="SI",VLOOKUP(R667,Datos!$J$1:$K$50,2,FALSE)*C667,VLOOKUP(R667,Datos!$P$1:$T$50,2,FALSE)*C667),0)</f>
        <v>0</v>
      </c>
      <c r="P667" s="6"/>
      <c r="Q667" s="9" t="e">
        <f>+VLOOKUP(P667,Datos!$F:$G,2,FALSE)</f>
        <v>#N/A</v>
      </c>
      <c r="T667" s="6">
        <f t="shared" si="10"/>
        <v>0</v>
      </c>
    </row>
    <row r="668" spans="1:20" x14ac:dyDescent="0.35">
      <c r="A668" s="6" t="s">
        <v>20</v>
      </c>
      <c r="D668" s="6" t="s">
        <v>22</v>
      </c>
      <c r="E668" s="6" t="s">
        <v>409</v>
      </c>
      <c r="F668" s="6" t="s">
        <v>409</v>
      </c>
      <c r="H668" s="8"/>
      <c r="I668" s="8"/>
      <c r="J668" s="9" t="e">
        <f>+VLOOKUP(K668,Datos!$A:$C,3,FALSE)</f>
        <v>#N/A</v>
      </c>
      <c r="L668" s="9" t="e">
        <f>+VLOOKUP(K668,Datos!$A:$C,2,FALSE)</f>
        <v>#N/A</v>
      </c>
      <c r="N668" s="9" t="e">
        <f>+VLOOKUP(M668,Datos!$F:$G,2,FALSE)</f>
        <v>#N/A</v>
      </c>
      <c r="O668" s="10">
        <f>IFERROR(IF(A668="SI",VLOOKUP(R668,Datos!$J$1:$K$50,2,FALSE)*C668,VLOOKUP(R668,Datos!$P$1:$T$50,2,FALSE)*C668),0)</f>
        <v>0</v>
      </c>
      <c r="P668" s="6"/>
      <c r="Q668" s="9" t="e">
        <f>+VLOOKUP(P668,Datos!$F:$G,2,FALSE)</f>
        <v>#N/A</v>
      </c>
      <c r="T668" s="6">
        <f t="shared" si="10"/>
        <v>0</v>
      </c>
    </row>
    <row r="669" spans="1:20" x14ac:dyDescent="0.35">
      <c r="A669" s="6" t="s">
        <v>20</v>
      </c>
      <c r="D669" s="6" t="s">
        <v>22</v>
      </c>
      <c r="E669" s="6" t="s">
        <v>409</v>
      </c>
      <c r="F669" s="6" t="s">
        <v>409</v>
      </c>
      <c r="H669" s="8"/>
      <c r="I669" s="8"/>
      <c r="J669" s="9" t="e">
        <f>+VLOOKUP(K669,Datos!$A:$C,3,FALSE)</f>
        <v>#N/A</v>
      </c>
      <c r="L669" s="9" t="e">
        <f>+VLOOKUP(K669,Datos!$A:$C,2,FALSE)</f>
        <v>#N/A</v>
      </c>
      <c r="N669" s="9" t="e">
        <f>+VLOOKUP(M669,Datos!$F:$G,2,FALSE)</f>
        <v>#N/A</v>
      </c>
      <c r="O669" s="10">
        <f>IFERROR(IF(A669="SI",VLOOKUP(R669,Datos!$J$1:$K$50,2,FALSE)*C669,VLOOKUP(R669,Datos!$P$1:$T$50,2,FALSE)*C669),0)</f>
        <v>0</v>
      </c>
      <c r="P669" s="6"/>
      <c r="Q669" s="9" t="e">
        <f>+VLOOKUP(P669,Datos!$F:$G,2,FALSE)</f>
        <v>#N/A</v>
      </c>
      <c r="T669" s="6">
        <f t="shared" si="10"/>
        <v>0</v>
      </c>
    </row>
    <row r="670" spans="1:20" x14ac:dyDescent="0.35">
      <c r="A670" s="6" t="s">
        <v>20</v>
      </c>
      <c r="D670" s="6" t="s">
        <v>22</v>
      </c>
      <c r="E670" s="6" t="s">
        <v>409</v>
      </c>
      <c r="F670" s="6" t="s">
        <v>409</v>
      </c>
      <c r="H670" s="8"/>
      <c r="I670" s="8"/>
      <c r="J670" s="9" t="e">
        <f>+VLOOKUP(K670,Datos!$A:$C,3,FALSE)</f>
        <v>#N/A</v>
      </c>
      <c r="L670" s="9" t="e">
        <f>+VLOOKUP(K670,Datos!$A:$C,2,FALSE)</f>
        <v>#N/A</v>
      </c>
      <c r="N670" s="9" t="e">
        <f>+VLOOKUP(M670,Datos!$F:$G,2,FALSE)</f>
        <v>#N/A</v>
      </c>
      <c r="O670" s="10">
        <f>IFERROR(IF(A670="SI",VLOOKUP(R670,Datos!$J$1:$K$50,2,FALSE)*C670,VLOOKUP(R670,Datos!$P$1:$T$50,2,FALSE)*C670),0)</f>
        <v>0</v>
      </c>
      <c r="P670" s="6"/>
      <c r="Q670" s="9" t="e">
        <f>+VLOOKUP(P670,Datos!$F:$G,2,FALSE)</f>
        <v>#N/A</v>
      </c>
      <c r="T670" s="6">
        <f t="shared" si="10"/>
        <v>0</v>
      </c>
    </row>
    <row r="671" spans="1:20" x14ac:dyDescent="0.35">
      <c r="A671" s="6" t="s">
        <v>20</v>
      </c>
      <c r="D671" s="6" t="s">
        <v>22</v>
      </c>
      <c r="E671" s="6" t="s">
        <v>409</v>
      </c>
      <c r="F671" s="6" t="s">
        <v>409</v>
      </c>
      <c r="H671" s="8"/>
      <c r="I671" s="8"/>
      <c r="J671" s="9" t="e">
        <f>+VLOOKUP(K671,Datos!$A:$C,3,FALSE)</f>
        <v>#N/A</v>
      </c>
      <c r="L671" s="9" t="e">
        <f>+VLOOKUP(K671,Datos!$A:$C,2,FALSE)</f>
        <v>#N/A</v>
      </c>
      <c r="N671" s="9" t="e">
        <f>+VLOOKUP(M671,Datos!$F:$G,2,FALSE)</f>
        <v>#N/A</v>
      </c>
      <c r="O671" s="10">
        <f>IFERROR(IF(A671="SI",VLOOKUP(R671,Datos!$J$1:$K$50,2,FALSE)*C671,VLOOKUP(R671,Datos!$P$1:$T$50,2,FALSE)*C671),0)</f>
        <v>0</v>
      </c>
      <c r="P671" s="6"/>
      <c r="Q671" s="9" t="e">
        <f>+VLOOKUP(P671,Datos!$F:$G,2,FALSE)</f>
        <v>#N/A</v>
      </c>
      <c r="T671" s="6">
        <f t="shared" si="10"/>
        <v>0</v>
      </c>
    </row>
    <row r="672" spans="1:20" x14ac:dyDescent="0.35">
      <c r="A672" s="6" t="s">
        <v>20</v>
      </c>
      <c r="D672" s="6" t="s">
        <v>22</v>
      </c>
      <c r="E672" s="6" t="s">
        <v>409</v>
      </c>
      <c r="F672" s="6" t="s">
        <v>409</v>
      </c>
      <c r="H672" s="8"/>
      <c r="I672" s="8"/>
      <c r="J672" s="9" t="e">
        <f>+VLOOKUP(K672,Datos!$A:$C,3,FALSE)</f>
        <v>#N/A</v>
      </c>
      <c r="L672" s="9" t="e">
        <f>+VLOOKUP(K672,Datos!$A:$C,2,FALSE)</f>
        <v>#N/A</v>
      </c>
      <c r="N672" s="9" t="e">
        <f>+VLOOKUP(M672,Datos!$F:$G,2,FALSE)</f>
        <v>#N/A</v>
      </c>
      <c r="O672" s="10">
        <f>IFERROR(IF(A672="SI",VLOOKUP(R672,Datos!$J$1:$K$50,2,FALSE)*C672,VLOOKUP(R672,Datos!$P$1:$T$50,2,FALSE)*C672),0)</f>
        <v>0</v>
      </c>
      <c r="P672" s="6"/>
      <c r="Q672" s="9" t="e">
        <f>+VLOOKUP(P672,Datos!$F:$G,2,FALSE)</f>
        <v>#N/A</v>
      </c>
      <c r="T672" s="6">
        <f t="shared" si="10"/>
        <v>0</v>
      </c>
    </row>
    <row r="673" spans="1:20" x14ac:dyDescent="0.35">
      <c r="A673" s="6" t="s">
        <v>20</v>
      </c>
      <c r="D673" s="6" t="s">
        <v>22</v>
      </c>
      <c r="E673" s="6" t="s">
        <v>409</v>
      </c>
      <c r="F673" s="6" t="s">
        <v>409</v>
      </c>
      <c r="H673" s="8"/>
      <c r="I673" s="8"/>
      <c r="J673" s="9" t="e">
        <f>+VLOOKUP(K673,Datos!$A:$C,3,FALSE)</f>
        <v>#N/A</v>
      </c>
      <c r="L673" s="9" t="e">
        <f>+VLOOKUP(K673,Datos!$A:$C,2,FALSE)</f>
        <v>#N/A</v>
      </c>
      <c r="N673" s="9" t="e">
        <f>+VLOOKUP(M673,Datos!$F:$G,2,FALSE)</f>
        <v>#N/A</v>
      </c>
      <c r="O673" s="10">
        <f>IFERROR(IF(A673="SI",VLOOKUP(R673,Datos!$J$1:$K$50,2,FALSE)*C673,VLOOKUP(R673,Datos!$P$1:$T$50,2,FALSE)*C673),0)</f>
        <v>0</v>
      </c>
      <c r="P673" s="6"/>
      <c r="Q673" s="9" t="e">
        <f>+VLOOKUP(P673,Datos!$F:$G,2,FALSE)</f>
        <v>#N/A</v>
      </c>
      <c r="T673" s="6">
        <f t="shared" si="10"/>
        <v>0</v>
      </c>
    </row>
    <row r="674" spans="1:20" x14ac:dyDescent="0.35">
      <c r="A674" s="6" t="s">
        <v>20</v>
      </c>
      <c r="D674" s="6" t="s">
        <v>22</v>
      </c>
      <c r="E674" s="6" t="s">
        <v>409</v>
      </c>
      <c r="F674" s="6" t="s">
        <v>409</v>
      </c>
      <c r="H674" s="8"/>
      <c r="I674" s="8"/>
      <c r="J674" s="9" t="e">
        <f>+VLOOKUP(K674,Datos!$A:$C,3,FALSE)</f>
        <v>#N/A</v>
      </c>
      <c r="L674" s="9" t="e">
        <f>+VLOOKUP(K674,Datos!$A:$C,2,FALSE)</f>
        <v>#N/A</v>
      </c>
      <c r="N674" s="9" t="e">
        <f>+VLOOKUP(M674,Datos!$F:$G,2,FALSE)</f>
        <v>#N/A</v>
      </c>
      <c r="O674" s="10">
        <f>IFERROR(IF(A674="SI",VLOOKUP(R674,Datos!$J$1:$K$50,2,FALSE)*C674,VLOOKUP(R674,Datos!$P$1:$T$50,2,FALSE)*C674),0)</f>
        <v>0</v>
      </c>
      <c r="P674" s="6"/>
      <c r="Q674" s="9" t="e">
        <f>+VLOOKUP(P674,Datos!$F:$G,2,FALSE)</f>
        <v>#N/A</v>
      </c>
      <c r="T674" s="6">
        <f t="shared" si="10"/>
        <v>0</v>
      </c>
    </row>
    <row r="675" spans="1:20" x14ac:dyDescent="0.35">
      <c r="A675" s="6" t="s">
        <v>20</v>
      </c>
      <c r="D675" s="6" t="s">
        <v>22</v>
      </c>
      <c r="E675" s="6" t="s">
        <v>409</v>
      </c>
      <c r="F675" s="6" t="s">
        <v>409</v>
      </c>
      <c r="H675" s="8"/>
      <c r="I675" s="8"/>
      <c r="J675" s="9" t="e">
        <f>+VLOOKUP(K675,Datos!$A:$C,3,FALSE)</f>
        <v>#N/A</v>
      </c>
      <c r="L675" s="9" t="e">
        <f>+VLOOKUP(K675,Datos!$A:$C,2,FALSE)</f>
        <v>#N/A</v>
      </c>
      <c r="N675" s="9" t="e">
        <f>+VLOOKUP(M675,Datos!$F:$G,2,FALSE)</f>
        <v>#N/A</v>
      </c>
      <c r="O675" s="10">
        <f>IFERROR(IF(A675="SI",VLOOKUP(R675,Datos!$J$1:$K$50,2,FALSE)*C675,VLOOKUP(R675,Datos!$P$1:$T$50,2,FALSE)*C675),0)</f>
        <v>0</v>
      </c>
      <c r="P675" s="6"/>
      <c r="Q675" s="9" t="e">
        <f>+VLOOKUP(P675,Datos!$F:$G,2,FALSE)</f>
        <v>#N/A</v>
      </c>
      <c r="T675" s="6">
        <f t="shared" si="10"/>
        <v>0</v>
      </c>
    </row>
    <row r="676" spans="1:20" x14ac:dyDescent="0.35">
      <c r="A676" s="6" t="s">
        <v>20</v>
      </c>
      <c r="D676" s="6" t="s">
        <v>22</v>
      </c>
      <c r="E676" s="6" t="s">
        <v>409</v>
      </c>
      <c r="F676" s="6" t="s">
        <v>409</v>
      </c>
      <c r="H676" s="8"/>
      <c r="I676" s="8"/>
      <c r="J676" s="9" t="e">
        <f>+VLOOKUP(K676,Datos!$A:$C,3,FALSE)</f>
        <v>#N/A</v>
      </c>
      <c r="L676" s="9" t="e">
        <f>+VLOOKUP(K676,Datos!$A:$C,2,FALSE)</f>
        <v>#N/A</v>
      </c>
      <c r="N676" s="9" t="e">
        <f>+VLOOKUP(M676,Datos!$F:$G,2,FALSE)</f>
        <v>#N/A</v>
      </c>
      <c r="O676" s="10">
        <f>IFERROR(IF(A676="SI",VLOOKUP(R676,Datos!$J$1:$K$50,2,FALSE)*C676,VLOOKUP(R676,Datos!$P$1:$T$50,2,FALSE)*C676),0)</f>
        <v>0</v>
      </c>
      <c r="P676" s="6"/>
      <c r="Q676" s="9" t="e">
        <f>+VLOOKUP(P676,Datos!$F:$G,2,FALSE)</f>
        <v>#N/A</v>
      </c>
      <c r="T676" s="6">
        <f t="shared" si="10"/>
        <v>0</v>
      </c>
    </row>
    <row r="677" spans="1:20" x14ac:dyDescent="0.35">
      <c r="A677" s="6" t="s">
        <v>20</v>
      </c>
      <c r="D677" s="6" t="s">
        <v>22</v>
      </c>
      <c r="E677" s="6" t="s">
        <v>409</v>
      </c>
      <c r="F677" s="6" t="s">
        <v>409</v>
      </c>
      <c r="H677" s="8"/>
      <c r="I677" s="8"/>
      <c r="J677" s="9" t="e">
        <f>+VLOOKUP(K677,Datos!$A:$C,3,FALSE)</f>
        <v>#N/A</v>
      </c>
      <c r="L677" s="9" t="e">
        <f>+VLOOKUP(K677,Datos!$A:$C,2,FALSE)</f>
        <v>#N/A</v>
      </c>
      <c r="N677" s="9" t="e">
        <f>+VLOOKUP(M677,Datos!$F:$G,2,FALSE)</f>
        <v>#N/A</v>
      </c>
      <c r="O677" s="10">
        <f>IFERROR(IF(A677="SI",VLOOKUP(R677,Datos!$J$1:$K$50,2,FALSE)*C677,VLOOKUP(R677,Datos!$P$1:$T$50,2,FALSE)*C677),0)</f>
        <v>0</v>
      </c>
      <c r="P677" s="6"/>
      <c r="Q677" s="9" t="e">
        <f>+VLOOKUP(P677,Datos!$F:$G,2,FALSE)</f>
        <v>#N/A</v>
      </c>
      <c r="T677" s="6">
        <f t="shared" si="10"/>
        <v>0</v>
      </c>
    </row>
    <row r="678" spans="1:20" x14ac:dyDescent="0.35">
      <c r="A678" s="6" t="s">
        <v>20</v>
      </c>
      <c r="D678" s="6" t="s">
        <v>22</v>
      </c>
      <c r="E678" s="6" t="s">
        <v>409</v>
      </c>
      <c r="F678" s="6" t="s">
        <v>409</v>
      </c>
      <c r="H678" s="8"/>
      <c r="I678" s="8"/>
      <c r="J678" s="9" t="e">
        <f>+VLOOKUP(K678,Datos!$A:$C,3,FALSE)</f>
        <v>#N/A</v>
      </c>
      <c r="L678" s="9" t="e">
        <f>+VLOOKUP(K678,Datos!$A:$C,2,FALSE)</f>
        <v>#N/A</v>
      </c>
      <c r="N678" s="9" t="e">
        <f>+VLOOKUP(M678,Datos!$F:$G,2,FALSE)</f>
        <v>#N/A</v>
      </c>
      <c r="O678" s="10">
        <f>IFERROR(IF(A678="SI",VLOOKUP(R678,Datos!$J$1:$K$50,2,FALSE)*C678,VLOOKUP(R678,Datos!$P$1:$T$50,2,FALSE)*C678),0)</f>
        <v>0</v>
      </c>
      <c r="P678" s="6"/>
      <c r="Q678" s="9" t="e">
        <f>+VLOOKUP(P678,Datos!$F:$G,2,FALSE)</f>
        <v>#N/A</v>
      </c>
      <c r="T678" s="6">
        <f t="shared" si="10"/>
        <v>0</v>
      </c>
    </row>
  </sheetData>
  <conditionalFormatting sqref="B1">
    <cfRule type="iconSet" priority="50">
      <iconSet iconSet="3Symbols2" showValue="0">
        <cfvo type="percent" val="0"/>
        <cfvo type="num" val="0.999"/>
        <cfvo type="num" val="1"/>
      </iconSet>
    </cfRule>
  </conditionalFormatting>
  <conditionalFormatting sqref="C1 R1:T1 A1">
    <cfRule type="iconSet" priority="51">
      <iconSet iconSet="3Symbols2" showValue="0">
        <cfvo type="percent" val="0"/>
        <cfvo type="num" val="0.999"/>
        <cfvo type="num" val="1"/>
      </iconSet>
    </cfRule>
  </conditionalFormatting>
  <conditionalFormatting sqref="S705 S708">
    <cfRule type="iconSet" priority="42">
      <iconSet iconSet="3Symbols2">
        <cfvo type="percent" val="0"/>
        <cfvo type="num" val="1"/>
        <cfvo type="num" val="2"/>
      </iconSet>
    </cfRule>
  </conditionalFormatting>
  <conditionalFormatting sqref="S707">
    <cfRule type="iconSet" priority="39">
      <iconSet iconSet="3Symbols2">
        <cfvo type="percent" val="0"/>
        <cfvo type="num" val="1"/>
        <cfvo type="num" val="2"/>
      </iconSet>
    </cfRule>
  </conditionalFormatting>
  <conditionalFormatting sqref="S714">
    <cfRule type="iconSet" priority="44">
      <iconSet iconSet="3Symbols2">
        <cfvo type="percent" val="0"/>
        <cfvo type="num" val="1"/>
        <cfvo type="num" val="2"/>
      </iconSet>
    </cfRule>
  </conditionalFormatting>
  <conditionalFormatting sqref="T2:T680">
    <cfRule type="colorScale" priority="43">
      <colorScale>
        <cfvo type="num" val="1"/>
        <cfvo type="num" val="2"/>
        <color rgb="FFFCFCFF"/>
        <color rgb="FFF8696B"/>
      </colorScale>
    </cfRule>
  </conditionalFormatting>
  <conditionalFormatting sqref="T626">
    <cfRule type="colorScale" priority="2">
      <colorScale>
        <cfvo type="num" val="1"/>
        <cfvo type="num" val="2"/>
        <color rgb="FFFCFCFF"/>
        <color rgb="FFF8696B"/>
      </colorScale>
    </cfRule>
  </conditionalFormatting>
  <conditionalFormatting sqref="T630">
    <cfRule type="colorScale" priority="4">
      <colorScale>
        <cfvo type="num" val="1"/>
        <cfvo type="num" val="2"/>
        <color rgb="FFFCFCFF"/>
        <color rgb="FFF8696B"/>
      </colorScale>
    </cfRule>
  </conditionalFormatting>
  <conditionalFormatting sqref="T631">
    <cfRule type="colorScale" priority="5">
      <colorScale>
        <cfvo type="num" val="1"/>
        <cfvo type="num" val="2"/>
        <color rgb="FFFCFCFF"/>
        <color rgb="FFF8696B"/>
      </colorScale>
    </cfRule>
  </conditionalFormatting>
  <conditionalFormatting sqref="T632">
    <cfRule type="colorScale" priority="3">
      <colorScale>
        <cfvo type="num" val="1"/>
        <cfvo type="num" val="2"/>
        <color rgb="FFFCFCFF"/>
        <color rgb="FFF8696B"/>
      </colorScale>
    </cfRule>
  </conditionalFormatting>
  <conditionalFormatting sqref="T640">
    <cfRule type="colorScale" priority="19">
      <colorScale>
        <cfvo type="num" val="1"/>
        <cfvo type="num" val="2"/>
        <color rgb="FFFCFCFF"/>
        <color rgb="FFF8696B"/>
      </colorScale>
    </cfRule>
  </conditionalFormatting>
  <conditionalFormatting sqref="T641">
    <cfRule type="colorScale" priority="16">
      <colorScale>
        <cfvo type="num" val="1"/>
        <cfvo type="num" val="2"/>
        <color rgb="FFFCFCFF"/>
        <color rgb="FFF8696B"/>
      </colorScale>
    </cfRule>
  </conditionalFormatting>
  <conditionalFormatting sqref="T642:T644">
    <cfRule type="colorScale" priority="17">
      <colorScale>
        <cfvo type="num" val="1"/>
        <cfvo type="num" val="2"/>
        <color rgb="FFFCFCFF"/>
        <color rgb="FFF8696B"/>
      </colorScale>
    </cfRule>
  </conditionalFormatting>
  <conditionalFormatting sqref="T643:T644">
    <cfRule type="colorScale" priority="12">
      <colorScale>
        <cfvo type="num" val="1"/>
        <cfvo type="num" val="2"/>
        <color rgb="FFFCFCFF"/>
        <color rgb="FFF8696B"/>
      </colorScale>
    </cfRule>
  </conditionalFormatting>
  <conditionalFormatting sqref="T645">
    <cfRule type="colorScale" priority="14">
      <colorScale>
        <cfvo type="num" val="1"/>
        <cfvo type="num" val="2"/>
        <color rgb="FFFCFCFF"/>
        <color rgb="FFF8696B"/>
      </colorScale>
    </cfRule>
  </conditionalFormatting>
  <conditionalFormatting sqref="T646:T648">
    <cfRule type="colorScale" priority="15">
      <colorScale>
        <cfvo type="num" val="1"/>
        <cfvo type="num" val="2"/>
        <color rgb="FFFCFCFF"/>
        <color rgb="FFF8696B"/>
      </colorScale>
    </cfRule>
  </conditionalFormatting>
  <conditionalFormatting sqref="T648">
    <cfRule type="colorScale" priority="6">
      <colorScale>
        <cfvo type="num" val="1"/>
        <cfvo type="num" val="2"/>
        <color rgb="FFFCFCFF"/>
        <color rgb="FFF8696B"/>
      </colorScale>
    </cfRule>
  </conditionalFormatting>
  <conditionalFormatting sqref="T649">
    <cfRule type="colorScale" priority="10">
      <colorScale>
        <cfvo type="num" val="1"/>
        <cfvo type="num" val="2"/>
        <color rgb="FFFCFCFF"/>
        <color rgb="FFF8696B"/>
      </colorScale>
    </cfRule>
  </conditionalFormatting>
  <conditionalFormatting sqref="T650">
    <cfRule type="colorScale" priority="11">
      <colorScale>
        <cfvo type="num" val="1"/>
        <cfvo type="num" val="2"/>
        <color rgb="FFFCFCFF"/>
        <color rgb="FFF8696B"/>
      </colorScale>
    </cfRule>
  </conditionalFormatting>
  <conditionalFormatting sqref="T651">
    <cfRule type="colorScale" priority="9">
      <colorScale>
        <cfvo type="num" val="1"/>
        <cfvo type="num" val="2"/>
        <color rgb="FFFCFCFF"/>
        <color rgb="FFF8696B"/>
      </colorScale>
    </cfRule>
  </conditionalFormatting>
  <conditionalFormatting sqref="T652:T656">
    <cfRule type="colorScale" priority="8">
      <colorScale>
        <cfvo type="num" val="1"/>
        <cfvo type="num" val="2"/>
        <color rgb="FFFCFCFF"/>
        <color rgb="FFF8696B"/>
      </colorScale>
    </cfRule>
  </conditionalFormatting>
  <conditionalFormatting sqref="T657">
    <cfRule type="colorScale" priority="7">
      <colorScale>
        <cfvo type="num" val="1"/>
        <cfvo type="num" val="2"/>
        <color rgb="FFFCFCFF"/>
        <color rgb="FFF8696B"/>
      </colorScale>
    </cfRule>
  </conditionalFormatting>
  <conditionalFormatting sqref="T658">
    <cfRule type="colorScale" priority="13">
      <colorScale>
        <cfvo type="num" val="1"/>
        <cfvo type="num" val="2"/>
        <color rgb="FFFCFCFF"/>
        <color rgb="FFF8696B"/>
      </colorScale>
    </cfRule>
  </conditionalFormatting>
  <conditionalFormatting sqref="T659">
    <cfRule type="colorScale" priority="18">
      <colorScale>
        <cfvo type="num" val="1"/>
        <cfvo type="num" val="2"/>
        <color rgb="FFFCFCFF"/>
        <color rgb="FFF8696B"/>
      </colorScale>
    </cfRule>
  </conditionalFormatting>
  <conditionalFormatting sqref="T669">
    <cfRule type="colorScale" priority="21">
      <colorScale>
        <cfvo type="num" val="1"/>
        <cfvo type="num" val="2"/>
        <color rgb="FFFCFCFF"/>
        <color rgb="FFF8696B"/>
      </colorScale>
    </cfRule>
  </conditionalFormatting>
  <conditionalFormatting sqref="T670:T671">
    <cfRule type="colorScale" priority="20">
      <colorScale>
        <cfvo type="num" val="1"/>
        <cfvo type="num" val="2"/>
        <color rgb="FFFCFCFF"/>
        <color rgb="FFF8696B"/>
      </colorScale>
    </cfRule>
  </conditionalFormatting>
  <conditionalFormatting sqref="T672">
    <cfRule type="colorScale" priority="24">
      <colorScale>
        <cfvo type="num" val="1"/>
        <cfvo type="num" val="2"/>
        <color rgb="FFFCFCFF"/>
        <color rgb="FFF8696B"/>
      </colorScale>
    </cfRule>
  </conditionalFormatting>
  <conditionalFormatting sqref="T674">
    <cfRule type="colorScale" priority="23">
      <colorScale>
        <cfvo type="num" val="1"/>
        <cfvo type="num" val="2"/>
        <color rgb="FFFCFCFF"/>
        <color rgb="FFF8696B"/>
      </colorScale>
    </cfRule>
  </conditionalFormatting>
  <conditionalFormatting sqref="T679">
    <cfRule type="colorScale" priority="22">
      <colorScale>
        <cfvo type="num" val="1"/>
        <cfvo type="num" val="2"/>
        <color rgb="FFFCFCFF"/>
        <color rgb="FFF8696B"/>
      </colorScale>
    </cfRule>
  </conditionalFormatting>
  <conditionalFormatting sqref="T680 T683">
    <cfRule type="colorScale" priority="28">
      <colorScale>
        <cfvo type="num" val="1"/>
        <cfvo type="num" val="2"/>
        <color rgb="FFFCFCFF"/>
        <color rgb="FFF8696B"/>
      </colorScale>
    </cfRule>
  </conditionalFormatting>
  <conditionalFormatting sqref="T683:T1048576">
    <cfRule type="colorScale" priority="1">
      <colorScale>
        <cfvo type="num" val="1"/>
        <cfvo type="num" val="2"/>
        <color rgb="FFFCFCFF"/>
        <color rgb="FFF8696B"/>
      </colorScale>
    </cfRule>
  </conditionalFormatting>
  <conditionalFormatting sqref="T684">
    <cfRule type="colorScale" priority="27">
      <colorScale>
        <cfvo type="num" val="1"/>
        <cfvo type="num" val="2"/>
        <color rgb="FFFCFCFF"/>
        <color rgb="FFF8696B"/>
      </colorScale>
    </cfRule>
  </conditionalFormatting>
  <conditionalFormatting sqref="T685">
    <cfRule type="colorScale" priority="26">
      <colorScale>
        <cfvo type="num" val="1"/>
        <cfvo type="num" val="2"/>
        <color rgb="FFFCFCFF"/>
        <color rgb="FFF8696B"/>
      </colorScale>
    </cfRule>
  </conditionalFormatting>
  <conditionalFormatting sqref="T686">
    <cfRule type="colorScale" priority="29">
      <colorScale>
        <cfvo type="num" val="1"/>
        <cfvo type="num" val="2"/>
        <color rgb="FFFCFCFF"/>
        <color rgb="FFF8696B"/>
      </colorScale>
    </cfRule>
  </conditionalFormatting>
  <conditionalFormatting sqref="T687">
    <cfRule type="colorScale" priority="25">
      <colorScale>
        <cfvo type="num" val="1"/>
        <cfvo type="num" val="2"/>
        <color rgb="FFFCFCFF"/>
        <color rgb="FFF8696B"/>
      </colorScale>
    </cfRule>
  </conditionalFormatting>
  <conditionalFormatting sqref="T690">
    <cfRule type="colorScale" priority="30">
      <colorScale>
        <cfvo type="num" val="1"/>
        <cfvo type="num" val="2"/>
        <color rgb="FFFCFCFF"/>
        <color rgb="FFF8696B"/>
      </colorScale>
    </cfRule>
  </conditionalFormatting>
  <conditionalFormatting sqref="T691">
    <cfRule type="colorScale" priority="31">
      <colorScale>
        <cfvo type="num" val="1"/>
        <cfvo type="num" val="2"/>
        <color rgb="FFFCFCFF"/>
        <color rgb="FFF8696B"/>
      </colorScale>
    </cfRule>
  </conditionalFormatting>
  <conditionalFormatting sqref="T693">
    <cfRule type="colorScale" priority="32">
      <colorScale>
        <cfvo type="num" val="1"/>
        <cfvo type="num" val="2"/>
        <color rgb="FFFCFCFF"/>
        <color rgb="FFF8696B"/>
      </colorScale>
    </cfRule>
  </conditionalFormatting>
  <conditionalFormatting sqref="T694:T695">
    <cfRule type="colorScale" priority="33">
      <colorScale>
        <cfvo type="num" val="1"/>
        <cfvo type="num" val="2"/>
        <color rgb="FFFCFCFF"/>
        <color rgb="FFF8696B"/>
      </colorScale>
    </cfRule>
  </conditionalFormatting>
  <conditionalFormatting sqref="T696">
    <cfRule type="colorScale" priority="37">
      <colorScale>
        <cfvo type="num" val="1"/>
        <cfvo type="num" val="2"/>
        <color rgb="FFFCFCFF"/>
        <color rgb="FFF8696B"/>
      </colorScale>
    </cfRule>
  </conditionalFormatting>
  <conditionalFormatting sqref="T697">
    <cfRule type="colorScale" priority="36">
      <colorScale>
        <cfvo type="num" val="1"/>
        <cfvo type="num" val="2"/>
        <color rgb="FFFCFCFF"/>
        <color rgb="FFF8696B"/>
      </colorScale>
    </cfRule>
  </conditionalFormatting>
  <conditionalFormatting sqref="T698">
    <cfRule type="colorScale" priority="34">
      <colorScale>
        <cfvo type="num" val="1"/>
        <cfvo type="num" val="2"/>
        <color rgb="FFFCFCFF"/>
        <color rgb="FFF8696B"/>
      </colorScale>
    </cfRule>
  </conditionalFormatting>
  <conditionalFormatting sqref="T699">
    <cfRule type="colorScale" priority="35">
      <colorScale>
        <cfvo type="num" val="1"/>
        <cfvo type="num" val="2"/>
        <color rgb="FFFCFCFF"/>
        <color rgb="FFF8696B"/>
      </colorScale>
    </cfRule>
  </conditionalFormatting>
  <conditionalFormatting sqref="T700">
    <cfRule type="colorScale" priority="38">
      <colorScale>
        <cfvo type="num" val="1"/>
        <cfvo type="num" val="2"/>
        <color rgb="FFFCFCFF"/>
        <color rgb="FFF8696B"/>
      </colorScale>
    </cfRule>
  </conditionalFormatting>
  <conditionalFormatting sqref="T704">
    <cfRule type="colorScale" priority="41">
      <colorScale>
        <cfvo type="num" val="1"/>
        <cfvo type="num" val="2"/>
        <color rgb="FFFCFCFF"/>
        <color rgb="FFF8696B"/>
      </colorScale>
    </cfRule>
  </conditionalFormatting>
  <conditionalFormatting sqref="T706">
    <cfRule type="colorScale" priority="40">
      <colorScale>
        <cfvo type="num" val="1"/>
        <cfvo type="num" val="2"/>
        <color rgb="FFFCFCFF"/>
        <color rgb="FFF8696B"/>
      </colorScale>
    </cfRule>
  </conditionalFormatting>
  <conditionalFormatting sqref="T710">
    <cfRule type="colorScale" priority="48">
      <colorScale>
        <cfvo type="num" val="1"/>
        <cfvo type="num" val="2"/>
        <color rgb="FFFCFCFF"/>
        <color rgb="FFF8696B"/>
      </colorScale>
    </cfRule>
  </conditionalFormatting>
  <conditionalFormatting sqref="T711">
    <cfRule type="colorScale" priority="46">
      <colorScale>
        <cfvo type="num" val="1"/>
        <cfvo type="num" val="2"/>
        <color rgb="FFFCFCFF"/>
        <color rgb="FFF8696B"/>
      </colorScale>
    </cfRule>
  </conditionalFormatting>
  <conditionalFormatting sqref="T712">
    <cfRule type="colorScale" priority="47">
      <colorScale>
        <cfvo type="num" val="1"/>
        <cfvo type="num" val="2"/>
        <color rgb="FFFCFCFF"/>
        <color rgb="FFF8696B"/>
      </colorScale>
    </cfRule>
  </conditionalFormatting>
  <conditionalFormatting sqref="T713">
    <cfRule type="colorScale" priority="45">
      <colorScale>
        <cfvo type="num" val="1"/>
        <cfvo type="num" val="2"/>
        <color rgb="FFFCFCFF"/>
        <color rgb="FFF8696B"/>
      </colorScale>
    </cfRule>
  </conditionalFormatting>
  <conditionalFormatting sqref="T720">
    <cfRule type="colorScale" priority="49">
      <colorScale>
        <cfvo type="num" val="1"/>
        <cfvo type="num" val="2"/>
        <color rgb="FFFCFCFF"/>
        <color rgb="FFF8696B"/>
      </colorScale>
    </cfRule>
  </conditionalFormatting>
  <dataValidations count="3">
    <dataValidation type="date" allowBlank="1" showInputMessage="1" showErrorMessage="1" sqref="H1:I1048576" xr:uid="{63CC2BFE-1A3E-4AF0-8D27-EE5EE825B128}">
      <formula1>46266</formula1>
      <formula2>46295</formula2>
    </dataValidation>
    <dataValidation type="whole" allowBlank="1" showInputMessage="1" showErrorMessage="1" sqref="C2:C678" xr:uid="{525DFD88-1973-443F-8933-1C5062231536}">
      <formula1>1</formula1>
      <formula2>4</formula2>
    </dataValidation>
    <dataValidation type="whole" allowBlank="1" showInputMessage="1" showErrorMessage="1" sqref="G777:G1048576 G775 G771 G680 F1 G764 G759 G755:G756 G753 G750 G746 G742:G743 G738 G730:G731 G727:G728 G724:G725 G721:G722 G718:G719 G708:G709 G698 G700:G706 G688:G696 G686 G683" xr:uid="{CA5CDBC8-D0C8-44FF-B382-40AB73BFCAA3}">
      <formula1>10</formula1>
      <formula2>10000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A2B1FE71-46E3-48F6-B978-1D8E7D270CC6}">
          <x14:formula1>
            <xm:f>Datos!$Z$2:$Z$3</xm:f>
          </x14:formula1>
          <xm:sqref>S2:S1048576</xm:sqref>
        </x14:dataValidation>
        <x14:dataValidation type="list" allowBlank="1" showInputMessage="1" showErrorMessage="1" xr:uid="{9F796396-4870-476D-A226-3046FF781046}">
          <x14:formula1>
            <xm:f>Datos!$X$2:$X$3</xm:f>
          </x14:formula1>
          <xm:sqref>A2:A678</xm:sqref>
        </x14:dataValidation>
        <x14:dataValidation type="list" allowBlank="1" showInputMessage="1" showErrorMessage="1" xr:uid="{5FC3EB8F-C046-4949-B16B-BF8CF022BDC1}">
          <x14:formula1>
            <xm:f>Datos!$V$2:$V$3</xm:f>
          </x14:formula1>
          <xm:sqref>B2:B678</xm:sqref>
        </x14:dataValidation>
        <x14:dataValidation type="list" allowBlank="1" showInputMessage="1" showErrorMessage="1" xr:uid="{0F5668EC-DA67-44C7-981F-849DA3A7A487}">
          <x14:formula1>
            <xm:f>Datos!$J$2:$J$20</xm:f>
          </x14:formula1>
          <xm:sqref>R2:R396</xm:sqref>
        </x14:dataValidation>
        <x14:dataValidation type="list" allowBlank="1" showInputMessage="1" showErrorMessage="1" xr:uid="{46F821CC-403A-4D97-82C4-D692DC2CE8C4}">
          <x14:formula1>
            <xm:f>Datos!$J$2:$J$19</xm:f>
          </x14:formula1>
          <xm:sqref>R397:R721</xm:sqref>
        </x14:dataValidation>
        <x14:dataValidation type="list" allowBlank="1" showInputMessage="1" showErrorMessage="1" xr:uid="{98DFFE57-D547-4D1E-8F98-F0D2A749894B}">
          <x14:formula1>
            <xm:f>Datos!$J$2:$J$18</xm:f>
          </x14:formula1>
          <xm:sqref>R722:R950</xm:sqref>
        </x14:dataValidation>
        <x14:dataValidation type="list" allowBlank="1" showInputMessage="1" showErrorMessage="1" xr:uid="{82021281-963D-4AFC-BA7C-0B6475C573BA}">
          <x14:formula1>
            <xm:f>Datos!$J$2:$J$13</xm:f>
          </x14:formula1>
          <xm:sqref>Q707:Q708 Q714 Q705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097B-4098-4008-B410-FA455D42F12B}">
  <dimension ref="A1:Z2689"/>
  <sheetViews>
    <sheetView topLeftCell="E2677" workbookViewId="0">
      <selection activeCell="A344" sqref="A344"/>
    </sheetView>
  </sheetViews>
  <sheetFormatPr baseColWidth="10" defaultColWidth="11.453125" defaultRowHeight="14.5" x14ac:dyDescent="0.35"/>
  <cols>
    <col min="7" max="7" width="41.54296875" customWidth="1"/>
    <col min="10" max="10" width="32.453125" bestFit="1" customWidth="1"/>
    <col min="16" max="16" width="33.7265625" bestFit="1" customWidth="1"/>
    <col min="26" max="26" width="12.7265625" bestFit="1" customWidth="1"/>
  </cols>
  <sheetData>
    <row r="1" spans="1:26" ht="29" x14ac:dyDescent="0.35">
      <c r="A1" s="14" t="s">
        <v>410</v>
      </c>
      <c r="B1" s="14" t="s">
        <v>411</v>
      </c>
      <c r="C1" s="14" t="s">
        <v>412</v>
      </c>
      <c r="F1" s="15" t="s">
        <v>413</v>
      </c>
      <c r="G1" s="15" t="s">
        <v>414</v>
      </c>
      <c r="H1" s="15" t="s">
        <v>413</v>
      </c>
      <c r="I1" s="16" t="s">
        <v>415</v>
      </c>
      <c r="J1" s="17" t="s">
        <v>17</v>
      </c>
      <c r="K1" s="17" t="s">
        <v>416</v>
      </c>
      <c r="L1" s="17" t="s">
        <v>417</v>
      </c>
      <c r="M1" s="17" t="s">
        <v>418</v>
      </c>
      <c r="N1" s="17" t="s">
        <v>419</v>
      </c>
      <c r="O1" s="16" t="s">
        <v>420</v>
      </c>
      <c r="P1" s="17" t="s">
        <v>17</v>
      </c>
      <c r="Q1" s="17" t="s">
        <v>416</v>
      </c>
      <c r="R1" s="17" t="s">
        <v>417</v>
      </c>
      <c r="S1" s="17" t="s">
        <v>418</v>
      </c>
      <c r="T1" s="17" t="s">
        <v>419</v>
      </c>
      <c r="V1" s="17" t="s">
        <v>421</v>
      </c>
      <c r="X1" s="17" t="s">
        <v>415</v>
      </c>
      <c r="Z1" s="17" t="s">
        <v>422</v>
      </c>
    </row>
    <row r="2" spans="1:26" ht="15.5" x14ac:dyDescent="0.35">
      <c r="A2" s="18">
        <v>14</v>
      </c>
      <c r="B2" s="19" t="s">
        <v>423</v>
      </c>
      <c r="C2" s="19" t="s">
        <v>424</v>
      </c>
      <c r="F2" s="20">
        <v>311961</v>
      </c>
      <c r="G2" s="21" t="s">
        <v>425</v>
      </c>
      <c r="H2" s="22">
        <v>0</v>
      </c>
      <c r="J2" t="s">
        <v>29</v>
      </c>
      <c r="K2" s="23">
        <v>816</v>
      </c>
      <c r="L2" s="23">
        <v>1632</v>
      </c>
      <c r="M2" s="23">
        <v>2448</v>
      </c>
      <c r="N2" s="23">
        <v>3264</v>
      </c>
      <c r="P2" t="s">
        <v>29</v>
      </c>
      <c r="Q2" s="23">
        <v>888</v>
      </c>
      <c r="R2" s="23">
        <v>1776</v>
      </c>
      <c r="S2" s="23">
        <v>2664</v>
      </c>
      <c r="T2" s="23">
        <v>3552</v>
      </c>
      <c r="V2" t="s">
        <v>21</v>
      </c>
      <c r="X2" t="s">
        <v>20</v>
      </c>
      <c r="Z2" t="s">
        <v>20</v>
      </c>
    </row>
    <row r="3" spans="1:26" ht="15.5" x14ac:dyDescent="0.35">
      <c r="A3" s="18">
        <v>53</v>
      </c>
      <c r="B3" s="19" t="s">
        <v>426</v>
      </c>
      <c r="C3" s="19" t="s">
        <v>424</v>
      </c>
      <c r="F3" s="20">
        <v>305051</v>
      </c>
      <c r="G3" s="21" t="s">
        <v>427</v>
      </c>
      <c r="H3" s="22">
        <v>0</v>
      </c>
      <c r="J3" t="s">
        <v>230</v>
      </c>
      <c r="K3" s="23">
        <v>2472</v>
      </c>
      <c r="L3" s="23">
        <v>4944</v>
      </c>
      <c r="M3" s="23">
        <v>7416</v>
      </c>
      <c r="N3" s="23">
        <v>9888</v>
      </c>
      <c r="P3" t="s">
        <v>230</v>
      </c>
      <c r="Q3" s="23">
        <v>2067</v>
      </c>
      <c r="R3" s="23">
        <v>4134</v>
      </c>
      <c r="S3" s="23">
        <v>6201</v>
      </c>
      <c r="T3" s="23">
        <v>8268</v>
      </c>
      <c r="V3" t="s">
        <v>26</v>
      </c>
      <c r="X3" t="s">
        <v>80</v>
      </c>
      <c r="Z3" t="s">
        <v>78</v>
      </c>
    </row>
    <row r="4" spans="1:26" ht="15.5" x14ac:dyDescent="0.35">
      <c r="A4" s="18">
        <v>54</v>
      </c>
      <c r="B4" s="19" t="s">
        <v>428</v>
      </c>
      <c r="C4" s="19" t="s">
        <v>424</v>
      </c>
      <c r="F4" s="20">
        <v>308201</v>
      </c>
      <c r="G4" s="21" t="s">
        <v>429</v>
      </c>
      <c r="H4" s="22">
        <v>0</v>
      </c>
      <c r="J4" t="s">
        <v>168</v>
      </c>
      <c r="K4" s="23">
        <v>1428</v>
      </c>
      <c r="L4" s="23">
        <v>2856</v>
      </c>
      <c r="M4" s="23">
        <v>4284</v>
      </c>
      <c r="N4" s="23">
        <v>5712</v>
      </c>
      <c r="P4" t="s">
        <v>168</v>
      </c>
      <c r="Q4" s="23">
        <v>1548</v>
      </c>
      <c r="R4" s="23">
        <v>3096</v>
      </c>
      <c r="S4" s="23">
        <v>4644</v>
      </c>
      <c r="T4" s="23">
        <v>6192</v>
      </c>
    </row>
    <row r="5" spans="1:26" ht="15.5" x14ac:dyDescent="0.35">
      <c r="A5" s="18">
        <v>58</v>
      </c>
      <c r="B5" s="19" t="s">
        <v>430</v>
      </c>
      <c r="C5" s="19" t="s">
        <v>424</v>
      </c>
      <c r="F5" s="20">
        <v>311188</v>
      </c>
      <c r="G5" s="21" t="s">
        <v>431</v>
      </c>
      <c r="H5" s="22">
        <v>0</v>
      </c>
      <c r="J5" t="s">
        <v>196</v>
      </c>
      <c r="K5" s="23">
        <v>1908</v>
      </c>
      <c r="L5" s="23">
        <v>3816</v>
      </c>
      <c r="M5" s="23">
        <v>5724</v>
      </c>
      <c r="N5" s="23">
        <v>7632</v>
      </c>
      <c r="P5" t="s">
        <v>196</v>
      </c>
      <c r="Q5" s="23">
        <v>2676</v>
      </c>
      <c r="R5" s="23">
        <v>5352</v>
      </c>
      <c r="S5" s="23">
        <v>8028</v>
      </c>
      <c r="T5" s="23">
        <v>10704</v>
      </c>
    </row>
    <row r="6" spans="1:26" ht="15.5" x14ac:dyDescent="0.35">
      <c r="A6" s="18">
        <v>71</v>
      </c>
      <c r="B6" s="19" t="s">
        <v>432</v>
      </c>
      <c r="C6" s="19" t="s">
        <v>424</v>
      </c>
      <c r="F6" s="20">
        <v>311460</v>
      </c>
      <c r="G6" s="21" t="s">
        <v>433</v>
      </c>
      <c r="H6" s="22">
        <v>0</v>
      </c>
      <c r="J6" t="s">
        <v>239</v>
      </c>
      <c r="K6" s="23">
        <v>1704</v>
      </c>
      <c r="L6" s="23">
        <v>3408</v>
      </c>
      <c r="M6" s="23">
        <v>5112</v>
      </c>
      <c r="N6" s="23">
        <v>6816</v>
      </c>
      <c r="P6" t="s">
        <v>239</v>
      </c>
      <c r="Q6" s="23">
        <v>1848</v>
      </c>
      <c r="R6" s="23">
        <v>3696</v>
      </c>
      <c r="S6" s="23">
        <v>5544</v>
      </c>
      <c r="T6" s="23">
        <v>7392</v>
      </c>
    </row>
    <row r="7" spans="1:26" ht="15.5" x14ac:dyDescent="0.35">
      <c r="A7" s="18">
        <v>90</v>
      </c>
      <c r="B7" s="19" t="s">
        <v>434</v>
      </c>
      <c r="C7" s="19" t="s">
        <v>424</v>
      </c>
      <c r="F7" s="20">
        <v>306579</v>
      </c>
      <c r="G7" s="21" t="s">
        <v>435</v>
      </c>
      <c r="H7" s="22">
        <v>0</v>
      </c>
      <c r="J7" t="s">
        <v>436</v>
      </c>
      <c r="K7" s="23">
        <v>1332</v>
      </c>
      <c r="L7" s="23">
        <v>2664</v>
      </c>
      <c r="M7" s="23">
        <v>3996</v>
      </c>
      <c r="N7" s="23">
        <v>5328</v>
      </c>
      <c r="P7" t="s">
        <v>436</v>
      </c>
      <c r="Q7" s="23">
        <v>1440</v>
      </c>
      <c r="R7" s="23">
        <v>2880</v>
      </c>
      <c r="S7" s="23">
        <v>4320</v>
      </c>
      <c r="T7" s="23">
        <v>5760</v>
      </c>
    </row>
    <row r="8" spans="1:26" ht="15.5" x14ac:dyDescent="0.35">
      <c r="A8" s="18">
        <v>92</v>
      </c>
      <c r="B8" s="19" t="s">
        <v>437</v>
      </c>
      <c r="C8" s="19" t="s">
        <v>424</v>
      </c>
      <c r="F8" s="20">
        <v>312284</v>
      </c>
      <c r="G8" s="21" t="s">
        <v>438</v>
      </c>
      <c r="H8" s="22">
        <v>0</v>
      </c>
      <c r="J8" t="s">
        <v>114</v>
      </c>
      <c r="K8" s="23">
        <v>1008</v>
      </c>
      <c r="L8" s="23">
        <v>2016</v>
      </c>
      <c r="M8" s="23">
        <v>3024</v>
      </c>
      <c r="N8" s="23">
        <v>4032</v>
      </c>
      <c r="P8" t="s">
        <v>114</v>
      </c>
      <c r="Q8" s="23">
        <v>1092</v>
      </c>
      <c r="R8" s="23">
        <v>2184</v>
      </c>
      <c r="S8" s="23">
        <v>3276</v>
      </c>
      <c r="T8" s="23">
        <v>4368</v>
      </c>
    </row>
    <row r="9" spans="1:26" ht="15.5" x14ac:dyDescent="0.35">
      <c r="A9" s="18">
        <v>224</v>
      </c>
      <c r="B9" s="19" t="s">
        <v>439</v>
      </c>
      <c r="C9" s="19" t="s">
        <v>424</v>
      </c>
      <c r="F9" s="20">
        <v>311234</v>
      </c>
      <c r="G9" s="21" t="s">
        <v>440</v>
      </c>
      <c r="H9" s="22">
        <v>0</v>
      </c>
      <c r="J9" t="s">
        <v>83</v>
      </c>
      <c r="K9" s="23">
        <v>2052</v>
      </c>
      <c r="L9" s="23">
        <v>4104</v>
      </c>
      <c r="M9" s="23">
        <v>6156</v>
      </c>
      <c r="N9" s="23">
        <v>8208</v>
      </c>
      <c r="P9" t="s">
        <v>83</v>
      </c>
      <c r="Q9" s="23">
        <v>2160</v>
      </c>
      <c r="R9" s="23">
        <v>4320</v>
      </c>
      <c r="S9" s="23">
        <v>6480</v>
      </c>
      <c r="T9" s="23">
        <v>8640</v>
      </c>
    </row>
    <row r="10" spans="1:26" ht="15.5" x14ac:dyDescent="0.35">
      <c r="A10" s="18">
        <v>226</v>
      </c>
      <c r="B10" s="19" t="s">
        <v>441</v>
      </c>
      <c r="C10" s="19" t="s">
        <v>424</v>
      </c>
      <c r="F10" s="20">
        <v>308361</v>
      </c>
      <c r="G10" s="21" t="s">
        <v>442</v>
      </c>
      <c r="H10" s="22">
        <v>0</v>
      </c>
      <c r="J10" s="24" t="s">
        <v>117</v>
      </c>
      <c r="K10" s="23">
        <v>1092</v>
      </c>
      <c r="L10" s="23">
        <v>2184</v>
      </c>
      <c r="M10" s="23">
        <v>3276</v>
      </c>
      <c r="N10" s="23">
        <v>4368</v>
      </c>
      <c r="P10" s="24" t="s">
        <v>117</v>
      </c>
      <c r="Q10" s="23">
        <v>1200</v>
      </c>
      <c r="R10" s="23">
        <v>2400</v>
      </c>
      <c r="S10" s="23">
        <v>3600</v>
      </c>
      <c r="T10" s="23">
        <v>4800</v>
      </c>
    </row>
    <row r="11" spans="1:26" ht="15.5" x14ac:dyDescent="0.35">
      <c r="A11" s="18">
        <v>231</v>
      </c>
      <c r="B11" s="19" t="s">
        <v>443</v>
      </c>
      <c r="C11" s="19" t="s">
        <v>424</v>
      </c>
      <c r="F11" s="20">
        <v>309678</v>
      </c>
      <c r="G11" s="21" t="s">
        <v>444</v>
      </c>
      <c r="H11" s="22">
        <v>0</v>
      </c>
      <c r="J11" t="s">
        <v>445</v>
      </c>
      <c r="K11" s="23">
        <v>1308</v>
      </c>
      <c r="L11" s="23">
        <v>2616</v>
      </c>
      <c r="M11" s="23">
        <v>3924</v>
      </c>
      <c r="N11" s="23">
        <v>5232</v>
      </c>
      <c r="P11" t="s">
        <v>445</v>
      </c>
      <c r="Q11" s="23">
        <v>1416</v>
      </c>
      <c r="R11" s="23">
        <v>2832</v>
      </c>
      <c r="S11" s="23">
        <v>4248</v>
      </c>
      <c r="T11" s="23">
        <v>5664</v>
      </c>
    </row>
    <row r="12" spans="1:26" ht="15.5" x14ac:dyDescent="0.35">
      <c r="A12" s="18">
        <v>278</v>
      </c>
      <c r="B12" s="19" t="s">
        <v>446</v>
      </c>
      <c r="C12" s="19" t="s">
        <v>424</v>
      </c>
      <c r="F12" s="20">
        <v>311232</v>
      </c>
      <c r="G12" s="21" t="s">
        <v>447</v>
      </c>
      <c r="H12" s="22">
        <v>0</v>
      </c>
      <c r="J12" t="s">
        <v>448</v>
      </c>
      <c r="K12" s="23">
        <v>2004</v>
      </c>
      <c r="L12" s="23">
        <v>4008</v>
      </c>
      <c r="M12" s="23">
        <v>6012</v>
      </c>
      <c r="N12" s="23">
        <v>8016</v>
      </c>
      <c r="P12" t="s">
        <v>448</v>
      </c>
      <c r="Q12" s="23">
        <v>2172</v>
      </c>
      <c r="R12" s="23">
        <v>4344</v>
      </c>
      <c r="S12" s="23">
        <v>6516</v>
      </c>
      <c r="T12" s="23">
        <v>8688</v>
      </c>
    </row>
    <row r="13" spans="1:26" ht="15.5" x14ac:dyDescent="0.35">
      <c r="A13" s="18">
        <v>294</v>
      </c>
      <c r="B13" s="19" t="s">
        <v>449</v>
      </c>
      <c r="C13" s="19" t="s">
        <v>424</v>
      </c>
      <c r="F13" s="20">
        <v>312015</v>
      </c>
      <c r="G13" s="21" t="s">
        <v>450</v>
      </c>
      <c r="H13" s="22">
        <v>0</v>
      </c>
      <c r="J13" t="s">
        <v>226</v>
      </c>
      <c r="K13" s="23">
        <v>2280</v>
      </c>
      <c r="L13" s="23">
        <f>K13*2</f>
        <v>4560</v>
      </c>
      <c r="M13" s="23">
        <f>K13*3</f>
        <v>6840</v>
      </c>
      <c r="N13" s="23">
        <f>K13*4</f>
        <v>9120</v>
      </c>
      <c r="P13" t="s">
        <v>226</v>
      </c>
      <c r="Q13" s="23">
        <v>1937</v>
      </c>
      <c r="R13" s="23">
        <v>3874</v>
      </c>
      <c r="S13" s="23">
        <v>5811</v>
      </c>
      <c r="T13" s="23">
        <v>7748</v>
      </c>
    </row>
    <row r="14" spans="1:26" ht="15.5" x14ac:dyDescent="0.35">
      <c r="A14" s="18">
        <v>306</v>
      </c>
      <c r="B14" s="19" t="s">
        <v>451</v>
      </c>
      <c r="C14" s="19" t="s">
        <v>424</v>
      </c>
      <c r="F14" s="20">
        <v>311704</v>
      </c>
      <c r="G14" s="21" t="s">
        <v>452</v>
      </c>
      <c r="H14" s="22">
        <v>0</v>
      </c>
      <c r="J14" t="s">
        <v>25</v>
      </c>
      <c r="K14" s="23">
        <v>1368</v>
      </c>
      <c r="L14" s="23">
        <v>2736</v>
      </c>
      <c r="M14" s="23">
        <v>4104</v>
      </c>
      <c r="N14" s="23">
        <v>5472</v>
      </c>
      <c r="P14" t="s">
        <v>25</v>
      </c>
      <c r="Q14" s="23">
        <v>1488</v>
      </c>
      <c r="R14" s="23">
        <v>2976</v>
      </c>
      <c r="S14" s="23">
        <v>4464</v>
      </c>
      <c r="T14" s="23">
        <v>5952</v>
      </c>
    </row>
    <row r="15" spans="1:26" ht="15.5" x14ac:dyDescent="0.35">
      <c r="A15" s="18">
        <v>338</v>
      </c>
      <c r="B15" s="19" t="s">
        <v>453</v>
      </c>
      <c r="C15" s="19" t="s">
        <v>424</v>
      </c>
      <c r="F15" s="20">
        <v>311894</v>
      </c>
      <c r="G15" s="21" t="s">
        <v>454</v>
      </c>
      <c r="H15" s="22">
        <v>0</v>
      </c>
      <c r="J15" t="s">
        <v>73</v>
      </c>
      <c r="K15" s="23">
        <v>2736</v>
      </c>
      <c r="L15" s="23">
        <v>5472</v>
      </c>
      <c r="M15" s="23">
        <v>8208</v>
      </c>
      <c r="N15" s="23">
        <v>10944</v>
      </c>
      <c r="P15" t="s">
        <v>73</v>
      </c>
      <c r="Q15" s="23">
        <v>2964</v>
      </c>
      <c r="R15" s="23">
        <v>5928</v>
      </c>
      <c r="S15" s="23">
        <v>8892</v>
      </c>
      <c r="T15" s="23">
        <v>11856</v>
      </c>
    </row>
    <row r="16" spans="1:26" ht="15.5" x14ac:dyDescent="0.35">
      <c r="A16" s="25">
        <v>1000</v>
      </c>
      <c r="B16" s="19" t="s">
        <v>455</v>
      </c>
      <c r="C16" s="19" t="s">
        <v>424</v>
      </c>
      <c r="F16" s="20">
        <v>308901</v>
      </c>
      <c r="G16" s="21" t="s">
        <v>456</v>
      </c>
      <c r="H16" s="22">
        <v>0</v>
      </c>
      <c r="J16" t="s">
        <v>271</v>
      </c>
      <c r="K16" s="23">
        <v>4104</v>
      </c>
      <c r="L16" s="23">
        <v>8208</v>
      </c>
      <c r="M16" s="23">
        <v>12312</v>
      </c>
      <c r="N16" s="23">
        <v>16416</v>
      </c>
      <c r="P16" t="s">
        <v>271</v>
      </c>
      <c r="Q16" s="23">
        <v>4452</v>
      </c>
      <c r="R16" s="23">
        <v>8904</v>
      </c>
      <c r="S16" s="23">
        <v>13356</v>
      </c>
      <c r="T16" s="23">
        <v>17808</v>
      </c>
    </row>
    <row r="17" spans="1:20" ht="15.5" x14ac:dyDescent="0.35">
      <c r="A17" s="18">
        <v>1</v>
      </c>
      <c r="B17" s="19" t="s">
        <v>457</v>
      </c>
      <c r="C17" s="19" t="s">
        <v>458</v>
      </c>
      <c r="F17" s="20">
        <v>310382</v>
      </c>
      <c r="G17" s="21" t="s">
        <v>459</v>
      </c>
      <c r="H17" s="22">
        <v>0</v>
      </c>
      <c r="J17" t="s">
        <v>102</v>
      </c>
      <c r="K17" s="23">
        <v>5460</v>
      </c>
      <c r="L17" s="23">
        <v>10920</v>
      </c>
      <c r="M17" s="23">
        <v>16380</v>
      </c>
      <c r="N17" s="23">
        <v>21840</v>
      </c>
      <c r="P17" t="s">
        <v>102</v>
      </c>
      <c r="Q17" s="23">
        <v>5916</v>
      </c>
      <c r="R17" s="23">
        <v>11832</v>
      </c>
      <c r="S17" s="23">
        <v>17748</v>
      </c>
      <c r="T17" s="23">
        <v>23664</v>
      </c>
    </row>
    <row r="18" spans="1:20" ht="15.5" x14ac:dyDescent="0.35">
      <c r="A18" s="18">
        <v>2</v>
      </c>
      <c r="B18" s="19" t="s">
        <v>460</v>
      </c>
      <c r="C18" s="19" t="s">
        <v>458</v>
      </c>
      <c r="F18" s="20">
        <v>312069</v>
      </c>
      <c r="G18" s="21" t="s">
        <v>461</v>
      </c>
      <c r="H18" s="22">
        <v>0</v>
      </c>
      <c r="J18" t="s">
        <v>163</v>
      </c>
      <c r="K18" s="23">
        <v>6828</v>
      </c>
      <c r="L18" s="23">
        <v>13656</v>
      </c>
      <c r="M18" s="23">
        <v>20484</v>
      </c>
      <c r="N18" s="23">
        <v>27312</v>
      </c>
      <c r="P18" t="s">
        <v>163</v>
      </c>
      <c r="Q18" s="23">
        <v>7392</v>
      </c>
      <c r="R18" s="23">
        <v>14784</v>
      </c>
      <c r="S18" s="23">
        <v>22176</v>
      </c>
      <c r="T18" s="23">
        <v>29568</v>
      </c>
    </row>
    <row r="19" spans="1:20" ht="15.5" x14ac:dyDescent="0.35">
      <c r="A19" s="18">
        <v>12</v>
      </c>
      <c r="B19" s="19" t="s">
        <v>462</v>
      </c>
      <c r="C19" s="19" t="s">
        <v>458</v>
      </c>
      <c r="F19" s="20">
        <v>311060</v>
      </c>
      <c r="G19" s="21" t="s">
        <v>463</v>
      </c>
      <c r="H19" s="22">
        <v>0</v>
      </c>
      <c r="J19" t="s">
        <v>464</v>
      </c>
      <c r="K19" s="23">
        <v>8196</v>
      </c>
      <c r="L19" s="23">
        <v>16392</v>
      </c>
      <c r="M19" s="23">
        <v>24588</v>
      </c>
      <c r="N19" s="23">
        <v>32784</v>
      </c>
      <c r="Q19" s="23"/>
      <c r="R19" s="23"/>
      <c r="S19" s="23"/>
      <c r="T19" s="23"/>
    </row>
    <row r="20" spans="1:20" ht="15.5" x14ac:dyDescent="0.35">
      <c r="A20" s="18">
        <v>13</v>
      </c>
      <c r="B20" s="19" t="s">
        <v>465</v>
      </c>
      <c r="C20" s="19" t="s">
        <v>458</v>
      </c>
      <c r="F20" s="20">
        <v>310710</v>
      </c>
      <c r="G20" s="21" t="s">
        <v>466</v>
      </c>
      <c r="H20" s="22">
        <v>0</v>
      </c>
      <c r="J20" t="s">
        <v>467</v>
      </c>
      <c r="K20" s="23">
        <v>10056</v>
      </c>
      <c r="L20" s="23">
        <v>20112</v>
      </c>
      <c r="M20" s="23">
        <v>30168</v>
      </c>
      <c r="N20" s="23">
        <v>40224</v>
      </c>
      <c r="Q20" s="23"/>
      <c r="R20" s="23"/>
      <c r="S20" s="23"/>
      <c r="T20" s="23"/>
    </row>
    <row r="21" spans="1:20" ht="15.5" x14ac:dyDescent="0.35">
      <c r="A21" s="18">
        <v>19</v>
      </c>
      <c r="B21" s="19" t="s">
        <v>468</v>
      </c>
      <c r="C21" s="19" t="s">
        <v>458</v>
      </c>
      <c r="F21" s="20">
        <v>312045</v>
      </c>
      <c r="G21" s="21" t="s">
        <v>469</v>
      </c>
      <c r="H21" s="22">
        <v>0</v>
      </c>
      <c r="J21" t="s">
        <v>470</v>
      </c>
      <c r="K21" s="23">
        <v>1380</v>
      </c>
      <c r="L21" s="23">
        <v>2760</v>
      </c>
      <c r="M21" s="23">
        <v>4140</v>
      </c>
      <c r="N21" s="23">
        <v>5520</v>
      </c>
      <c r="P21" t="s">
        <v>470</v>
      </c>
      <c r="Q21">
        <v>1500</v>
      </c>
      <c r="R21">
        <v>3000</v>
      </c>
      <c r="S21">
        <v>4500</v>
      </c>
      <c r="T21">
        <v>6000</v>
      </c>
    </row>
    <row r="22" spans="1:20" ht="15.5" x14ac:dyDescent="0.35">
      <c r="A22" s="18">
        <v>37</v>
      </c>
      <c r="B22" s="19" t="s">
        <v>471</v>
      </c>
      <c r="C22" s="19" t="s">
        <v>458</v>
      </c>
      <c r="F22" s="20">
        <v>309496</v>
      </c>
      <c r="G22" s="21" t="s">
        <v>472</v>
      </c>
      <c r="H22" s="22">
        <v>0</v>
      </c>
      <c r="J22" t="s">
        <v>473</v>
      </c>
      <c r="K22" s="23">
        <v>1500</v>
      </c>
      <c r="L22" s="23">
        <v>3000</v>
      </c>
      <c r="M22" s="23">
        <v>4500</v>
      </c>
      <c r="N22" s="23">
        <v>6000</v>
      </c>
      <c r="P22" t="s">
        <v>473</v>
      </c>
      <c r="Q22">
        <v>1428</v>
      </c>
      <c r="R22">
        <v>2856</v>
      </c>
      <c r="S22">
        <v>4284</v>
      </c>
      <c r="T22">
        <v>5712</v>
      </c>
    </row>
    <row r="23" spans="1:20" ht="15.5" x14ac:dyDescent="0.35">
      <c r="A23" s="18">
        <v>61</v>
      </c>
      <c r="B23" s="19" t="s">
        <v>474</v>
      </c>
      <c r="C23" s="19" t="s">
        <v>458</v>
      </c>
      <c r="F23" s="20">
        <v>310331</v>
      </c>
      <c r="G23" s="21" t="s">
        <v>475</v>
      </c>
      <c r="H23" s="22">
        <v>0</v>
      </c>
    </row>
    <row r="24" spans="1:20" ht="15.5" x14ac:dyDescent="0.35">
      <c r="A24" s="18">
        <v>81</v>
      </c>
      <c r="B24" s="19" t="s">
        <v>476</v>
      </c>
      <c r="C24" s="19" t="s">
        <v>458</v>
      </c>
      <c r="F24" s="20">
        <v>305796</v>
      </c>
      <c r="G24" s="21" t="s">
        <v>477</v>
      </c>
      <c r="H24" s="22">
        <v>0</v>
      </c>
    </row>
    <row r="25" spans="1:20" ht="15.5" x14ac:dyDescent="0.35">
      <c r="A25" s="18">
        <v>83</v>
      </c>
      <c r="B25" s="19" t="s">
        <v>478</v>
      </c>
      <c r="C25" s="19" t="s">
        <v>458</v>
      </c>
      <c r="F25" s="20">
        <v>308464</v>
      </c>
      <c r="G25" s="21" t="s">
        <v>479</v>
      </c>
      <c r="H25" s="22">
        <v>0</v>
      </c>
    </row>
    <row r="26" spans="1:20" ht="15.5" x14ac:dyDescent="0.35">
      <c r="A26" s="18">
        <v>87</v>
      </c>
      <c r="B26" s="19" t="s">
        <v>480</v>
      </c>
      <c r="C26" s="19" t="s">
        <v>458</v>
      </c>
      <c r="F26" s="20">
        <v>312053</v>
      </c>
      <c r="G26" s="21" t="s">
        <v>481</v>
      </c>
      <c r="H26" s="22">
        <v>0</v>
      </c>
    </row>
    <row r="27" spans="1:20" ht="15.5" x14ac:dyDescent="0.35">
      <c r="A27" s="18">
        <v>98</v>
      </c>
      <c r="B27" s="19" t="s">
        <v>482</v>
      </c>
      <c r="C27" s="19" t="s">
        <v>458</v>
      </c>
      <c r="F27" s="20">
        <v>311964</v>
      </c>
      <c r="G27" s="21" t="s">
        <v>483</v>
      </c>
      <c r="H27" s="22">
        <v>0</v>
      </c>
    </row>
    <row r="28" spans="1:20" ht="15.5" x14ac:dyDescent="0.35">
      <c r="A28" s="18">
        <v>103</v>
      </c>
      <c r="B28" s="19" t="s">
        <v>484</v>
      </c>
      <c r="C28" s="19" t="s">
        <v>458</v>
      </c>
      <c r="F28" s="20">
        <v>309795</v>
      </c>
      <c r="G28" s="21" t="s">
        <v>485</v>
      </c>
      <c r="H28" s="22">
        <v>0</v>
      </c>
    </row>
    <row r="29" spans="1:20" ht="15.5" x14ac:dyDescent="0.35">
      <c r="A29" s="18">
        <v>113</v>
      </c>
      <c r="B29" s="19" t="s">
        <v>486</v>
      </c>
      <c r="C29" s="19" t="s">
        <v>458</v>
      </c>
      <c r="F29" s="20">
        <v>310823</v>
      </c>
      <c r="G29" s="21" t="s">
        <v>487</v>
      </c>
      <c r="H29" s="22">
        <v>0</v>
      </c>
    </row>
    <row r="30" spans="1:20" ht="15.5" x14ac:dyDescent="0.35">
      <c r="A30" s="18">
        <v>166</v>
      </c>
      <c r="B30" s="19" t="s">
        <v>488</v>
      </c>
      <c r="C30" s="19" t="s">
        <v>458</v>
      </c>
      <c r="F30" s="20">
        <v>308490</v>
      </c>
      <c r="G30" s="21" t="s">
        <v>489</v>
      </c>
      <c r="H30" s="22">
        <v>0</v>
      </c>
    </row>
    <row r="31" spans="1:20" ht="15.5" x14ac:dyDescent="0.35">
      <c r="A31" s="18">
        <v>296</v>
      </c>
      <c r="B31" s="19" t="s">
        <v>490</v>
      </c>
      <c r="C31" s="19" t="s">
        <v>458</v>
      </c>
      <c r="F31" s="20">
        <v>311459</v>
      </c>
      <c r="G31" s="21" t="s">
        <v>491</v>
      </c>
      <c r="H31" s="22">
        <v>0</v>
      </c>
    </row>
    <row r="32" spans="1:20" ht="15.5" x14ac:dyDescent="0.35">
      <c r="A32" s="18">
        <v>302</v>
      </c>
      <c r="B32" s="19" t="s">
        <v>492</v>
      </c>
      <c r="C32" s="19" t="s">
        <v>458</v>
      </c>
      <c r="F32" s="20">
        <v>303585</v>
      </c>
      <c r="G32" s="21" t="s">
        <v>493</v>
      </c>
      <c r="H32" s="22">
        <v>0</v>
      </c>
    </row>
    <row r="33" spans="1:8" ht="15.5" x14ac:dyDescent="0.35">
      <c r="A33" s="18">
        <v>21</v>
      </c>
      <c r="B33" s="19" t="s">
        <v>494</v>
      </c>
      <c r="C33" s="19" t="s">
        <v>495</v>
      </c>
      <c r="F33" s="20">
        <v>311963</v>
      </c>
      <c r="G33" s="21" t="s">
        <v>496</v>
      </c>
      <c r="H33" s="22">
        <v>0</v>
      </c>
    </row>
    <row r="34" spans="1:8" ht="15.5" x14ac:dyDescent="0.35">
      <c r="A34" s="18">
        <v>24</v>
      </c>
      <c r="B34" s="19" t="s">
        <v>497</v>
      </c>
      <c r="C34" s="19" t="s">
        <v>495</v>
      </c>
      <c r="F34" s="20">
        <v>308771</v>
      </c>
      <c r="G34" s="21" t="s">
        <v>498</v>
      </c>
      <c r="H34" s="22">
        <v>0</v>
      </c>
    </row>
    <row r="35" spans="1:8" ht="15.5" x14ac:dyDescent="0.35">
      <c r="A35" s="18">
        <v>30</v>
      </c>
      <c r="B35" s="19" t="s">
        <v>499</v>
      </c>
      <c r="C35" s="19" t="s">
        <v>424</v>
      </c>
      <c r="F35" s="20">
        <v>305555</v>
      </c>
      <c r="G35" s="21" t="s">
        <v>500</v>
      </c>
      <c r="H35" s="22">
        <v>0</v>
      </c>
    </row>
    <row r="36" spans="1:8" ht="15.5" x14ac:dyDescent="0.35">
      <c r="A36" s="18">
        <v>34</v>
      </c>
      <c r="B36" s="19" t="s">
        <v>501</v>
      </c>
      <c r="C36" s="19" t="s">
        <v>495</v>
      </c>
      <c r="F36" s="20">
        <v>311152</v>
      </c>
      <c r="G36" s="21" t="s">
        <v>502</v>
      </c>
      <c r="H36" s="22">
        <v>0</v>
      </c>
    </row>
    <row r="37" spans="1:8" ht="15.5" x14ac:dyDescent="0.35">
      <c r="A37" s="18">
        <v>72</v>
      </c>
      <c r="B37" s="19" t="s">
        <v>503</v>
      </c>
      <c r="C37" s="19" t="s">
        <v>495</v>
      </c>
      <c r="F37" s="20">
        <v>310704</v>
      </c>
      <c r="G37" s="21" t="s">
        <v>504</v>
      </c>
      <c r="H37" s="22">
        <v>0</v>
      </c>
    </row>
    <row r="38" spans="1:8" ht="15.5" x14ac:dyDescent="0.35">
      <c r="A38" s="18">
        <v>73</v>
      </c>
      <c r="B38" s="19" t="s">
        <v>505</v>
      </c>
      <c r="C38" s="19" t="s">
        <v>495</v>
      </c>
      <c r="F38" s="20">
        <v>308210</v>
      </c>
      <c r="G38" s="21" t="s">
        <v>506</v>
      </c>
      <c r="H38" s="22">
        <v>0</v>
      </c>
    </row>
    <row r="39" spans="1:8" ht="15.5" x14ac:dyDescent="0.35">
      <c r="A39" s="18">
        <v>160</v>
      </c>
      <c r="B39" s="19" t="s">
        <v>507</v>
      </c>
      <c r="C39" s="19" t="s">
        <v>495</v>
      </c>
      <c r="F39" s="20">
        <v>311359</v>
      </c>
      <c r="G39" s="21" t="s">
        <v>508</v>
      </c>
      <c r="H39" s="22">
        <v>0</v>
      </c>
    </row>
    <row r="40" spans="1:8" ht="15.5" x14ac:dyDescent="0.35">
      <c r="A40" s="18">
        <v>171</v>
      </c>
      <c r="B40" s="19" t="s">
        <v>509</v>
      </c>
      <c r="C40" s="19" t="s">
        <v>495</v>
      </c>
      <c r="F40" s="20">
        <v>311663</v>
      </c>
      <c r="G40" s="21" t="s">
        <v>510</v>
      </c>
      <c r="H40" s="22">
        <v>0</v>
      </c>
    </row>
    <row r="41" spans="1:8" ht="15.5" x14ac:dyDescent="0.35">
      <c r="A41" s="18">
        <v>172</v>
      </c>
      <c r="B41" s="19" t="s">
        <v>511</v>
      </c>
      <c r="C41" s="19" t="s">
        <v>495</v>
      </c>
      <c r="F41" s="20">
        <v>308012</v>
      </c>
      <c r="G41" s="21" t="s">
        <v>512</v>
      </c>
      <c r="H41" s="22">
        <v>0</v>
      </c>
    </row>
    <row r="42" spans="1:8" ht="15.5" x14ac:dyDescent="0.35">
      <c r="A42" s="18">
        <v>191</v>
      </c>
      <c r="B42" s="19" t="s">
        <v>513</v>
      </c>
      <c r="C42" s="19" t="s">
        <v>495</v>
      </c>
      <c r="F42" s="20">
        <v>309785</v>
      </c>
      <c r="G42" s="21" t="s">
        <v>514</v>
      </c>
      <c r="H42" s="22">
        <v>0</v>
      </c>
    </row>
    <row r="43" spans="1:8" ht="15.5" x14ac:dyDescent="0.35">
      <c r="A43" s="18">
        <v>212</v>
      </c>
      <c r="B43" s="19" t="s">
        <v>515</v>
      </c>
      <c r="C43" s="19" t="s">
        <v>495</v>
      </c>
      <c r="F43" s="20">
        <v>312160</v>
      </c>
      <c r="G43" s="21" t="s">
        <v>516</v>
      </c>
      <c r="H43" s="22">
        <v>0</v>
      </c>
    </row>
    <row r="44" spans="1:8" ht="15.5" x14ac:dyDescent="0.35">
      <c r="A44" s="18">
        <v>216</v>
      </c>
      <c r="B44" s="19" t="s">
        <v>517</v>
      </c>
      <c r="C44" s="19" t="s">
        <v>495</v>
      </c>
      <c r="F44" s="20">
        <v>300878</v>
      </c>
      <c r="G44" s="21" t="s">
        <v>518</v>
      </c>
      <c r="H44" s="22">
        <v>0</v>
      </c>
    </row>
    <row r="45" spans="1:8" ht="15.5" x14ac:dyDescent="0.35">
      <c r="A45" s="18">
        <v>217</v>
      </c>
      <c r="B45" s="19" t="s">
        <v>519</v>
      </c>
      <c r="C45" s="19" t="s">
        <v>495</v>
      </c>
      <c r="F45" s="20">
        <v>311750</v>
      </c>
      <c r="G45" s="21" t="s">
        <v>520</v>
      </c>
      <c r="H45" s="22">
        <v>0</v>
      </c>
    </row>
    <row r="46" spans="1:8" ht="15.5" x14ac:dyDescent="0.35">
      <c r="A46" s="18">
        <v>253</v>
      </c>
      <c r="B46" s="19" t="s">
        <v>521</v>
      </c>
      <c r="C46" s="19" t="s">
        <v>495</v>
      </c>
      <c r="F46" s="20">
        <v>311195</v>
      </c>
      <c r="G46" s="21" t="s">
        <v>522</v>
      </c>
      <c r="H46" s="22">
        <v>0</v>
      </c>
    </row>
    <row r="47" spans="1:8" ht="15.5" x14ac:dyDescent="0.35">
      <c r="A47" s="18">
        <v>292</v>
      </c>
      <c r="B47" s="19" t="s">
        <v>523</v>
      </c>
      <c r="C47" s="19" t="s">
        <v>495</v>
      </c>
      <c r="F47" s="20">
        <v>311073</v>
      </c>
      <c r="G47" s="21" t="s">
        <v>524</v>
      </c>
      <c r="H47" s="22">
        <v>0</v>
      </c>
    </row>
    <row r="48" spans="1:8" ht="15.5" x14ac:dyDescent="0.35">
      <c r="A48" s="18">
        <v>22</v>
      </c>
      <c r="B48" s="19" t="s">
        <v>525</v>
      </c>
      <c r="C48" s="19" t="s">
        <v>526</v>
      </c>
      <c r="F48" s="20">
        <v>310790</v>
      </c>
      <c r="G48" s="21" t="s">
        <v>527</v>
      </c>
      <c r="H48" s="22">
        <v>0</v>
      </c>
    </row>
    <row r="49" spans="1:8" ht="15.5" x14ac:dyDescent="0.35">
      <c r="A49" s="18">
        <v>38</v>
      </c>
      <c r="B49" s="19" t="s">
        <v>528</v>
      </c>
      <c r="C49" s="19" t="s">
        <v>526</v>
      </c>
      <c r="F49" s="20">
        <v>311465</v>
      </c>
      <c r="G49" s="21" t="s">
        <v>529</v>
      </c>
      <c r="H49" s="22">
        <v>0</v>
      </c>
    </row>
    <row r="50" spans="1:8" ht="15.5" x14ac:dyDescent="0.35">
      <c r="A50" s="18">
        <v>80</v>
      </c>
      <c r="B50" s="19" t="s">
        <v>530</v>
      </c>
      <c r="C50" s="19" t="s">
        <v>526</v>
      </c>
      <c r="F50" s="20">
        <v>311530</v>
      </c>
      <c r="G50" s="21" t="s">
        <v>531</v>
      </c>
      <c r="H50" s="22">
        <v>0</v>
      </c>
    </row>
    <row r="51" spans="1:8" ht="15.5" x14ac:dyDescent="0.35">
      <c r="A51" s="18">
        <v>146</v>
      </c>
      <c r="B51" s="19" t="s">
        <v>532</v>
      </c>
      <c r="C51" s="19" t="s">
        <v>526</v>
      </c>
      <c r="F51" s="20">
        <v>309602</v>
      </c>
      <c r="G51" s="21" t="s">
        <v>533</v>
      </c>
      <c r="H51" s="22">
        <v>0</v>
      </c>
    </row>
    <row r="52" spans="1:8" ht="15.5" x14ac:dyDescent="0.35">
      <c r="A52" s="18">
        <v>162</v>
      </c>
      <c r="B52" s="19" t="s">
        <v>534</v>
      </c>
      <c r="C52" s="19" t="s">
        <v>526</v>
      </c>
      <c r="F52" s="20">
        <v>309544</v>
      </c>
      <c r="G52" s="21" t="s">
        <v>535</v>
      </c>
      <c r="H52" s="22">
        <v>0</v>
      </c>
    </row>
    <row r="53" spans="1:8" ht="15.5" x14ac:dyDescent="0.35">
      <c r="A53" s="18">
        <v>163</v>
      </c>
      <c r="B53" s="19" t="s">
        <v>536</v>
      </c>
      <c r="C53" s="19" t="s">
        <v>526</v>
      </c>
      <c r="F53" s="20">
        <v>311294</v>
      </c>
      <c r="G53" s="21" t="s">
        <v>537</v>
      </c>
      <c r="H53" s="22">
        <v>0</v>
      </c>
    </row>
    <row r="54" spans="1:8" ht="15.5" x14ac:dyDescent="0.35">
      <c r="A54" s="18">
        <v>188</v>
      </c>
      <c r="B54" s="19" t="s">
        <v>538</v>
      </c>
      <c r="C54" s="19" t="s">
        <v>526</v>
      </c>
      <c r="F54" s="20">
        <v>311539</v>
      </c>
      <c r="G54" s="21" t="s">
        <v>539</v>
      </c>
      <c r="H54" s="22">
        <v>0</v>
      </c>
    </row>
    <row r="55" spans="1:8" ht="15.5" x14ac:dyDescent="0.35">
      <c r="A55" s="18">
        <v>194</v>
      </c>
      <c r="B55" s="19" t="s">
        <v>540</v>
      </c>
      <c r="C55" s="19" t="s">
        <v>526</v>
      </c>
      <c r="F55" s="20">
        <v>310910</v>
      </c>
      <c r="G55" s="21" t="s">
        <v>541</v>
      </c>
      <c r="H55" s="22">
        <v>0</v>
      </c>
    </row>
    <row r="56" spans="1:8" ht="15.5" x14ac:dyDescent="0.35">
      <c r="A56" s="18">
        <v>195</v>
      </c>
      <c r="B56" s="19" t="s">
        <v>542</v>
      </c>
      <c r="C56" s="19" t="s">
        <v>526</v>
      </c>
      <c r="F56" s="20">
        <v>311706</v>
      </c>
      <c r="G56" s="21" t="s">
        <v>543</v>
      </c>
      <c r="H56" s="22">
        <v>0</v>
      </c>
    </row>
    <row r="57" spans="1:8" ht="15.5" x14ac:dyDescent="0.35">
      <c r="A57" s="18">
        <v>203</v>
      </c>
      <c r="B57" s="19" t="s">
        <v>544</v>
      </c>
      <c r="C57" s="19" t="s">
        <v>526</v>
      </c>
      <c r="F57" s="20">
        <v>310787</v>
      </c>
      <c r="G57" s="21" t="s">
        <v>545</v>
      </c>
      <c r="H57" s="22">
        <v>0</v>
      </c>
    </row>
    <row r="58" spans="1:8" ht="15.5" x14ac:dyDescent="0.35">
      <c r="A58" s="18">
        <v>205</v>
      </c>
      <c r="B58" s="19" t="s">
        <v>546</v>
      </c>
      <c r="C58" s="19" t="s">
        <v>526</v>
      </c>
      <c r="F58" s="20">
        <v>311347</v>
      </c>
      <c r="G58" s="21" t="s">
        <v>547</v>
      </c>
      <c r="H58" s="22">
        <v>0</v>
      </c>
    </row>
    <row r="59" spans="1:8" ht="15.5" x14ac:dyDescent="0.35">
      <c r="A59" s="18">
        <v>215</v>
      </c>
      <c r="B59" s="19" t="s">
        <v>548</v>
      </c>
      <c r="C59" s="19" t="s">
        <v>526</v>
      </c>
      <c r="F59" s="20">
        <v>311236</v>
      </c>
      <c r="G59" s="21" t="s">
        <v>549</v>
      </c>
      <c r="H59" s="22">
        <v>0</v>
      </c>
    </row>
    <row r="60" spans="1:8" ht="15.5" x14ac:dyDescent="0.35">
      <c r="A60" s="18">
        <v>240</v>
      </c>
      <c r="B60" s="19" t="s">
        <v>550</v>
      </c>
      <c r="C60" s="19" t="s">
        <v>526</v>
      </c>
      <c r="F60" s="20">
        <v>304279</v>
      </c>
      <c r="G60" s="21" t="s">
        <v>551</v>
      </c>
      <c r="H60" s="22">
        <v>0</v>
      </c>
    </row>
    <row r="61" spans="1:8" ht="15.5" x14ac:dyDescent="0.35">
      <c r="A61" s="18">
        <v>334</v>
      </c>
      <c r="B61" s="19" t="s">
        <v>552</v>
      </c>
      <c r="C61" s="19" t="s">
        <v>526</v>
      </c>
      <c r="F61" s="20">
        <v>306643</v>
      </c>
      <c r="G61" s="21" t="s">
        <v>553</v>
      </c>
      <c r="H61" s="22">
        <v>0</v>
      </c>
    </row>
    <row r="62" spans="1:8" ht="15.5" x14ac:dyDescent="0.35">
      <c r="A62" s="18">
        <v>28</v>
      </c>
      <c r="B62" s="19" t="s">
        <v>554</v>
      </c>
      <c r="C62" s="19" t="s">
        <v>555</v>
      </c>
      <c r="F62" s="20">
        <v>304620</v>
      </c>
      <c r="G62" s="21" t="s">
        <v>556</v>
      </c>
      <c r="H62" s="22">
        <v>0</v>
      </c>
    </row>
    <row r="63" spans="1:8" ht="15.5" x14ac:dyDescent="0.35">
      <c r="A63" s="18">
        <v>29</v>
      </c>
      <c r="B63" s="19" t="s">
        <v>557</v>
      </c>
      <c r="C63" s="19" t="s">
        <v>555</v>
      </c>
      <c r="F63" s="20">
        <v>305520</v>
      </c>
      <c r="G63" s="21" t="s">
        <v>558</v>
      </c>
      <c r="H63" s="22">
        <v>0</v>
      </c>
    </row>
    <row r="64" spans="1:8" ht="15.5" x14ac:dyDescent="0.35">
      <c r="A64" s="18">
        <v>33</v>
      </c>
      <c r="B64" s="19" t="s">
        <v>559</v>
      </c>
      <c r="C64" s="19" t="s">
        <v>555</v>
      </c>
      <c r="F64" s="20">
        <v>311196</v>
      </c>
      <c r="G64" s="21" t="s">
        <v>560</v>
      </c>
      <c r="H64" s="22">
        <v>0</v>
      </c>
    </row>
    <row r="65" spans="1:8" ht="15.5" x14ac:dyDescent="0.35">
      <c r="A65" s="18">
        <v>55</v>
      </c>
      <c r="B65" s="19" t="s">
        <v>561</v>
      </c>
      <c r="C65" s="19" t="s">
        <v>555</v>
      </c>
      <c r="F65" s="20">
        <v>311898</v>
      </c>
      <c r="G65" s="21" t="s">
        <v>562</v>
      </c>
      <c r="H65" s="22">
        <v>0</v>
      </c>
    </row>
    <row r="66" spans="1:8" ht="15.5" x14ac:dyDescent="0.35">
      <c r="A66" s="18">
        <v>56</v>
      </c>
      <c r="B66" s="19" t="s">
        <v>563</v>
      </c>
      <c r="C66" s="19" t="s">
        <v>555</v>
      </c>
      <c r="F66" s="20">
        <v>308978</v>
      </c>
      <c r="G66" s="21" t="s">
        <v>564</v>
      </c>
      <c r="H66" s="22">
        <v>0</v>
      </c>
    </row>
    <row r="67" spans="1:8" ht="15.5" x14ac:dyDescent="0.35">
      <c r="A67" s="18">
        <v>65</v>
      </c>
      <c r="B67" s="19" t="s">
        <v>565</v>
      </c>
      <c r="C67" s="19" t="s">
        <v>555</v>
      </c>
      <c r="F67" s="20">
        <v>312283</v>
      </c>
      <c r="G67" s="21" t="s">
        <v>566</v>
      </c>
      <c r="H67" s="22">
        <v>0</v>
      </c>
    </row>
    <row r="68" spans="1:8" ht="15.5" x14ac:dyDescent="0.35">
      <c r="A68" s="18">
        <v>126</v>
      </c>
      <c r="B68" s="19" t="s">
        <v>567</v>
      </c>
      <c r="C68" s="19" t="s">
        <v>555</v>
      </c>
      <c r="F68" s="20">
        <v>311190</v>
      </c>
      <c r="G68" s="21" t="s">
        <v>568</v>
      </c>
      <c r="H68" s="22">
        <v>0</v>
      </c>
    </row>
    <row r="69" spans="1:8" ht="15.5" x14ac:dyDescent="0.35">
      <c r="A69" s="18">
        <v>127</v>
      </c>
      <c r="B69" s="19" t="s">
        <v>569</v>
      </c>
      <c r="C69" s="19" t="s">
        <v>555</v>
      </c>
      <c r="F69" s="20">
        <v>303093</v>
      </c>
      <c r="G69" s="21" t="s">
        <v>570</v>
      </c>
      <c r="H69" s="22">
        <v>0</v>
      </c>
    </row>
    <row r="70" spans="1:8" ht="15.5" x14ac:dyDescent="0.35">
      <c r="A70" s="18">
        <v>135</v>
      </c>
      <c r="B70" s="19" t="s">
        <v>571</v>
      </c>
      <c r="C70" s="19" t="s">
        <v>555</v>
      </c>
      <c r="F70" s="20">
        <v>308911</v>
      </c>
      <c r="G70" s="21" t="s">
        <v>572</v>
      </c>
      <c r="H70" s="22">
        <v>0</v>
      </c>
    </row>
    <row r="71" spans="1:8" ht="15.5" x14ac:dyDescent="0.35">
      <c r="A71" s="18">
        <v>150</v>
      </c>
      <c r="B71" s="19" t="s">
        <v>573</v>
      </c>
      <c r="C71" s="19" t="s">
        <v>555</v>
      </c>
      <c r="F71" s="20">
        <v>308493</v>
      </c>
      <c r="G71" s="21" t="s">
        <v>574</v>
      </c>
      <c r="H71" s="22">
        <v>0</v>
      </c>
    </row>
    <row r="72" spans="1:8" ht="15.5" x14ac:dyDescent="0.35">
      <c r="A72" s="18">
        <v>155</v>
      </c>
      <c r="B72" s="19" t="s">
        <v>575</v>
      </c>
      <c r="C72" s="19" t="s">
        <v>555</v>
      </c>
      <c r="F72" s="20">
        <v>307846</v>
      </c>
      <c r="G72" s="21" t="s">
        <v>576</v>
      </c>
      <c r="H72" s="22">
        <v>0</v>
      </c>
    </row>
    <row r="73" spans="1:8" ht="15.5" x14ac:dyDescent="0.35">
      <c r="A73" s="18">
        <v>157</v>
      </c>
      <c r="B73" s="19" t="s">
        <v>577</v>
      </c>
      <c r="C73" s="19" t="s">
        <v>555</v>
      </c>
      <c r="F73" s="20">
        <v>311838</v>
      </c>
      <c r="G73" s="21" t="s">
        <v>578</v>
      </c>
      <c r="H73" s="22">
        <v>0</v>
      </c>
    </row>
    <row r="74" spans="1:8" ht="15.5" x14ac:dyDescent="0.35">
      <c r="A74" s="18">
        <v>202</v>
      </c>
      <c r="B74" s="19" t="s">
        <v>579</v>
      </c>
      <c r="C74" s="19" t="s">
        <v>555</v>
      </c>
      <c r="F74" s="20">
        <v>307962</v>
      </c>
      <c r="G74" s="21" t="s">
        <v>580</v>
      </c>
      <c r="H74" s="22">
        <v>0</v>
      </c>
    </row>
    <row r="75" spans="1:8" ht="15.5" x14ac:dyDescent="0.35">
      <c r="A75" s="18">
        <v>209</v>
      </c>
      <c r="B75" s="19" t="s">
        <v>581</v>
      </c>
      <c r="C75" s="19" t="s">
        <v>555</v>
      </c>
      <c r="F75" s="20">
        <v>309398</v>
      </c>
      <c r="G75" s="21" t="s">
        <v>582</v>
      </c>
      <c r="H75" s="22">
        <v>0</v>
      </c>
    </row>
    <row r="76" spans="1:8" ht="15.5" x14ac:dyDescent="0.35">
      <c r="A76" s="18">
        <v>243</v>
      </c>
      <c r="B76" s="19" t="s">
        <v>583</v>
      </c>
      <c r="C76" s="19" t="s">
        <v>555</v>
      </c>
      <c r="F76" s="20">
        <v>311776</v>
      </c>
      <c r="G76" s="21" t="s">
        <v>584</v>
      </c>
      <c r="H76" s="22">
        <v>0</v>
      </c>
    </row>
    <row r="77" spans="1:8" ht="15.5" x14ac:dyDescent="0.35">
      <c r="A77" s="18">
        <v>246</v>
      </c>
      <c r="B77" s="19" t="s">
        <v>585</v>
      </c>
      <c r="C77" s="19" t="s">
        <v>555</v>
      </c>
      <c r="F77" s="20">
        <v>307891</v>
      </c>
      <c r="G77" s="21" t="s">
        <v>586</v>
      </c>
      <c r="H77" s="22">
        <v>0</v>
      </c>
    </row>
    <row r="78" spans="1:8" ht="15.5" x14ac:dyDescent="0.35">
      <c r="A78" s="18">
        <v>339</v>
      </c>
      <c r="B78" s="19" t="s">
        <v>587</v>
      </c>
      <c r="C78" s="19" t="s">
        <v>555</v>
      </c>
      <c r="F78" s="20">
        <v>310071</v>
      </c>
      <c r="G78" s="21" t="s">
        <v>588</v>
      </c>
      <c r="H78" s="22">
        <v>0</v>
      </c>
    </row>
    <row r="79" spans="1:8" ht="15.5" x14ac:dyDescent="0.35">
      <c r="A79" s="18">
        <v>41</v>
      </c>
      <c r="B79" s="19" t="s">
        <v>148</v>
      </c>
      <c r="C79" s="19" t="s">
        <v>147</v>
      </c>
      <c r="F79" s="20">
        <v>311632</v>
      </c>
      <c r="G79" s="21" t="s">
        <v>589</v>
      </c>
      <c r="H79" s="22">
        <v>0</v>
      </c>
    </row>
    <row r="80" spans="1:8" ht="15.5" x14ac:dyDescent="0.35">
      <c r="A80" s="18">
        <v>42</v>
      </c>
      <c r="B80" s="19" t="s">
        <v>590</v>
      </c>
      <c r="C80" s="19" t="s">
        <v>147</v>
      </c>
      <c r="F80" s="20">
        <v>310214</v>
      </c>
      <c r="G80" s="21" t="s">
        <v>591</v>
      </c>
      <c r="H80" s="22">
        <v>0</v>
      </c>
    </row>
    <row r="81" spans="1:8" ht="15.5" x14ac:dyDescent="0.35">
      <c r="A81" s="18">
        <v>77</v>
      </c>
      <c r="B81" s="19" t="s">
        <v>592</v>
      </c>
      <c r="C81" s="19" t="s">
        <v>147</v>
      </c>
      <c r="F81" s="20">
        <v>311588</v>
      </c>
      <c r="G81" s="21" t="s">
        <v>593</v>
      </c>
      <c r="H81" s="22">
        <v>0</v>
      </c>
    </row>
    <row r="82" spans="1:8" ht="15.5" x14ac:dyDescent="0.35">
      <c r="A82" s="18">
        <v>122</v>
      </c>
      <c r="B82" s="19" t="s">
        <v>594</v>
      </c>
      <c r="C82" s="19" t="s">
        <v>147</v>
      </c>
      <c r="F82" s="20">
        <v>309732</v>
      </c>
      <c r="G82" s="21" t="s">
        <v>595</v>
      </c>
      <c r="H82" s="22">
        <v>0</v>
      </c>
    </row>
    <row r="83" spans="1:8" ht="15.5" x14ac:dyDescent="0.35">
      <c r="A83" s="18">
        <v>128</v>
      </c>
      <c r="B83" s="19" t="s">
        <v>596</v>
      </c>
      <c r="C83" s="19" t="s">
        <v>147</v>
      </c>
      <c r="F83" s="20">
        <v>311906</v>
      </c>
      <c r="G83" s="21" t="s">
        <v>597</v>
      </c>
      <c r="H83" s="22">
        <v>0</v>
      </c>
    </row>
    <row r="84" spans="1:8" ht="15.5" x14ac:dyDescent="0.35">
      <c r="A84" s="18">
        <v>132</v>
      </c>
      <c r="B84" s="19" t="s">
        <v>598</v>
      </c>
      <c r="C84" s="19" t="s">
        <v>147</v>
      </c>
      <c r="F84" s="20">
        <v>316191</v>
      </c>
      <c r="G84" s="21" t="s">
        <v>599</v>
      </c>
      <c r="H84" s="22">
        <v>0</v>
      </c>
    </row>
    <row r="85" spans="1:8" ht="15.5" x14ac:dyDescent="0.35">
      <c r="A85" s="18">
        <v>134</v>
      </c>
      <c r="B85" s="19" t="s">
        <v>600</v>
      </c>
      <c r="C85" s="19" t="s">
        <v>147</v>
      </c>
      <c r="F85" s="20">
        <v>314769</v>
      </c>
      <c r="G85" s="21" t="s">
        <v>601</v>
      </c>
      <c r="H85" s="22">
        <v>0</v>
      </c>
    </row>
    <row r="86" spans="1:8" ht="15.5" x14ac:dyDescent="0.35">
      <c r="A86" s="18">
        <v>144</v>
      </c>
      <c r="B86" s="19" t="s">
        <v>602</v>
      </c>
      <c r="C86" s="19" t="s">
        <v>147</v>
      </c>
      <c r="F86" s="20">
        <v>314692</v>
      </c>
      <c r="G86" s="21" t="s">
        <v>603</v>
      </c>
      <c r="H86" s="22">
        <v>0</v>
      </c>
    </row>
    <row r="87" spans="1:8" ht="15.5" x14ac:dyDescent="0.35">
      <c r="A87" s="18">
        <v>148</v>
      </c>
      <c r="B87" s="19" t="s">
        <v>604</v>
      </c>
      <c r="C87" s="19" t="s">
        <v>147</v>
      </c>
      <c r="F87" s="20">
        <v>313537</v>
      </c>
      <c r="G87" s="21" t="s">
        <v>605</v>
      </c>
      <c r="H87" s="22">
        <v>0</v>
      </c>
    </row>
    <row r="88" spans="1:8" ht="15.5" x14ac:dyDescent="0.35">
      <c r="A88" s="18">
        <v>156</v>
      </c>
      <c r="B88" s="19" t="s">
        <v>606</v>
      </c>
      <c r="C88" s="19" t="s">
        <v>147</v>
      </c>
      <c r="F88" s="20">
        <v>314163</v>
      </c>
      <c r="G88" s="21" t="s">
        <v>607</v>
      </c>
      <c r="H88" s="22">
        <v>0</v>
      </c>
    </row>
    <row r="89" spans="1:8" ht="15.5" x14ac:dyDescent="0.35">
      <c r="A89" s="18">
        <v>159</v>
      </c>
      <c r="B89" s="19" t="s">
        <v>608</v>
      </c>
      <c r="C89" s="19" t="s">
        <v>147</v>
      </c>
      <c r="F89" s="20">
        <v>90023754</v>
      </c>
      <c r="G89" s="21" t="s">
        <v>609</v>
      </c>
      <c r="H89" s="22">
        <v>0</v>
      </c>
    </row>
    <row r="90" spans="1:8" ht="15.5" x14ac:dyDescent="0.35">
      <c r="A90" s="18">
        <v>179</v>
      </c>
      <c r="B90" s="19" t="s">
        <v>610</v>
      </c>
      <c r="C90" s="19" t="s">
        <v>147</v>
      </c>
      <c r="F90" s="20">
        <v>300544</v>
      </c>
      <c r="G90" s="21" t="s">
        <v>611</v>
      </c>
      <c r="H90" s="22">
        <v>0</v>
      </c>
    </row>
    <row r="91" spans="1:8" ht="15.5" x14ac:dyDescent="0.35">
      <c r="A91" s="18">
        <v>180</v>
      </c>
      <c r="B91" s="19" t="s">
        <v>612</v>
      </c>
      <c r="C91" s="19" t="s">
        <v>147</v>
      </c>
      <c r="F91" s="20">
        <v>90039023</v>
      </c>
      <c r="G91" s="21" t="s">
        <v>613</v>
      </c>
      <c r="H91" s="22">
        <v>0</v>
      </c>
    </row>
    <row r="92" spans="1:8" ht="15.5" x14ac:dyDescent="0.35">
      <c r="A92" s="18">
        <v>181</v>
      </c>
      <c r="B92" s="19" t="s">
        <v>614</v>
      </c>
      <c r="C92" s="19" t="s">
        <v>147</v>
      </c>
      <c r="F92" s="20">
        <v>315208</v>
      </c>
      <c r="G92" s="21" t="s">
        <v>615</v>
      </c>
      <c r="H92" s="22">
        <v>0</v>
      </c>
    </row>
    <row r="93" spans="1:8" ht="15.5" x14ac:dyDescent="0.35">
      <c r="A93" s="18">
        <v>182</v>
      </c>
      <c r="B93" s="19" t="s">
        <v>616</v>
      </c>
      <c r="C93" s="19" t="s">
        <v>147</v>
      </c>
      <c r="F93" s="20">
        <v>90020203</v>
      </c>
      <c r="G93" s="21" t="s">
        <v>617</v>
      </c>
      <c r="H93" s="22">
        <v>0</v>
      </c>
    </row>
    <row r="94" spans="1:8" ht="15.5" x14ac:dyDescent="0.35">
      <c r="A94" s="18">
        <v>228</v>
      </c>
      <c r="B94" s="19" t="s">
        <v>618</v>
      </c>
      <c r="C94" s="19" t="s">
        <v>147</v>
      </c>
      <c r="F94" s="20">
        <v>315069</v>
      </c>
      <c r="G94" s="21" t="s">
        <v>619</v>
      </c>
      <c r="H94" s="22">
        <v>0</v>
      </c>
    </row>
    <row r="95" spans="1:8" ht="15.5" x14ac:dyDescent="0.35">
      <c r="A95" s="18">
        <v>325</v>
      </c>
      <c r="B95" s="19" t="s">
        <v>620</v>
      </c>
      <c r="C95" s="19" t="s">
        <v>147</v>
      </c>
      <c r="F95" s="20">
        <v>304495</v>
      </c>
      <c r="G95" s="21" t="s">
        <v>621</v>
      </c>
      <c r="H95" s="22">
        <v>0</v>
      </c>
    </row>
    <row r="96" spans="1:8" ht="15.5" x14ac:dyDescent="0.35">
      <c r="A96" s="18">
        <v>7</v>
      </c>
      <c r="B96" s="19" t="s">
        <v>622</v>
      </c>
      <c r="C96" s="19" t="s">
        <v>458</v>
      </c>
      <c r="F96" s="20">
        <v>316392</v>
      </c>
      <c r="G96" s="21" t="s">
        <v>623</v>
      </c>
      <c r="H96" s="22">
        <v>0</v>
      </c>
    </row>
    <row r="97" spans="1:8" ht="15.5" x14ac:dyDescent="0.35">
      <c r="A97" s="18">
        <v>11</v>
      </c>
      <c r="B97" s="19" t="s">
        <v>624</v>
      </c>
      <c r="C97" s="19" t="s">
        <v>624</v>
      </c>
      <c r="F97" s="20">
        <v>313239</v>
      </c>
      <c r="G97" s="21" t="s">
        <v>625</v>
      </c>
      <c r="H97" s="22">
        <v>0</v>
      </c>
    </row>
    <row r="98" spans="1:8" ht="15.5" x14ac:dyDescent="0.35">
      <c r="A98" s="18">
        <v>51</v>
      </c>
      <c r="B98" s="19" t="s">
        <v>626</v>
      </c>
      <c r="C98" s="19" t="s">
        <v>624</v>
      </c>
      <c r="F98" s="20">
        <v>310864</v>
      </c>
      <c r="G98" s="21" t="s">
        <v>627</v>
      </c>
      <c r="H98" s="22">
        <v>0</v>
      </c>
    </row>
    <row r="99" spans="1:8" ht="15.5" x14ac:dyDescent="0.35">
      <c r="A99" s="18">
        <v>57</v>
      </c>
      <c r="B99" s="19" t="s">
        <v>628</v>
      </c>
      <c r="C99" s="19" t="s">
        <v>624</v>
      </c>
      <c r="F99" s="20">
        <v>314604</v>
      </c>
      <c r="G99" s="21" t="s">
        <v>629</v>
      </c>
      <c r="H99" s="22">
        <v>0</v>
      </c>
    </row>
    <row r="100" spans="1:8" ht="15.5" x14ac:dyDescent="0.35">
      <c r="A100" s="18">
        <v>67</v>
      </c>
      <c r="B100" s="19" t="s">
        <v>630</v>
      </c>
      <c r="C100" s="19" t="s">
        <v>624</v>
      </c>
      <c r="F100" s="20">
        <v>90028491</v>
      </c>
      <c r="G100" s="21" t="s">
        <v>631</v>
      </c>
      <c r="H100" s="22">
        <v>0</v>
      </c>
    </row>
    <row r="101" spans="1:8" ht="15.5" x14ac:dyDescent="0.35">
      <c r="A101" s="18">
        <v>86</v>
      </c>
      <c r="B101" s="19" t="s">
        <v>632</v>
      </c>
      <c r="C101" s="19" t="s">
        <v>624</v>
      </c>
      <c r="F101" s="20">
        <v>315870</v>
      </c>
      <c r="G101" s="21" t="s">
        <v>633</v>
      </c>
      <c r="H101" s="22">
        <v>0</v>
      </c>
    </row>
    <row r="102" spans="1:8" ht="15.5" x14ac:dyDescent="0.35">
      <c r="A102" s="18">
        <v>88</v>
      </c>
      <c r="B102" s="19" t="s">
        <v>634</v>
      </c>
      <c r="C102" s="19" t="s">
        <v>624</v>
      </c>
      <c r="F102" s="20">
        <v>313885</v>
      </c>
      <c r="G102" s="21" t="s">
        <v>635</v>
      </c>
      <c r="H102" s="22">
        <v>0</v>
      </c>
    </row>
    <row r="103" spans="1:8" ht="15.5" x14ac:dyDescent="0.35">
      <c r="A103" s="18">
        <v>94</v>
      </c>
      <c r="B103" s="19" t="s">
        <v>636</v>
      </c>
      <c r="C103" s="19" t="s">
        <v>624</v>
      </c>
      <c r="F103" s="20">
        <v>90040486</v>
      </c>
      <c r="G103" s="21" t="s">
        <v>637</v>
      </c>
      <c r="H103" s="22">
        <v>0</v>
      </c>
    </row>
    <row r="104" spans="1:8" ht="15.5" x14ac:dyDescent="0.35">
      <c r="A104" s="18">
        <v>95</v>
      </c>
      <c r="B104" s="19" t="s">
        <v>638</v>
      </c>
      <c r="C104" s="19" t="s">
        <v>624</v>
      </c>
      <c r="F104" s="20">
        <v>90029439</v>
      </c>
      <c r="G104" s="21" t="s">
        <v>639</v>
      </c>
      <c r="H104" s="22">
        <v>0</v>
      </c>
    </row>
    <row r="105" spans="1:8" ht="15.5" x14ac:dyDescent="0.35">
      <c r="A105" s="18">
        <v>112</v>
      </c>
      <c r="B105" s="19" t="s">
        <v>640</v>
      </c>
      <c r="C105" s="19" t="s">
        <v>624</v>
      </c>
      <c r="F105" s="20">
        <v>90039416</v>
      </c>
      <c r="G105" s="21" t="s">
        <v>641</v>
      </c>
      <c r="H105" s="22">
        <v>0</v>
      </c>
    </row>
    <row r="106" spans="1:8" ht="15.5" x14ac:dyDescent="0.35">
      <c r="A106" s="18">
        <v>119</v>
      </c>
      <c r="B106" s="19" t="s">
        <v>642</v>
      </c>
      <c r="C106" s="19" t="s">
        <v>624</v>
      </c>
      <c r="F106" s="20">
        <v>90040679</v>
      </c>
      <c r="G106" s="21" t="s">
        <v>643</v>
      </c>
      <c r="H106" s="22">
        <v>0</v>
      </c>
    </row>
    <row r="107" spans="1:8" ht="15.5" x14ac:dyDescent="0.35">
      <c r="A107" s="18">
        <v>120</v>
      </c>
      <c r="B107" s="19" t="s">
        <v>644</v>
      </c>
      <c r="C107" s="19" t="s">
        <v>624</v>
      </c>
      <c r="F107" s="20">
        <v>316187</v>
      </c>
      <c r="G107" s="21" t="s">
        <v>645</v>
      </c>
      <c r="H107" s="22">
        <v>0</v>
      </c>
    </row>
    <row r="108" spans="1:8" ht="15.5" x14ac:dyDescent="0.35">
      <c r="A108" s="18">
        <v>213</v>
      </c>
      <c r="B108" s="19" t="s">
        <v>646</v>
      </c>
      <c r="C108" s="19" t="s">
        <v>624</v>
      </c>
      <c r="F108" s="20">
        <v>311687</v>
      </c>
      <c r="G108" s="21" t="s">
        <v>647</v>
      </c>
      <c r="H108" s="22">
        <v>0</v>
      </c>
    </row>
    <row r="109" spans="1:8" ht="15.5" x14ac:dyDescent="0.35">
      <c r="A109" s="18">
        <v>223</v>
      </c>
      <c r="B109" s="19" t="s">
        <v>648</v>
      </c>
      <c r="C109" s="19" t="s">
        <v>624</v>
      </c>
      <c r="F109" s="20">
        <v>315221</v>
      </c>
      <c r="G109" s="21" t="s">
        <v>649</v>
      </c>
      <c r="H109" s="22">
        <v>0</v>
      </c>
    </row>
    <row r="110" spans="1:8" ht="15.5" x14ac:dyDescent="0.35">
      <c r="A110" s="18">
        <v>250</v>
      </c>
      <c r="B110" s="19" t="s">
        <v>650</v>
      </c>
      <c r="C110" s="19" t="s">
        <v>624</v>
      </c>
      <c r="F110" s="20">
        <v>311950</v>
      </c>
      <c r="G110" s="21" t="s">
        <v>651</v>
      </c>
      <c r="H110" s="22">
        <v>0</v>
      </c>
    </row>
    <row r="111" spans="1:8" ht="15.5" x14ac:dyDescent="0.35">
      <c r="A111" s="18">
        <v>290</v>
      </c>
      <c r="B111" s="19" t="s">
        <v>652</v>
      </c>
      <c r="C111" s="19" t="s">
        <v>624</v>
      </c>
      <c r="F111" s="20">
        <v>313765</v>
      </c>
      <c r="G111" s="21" t="s">
        <v>653</v>
      </c>
      <c r="H111" s="22">
        <v>0</v>
      </c>
    </row>
    <row r="112" spans="1:8" ht="15.5" x14ac:dyDescent="0.35">
      <c r="A112" s="18">
        <v>295</v>
      </c>
      <c r="B112" s="19" t="s">
        <v>654</v>
      </c>
      <c r="C112" s="19" t="s">
        <v>624</v>
      </c>
      <c r="F112" s="20">
        <v>314840</v>
      </c>
      <c r="G112" s="21" t="s">
        <v>655</v>
      </c>
      <c r="H112" s="22">
        <v>0</v>
      </c>
    </row>
    <row r="113" spans="1:8" ht="15.5" x14ac:dyDescent="0.35">
      <c r="A113" s="18">
        <v>340</v>
      </c>
      <c r="B113" s="19" t="s">
        <v>656</v>
      </c>
      <c r="C113" s="19" t="s">
        <v>624</v>
      </c>
      <c r="F113" s="20">
        <v>312686</v>
      </c>
      <c r="G113" s="21" t="s">
        <v>657</v>
      </c>
      <c r="H113" s="22">
        <v>0</v>
      </c>
    </row>
    <row r="114" spans="1:8" ht="15.5" x14ac:dyDescent="0.35">
      <c r="A114" s="18">
        <v>3</v>
      </c>
      <c r="B114" s="19" t="s">
        <v>658</v>
      </c>
      <c r="C114" s="19" t="s">
        <v>659</v>
      </c>
      <c r="F114" s="20">
        <v>90045458</v>
      </c>
      <c r="G114" s="21" t="s">
        <v>660</v>
      </c>
      <c r="H114" s="22">
        <v>0</v>
      </c>
    </row>
    <row r="115" spans="1:8" ht="15.5" x14ac:dyDescent="0.35">
      <c r="A115" s="18">
        <v>4</v>
      </c>
      <c r="B115" s="19" t="s">
        <v>661</v>
      </c>
      <c r="C115" s="19" t="s">
        <v>659</v>
      </c>
      <c r="F115" s="20">
        <v>313081</v>
      </c>
      <c r="G115" s="21" t="s">
        <v>662</v>
      </c>
      <c r="H115" s="22">
        <v>0</v>
      </c>
    </row>
    <row r="116" spans="1:8" ht="15.5" x14ac:dyDescent="0.35">
      <c r="A116" s="18">
        <v>6</v>
      </c>
      <c r="B116" s="19" t="s">
        <v>663</v>
      </c>
      <c r="C116" s="19" t="s">
        <v>659</v>
      </c>
      <c r="F116" s="20">
        <v>313531</v>
      </c>
      <c r="G116" s="21" t="s">
        <v>664</v>
      </c>
      <c r="H116" s="22">
        <v>0</v>
      </c>
    </row>
    <row r="117" spans="1:8" ht="15.5" x14ac:dyDescent="0.35">
      <c r="A117" s="18">
        <v>8</v>
      </c>
      <c r="B117" s="19" t="s">
        <v>659</v>
      </c>
      <c r="C117" s="19" t="s">
        <v>659</v>
      </c>
      <c r="F117" s="20">
        <v>313714</v>
      </c>
      <c r="G117" s="21" t="s">
        <v>665</v>
      </c>
      <c r="H117" s="22">
        <v>0</v>
      </c>
    </row>
    <row r="118" spans="1:8" ht="15.5" x14ac:dyDescent="0.35">
      <c r="A118" s="18">
        <v>10</v>
      </c>
      <c r="B118" s="19" t="s">
        <v>666</v>
      </c>
      <c r="C118" s="19" t="s">
        <v>659</v>
      </c>
      <c r="F118" s="20">
        <v>313994</v>
      </c>
      <c r="G118" s="21" t="s">
        <v>667</v>
      </c>
      <c r="H118" s="22">
        <v>0</v>
      </c>
    </row>
    <row r="119" spans="1:8" ht="15.5" x14ac:dyDescent="0.35">
      <c r="A119" s="18">
        <v>15</v>
      </c>
      <c r="B119" s="19" t="s">
        <v>668</v>
      </c>
      <c r="C119" s="19" t="s">
        <v>659</v>
      </c>
      <c r="F119" s="20">
        <v>314849</v>
      </c>
      <c r="G119" s="21" t="s">
        <v>669</v>
      </c>
      <c r="H119" s="22">
        <v>0</v>
      </c>
    </row>
    <row r="120" spans="1:8" ht="15.5" x14ac:dyDescent="0.35">
      <c r="A120" s="18">
        <v>16</v>
      </c>
      <c r="B120" s="19" t="s">
        <v>670</v>
      </c>
      <c r="C120" s="19" t="s">
        <v>659</v>
      </c>
      <c r="F120" s="20">
        <v>314099</v>
      </c>
      <c r="G120" s="21" t="s">
        <v>671</v>
      </c>
      <c r="H120" s="22">
        <v>0</v>
      </c>
    </row>
    <row r="121" spans="1:8" ht="15.5" x14ac:dyDescent="0.35">
      <c r="A121" s="18">
        <v>18</v>
      </c>
      <c r="B121" s="19" t="s">
        <v>672</v>
      </c>
      <c r="C121" s="19" t="s">
        <v>659</v>
      </c>
      <c r="F121" s="20">
        <v>315220</v>
      </c>
      <c r="G121" s="21" t="s">
        <v>673</v>
      </c>
      <c r="H121" s="22">
        <v>0</v>
      </c>
    </row>
    <row r="122" spans="1:8" ht="15.5" x14ac:dyDescent="0.35">
      <c r="A122" s="18">
        <v>62</v>
      </c>
      <c r="B122" s="19" t="s">
        <v>674</v>
      </c>
      <c r="C122" s="19" t="s">
        <v>659</v>
      </c>
      <c r="F122" s="20">
        <v>314705</v>
      </c>
      <c r="G122" s="21" t="s">
        <v>675</v>
      </c>
      <c r="H122" s="22">
        <v>0</v>
      </c>
    </row>
    <row r="123" spans="1:8" ht="15.5" x14ac:dyDescent="0.35">
      <c r="A123" s="18">
        <v>106</v>
      </c>
      <c r="B123" s="19" t="s">
        <v>676</v>
      </c>
      <c r="C123" s="19" t="s">
        <v>659</v>
      </c>
      <c r="F123" s="20">
        <v>314936</v>
      </c>
      <c r="G123" s="21" t="s">
        <v>677</v>
      </c>
      <c r="H123" s="22">
        <v>0</v>
      </c>
    </row>
    <row r="124" spans="1:8" ht="15.5" x14ac:dyDescent="0.35">
      <c r="A124" s="18">
        <v>199</v>
      </c>
      <c r="B124" s="19" t="s">
        <v>678</v>
      </c>
      <c r="C124" s="19" t="s">
        <v>659</v>
      </c>
      <c r="F124" s="20">
        <v>313694</v>
      </c>
      <c r="G124" s="21" t="s">
        <v>679</v>
      </c>
      <c r="H124" s="22">
        <v>0</v>
      </c>
    </row>
    <row r="125" spans="1:8" ht="15.5" x14ac:dyDescent="0.35">
      <c r="A125" s="18">
        <v>282</v>
      </c>
      <c r="B125" s="19" t="s">
        <v>680</v>
      </c>
      <c r="C125" s="19" t="s">
        <v>659</v>
      </c>
      <c r="F125" s="20">
        <v>307867</v>
      </c>
      <c r="G125" s="21" t="s">
        <v>681</v>
      </c>
      <c r="H125" s="22">
        <v>0</v>
      </c>
    </row>
    <row r="126" spans="1:8" ht="15.5" x14ac:dyDescent="0.35">
      <c r="A126" s="18">
        <v>317</v>
      </c>
      <c r="B126" s="19" t="s">
        <v>682</v>
      </c>
      <c r="C126" s="19" t="s">
        <v>659</v>
      </c>
      <c r="F126" s="20">
        <v>90034705</v>
      </c>
      <c r="G126" s="21" t="s">
        <v>683</v>
      </c>
      <c r="H126" s="22">
        <v>0</v>
      </c>
    </row>
    <row r="127" spans="1:8" ht="15.5" x14ac:dyDescent="0.35">
      <c r="A127" s="18">
        <v>323</v>
      </c>
      <c r="B127" s="19" t="s">
        <v>684</v>
      </c>
      <c r="C127" s="19" t="s">
        <v>659</v>
      </c>
      <c r="F127" s="20">
        <v>311810</v>
      </c>
      <c r="G127" s="21" t="s">
        <v>685</v>
      </c>
      <c r="H127" s="22">
        <v>0</v>
      </c>
    </row>
    <row r="128" spans="1:8" ht="15.5" x14ac:dyDescent="0.35">
      <c r="A128" s="18">
        <v>324</v>
      </c>
      <c r="B128" s="19" t="s">
        <v>686</v>
      </c>
      <c r="C128" s="19" t="s">
        <v>659</v>
      </c>
      <c r="F128" s="20">
        <v>301291</v>
      </c>
      <c r="G128" s="21" t="s">
        <v>687</v>
      </c>
      <c r="H128" s="22">
        <v>0</v>
      </c>
    </row>
    <row r="129" spans="1:8" ht="15.5" x14ac:dyDescent="0.35">
      <c r="A129" s="18">
        <v>9</v>
      </c>
      <c r="B129" s="19" t="s">
        <v>688</v>
      </c>
      <c r="C129" s="19" t="s">
        <v>688</v>
      </c>
      <c r="F129" s="20">
        <v>90023724</v>
      </c>
      <c r="G129" s="21" t="s">
        <v>689</v>
      </c>
      <c r="H129" s="22">
        <v>0</v>
      </c>
    </row>
    <row r="130" spans="1:8" ht="15.5" x14ac:dyDescent="0.35">
      <c r="A130" s="18">
        <v>26</v>
      </c>
      <c r="B130" s="19" t="s">
        <v>690</v>
      </c>
      <c r="C130" s="19" t="s">
        <v>688</v>
      </c>
      <c r="F130" s="20">
        <v>313482</v>
      </c>
      <c r="G130" s="21" t="s">
        <v>691</v>
      </c>
      <c r="H130" s="22">
        <v>0</v>
      </c>
    </row>
    <row r="131" spans="1:8" ht="15.5" x14ac:dyDescent="0.35">
      <c r="A131" s="18">
        <v>32</v>
      </c>
      <c r="B131" s="19" t="s">
        <v>692</v>
      </c>
      <c r="C131" s="19" t="s">
        <v>688</v>
      </c>
      <c r="F131" s="20">
        <v>300907</v>
      </c>
      <c r="G131" s="21" t="s">
        <v>693</v>
      </c>
      <c r="H131" s="22">
        <v>0</v>
      </c>
    </row>
    <row r="132" spans="1:8" ht="15.5" x14ac:dyDescent="0.35">
      <c r="A132" s="18">
        <v>52</v>
      </c>
      <c r="B132" s="19" t="s">
        <v>694</v>
      </c>
      <c r="C132" s="19" t="s">
        <v>688</v>
      </c>
      <c r="F132" s="20">
        <v>312962</v>
      </c>
      <c r="G132" s="21" t="s">
        <v>695</v>
      </c>
      <c r="H132" s="22">
        <v>0</v>
      </c>
    </row>
    <row r="133" spans="1:8" ht="15.5" x14ac:dyDescent="0.35">
      <c r="A133" s="18">
        <v>60</v>
      </c>
      <c r="B133" s="19" t="s">
        <v>696</v>
      </c>
      <c r="C133" s="19" t="s">
        <v>688</v>
      </c>
      <c r="F133" s="20">
        <v>314671</v>
      </c>
      <c r="G133" s="21" t="s">
        <v>697</v>
      </c>
      <c r="H133" s="22">
        <v>0</v>
      </c>
    </row>
    <row r="134" spans="1:8" ht="15.5" x14ac:dyDescent="0.35">
      <c r="A134" s="18">
        <v>69</v>
      </c>
      <c r="B134" s="19" t="s">
        <v>698</v>
      </c>
      <c r="C134" s="19" t="s">
        <v>688</v>
      </c>
      <c r="F134" s="20">
        <v>311103</v>
      </c>
      <c r="G134" s="21" t="s">
        <v>699</v>
      </c>
      <c r="H134" s="22">
        <v>0</v>
      </c>
    </row>
    <row r="135" spans="1:8" ht="15.5" x14ac:dyDescent="0.35">
      <c r="A135" s="18">
        <v>74</v>
      </c>
      <c r="B135" s="19" t="s">
        <v>700</v>
      </c>
      <c r="C135" s="19" t="s">
        <v>688</v>
      </c>
      <c r="F135" s="20">
        <v>311576</v>
      </c>
      <c r="G135" s="21" t="s">
        <v>701</v>
      </c>
      <c r="H135" s="22">
        <v>0</v>
      </c>
    </row>
    <row r="136" spans="1:8" ht="15.5" x14ac:dyDescent="0.35">
      <c r="A136" s="18">
        <v>200</v>
      </c>
      <c r="B136" s="19" t="s">
        <v>702</v>
      </c>
      <c r="C136" s="19" t="s">
        <v>688</v>
      </c>
      <c r="F136" s="20">
        <v>313014</v>
      </c>
      <c r="G136" s="21" t="s">
        <v>703</v>
      </c>
      <c r="H136" s="22">
        <v>0</v>
      </c>
    </row>
    <row r="137" spans="1:8" ht="15.5" x14ac:dyDescent="0.35">
      <c r="A137" s="18">
        <v>220</v>
      </c>
      <c r="B137" s="19" t="s">
        <v>704</v>
      </c>
      <c r="C137" s="19" t="s">
        <v>688</v>
      </c>
      <c r="F137" s="20">
        <v>315223</v>
      </c>
      <c r="G137" s="21" t="s">
        <v>705</v>
      </c>
      <c r="H137" s="22">
        <v>0</v>
      </c>
    </row>
    <row r="138" spans="1:8" ht="15.5" x14ac:dyDescent="0.35">
      <c r="A138" s="18">
        <v>252</v>
      </c>
      <c r="B138" s="19" t="s">
        <v>706</v>
      </c>
      <c r="C138" s="19" t="s">
        <v>688</v>
      </c>
      <c r="F138" s="20">
        <v>90039162</v>
      </c>
      <c r="G138" s="21" t="s">
        <v>707</v>
      </c>
      <c r="H138" s="22">
        <v>0</v>
      </c>
    </row>
    <row r="139" spans="1:8" ht="15.5" x14ac:dyDescent="0.35">
      <c r="A139" s="18">
        <v>260</v>
      </c>
      <c r="B139" s="19" t="s">
        <v>708</v>
      </c>
      <c r="C139" s="19" t="s">
        <v>688</v>
      </c>
      <c r="F139" s="20">
        <v>316316</v>
      </c>
      <c r="G139" s="21" t="s">
        <v>709</v>
      </c>
      <c r="H139" s="22">
        <v>0</v>
      </c>
    </row>
    <row r="140" spans="1:8" ht="15.5" x14ac:dyDescent="0.35">
      <c r="A140" s="18">
        <v>273</v>
      </c>
      <c r="B140" s="19" t="s">
        <v>710</v>
      </c>
      <c r="C140" s="19" t="s">
        <v>688</v>
      </c>
      <c r="F140" s="20">
        <v>314035</v>
      </c>
      <c r="G140" s="21" t="s">
        <v>711</v>
      </c>
      <c r="H140" s="22">
        <v>0</v>
      </c>
    </row>
    <row r="141" spans="1:8" ht="15.5" x14ac:dyDescent="0.35">
      <c r="A141" s="18">
        <v>280</v>
      </c>
      <c r="B141" s="19" t="s">
        <v>712</v>
      </c>
      <c r="C141" s="19" t="s">
        <v>688</v>
      </c>
      <c r="F141" s="20">
        <v>315214</v>
      </c>
      <c r="G141" s="21" t="s">
        <v>713</v>
      </c>
      <c r="H141" s="22">
        <v>0</v>
      </c>
    </row>
    <row r="142" spans="1:8" ht="15.5" x14ac:dyDescent="0.35">
      <c r="A142" s="18">
        <v>91</v>
      </c>
      <c r="B142" s="19" t="s">
        <v>714</v>
      </c>
      <c r="C142" s="19" t="s">
        <v>715</v>
      </c>
      <c r="F142" s="20">
        <v>316241</v>
      </c>
      <c r="G142" s="21" t="s">
        <v>716</v>
      </c>
      <c r="H142" s="22">
        <v>0</v>
      </c>
    </row>
    <row r="143" spans="1:8" ht="15.5" x14ac:dyDescent="0.35">
      <c r="A143" s="18">
        <v>285</v>
      </c>
      <c r="B143" s="19" t="s">
        <v>717</v>
      </c>
      <c r="C143" s="19" t="s">
        <v>715</v>
      </c>
      <c r="F143" s="20">
        <v>306902</v>
      </c>
      <c r="G143" s="21" t="s">
        <v>718</v>
      </c>
      <c r="H143" s="22">
        <v>0</v>
      </c>
    </row>
    <row r="144" spans="1:8" ht="15.5" x14ac:dyDescent="0.35">
      <c r="A144" s="18">
        <v>291</v>
      </c>
      <c r="B144" s="19" t="s">
        <v>719</v>
      </c>
      <c r="C144" s="19" t="s">
        <v>715</v>
      </c>
      <c r="F144" s="20">
        <v>313182</v>
      </c>
      <c r="G144" s="21" t="s">
        <v>720</v>
      </c>
      <c r="H144" s="22">
        <v>0</v>
      </c>
    </row>
    <row r="145" spans="1:8" ht="15.5" x14ac:dyDescent="0.35">
      <c r="A145" s="18">
        <v>293</v>
      </c>
      <c r="B145" s="19" t="s">
        <v>721</v>
      </c>
      <c r="C145" s="19" t="s">
        <v>715</v>
      </c>
      <c r="F145" s="20">
        <v>316227</v>
      </c>
      <c r="G145" s="21" t="s">
        <v>722</v>
      </c>
      <c r="H145" s="22">
        <v>0</v>
      </c>
    </row>
    <row r="146" spans="1:8" ht="15.5" x14ac:dyDescent="0.35">
      <c r="A146" s="18">
        <v>307</v>
      </c>
      <c r="B146" s="19" t="s">
        <v>723</v>
      </c>
      <c r="C146" s="19" t="s">
        <v>715</v>
      </c>
      <c r="F146" s="20">
        <v>90033123</v>
      </c>
      <c r="G146" s="21" t="s">
        <v>724</v>
      </c>
      <c r="H146" s="22">
        <v>0</v>
      </c>
    </row>
    <row r="147" spans="1:8" ht="15.5" x14ac:dyDescent="0.35">
      <c r="A147" s="18">
        <v>315</v>
      </c>
      <c r="B147" s="19" t="s">
        <v>725</v>
      </c>
      <c r="C147" s="19" t="s">
        <v>715</v>
      </c>
      <c r="F147" s="20">
        <v>315434</v>
      </c>
      <c r="G147" s="21" t="s">
        <v>726</v>
      </c>
      <c r="H147" s="22">
        <v>0</v>
      </c>
    </row>
    <row r="148" spans="1:8" ht="15.5" x14ac:dyDescent="0.35">
      <c r="A148" s="18">
        <v>316</v>
      </c>
      <c r="B148" s="19" t="s">
        <v>727</v>
      </c>
      <c r="C148" s="19" t="s">
        <v>715</v>
      </c>
      <c r="F148" s="20">
        <v>315280</v>
      </c>
      <c r="G148" s="21" t="s">
        <v>728</v>
      </c>
      <c r="H148" s="22">
        <v>0</v>
      </c>
    </row>
    <row r="149" spans="1:8" ht="15.5" x14ac:dyDescent="0.35">
      <c r="A149" s="18">
        <v>20</v>
      </c>
      <c r="B149" s="19" t="s">
        <v>729</v>
      </c>
      <c r="C149" s="19" t="s">
        <v>730</v>
      </c>
      <c r="F149" s="20">
        <v>302247</v>
      </c>
      <c r="G149" s="21" t="s">
        <v>731</v>
      </c>
      <c r="H149" s="22">
        <v>0</v>
      </c>
    </row>
    <row r="150" spans="1:8" ht="15.5" x14ac:dyDescent="0.35">
      <c r="A150" s="18">
        <v>25</v>
      </c>
      <c r="B150" s="19" t="s">
        <v>732</v>
      </c>
      <c r="C150" s="19" t="s">
        <v>730</v>
      </c>
      <c r="F150" s="20">
        <v>310433</v>
      </c>
      <c r="G150" s="21" t="s">
        <v>733</v>
      </c>
      <c r="H150" s="22">
        <v>0</v>
      </c>
    </row>
    <row r="151" spans="1:8" ht="15.5" x14ac:dyDescent="0.35">
      <c r="A151" s="18">
        <v>31</v>
      </c>
      <c r="B151" s="19" t="s">
        <v>734</v>
      </c>
      <c r="C151" s="19" t="s">
        <v>730</v>
      </c>
      <c r="F151" s="20">
        <v>313286</v>
      </c>
      <c r="G151" s="21" t="s">
        <v>735</v>
      </c>
      <c r="H151" s="22">
        <v>0</v>
      </c>
    </row>
    <row r="152" spans="1:8" ht="15.5" x14ac:dyDescent="0.35">
      <c r="A152" s="18">
        <v>43</v>
      </c>
      <c r="B152" s="19" t="s">
        <v>736</v>
      </c>
      <c r="C152" s="19" t="s">
        <v>730</v>
      </c>
      <c r="F152" s="20">
        <v>310546</v>
      </c>
      <c r="G152" s="21" t="s">
        <v>737</v>
      </c>
      <c r="H152" s="22">
        <v>0</v>
      </c>
    </row>
    <row r="153" spans="1:8" ht="15.5" x14ac:dyDescent="0.35">
      <c r="A153" s="18">
        <v>48</v>
      </c>
      <c r="B153" s="19" t="s">
        <v>738</v>
      </c>
      <c r="C153" s="19" t="s">
        <v>730</v>
      </c>
      <c r="F153" s="20">
        <v>313119</v>
      </c>
      <c r="G153" s="21" t="s">
        <v>739</v>
      </c>
      <c r="H153" s="22">
        <v>0</v>
      </c>
    </row>
    <row r="154" spans="1:8" ht="15.5" x14ac:dyDescent="0.35">
      <c r="A154" s="18">
        <v>63</v>
      </c>
      <c r="B154" s="19" t="s">
        <v>740</v>
      </c>
      <c r="C154" s="19" t="s">
        <v>730</v>
      </c>
      <c r="F154" s="20">
        <v>315101</v>
      </c>
      <c r="G154" s="21" t="s">
        <v>741</v>
      </c>
      <c r="H154" s="22">
        <v>0</v>
      </c>
    </row>
    <row r="155" spans="1:8" ht="15.5" x14ac:dyDescent="0.35">
      <c r="A155" s="18">
        <v>89</v>
      </c>
      <c r="B155" s="19" t="s">
        <v>742</v>
      </c>
      <c r="C155" s="19" t="s">
        <v>730</v>
      </c>
      <c r="F155" s="20">
        <v>314982</v>
      </c>
      <c r="G155" s="21" t="s">
        <v>743</v>
      </c>
      <c r="H155" s="22">
        <v>0</v>
      </c>
    </row>
    <row r="156" spans="1:8" ht="15.5" x14ac:dyDescent="0.35">
      <c r="A156" s="18">
        <v>130</v>
      </c>
      <c r="B156" s="19" t="s">
        <v>744</v>
      </c>
      <c r="C156" s="19" t="s">
        <v>730</v>
      </c>
      <c r="F156" s="20">
        <v>313528</v>
      </c>
      <c r="G156" s="21" t="s">
        <v>745</v>
      </c>
      <c r="H156" s="22">
        <v>0</v>
      </c>
    </row>
    <row r="157" spans="1:8" ht="15.5" x14ac:dyDescent="0.35">
      <c r="A157" s="18">
        <v>143</v>
      </c>
      <c r="B157" s="19" t="s">
        <v>746</v>
      </c>
      <c r="C157" s="19" t="s">
        <v>730</v>
      </c>
      <c r="F157" s="20">
        <v>309338</v>
      </c>
      <c r="G157" s="21" t="s">
        <v>747</v>
      </c>
      <c r="H157" s="22">
        <v>0</v>
      </c>
    </row>
    <row r="158" spans="1:8" ht="15.5" x14ac:dyDescent="0.35">
      <c r="A158" s="18">
        <v>176</v>
      </c>
      <c r="B158" s="19" t="s">
        <v>748</v>
      </c>
      <c r="C158" s="19" t="s">
        <v>730</v>
      </c>
      <c r="F158" s="20">
        <v>309664</v>
      </c>
      <c r="G158" s="21" t="s">
        <v>749</v>
      </c>
      <c r="H158" s="22">
        <v>0</v>
      </c>
    </row>
    <row r="159" spans="1:8" ht="15.5" x14ac:dyDescent="0.35">
      <c r="A159" s="18">
        <v>178</v>
      </c>
      <c r="B159" s="19" t="s">
        <v>750</v>
      </c>
      <c r="C159" s="19" t="s">
        <v>730</v>
      </c>
      <c r="F159" s="20">
        <v>309337</v>
      </c>
      <c r="G159" s="21" t="s">
        <v>751</v>
      </c>
      <c r="H159" s="22">
        <v>0</v>
      </c>
    </row>
    <row r="160" spans="1:8" ht="15.5" x14ac:dyDescent="0.35">
      <c r="A160" s="18">
        <v>227</v>
      </c>
      <c r="B160" s="19" t="s">
        <v>752</v>
      </c>
      <c r="C160" s="19" t="s">
        <v>730</v>
      </c>
      <c r="F160" s="20">
        <v>313295</v>
      </c>
      <c r="G160" s="21" t="s">
        <v>753</v>
      </c>
      <c r="H160" s="22">
        <v>0</v>
      </c>
    </row>
    <row r="161" spans="1:8" ht="15.5" x14ac:dyDescent="0.35">
      <c r="A161" s="18">
        <v>236</v>
      </c>
      <c r="B161" s="19" t="s">
        <v>754</v>
      </c>
      <c r="C161" s="19" t="s">
        <v>730</v>
      </c>
      <c r="F161" s="20">
        <v>315553</v>
      </c>
      <c r="G161" s="21" t="s">
        <v>755</v>
      </c>
      <c r="H161" s="22">
        <v>0</v>
      </c>
    </row>
    <row r="162" spans="1:8" ht="15.5" x14ac:dyDescent="0.35">
      <c r="A162" s="18">
        <v>257</v>
      </c>
      <c r="B162" s="19" t="s">
        <v>756</v>
      </c>
      <c r="C162" s="19" t="s">
        <v>730</v>
      </c>
      <c r="F162" s="20">
        <v>301503</v>
      </c>
      <c r="G162" s="21" t="s">
        <v>757</v>
      </c>
      <c r="H162" s="22">
        <v>0</v>
      </c>
    </row>
    <row r="163" spans="1:8" ht="15.5" x14ac:dyDescent="0.35">
      <c r="A163" s="18">
        <v>297</v>
      </c>
      <c r="B163" s="19" t="s">
        <v>758</v>
      </c>
      <c r="C163" s="19" t="s">
        <v>730</v>
      </c>
      <c r="F163" s="20">
        <v>316348</v>
      </c>
      <c r="G163" s="21" t="s">
        <v>759</v>
      </c>
      <c r="H163" s="22">
        <v>0</v>
      </c>
    </row>
    <row r="164" spans="1:8" ht="15.5" x14ac:dyDescent="0.35">
      <c r="A164" s="26">
        <v>400</v>
      </c>
      <c r="B164" s="27" t="s">
        <v>760</v>
      </c>
      <c r="C164" s="27" t="s">
        <v>424</v>
      </c>
      <c r="F164" s="20">
        <v>311055</v>
      </c>
      <c r="G164" s="21" t="s">
        <v>761</v>
      </c>
      <c r="H164" s="22">
        <v>0</v>
      </c>
    </row>
    <row r="165" spans="1:8" ht="15.5" x14ac:dyDescent="0.35">
      <c r="A165" s="26">
        <v>93</v>
      </c>
      <c r="B165" s="27" t="s">
        <v>762</v>
      </c>
      <c r="C165" s="27" t="s">
        <v>762</v>
      </c>
      <c r="F165" s="20">
        <v>316329</v>
      </c>
      <c r="G165" s="21" t="s">
        <v>763</v>
      </c>
      <c r="H165" s="22">
        <v>0</v>
      </c>
    </row>
    <row r="166" spans="1:8" ht="15.5" x14ac:dyDescent="0.35">
      <c r="A166" s="26">
        <v>345</v>
      </c>
      <c r="B166" s="27" t="s">
        <v>764</v>
      </c>
      <c r="C166" s="27" t="s">
        <v>730</v>
      </c>
      <c r="F166" s="20">
        <v>301234</v>
      </c>
      <c r="G166" s="21" t="s">
        <v>765</v>
      </c>
      <c r="H166" s="22">
        <v>0</v>
      </c>
    </row>
    <row r="167" spans="1:8" ht="15.5" x14ac:dyDescent="0.35">
      <c r="A167" s="26">
        <v>346</v>
      </c>
      <c r="B167" s="27" t="s">
        <v>766</v>
      </c>
      <c r="C167" s="27" t="s">
        <v>424</v>
      </c>
      <c r="F167" s="20">
        <v>301139</v>
      </c>
      <c r="G167" s="21" t="s">
        <v>767</v>
      </c>
      <c r="H167" s="22">
        <v>0</v>
      </c>
    </row>
    <row r="168" spans="1:8" ht="15.5" x14ac:dyDescent="0.35">
      <c r="F168" s="20">
        <v>307790</v>
      </c>
      <c r="G168" s="21" t="s">
        <v>768</v>
      </c>
      <c r="H168" s="22">
        <v>0</v>
      </c>
    </row>
    <row r="169" spans="1:8" ht="15.5" x14ac:dyDescent="0.35">
      <c r="F169" s="20">
        <v>315044</v>
      </c>
      <c r="G169" s="21" t="s">
        <v>769</v>
      </c>
      <c r="H169" s="22">
        <v>0</v>
      </c>
    </row>
    <row r="170" spans="1:8" ht="15.5" x14ac:dyDescent="0.35">
      <c r="F170" s="20">
        <v>90040315</v>
      </c>
      <c r="G170" s="21" t="s">
        <v>770</v>
      </c>
      <c r="H170" s="22">
        <v>0</v>
      </c>
    </row>
    <row r="171" spans="1:8" ht="15.5" x14ac:dyDescent="0.35">
      <c r="F171" s="20">
        <v>316153</v>
      </c>
      <c r="G171" s="21" t="s">
        <v>771</v>
      </c>
      <c r="H171" s="22">
        <v>0</v>
      </c>
    </row>
    <row r="172" spans="1:8" ht="15.5" x14ac:dyDescent="0.35">
      <c r="F172" s="20">
        <v>315858</v>
      </c>
      <c r="G172" s="21" t="s">
        <v>772</v>
      </c>
      <c r="H172" s="22">
        <v>0</v>
      </c>
    </row>
    <row r="173" spans="1:8" ht="15.5" x14ac:dyDescent="0.35">
      <c r="F173" s="20">
        <v>309527</v>
      </c>
      <c r="G173" s="21" t="s">
        <v>773</v>
      </c>
      <c r="H173" s="22">
        <v>0</v>
      </c>
    </row>
    <row r="174" spans="1:8" ht="15.5" x14ac:dyDescent="0.35">
      <c r="F174" s="20">
        <v>313217</v>
      </c>
      <c r="G174" s="21" t="s">
        <v>774</v>
      </c>
      <c r="H174" s="22">
        <v>0</v>
      </c>
    </row>
    <row r="175" spans="1:8" ht="15.5" x14ac:dyDescent="0.35">
      <c r="F175" s="20">
        <v>305932</v>
      </c>
      <c r="G175" s="21" t="s">
        <v>775</v>
      </c>
      <c r="H175" s="22">
        <v>0</v>
      </c>
    </row>
    <row r="176" spans="1:8" ht="15.5" x14ac:dyDescent="0.35">
      <c r="F176" s="20">
        <v>314984</v>
      </c>
      <c r="G176" s="21" t="s">
        <v>776</v>
      </c>
      <c r="H176" s="22">
        <v>0</v>
      </c>
    </row>
    <row r="177" spans="6:8" ht="15.5" x14ac:dyDescent="0.35">
      <c r="F177" s="20">
        <v>314578</v>
      </c>
      <c r="G177" s="21" t="s">
        <v>777</v>
      </c>
      <c r="H177" s="22">
        <v>0</v>
      </c>
    </row>
    <row r="178" spans="6:8" ht="15.5" x14ac:dyDescent="0.35">
      <c r="F178" s="20">
        <v>307751</v>
      </c>
      <c r="G178" s="21" t="s">
        <v>778</v>
      </c>
      <c r="H178" s="22">
        <v>0</v>
      </c>
    </row>
    <row r="179" spans="6:8" ht="15.5" x14ac:dyDescent="0.35">
      <c r="F179" s="20">
        <v>309545</v>
      </c>
      <c r="G179" s="21" t="s">
        <v>779</v>
      </c>
      <c r="H179" s="22">
        <v>0</v>
      </c>
    </row>
    <row r="180" spans="6:8" ht="15.5" x14ac:dyDescent="0.35">
      <c r="F180" s="20">
        <v>90040157</v>
      </c>
      <c r="G180" s="21" t="s">
        <v>780</v>
      </c>
      <c r="H180" s="22">
        <v>0</v>
      </c>
    </row>
    <row r="181" spans="6:8" ht="15.5" x14ac:dyDescent="0.35">
      <c r="F181" s="20">
        <v>314839</v>
      </c>
      <c r="G181" s="21" t="s">
        <v>781</v>
      </c>
      <c r="H181" s="22">
        <v>0</v>
      </c>
    </row>
    <row r="182" spans="6:8" ht="15.5" x14ac:dyDescent="0.35">
      <c r="F182" s="20">
        <v>315941</v>
      </c>
      <c r="G182" s="21" t="s">
        <v>782</v>
      </c>
      <c r="H182" s="22">
        <v>0</v>
      </c>
    </row>
    <row r="183" spans="6:8" ht="15.5" x14ac:dyDescent="0.35">
      <c r="F183" s="20">
        <v>316036</v>
      </c>
      <c r="G183" s="21" t="s">
        <v>783</v>
      </c>
      <c r="H183" s="22">
        <v>0</v>
      </c>
    </row>
    <row r="184" spans="6:8" ht="15.5" x14ac:dyDescent="0.35">
      <c r="F184" s="20">
        <v>310329</v>
      </c>
      <c r="G184" s="21" t="s">
        <v>784</v>
      </c>
      <c r="H184" s="22">
        <v>0</v>
      </c>
    </row>
    <row r="185" spans="6:8" ht="15.5" x14ac:dyDescent="0.35">
      <c r="F185" s="20">
        <v>316053</v>
      </c>
      <c r="G185" s="21" t="s">
        <v>785</v>
      </c>
      <c r="H185" s="22">
        <v>0</v>
      </c>
    </row>
    <row r="186" spans="6:8" ht="15.5" x14ac:dyDescent="0.35">
      <c r="F186" s="20">
        <v>311761</v>
      </c>
      <c r="G186" s="21" t="s">
        <v>786</v>
      </c>
      <c r="H186" s="22">
        <v>0</v>
      </c>
    </row>
    <row r="187" spans="6:8" ht="15.5" x14ac:dyDescent="0.35">
      <c r="F187" s="20">
        <v>311111</v>
      </c>
      <c r="G187" s="21" t="s">
        <v>787</v>
      </c>
      <c r="H187" s="22">
        <v>0</v>
      </c>
    </row>
    <row r="188" spans="6:8" ht="15.5" x14ac:dyDescent="0.35">
      <c r="F188" s="20">
        <v>313991</v>
      </c>
      <c r="G188" s="21" t="s">
        <v>788</v>
      </c>
      <c r="H188" s="22">
        <v>0</v>
      </c>
    </row>
    <row r="189" spans="6:8" ht="15.5" x14ac:dyDescent="0.35">
      <c r="F189" s="20">
        <v>90034569</v>
      </c>
      <c r="G189" s="21" t="s">
        <v>789</v>
      </c>
      <c r="H189" s="22">
        <v>0</v>
      </c>
    </row>
    <row r="190" spans="6:8" ht="15.5" x14ac:dyDescent="0.35">
      <c r="F190" s="20">
        <v>307442</v>
      </c>
      <c r="G190" s="21" t="s">
        <v>790</v>
      </c>
      <c r="H190" s="22">
        <v>0</v>
      </c>
    </row>
    <row r="191" spans="6:8" ht="15.5" x14ac:dyDescent="0.35">
      <c r="F191" s="20">
        <v>314751</v>
      </c>
      <c r="G191" s="21" t="s">
        <v>791</v>
      </c>
      <c r="H191" s="22">
        <v>0</v>
      </c>
    </row>
    <row r="192" spans="6:8" ht="15.5" x14ac:dyDescent="0.35">
      <c r="F192" s="20">
        <v>90025620</v>
      </c>
      <c r="G192" s="21" t="s">
        <v>792</v>
      </c>
      <c r="H192" s="22">
        <v>0</v>
      </c>
    </row>
    <row r="193" spans="6:9" ht="15.5" x14ac:dyDescent="0.35">
      <c r="F193" s="20">
        <v>306767</v>
      </c>
      <c r="G193" s="21" t="s">
        <v>793</v>
      </c>
      <c r="H193" s="22">
        <v>0</v>
      </c>
      <c r="I193" s="28"/>
    </row>
    <row r="194" spans="6:9" ht="15.5" x14ac:dyDescent="0.35">
      <c r="F194" s="20">
        <v>312249</v>
      </c>
      <c r="G194" s="21" t="s">
        <v>794</v>
      </c>
      <c r="H194" s="22">
        <v>0</v>
      </c>
      <c r="I194" s="28"/>
    </row>
    <row r="195" spans="6:9" ht="15.5" x14ac:dyDescent="0.35">
      <c r="F195" s="20">
        <v>202795</v>
      </c>
      <c r="G195" s="21" t="s">
        <v>795</v>
      </c>
      <c r="H195" s="22">
        <v>0</v>
      </c>
    </row>
    <row r="196" spans="6:9" ht="15.5" x14ac:dyDescent="0.35">
      <c r="F196" s="20">
        <v>302684</v>
      </c>
      <c r="G196" s="21" t="s">
        <v>796</v>
      </c>
      <c r="H196" s="22">
        <v>0</v>
      </c>
    </row>
    <row r="197" spans="6:9" ht="15.5" x14ac:dyDescent="0.35">
      <c r="F197" s="20">
        <v>315474</v>
      </c>
      <c r="G197" s="21" t="s">
        <v>797</v>
      </c>
      <c r="H197" s="22">
        <v>0</v>
      </c>
    </row>
    <row r="198" spans="6:9" ht="15.5" x14ac:dyDescent="0.35">
      <c r="F198" s="20">
        <v>308129</v>
      </c>
      <c r="G198" s="21" t="s">
        <v>798</v>
      </c>
      <c r="H198" s="22">
        <v>0</v>
      </c>
    </row>
    <row r="199" spans="6:9" ht="15.5" x14ac:dyDescent="0.35">
      <c r="F199" s="20">
        <v>314191</v>
      </c>
      <c r="G199" s="21" t="s">
        <v>799</v>
      </c>
      <c r="H199" s="22">
        <v>0</v>
      </c>
    </row>
    <row r="200" spans="6:9" ht="15.5" x14ac:dyDescent="0.35">
      <c r="F200" s="20">
        <v>310191</v>
      </c>
      <c r="G200" s="21" t="s">
        <v>800</v>
      </c>
      <c r="H200" s="22">
        <v>0</v>
      </c>
    </row>
    <row r="201" spans="6:9" ht="15.5" x14ac:dyDescent="0.35">
      <c r="F201" s="20">
        <v>310728</v>
      </c>
      <c r="G201" s="21" t="s">
        <v>801</v>
      </c>
      <c r="H201" s="22">
        <v>0</v>
      </c>
    </row>
    <row r="202" spans="6:9" ht="15.5" x14ac:dyDescent="0.35">
      <c r="F202" s="20">
        <v>315052</v>
      </c>
      <c r="G202" s="21" t="s">
        <v>802</v>
      </c>
      <c r="H202" s="22">
        <v>0</v>
      </c>
    </row>
    <row r="203" spans="6:9" ht="15.5" x14ac:dyDescent="0.35">
      <c r="F203" s="20">
        <v>314224</v>
      </c>
      <c r="G203" s="21" t="s">
        <v>803</v>
      </c>
      <c r="H203" s="22">
        <v>0</v>
      </c>
    </row>
    <row r="204" spans="6:9" ht="15.5" x14ac:dyDescent="0.35">
      <c r="F204" s="20">
        <v>314469</v>
      </c>
      <c r="G204" s="21" t="s">
        <v>804</v>
      </c>
      <c r="H204" s="22">
        <v>0</v>
      </c>
    </row>
    <row r="205" spans="6:9" ht="15.5" x14ac:dyDescent="0.35">
      <c r="F205" s="20">
        <v>312945</v>
      </c>
      <c r="G205" s="21" t="s">
        <v>805</v>
      </c>
      <c r="H205" s="22">
        <v>0</v>
      </c>
    </row>
    <row r="206" spans="6:9" ht="15.5" x14ac:dyDescent="0.35">
      <c r="F206" s="20">
        <v>315974</v>
      </c>
      <c r="G206" s="21" t="s">
        <v>806</v>
      </c>
      <c r="H206" s="22">
        <v>0</v>
      </c>
    </row>
    <row r="207" spans="6:9" ht="15.5" x14ac:dyDescent="0.35">
      <c r="F207" s="20">
        <v>314019</v>
      </c>
      <c r="G207" s="21" t="s">
        <v>807</v>
      </c>
      <c r="H207" s="22">
        <v>0</v>
      </c>
    </row>
    <row r="208" spans="6:9" ht="15.5" x14ac:dyDescent="0.35">
      <c r="F208" s="20">
        <v>90045664</v>
      </c>
      <c r="G208" s="21" t="s">
        <v>808</v>
      </c>
      <c r="H208" s="22">
        <v>0</v>
      </c>
    </row>
    <row r="209" spans="6:8" ht="15.5" x14ac:dyDescent="0.35">
      <c r="F209" s="20">
        <v>316215</v>
      </c>
      <c r="G209" s="21" t="s">
        <v>809</v>
      </c>
      <c r="H209" s="22">
        <v>0</v>
      </c>
    </row>
    <row r="210" spans="6:8" ht="15.5" x14ac:dyDescent="0.35">
      <c r="F210" s="20">
        <v>314363</v>
      </c>
      <c r="G210" s="21" t="s">
        <v>810</v>
      </c>
      <c r="H210" s="22">
        <v>0</v>
      </c>
    </row>
    <row r="211" spans="6:8" ht="15.5" x14ac:dyDescent="0.35">
      <c r="F211" s="20">
        <v>90014151</v>
      </c>
      <c r="G211" s="21" t="s">
        <v>811</v>
      </c>
      <c r="H211" s="22">
        <v>0</v>
      </c>
    </row>
    <row r="212" spans="6:8" ht="15.5" x14ac:dyDescent="0.35">
      <c r="F212" s="20">
        <v>90028242</v>
      </c>
      <c r="G212" s="21" t="s">
        <v>812</v>
      </c>
      <c r="H212" s="22">
        <v>0</v>
      </c>
    </row>
    <row r="213" spans="6:8" ht="15.5" x14ac:dyDescent="0.35">
      <c r="F213" s="20">
        <v>315372</v>
      </c>
      <c r="G213" s="21" t="s">
        <v>813</v>
      </c>
      <c r="H213" s="22">
        <v>0</v>
      </c>
    </row>
    <row r="214" spans="6:8" ht="15.5" x14ac:dyDescent="0.35">
      <c r="F214" s="20">
        <v>90034026</v>
      </c>
      <c r="G214" s="21" t="s">
        <v>814</v>
      </c>
      <c r="H214" s="22">
        <v>0</v>
      </c>
    </row>
    <row r="215" spans="6:8" ht="15.5" x14ac:dyDescent="0.35">
      <c r="F215" s="20">
        <v>315647</v>
      </c>
      <c r="G215" s="21" t="s">
        <v>815</v>
      </c>
      <c r="H215" s="22">
        <v>0</v>
      </c>
    </row>
    <row r="216" spans="6:8" ht="15.5" x14ac:dyDescent="0.35">
      <c r="F216" s="20">
        <v>311505</v>
      </c>
      <c r="G216" s="21" t="s">
        <v>816</v>
      </c>
      <c r="H216" s="22">
        <v>0</v>
      </c>
    </row>
    <row r="217" spans="6:8" ht="15.5" x14ac:dyDescent="0.35">
      <c r="F217" s="20">
        <v>306350</v>
      </c>
      <c r="G217" s="21" t="s">
        <v>817</v>
      </c>
      <c r="H217" s="22">
        <v>0</v>
      </c>
    </row>
    <row r="218" spans="6:8" ht="15.5" x14ac:dyDescent="0.35">
      <c r="F218" s="20">
        <v>312424</v>
      </c>
      <c r="G218" s="21" t="s">
        <v>818</v>
      </c>
      <c r="H218" s="22">
        <v>0</v>
      </c>
    </row>
    <row r="219" spans="6:8" ht="15.5" x14ac:dyDescent="0.35">
      <c r="F219" s="20">
        <v>315215</v>
      </c>
      <c r="G219" s="21" t="s">
        <v>819</v>
      </c>
      <c r="H219" s="22">
        <v>0</v>
      </c>
    </row>
    <row r="220" spans="6:8" ht="15.5" x14ac:dyDescent="0.35">
      <c r="F220" s="20">
        <v>311380</v>
      </c>
      <c r="G220" s="21" t="s">
        <v>820</v>
      </c>
      <c r="H220" s="22">
        <v>0</v>
      </c>
    </row>
    <row r="221" spans="6:8" ht="15.5" x14ac:dyDescent="0.35">
      <c r="F221" s="20">
        <v>311137</v>
      </c>
      <c r="G221" s="21" t="s">
        <v>821</v>
      </c>
      <c r="H221" s="22">
        <v>0</v>
      </c>
    </row>
    <row r="222" spans="6:8" ht="15.5" x14ac:dyDescent="0.35">
      <c r="F222" s="20">
        <v>303012</v>
      </c>
      <c r="G222" s="21" t="s">
        <v>822</v>
      </c>
      <c r="H222" s="22">
        <v>0</v>
      </c>
    </row>
    <row r="223" spans="6:8" ht="15.5" x14ac:dyDescent="0.35">
      <c r="F223" s="20">
        <v>315264</v>
      </c>
      <c r="G223" s="21" t="s">
        <v>823</v>
      </c>
      <c r="H223" s="22">
        <v>0</v>
      </c>
    </row>
    <row r="224" spans="6:8" ht="15.5" x14ac:dyDescent="0.35">
      <c r="F224" s="20">
        <v>302630</v>
      </c>
      <c r="G224" s="21" t="s">
        <v>824</v>
      </c>
      <c r="H224" s="22">
        <v>0</v>
      </c>
    </row>
    <row r="225" spans="6:8" ht="15.5" x14ac:dyDescent="0.35">
      <c r="F225" s="20">
        <v>314057</v>
      </c>
      <c r="G225" s="21" t="s">
        <v>825</v>
      </c>
      <c r="H225" s="22">
        <v>0</v>
      </c>
    </row>
    <row r="226" spans="6:8" ht="15.5" x14ac:dyDescent="0.35">
      <c r="F226" s="20">
        <v>312310</v>
      </c>
      <c r="G226" s="21" t="s">
        <v>826</v>
      </c>
      <c r="H226" s="22">
        <v>0</v>
      </c>
    </row>
    <row r="227" spans="6:8" ht="15.5" x14ac:dyDescent="0.35">
      <c r="F227" s="20">
        <v>314786</v>
      </c>
      <c r="G227" s="21" t="s">
        <v>827</v>
      </c>
      <c r="H227" s="22">
        <v>0</v>
      </c>
    </row>
    <row r="228" spans="6:8" ht="15.5" x14ac:dyDescent="0.35">
      <c r="F228" s="20">
        <v>311079</v>
      </c>
      <c r="G228" s="21" t="s">
        <v>828</v>
      </c>
      <c r="H228" s="22">
        <v>0</v>
      </c>
    </row>
    <row r="229" spans="6:8" ht="15.5" x14ac:dyDescent="0.35">
      <c r="F229" s="20">
        <v>311759</v>
      </c>
      <c r="G229" s="21" t="s">
        <v>829</v>
      </c>
      <c r="H229" s="22">
        <v>0</v>
      </c>
    </row>
    <row r="230" spans="6:8" ht="15.5" x14ac:dyDescent="0.35">
      <c r="F230" s="20">
        <v>313301</v>
      </c>
      <c r="G230" s="21" t="s">
        <v>830</v>
      </c>
      <c r="H230" s="22">
        <v>0</v>
      </c>
    </row>
    <row r="231" spans="6:8" ht="15.5" x14ac:dyDescent="0.35">
      <c r="F231" s="20">
        <v>314241</v>
      </c>
      <c r="G231" s="21" t="s">
        <v>831</v>
      </c>
      <c r="H231" s="22">
        <v>0</v>
      </c>
    </row>
    <row r="232" spans="6:8" ht="15.5" x14ac:dyDescent="0.35">
      <c r="F232" s="20">
        <v>315169</v>
      </c>
      <c r="G232" s="21" t="s">
        <v>832</v>
      </c>
      <c r="H232" s="22">
        <v>0</v>
      </c>
    </row>
    <row r="233" spans="6:8" ht="15.5" x14ac:dyDescent="0.35">
      <c r="F233" s="20">
        <v>90024412</v>
      </c>
      <c r="G233" s="21" t="s">
        <v>833</v>
      </c>
      <c r="H233" s="22">
        <v>0</v>
      </c>
    </row>
    <row r="234" spans="6:8" ht="15.5" x14ac:dyDescent="0.35">
      <c r="F234" s="20">
        <v>314323</v>
      </c>
      <c r="G234" s="21" t="s">
        <v>834</v>
      </c>
      <c r="H234" s="22">
        <v>0</v>
      </c>
    </row>
    <row r="235" spans="6:8" ht="15.5" x14ac:dyDescent="0.35">
      <c r="F235" s="20">
        <v>90039395</v>
      </c>
      <c r="G235" s="21" t="s">
        <v>835</v>
      </c>
      <c r="H235" s="22">
        <v>0</v>
      </c>
    </row>
    <row r="236" spans="6:8" ht="15.5" x14ac:dyDescent="0.35">
      <c r="F236" s="20">
        <v>314933</v>
      </c>
      <c r="G236" s="21" t="s">
        <v>836</v>
      </c>
      <c r="H236" s="22">
        <v>0</v>
      </c>
    </row>
    <row r="237" spans="6:8" ht="15.5" x14ac:dyDescent="0.35">
      <c r="F237" s="20">
        <v>306471</v>
      </c>
      <c r="G237" s="21" t="s">
        <v>837</v>
      </c>
      <c r="H237" s="22">
        <v>0</v>
      </c>
    </row>
    <row r="238" spans="6:8" ht="15.5" x14ac:dyDescent="0.35">
      <c r="F238" s="20">
        <v>309341</v>
      </c>
      <c r="G238" s="21" t="s">
        <v>838</v>
      </c>
      <c r="H238" s="22">
        <v>0</v>
      </c>
    </row>
    <row r="239" spans="6:8" ht="15.5" x14ac:dyDescent="0.35">
      <c r="F239" s="20">
        <v>315129</v>
      </c>
      <c r="G239" s="21" t="s">
        <v>839</v>
      </c>
      <c r="H239" s="22">
        <v>0</v>
      </c>
    </row>
    <row r="240" spans="6:8" ht="15.5" x14ac:dyDescent="0.35">
      <c r="F240" s="20">
        <v>90019011</v>
      </c>
      <c r="G240" s="21" t="s">
        <v>840</v>
      </c>
      <c r="H240" s="22">
        <v>0</v>
      </c>
    </row>
    <row r="241" spans="6:8" ht="15.5" x14ac:dyDescent="0.35">
      <c r="F241" s="20">
        <v>309415</v>
      </c>
      <c r="G241" s="21" t="s">
        <v>841</v>
      </c>
      <c r="H241" s="22">
        <v>0</v>
      </c>
    </row>
    <row r="242" spans="6:8" ht="15.5" x14ac:dyDescent="0.35">
      <c r="F242" s="20">
        <v>315312</v>
      </c>
      <c r="G242" s="21" t="s">
        <v>842</v>
      </c>
      <c r="H242" s="22">
        <v>0</v>
      </c>
    </row>
    <row r="243" spans="6:8" ht="15.5" x14ac:dyDescent="0.35">
      <c r="F243" s="20">
        <v>305814</v>
      </c>
      <c r="G243" s="21" t="s">
        <v>843</v>
      </c>
      <c r="H243" s="22">
        <v>0</v>
      </c>
    </row>
    <row r="244" spans="6:8" ht="15.5" x14ac:dyDescent="0.35">
      <c r="F244" s="20">
        <v>316229</v>
      </c>
      <c r="G244" s="21" t="s">
        <v>844</v>
      </c>
      <c r="H244" s="22">
        <v>0</v>
      </c>
    </row>
    <row r="245" spans="6:8" ht="15.5" x14ac:dyDescent="0.35">
      <c r="F245" s="20">
        <v>90019594</v>
      </c>
      <c r="G245" s="21" t="s">
        <v>845</v>
      </c>
      <c r="H245" s="22">
        <v>0</v>
      </c>
    </row>
    <row r="246" spans="6:8" ht="15.5" x14ac:dyDescent="0.35">
      <c r="F246" s="20">
        <v>314564</v>
      </c>
      <c r="G246" s="21" t="s">
        <v>846</v>
      </c>
      <c r="H246" s="22">
        <v>0</v>
      </c>
    </row>
    <row r="247" spans="6:8" ht="15.5" x14ac:dyDescent="0.35">
      <c r="F247" s="20">
        <v>312055</v>
      </c>
      <c r="G247" s="21" t="s">
        <v>847</v>
      </c>
      <c r="H247" s="22">
        <v>0</v>
      </c>
    </row>
    <row r="248" spans="6:8" ht="15.5" x14ac:dyDescent="0.35">
      <c r="F248" s="20">
        <v>311086</v>
      </c>
      <c r="G248" s="21" t="s">
        <v>848</v>
      </c>
      <c r="H248" s="22">
        <v>0</v>
      </c>
    </row>
    <row r="249" spans="6:8" ht="15.5" x14ac:dyDescent="0.35">
      <c r="F249" s="20">
        <v>309859</v>
      </c>
      <c r="G249" s="21" t="s">
        <v>849</v>
      </c>
      <c r="H249" s="22">
        <v>0</v>
      </c>
    </row>
    <row r="250" spans="6:8" ht="15.5" x14ac:dyDescent="0.35">
      <c r="F250" s="20">
        <v>90038297</v>
      </c>
      <c r="G250" s="21" t="s">
        <v>850</v>
      </c>
      <c r="H250" s="22">
        <v>0</v>
      </c>
    </row>
    <row r="251" spans="6:8" ht="15.5" x14ac:dyDescent="0.35">
      <c r="F251" s="20">
        <v>90019118</v>
      </c>
      <c r="G251" s="21" t="s">
        <v>851</v>
      </c>
      <c r="H251" s="22">
        <v>0</v>
      </c>
    </row>
    <row r="252" spans="6:8" ht="15.5" x14ac:dyDescent="0.35">
      <c r="F252" s="20">
        <v>315026</v>
      </c>
      <c r="G252" s="21" t="s">
        <v>852</v>
      </c>
      <c r="H252" s="22">
        <v>0</v>
      </c>
    </row>
    <row r="253" spans="6:8" ht="15.5" x14ac:dyDescent="0.35">
      <c r="F253" s="20">
        <v>90012092</v>
      </c>
      <c r="G253" s="21" t="s">
        <v>853</v>
      </c>
      <c r="H253" s="22">
        <v>0</v>
      </c>
    </row>
    <row r="254" spans="6:8" ht="15.5" x14ac:dyDescent="0.35">
      <c r="F254" s="20">
        <v>315679</v>
      </c>
      <c r="G254" s="21" t="s">
        <v>854</v>
      </c>
      <c r="H254" s="22">
        <v>0</v>
      </c>
    </row>
    <row r="255" spans="6:8" ht="15.5" x14ac:dyDescent="0.35">
      <c r="F255" s="20">
        <v>316255</v>
      </c>
      <c r="G255" s="21" t="s">
        <v>855</v>
      </c>
      <c r="H255" s="22">
        <v>0</v>
      </c>
    </row>
    <row r="256" spans="6:8" ht="15.5" x14ac:dyDescent="0.35">
      <c r="F256" s="20">
        <v>314741</v>
      </c>
      <c r="G256" s="21" t="s">
        <v>856</v>
      </c>
      <c r="H256" s="22">
        <v>0</v>
      </c>
    </row>
    <row r="257" spans="6:8" ht="15.5" x14ac:dyDescent="0.35">
      <c r="F257" s="20">
        <v>314696</v>
      </c>
      <c r="G257" s="21" t="s">
        <v>857</v>
      </c>
      <c r="H257" s="22">
        <v>0</v>
      </c>
    </row>
    <row r="258" spans="6:8" ht="15.5" x14ac:dyDescent="0.35">
      <c r="F258" s="20">
        <v>90046642</v>
      </c>
      <c r="G258" s="21" t="s">
        <v>858</v>
      </c>
      <c r="H258" s="22">
        <v>0</v>
      </c>
    </row>
    <row r="259" spans="6:8" ht="15.5" x14ac:dyDescent="0.35">
      <c r="F259" s="20">
        <v>311699</v>
      </c>
      <c r="G259" s="21" t="s">
        <v>859</v>
      </c>
      <c r="H259" s="22">
        <v>0</v>
      </c>
    </row>
    <row r="260" spans="6:8" ht="15.5" x14ac:dyDescent="0.35">
      <c r="F260" s="20">
        <v>315556</v>
      </c>
      <c r="G260" s="21" t="s">
        <v>860</v>
      </c>
      <c r="H260" s="22">
        <v>0</v>
      </c>
    </row>
    <row r="261" spans="6:8" ht="15.5" x14ac:dyDescent="0.35">
      <c r="F261" s="20">
        <v>315121</v>
      </c>
      <c r="G261" s="21" t="s">
        <v>861</v>
      </c>
      <c r="H261" s="22">
        <v>0</v>
      </c>
    </row>
    <row r="262" spans="6:8" ht="15.5" x14ac:dyDescent="0.35">
      <c r="F262" s="20">
        <v>314905</v>
      </c>
      <c r="G262" s="21" t="s">
        <v>862</v>
      </c>
      <c r="H262" s="22">
        <v>0</v>
      </c>
    </row>
    <row r="263" spans="6:8" ht="15.5" x14ac:dyDescent="0.35">
      <c r="F263" s="20">
        <v>90045958</v>
      </c>
      <c r="G263" s="21" t="s">
        <v>863</v>
      </c>
      <c r="H263" s="22">
        <v>0</v>
      </c>
    </row>
    <row r="264" spans="6:8" ht="15.5" x14ac:dyDescent="0.35">
      <c r="F264" s="20">
        <v>316077</v>
      </c>
      <c r="G264" s="21" t="s">
        <v>864</v>
      </c>
      <c r="H264" s="22">
        <v>0</v>
      </c>
    </row>
    <row r="265" spans="6:8" ht="15.5" x14ac:dyDescent="0.35">
      <c r="F265" s="20">
        <v>90035252</v>
      </c>
      <c r="G265" s="21" t="s">
        <v>865</v>
      </c>
      <c r="H265" s="22">
        <v>0</v>
      </c>
    </row>
    <row r="266" spans="6:8" ht="15.5" x14ac:dyDescent="0.35">
      <c r="F266" s="20">
        <v>311557</v>
      </c>
      <c r="G266" s="21" t="s">
        <v>866</v>
      </c>
      <c r="H266" s="22">
        <v>0</v>
      </c>
    </row>
    <row r="267" spans="6:8" ht="15.5" x14ac:dyDescent="0.35">
      <c r="F267" s="20">
        <v>102256</v>
      </c>
      <c r="G267" s="21" t="s">
        <v>867</v>
      </c>
      <c r="H267" s="22">
        <v>0</v>
      </c>
    </row>
    <row r="268" spans="6:8" ht="15.5" x14ac:dyDescent="0.35">
      <c r="F268" s="20">
        <v>315150</v>
      </c>
      <c r="G268" s="21" t="s">
        <v>868</v>
      </c>
      <c r="H268" s="22">
        <v>0</v>
      </c>
    </row>
    <row r="269" spans="6:8" ht="15.5" x14ac:dyDescent="0.35">
      <c r="F269" s="20">
        <v>314522</v>
      </c>
      <c r="G269" s="21" t="s">
        <v>869</v>
      </c>
      <c r="H269" s="22">
        <v>0</v>
      </c>
    </row>
    <row r="270" spans="6:8" ht="15.5" x14ac:dyDescent="0.35">
      <c r="F270" s="20">
        <v>315499</v>
      </c>
      <c r="G270" s="21" t="s">
        <v>870</v>
      </c>
      <c r="H270" s="22">
        <v>0</v>
      </c>
    </row>
    <row r="271" spans="6:8" ht="15.5" x14ac:dyDescent="0.35">
      <c r="F271" s="20">
        <v>309908</v>
      </c>
      <c r="G271" s="21" t="s">
        <v>871</v>
      </c>
      <c r="H271" s="22">
        <v>0</v>
      </c>
    </row>
    <row r="272" spans="6:8" ht="15.5" x14ac:dyDescent="0.35">
      <c r="F272" s="20">
        <v>312327</v>
      </c>
      <c r="G272" s="21" t="s">
        <v>872</v>
      </c>
      <c r="H272" s="22">
        <v>0</v>
      </c>
    </row>
    <row r="273" spans="6:8" ht="15.5" x14ac:dyDescent="0.35">
      <c r="F273" s="20">
        <v>90040541</v>
      </c>
      <c r="G273" s="21" t="s">
        <v>873</v>
      </c>
      <c r="H273" s="22">
        <v>0</v>
      </c>
    </row>
    <row r="274" spans="6:8" ht="15.5" x14ac:dyDescent="0.35">
      <c r="F274" s="20">
        <v>315532</v>
      </c>
      <c r="G274" s="21" t="s">
        <v>874</v>
      </c>
      <c r="H274" s="22">
        <v>0</v>
      </c>
    </row>
    <row r="275" spans="6:8" ht="15.5" x14ac:dyDescent="0.35">
      <c r="F275" s="20">
        <v>90039321</v>
      </c>
      <c r="G275" s="21" t="s">
        <v>875</v>
      </c>
      <c r="H275" s="22">
        <v>0</v>
      </c>
    </row>
    <row r="276" spans="6:8" ht="15.5" x14ac:dyDescent="0.35">
      <c r="F276" s="20">
        <v>90027868</v>
      </c>
      <c r="G276" s="21" t="s">
        <v>876</v>
      </c>
      <c r="H276" s="22">
        <v>0</v>
      </c>
    </row>
    <row r="277" spans="6:8" ht="15.5" x14ac:dyDescent="0.35">
      <c r="F277" s="20">
        <v>90040420</v>
      </c>
      <c r="G277" s="21" t="s">
        <v>877</v>
      </c>
      <c r="H277" s="22">
        <v>0</v>
      </c>
    </row>
    <row r="278" spans="6:8" ht="15.5" x14ac:dyDescent="0.35">
      <c r="F278" s="20">
        <v>310537</v>
      </c>
      <c r="G278" s="21" t="s">
        <v>878</v>
      </c>
      <c r="H278" s="22">
        <v>0</v>
      </c>
    </row>
    <row r="279" spans="6:8" ht="15.5" x14ac:dyDescent="0.35">
      <c r="F279" s="20">
        <v>315493</v>
      </c>
      <c r="G279" s="21" t="s">
        <v>879</v>
      </c>
      <c r="H279" s="22">
        <v>0</v>
      </c>
    </row>
    <row r="280" spans="6:8" ht="15.5" x14ac:dyDescent="0.35">
      <c r="F280" s="20">
        <v>310020</v>
      </c>
      <c r="G280" s="21" t="s">
        <v>880</v>
      </c>
      <c r="H280" s="22">
        <v>0</v>
      </c>
    </row>
    <row r="281" spans="6:8" ht="15.5" x14ac:dyDescent="0.35">
      <c r="F281" s="20">
        <v>309560</v>
      </c>
      <c r="G281" s="21" t="s">
        <v>881</v>
      </c>
      <c r="H281" s="22">
        <v>0</v>
      </c>
    </row>
    <row r="282" spans="6:8" ht="15.5" x14ac:dyDescent="0.35">
      <c r="F282" s="20">
        <v>315277</v>
      </c>
      <c r="G282" s="21" t="s">
        <v>882</v>
      </c>
      <c r="H282" s="22">
        <v>0</v>
      </c>
    </row>
    <row r="283" spans="6:8" ht="15.5" x14ac:dyDescent="0.35">
      <c r="F283" s="20">
        <v>310483</v>
      </c>
      <c r="G283" s="21" t="s">
        <v>883</v>
      </c>
      <c r="H283" s="22">
        <v>0</v>
      </c>
    </row>
    <row r="284" spans="6:8" ht="15.5" x14ac:dyDescent="0.35">
      <c r="F284" s="20">
        <v>309804</v>
      </c>
      <c r="G284" s="21" t="s">
        <v>884</v>
      </c>
      <c r="H284" s="22">
        <v>0</v>
      </c>
    </row>
    <row r="285" spans="6:8" ht="15.5" x14ac:dyDescent="0.35">
      <c r="F285" s="20">
        <v>312146</v>
      </c>
      <c r="G285" s="21" t="s">
        <v>885</v>
      </c>
      <c r="H285" s="22">
        <v>0</v>
      </c>
    </row>
    <row r="286" spans="6:8" ht="15.5" x14ac:dyDescent="0.35">
      <c r="F286" s="20">
        <v>310967</v>
      </c>
      <c r="G286" s="21" t="s">
        <v>886</v>
      </c>
      <c r="H286" s="22">
        <v>0</v>
      </c>
    </row>
    <row r="287" spans="6:8" ht="15.5" x14ac:dyDescent="0.35">
      <c r="F287" s="20">
        <v>316090</v>
      </c>
      <c r="G287" s="21" t="s">
        <v>887</v>
      </c>
      <c r="H287" s="22">
        <v>0</v>
      </c>
    </row>
    <row r="288" spans="6:8" ht="15.5" x14ac:dyDescent="0.35">
      <c r="F288" s="20">
        <v>301426</v>
      </c>
      <c r="G288" s="21" t="s">
        <v>888</v>
      </c>
      <c r="H288" s="22">
        <v>0</v>
      </c>
    </row>
    <row r="289" spans="6:8" ht="15.5" x14ac:dyDescent="0.35">
      <c r="F289" s="20">
        <v>90046808</v>
      </c>
      <c r="G289" s="21" t="s">
        <v>889</v>
      </c>
      <c r="H289" s="22">
        <v>0</v>
      </c>
    </row>
    <row r="290" spans="6:8" ht="15.5" x14ac:dyDescent="0.35">
      <c r="F290" s="20">
        <v>311328</v>
      </c>
      <c r="G290" s="21" t="s">
        <v>890</v>
      </c>
      <c r="H290" s="22">
        <v>0</v>
      </c>
    </row>
    <row r="291" spans="6:8" ht="15.5" x14ac:dyDescent="0.35">
      <c r="F291" s="20">
        <v>315877</v>
      </c>
      <c r="G291" s="21" t="s">
        <v>891</v>
      </c>
      <c r="H291" s="22">
        <v>0</v>
      </c>
    </row>
    <row r="292" spans="6:8" ht="15.5" x14ac:dyDescent="0.35">
      <c r="F292" s="20">
        <v>314277</v>
      </c>
      <c r="G292" s="21" t="s">
        <v>892</v>
      </c>
      <c r="H292" s="22">
        <v>0</v>
      </c>
    </row>
    <row r="293" spans="6:8" ht="15.5" x14ac:dyDescent="0.35">
      <c r="F293" s="20">
        <v>202265</v>
      </c>
      <c r="G293" s="21" t="s">
        <v>893</v>
      </c>
      <c r="H293" s="22">
        <v>0</v>
      </c>
    </row>
    <row r="294" spans="6:8" ht="15.5" x14ac:dyDescent="0.35">
      <c r="F294" s="20">
        <v>314986</v>
      </c>
      <c r="G294" s="21" t="s">
        <v>894</v>
      </c>
      <c r="H294" s="22">
        <v>0</v>
      </c>
    </row>
    <row r="295" spans="6:8" ht="15.5" x14ac:dyDescent="0.35">
      <c r="F295" s="20">
        <v>316381</v>
      </c>
      <c r="G295" s="21" t="s">
        <v>895</v>
      </c>
      <c r="H295" s="22">
        <v>0</v>
      </c>
    </row>
    <row r="296" spans="6:8" ht="15.5" x14ac:dyDescent="0.35">
      <c r="F296" s="20">
        <v>90009266</v>
      </c>
      <c r="G296" s="21" t="s">
        <v>896</v>
      </c>
      <c r="H296" s="22">
        <v>0</v>
      </c>
    </row>
    <row r="297" spans="6:8" ht="15.5" x14ac:dyDescent="0.35">
      <c r="F297" s="20">
        <v>307550</v>
      </c>
      <c r="G297" s="21" t="s">
        <v>897</v>
      </c>
      <c r="H297" s="22">
        <v>0</v>
      </c>
    </row>
    <row r="298" spans="6:8" ht="15.5" x14ac:dyDescent="0.35">
      <c r="F298" s="20">
        <v>314350</v>
      </c>
      <c r="G298" s="21" t="s">
        <v>898</v>
      </c>
      <c r="H298" s="22">
        <v>0</v>
      </c>
    </row>
    <row r="299" spans="6:8" ht="15.5" x14ac:dyDescent="0.35">
      <c r="F299" s="20">
        <v>313666</v>
      </c>
      <c r="G299" s="21" t="s">
        <v>899</v>
      </c>
      <c r="H299" s="22">
        <v>0</v>
      </c>
    </row>
    <row r="300" spans="6:8" ht="15.5" x14ac:dyDescent="0.35">
      <c r="F300" s="20">
        <v>315316</v>
      </c>
      <c r="G300" s="21" t="s">
        <v>900</v>
      </c>
      <c r="H300" s="22">
        <v>0</v>
      </c>
    </row>
    <row r="301" spans="6:8" ht="15.5" x14ac:dyDescent="0.35">
      <c r="F301" s="20">
        <v>315388</v>
      </c>
      <c r="G301" s="21" t="s">
        <v>901</v>
      </c>
      <c r="H301" s="22">
        <v>0</v>
      </c>
    </row>
    <row r="302" spans="6:8" ht="15.5" x14ac:dyDescent="0.35">
      <c r="F302" s="20">
        <v>314730</v>
      </c>
      <c r="G302" s="21" t="s">
        <v>902</v>
      </c>
      <c r="H302" s="22">
        <v>0</v>
      </c>
    </row>
    <row r="303" spans="6:8" ht="15.5" x14ac:dyDescent="0.35">
      <c r="F303" s="20">
        <v>307506</v>
      </c>
      <c r="G303" s="21" t="s">
        <v>903</v>
      </c>
      <c r="H303" s="22">
        <v>0</v>
      </c>
    </row>
    <row r="304" spans="6:8" ht="15.5" x14ac:dyDescent="0.35">
      <c r="F304" s="20">
        <v>315271</v>
      </c>
      <c r="G304" s="21" t="s">
        <v>904</v>
      </c>
      <c r="H304" s="22">
        <v>0</v>
      </c>
    </row>
    <row r="305" spans="6:8" ht="15.5" x14ac:dyDescent="0.35">
      <c r="F305" s="20">
        <v>308798</v>
      </c>
      <c r="G305" s="21" t="s">
        <v>905</v>
      </c>
      <c r="H305" s="22">
        <v>0</v>
      </c>
    </row>
    <row r="306" spans="6:8" ht="15.5" x14ac:dyDescent="0.35">
      <c r="F306" s="20">
        <v>90019192</v>
      </c>
      <c r="G306" s="21" t="s">
        <v>906</v>
      </c>
      <c r="H306" s="22">
        <v>0</v>
      </c>
    </row>
    <row r="307" spans="6:8" ht="15.5" x14ac:dyDescent="0.35">
      <c r="F307" s="20">
        <v>90019415</v>
      </c>
      <c r="G307" s="21" t="s">
        <v>907</v>
      </c>
      <c r="H307" s="22">
        <v>0</v>
      </c>
    </row>
    <row r="308" spans="6:8" ht="15.5" x14ac:dyDescent="0.35">
      <c r="F308" s="20">
        <v>313155</v>
      </c>
      <c r="G308" s="21" t="s">
        <v>908</v>
      </c>
      <c r="H308" s="22">
        <v>0</v>
      </c>
    </row>
    <row r="309" spans="6:8" ht="15.5" x14ac:dyDescent="0.35">
      <c r="F309" s="20">
        <v>307068</v>
      </c>
      <c r="G309" s="21" t="s">
        <v>909</v>
      </c>
      <c r="H309" s="22">
        <v>0</v>
      </c>
    </row>
    <row r="310" spans="6:8" ht="15.5" x14ac:dyDescent="0.35">
      <c r="F310" s="20">
        <v>313706</v>
      </c>
      <c r="G310" s="21" t="s">
        <v>910</v>
      </c>
      <c r="H310" s="22">
        <v>0</v>
      </c>
    </row>
    <row r="311" spans="6:8" ht="15.5" x14ac:dyDescent="0.35">
      <c r="F311" s="20">
        <v>315693</v>
      </c>
      <c r="G311" s="21" t="s">
        <v>911</v>
      </c>
      <c r="H311" s="22">
        <v>0</v>
      </c>
    </row>
    <row r="312" spans="6:8" ht="15.5" x14ac:dyDescent="0.35">
      <c r="F312" s="20">
        <v>315454</v>
      </c>
      <c r="G312" s="21" t="s">
        <v>912</v>
      </c>
      <c r="H312" s="22">
        <v>0</v>
      </c>
    </row>
    <row r="313" spans="6:8" ht="15.5" x14ac:dyDescent="0.35">
      <c r="F313" s="20">
        <v>90028293</v>
      </c>
      <c r="G313" s="21" t="s">
        <v>913</v>
      </c>
      <c r="H313" s="22">
        <v>0</v>
      </c>
    </row>
    <row r="314" spans="6:8" ht="15.5" x14ac:dyDescent="0.35">
      <c r="F314" s="20">
        <v>311943</v>
      </c>
      <c r="G314" s="21" t="s">
        <v>914</v>
      </c>
      <c r="H314" s="22">
        <v>0</v>
      </c>
    </row>
    <row r="315" spans="6:8" ht="15.5" x14ac:dyDescent="0.35">
      <c r="F315" s="20">
        <v>311141</v>
      </c>
      <c r="G315" s="21" t="s">
        <v>915</v>
      </c>
      <c r="H315" s="22">
        <v>0</v>
      </c>
    </row>
    <row r="316" spans="6:8" ht="15.5" x14ac:dyDescent="0.35">
      <c r="F316" s="20">
        <v>312544</v>
      </c>
      <c r="G316" s="21" t="s">
        <v>916</v>
      </c>
      <c r="H316" s="22">
        <v>0</v>
      </c>
    </row>
    <row r="317" spans="6:8" ht="15.5" x14ac:dyDescent="0.35">
      <c r="F317" s="20">
        <v>309965</v>
      </c>
      <c r="G317" s="21" t="s">
        <v>917</v>
      </c>
      <c r="H317" s="22">
        <v>0</v>
      </c>
    </row>
    <row r="318" spans="6:8" ht="15.5" x14ac:dyDescent="0.35">
      <c r="F318" s="20">
        <v>313675</v>
      </c>
      <c r="G318" s="21" t="s">
        <v>918</v>
      </c>
      <c r="H318" s="22">
        <v>0</v>
      </c>
    </row>
    <row r="319" spans="6:8" ht="15.5" x14ac:dyDescent="0.35">
      <c r="F319" s="20">
        <v>316161</v>
      </c>
      <c r="G319" s="21" t="s">
        <v>919</v>
      </c>
      <c r="H319" s="22">
        <v>0</v>
      </c>
    </row>
    <row r="320" spans="6:8" ht="15.5" x14ac:dyDescent="0.35">
      <c r="F320" s="20">
        <v>311623</v>
      </c>
      <c r="G320" s="21" t="s">
        <v>920</v>
      </c>
      <c r="H320" s="22">
        <v>0</v>
      </c>
    </row>
    <row r="321" spans="6:8" ht="15.5" x14ac:dyDescent="0.35">
      <c r="F321" s="20">
        <v>90023865</v>
      </c>
      <c r="G321" s="21" t="s">
        <v>921</v>
      </c>
      <c r="H321" s="22">
        <v>0</v>
      </c>
    </row>
    <row r="322" spans="6:8" ht="15.5" x14ac:dyDescent="0.35">
      <c r="F322" s="20">
        <v>312483</v>
      </c>
      <c r="G322" s="21" t="s">
        <v>922</v>
      </c>
      <c r="H322" s="22">
        <v>0</v>
      </c>
    </row>
    <row r="323" spans="6:8" ht="15.5" x14ac:dyDescent="0.35">
      <c r="F323" s="20">
        <v>314219</v>
      </c>
      <c r="G323" s="21" t="s">
        <v>923</v>
      </c>
      <c r="H323" s="22">
        <v>0</v>
      </c>
    </row>
    <row r="324" spans="6:8" ht="15.5" x14ac:dyDescent="0.35">
      <c r="F324" s="20">
        <v>314495</v>
      </c>
      <c r="G324" s="21" t="s">
        <v>924</v>
      </c>
      <c r="H324" s="22">
        <v>0</v>
      </c>
    </row>
    <row r="325" spans="6:8" ht="15.5" x14ac:dyDescent="0.35">
      <c r="F325" s="20">
        <v>310116</v>
      </c>
      <c r="G325" s="21" t="s">
        <v>925</v>
      </c>
      <c r="H325" s="22">
        <v>0</v>
      </c>
    </row>
    <row r="326" spans="6:8" ht="15.5" x14ac:dyDescent="0.35">
      <c r="F326" s="20">
        <v>312164</v>
      </c>
      <c r="G326" s="21" t="s">
        <v>926</v>
      </c>
      <c r="H326" s="22">
        <v>0</v>
      </c>
    </row>
    <row r="327" spans="6:8" ht="15.5" x14ac:dyDescent="0.35">
      <c r="F327" s="20">
        <v>314695</v>
      </c>
      <c r="G327" s="21" t="s">
        <v>927</v>
      </c>
      <c r="H327" s="22">
        <v>0</v>
      </c>
    </row>
    <row r="328" spans="6:8" ht="15.5" x14ac:dyDescent="0.35">
      <c r="F328" s="20">
        <v>305070</v>
      </c>
      <c r="G328" s="21" t="s">
        <v>928</v>
      </c>
      <c r="H328" s="22">
        <v>0</v>
      </c>
    </row>
    <row r="329" spans="6:8" ht="15.5" x14ac:dyDescent="0.35">
      <c r="F329" s="20">
        <v>311595</v>
      </c>
      <c r="G329" s="21" t="s">
        <v>929</v>
      </c>
      <c r="H329" s="22">
        <v>0</v>
      </c>
    </row>
    <row r="330" spans="6:8" ht="15.5" x14ac:dyDescent="0.35">
      <c r="F330" s="20">
        <v>314496</v>
      </c>
      <c r="G330" s="21" t="s">
        <v>930</v>
      </c>
      <c r="H330" s="22">
        <v>0</v>
      </c>
    </row>
    <row r="331" spans="6:8" ht="15.5" x14ac:dyDescent="0.35">
      <c r="F331" s="20">
        <v>310463</v>
      </c>
      <c r="G331" s="21" t="s">
        <v>931</v>
      </c>
      <c r="H331" s="22">
        <v>0</v>
      </c>
    </row>
    <row r="332" spans="6:8" ht="15.5" x14ac:dyDescent="0.35">
      <c r="F332" s="20">
        <v>312093</v>
      </c>
      <c r="G332" s="21" t="s">
        <v>932</v>
      </c>
      <c r="H332" s="22">
        <v>0</v>
      </c>
    </row>
    <row r="333" spans="6:8" ht="15.5" x14ac:dyDescent="0.35">
      <c r="F333" s="20">
        <v>90040131</v>
      </c>
      <c r="G333" s="21" t="s">
        <v>933</v>
      </c>
      <c r="H333" s="22">
        <v>0</v>
      </c>
    </row>
    <row r="334" spans="6:8" ht="15.5" x14ac:dyDescent="0.35">
      <c r="F334" s="20">
        <v>315542</v>
      </c>
      <c r="G334" s="21" t="s">
        <v>934</v>
      </c>
      <c r="H334" s="22">
        <v>0</v>
      </c>
    </row>
    <row r="335" spans="6:8" ht="15.5" x14ac:dyDescent="0.35">
      <c r="F335" s="20">
        <v>90040632</v>
      </c>
      <c r="G335" s="21" t="s">
        <v>935</v>
      </c>
      <c r="H335" s="22">
        <v>0</v>
      </c>
    </row>
    <row r="336" spans="6:8" ht="15.5" x14ac:dyDescent="0.35">
      <c r="F336" s="20">
        <v>90039821</v>
      </c>
      <c r="G336" s="21" t="s">
        <v>936</v>
      </c>
      <c r="H336" s="22">
        <v>0</v>
      </c>
    </row>
    <row r="337" spans="6:8" ht="15.5" x14ac:dyDescent="0.35">
      <c r="F337" s="20">
        <v>313655</v>
      </c>
      <c r="G337" s="21" t="s">
        <v>937</v>
      </c>
      <c r="H337" s="22">
        <v>0</v>
      </c>
    </row>
    <row r="338" spans="6:8" ht="15.5" x14ac:dyDescent="0.35">
      <c r="F338" s="20">
        <v>311035</v>
      </c>
      <c r="G338" s="21" t="s">
        <v>938</v>
      </c>
      <c r="H338" s="22">
        <v>0</v>
      </c>
    </row>
    <row r="339" spans="6:8" ht="15.5" x14ac:dyDescent="0.35">
      <c r="F339" s="20">
        <v>90033943</v>
      </c>
      <c r="G339" s="21" t="s">
        <v>939</v>
      </c>
      <c r="H339" s="22">
        <v>0</v>
      </c>
    </row>
    <row r="340" spans="6:8" ht="15.5" x14ac:dyDescent="0.35">
      <c r="F340" s="20">
        <v>314928</v>
      </c>
      <c r="G340" s="21" t="s">
        <v>940</v>
      </c>
      <c r="H340" s="22">
        <v>0</v>
      </c>
    </row>
    <row r="341" spans="6:8" ht="15.5" x14ac:dyDescent="0.35">
      <c r="F341" s="20">
        <v>313852</v>
      </c>
      <c r="G341" s="21" t="s">
        <v>941</v>
      </c>
      <c r="H341" s="22">
        <v>0</v>
      </c>
    </row>
    <row r="342" spans="6:8" ht="15.5" x14ac:dyDescent="0.35">
      <c r="F342" s="20">
        <v>90034295</v>
      </c>
      <c r="G342" s="21" t="s">
        <v>942</v>
      </c>
      <c r="H342" s="22">
        <v>0</v>
      </c>
    </row>
    <row r="343" spans="6:8" ht="15.5" x14ac:dyDescent="0.35">
      <c r="F343" s="20">
        <v>90038385</v>
      </c>
      <c r="G343" s="21" t="s">
        <v>943</v>
      </c>
      <c r="H343" s="22">
        <v>0</v>
      </c>
    </row>
    <row r="344" spans="6:8" ht="15.5" x14ac:dyDescent="0.35">
      <c r="F344" s="20">
        <v>315227</v>
      </c>
      <c r="G344" s="21" t="s">
        <v>944</v>
      </c>
      <c r="H344" s="22">
        <v>0</v>
      </c>
    </row>
    <row r="345" spans="6:8" ht="15.5" x14ac:dyDescent="0.35">
      <c r="F345" s="20">
        <v>311689</v>
      </c>
      <c r="G345" s="21" t="s">
        <v>945</v>
      </c>
      <c r="H345" s="22">
        <v>0</v>
      </c>
    </row>
    <row r="346" spans="6:8" ht="15.5" x14ac:dyDescent="0.35">
      <c r="F346" s="20">
        <v>90012124</v>
      </c>
      <c r="G346" s="21" t="s">
        <v>946</v>
      </c>
      <c r="H346" s="22">
        <v>0</v>
      </c>
    </row>
    <row r="347" spans="6:8" ht="15.5" x14ac:dyDescent="0.35">
      <c r="F347" s="20">
        <v>314853</v>
      </c>
      <c r="G347" s="21" t="s">
        <v>947</v>
      </c>
      <c r="H347" s="22">
        <v>0</v>
      </c>
    </row>
    <row r="348" spans="6:8" ht="15.5" x14ac:dyDescent="0.35">
      <c r="F348" s="20">
        <v>310812</v>
      </c>
      <c r="G348" s="21" t="s">
        <v>948</v>
      </c>
      <c r="H348" s="22">
        <v>0</v>
      </c>
    </row>
    <row r="349" spans="6:8" ht="15.5" x14ac:dyDescent="0.35">
      <c r="F349" s="20">
        <v>316342</v>
      </c>
      <c r="G349" s="21" t="s">
        <v>949</v>
      </c>
      <c r="H349" s="22">
        <v>0</v>
      </c>
    </row>
    <row r="350" spans="6:8" ht="15.5" x14ac:dyDescent="0.35">
      <c r="F350" s="20">
        <v>90014221</v>
      </c>
      <c r="G350" s="21" t="s">
        <v>950</v>
      </c>
      <c r="H350" s="22">
        <v>0</v>
      </c>
    </row>
    <row r="351" spans="6:8" ht="15.5" x14ac:dyDescent="0.35">
      <c r="F351" s="20">
        <v>90033553</v>
      </c>
      <c r="G351" s="21" t="s">
        <v>951</v>
      </c>
      <c r="H351" s="22">
        <v>0</v>
      </c>
    </row>
    <row r="352" spans="6:8" ht="15.5" x14ac:dyDescent="0.35">
      <c r="F352" s="20">
        <v>315698</v>
      </c>
      <c r="G352" s="21" t="s">
        <v>952</v>
      </c>
      <c r="H352" s="22">
        <v>0</v>
      </c>
    </row>
    <row r="353" spans="6:8" ht="15.5" x14ac:dyDescent="0.35">
      <c r="F353" s="20">
        <v>9033891</v>
      </c>
      <c r="G353" s="21" t="s">
        <v>953</v>
      </c>
      <c r="H353" s="22">
        <v>0</v>
      </c>
    </row>
    <row r="354" spans="6:8" ht="15.5" x14ac:dyDescent="0.35">
      <c r="F354" s="20">
        <v>90033891</v>
      </c>
      <c r="G354" s="21" t="s">
        <v>954</v>
      </c>
      <c r="H354" s="22">
        <v>0</v>
      </c>
    </row>
    <row r="355" spans="6:8" ht="15.5" x14ac:dyDescent="0.35">
      <c r="F355" s="20">
        <v>308857</v>
      </c>
      <c r="G355" s="21" t="s">
        <v>955</v>
      </c>
      <c r="H355" s="22">
        <v>0</v>
      </c>
    </row>
    <row r="356" spans="6:8" ht="15.5" x14ac:dyDescent="0.35">
      <c r="F356" s="20">
        <v>305633</v>
      </c>
      <c r="G356" s="21" t="s">
        <v>956</v>
      </c>
      <c r="H356" s="22">
        <v>0</v>
      </c>
    </row>
    <row r="357" spans="6:8" ht="15.5" x14ac:dyDescent="0.35">
      <c r="F357" s="20">
        <v>311220</v>
      </c>
      <c r="G357" s="21" t="s">
        <v>957</v>
      </c>
      <c r="H357" s="22">
        <v>0</v>
      </c>
    </row>
    <row r="358" spans="6:8" ht="15.5" x14ac:dyDescent="0.35">
      <c r="F358" s="20">
        <v>314642</v>
      </c>
      <c r="G358" s="21" t="s">
        <v>958</v>
      </c>
      <c r="H358" s="22">
        <v>0</v>
      </c>
    </row>
    <row r="359" spans="6:8" ht="15.5" x14ac:dyDescent="0.35">
      <c r="F359" s="20">
        <v>304427</v>
      </c>
      <c r="G359" s="21" t="s">
        <v>959</v>
      </c>
      <c r="H359" s="22">
        <v>0</v>
      </c>
    </row>
    <row r="360" spans="6:8" ht="15.5" x14ac:dyDescent="0.35">
      <c r="F360" s="20">
        <v>315536</v>
      </c>
      <c r="G360" s="21" t="s">
        <v>960</v>
      </c>
      <c r="H360" s="22">
        <v>0</v>
      </c>
    </row>
    <row r="361" spans="6:8" ht="15.5" x14ac:dyDescent="0.35">
      <c r="F361" s="20">
        <v>860486</v>
      </c>
      <c r="G361" s="21" t="s">
        <v>961</v>
      </c>
      <c r="H361" s="22">
        <v>0</v>
      </c>
    </row>
    <row r="362" spans="6:8" ht="15.5" x14ac:dyDescent="0.35">
      <c r="F362" s="20">
        <v>310019</v>
      </c>
      <c r="G362" s="21" t="s">
        <v>962</v>
      </c>
      <c r="H362" s="22">
        <v>0</v>
      </c>
    </row>
    <row r="363" spans="6:8" ht="15.5" x14ac:dyDescent="0.35">
      <c r="F363" s="20">
        <v>301074</v>
      </c>
      <c r="G363" s="21" t="s">
        <v>963</v>
      </c>
      <c r="H363" s="22">
        <v>0</v>
      </c>
    </row>
    <row r="364" spans="6:8" ht="15.5" x14ac:dyDescent="0.35">
      <c r="F364" s="20">
        <v>313843</v>
      </c>
      <c r="G364" s="21" t="s">
        <v>964</v>
      </c>
      <c r="H364" s="22">
        <v>0</v>
      </c>
    </row>
    <row r="365" spans="6:8" ht="15.5" x14ac:dyDescent="0.35">
      <c r="F365" s="20">
        <v>309042</v>
      </c>
      <c r="G365" s="21" t="s">
        <v>965</v>
      </c>
      <c r="H365" s="22">
        <v>0</v>
      </c>
    </row>
    <row r="366" spans="6:8" ht="15.5" x14ac:dyDescent="0.35">
      <c r="F366" s="20">
        <v>306259</v>
      </c>
      <c r="G366" s="21" t="s">
        <v>966</v>
      </c>
      <c r="H366" s="22">
        <v>0</v>
      </c>
    </row>
    <row r="367" spans="6:8" ht="15.5" x14ac:dyDescent="0.35">
      <c r="F367" s="20">
        <v>90048641</v>
      </c>
      <c r="G367" s="21" t="s">
        <v>967</v>
      </c>
      <c r="H367" s="22">
        <v>0</v>
      </c>
    </row>
    <row r="368" spans="6:8" ht="15.5" x14ac:dyDescent="0.35">
      <c r="F368" s="20">
        <v>316139</v>
      </c>
      <c r="G368" s="21" t="s">
        <v>968</v>
      </c>
      <c r="H368" s="22">
        <v>0</v>
      </c>
    </row>
    <row r="369" spans="6:8" ht="15.5" x14ac:dyDescent="0.35">
      <c r="F369" s="20">
        <v>314304</v>
      </c>
      <c r="G369" s="21" t="s">
        <v>969</v>
      </c>
      <c r="H369" s="22">
        <v>0</v>
      </c>
    </row>
    <row r="370" spans="6:8" ht="15.5" x14ac:dyDescent="0.35">
      <c r="F370" s="20">
        <v>90016326</v>
      </c>
      <c r="G370" s="21" t="s">
        <v>970</v>
      </c>
      <c r="H370" s="22">
        <v>0</v>
      </c>
    </row>
    <row r="371" spans="6:8" ht="15.5" x14ac:dyDescent="0.35">
      <c r="F371" s="20">
        <v>315398</v>
      </c>
      <c r="G371" s="21" t="s">
        <v>971</v>
      </c>
      <c r="H371" s="22">
        <v>0</v>
      </c>
    </row>
    <row r="372" spans="6:8" ht="15.5" x14ac:dyDescent="0.35">
      <c r="F372" s="20">
        <v>313436</v>
      </c>
      <c r="G372" s="21" t="s">
        <v>972</v>
      </c>
      <c r="H372" s="22">
        <v>0</v>
      </c>
    </row>
    <row r="373" spans="6:8" ht="15.5" x14ac:dyDescent="0.35">
      <c r="F373" s="20">
        <v>310691</v>
      </c>
      <c r="G373" s="21" t="s">
        <v>973</v>
      </c>
      <c r="H373" s="22">
        <v>0</v>
      </c>
    </row>
    <row r="374" spans="6:8" ht="15.5" x14ac:dyDescent="0.35">
      <c r="F374" s="20">
        <v>314290</v>
      </c>
      <c r="G374" s="21" t="s">
        <v>974</v>
      </c>
      <c r="H374" s="22">
        <v>0</v>
      </c>
    </row>
    <row r="375" spans="6:8" ht="15.5" x14ac:dyDescent="0.35">
      <c r="F375" s="20">
        <v>90049042</v>
      </c>
      <c r="G375" s="21" t="s">
        <v>975</v>
      </c>
      <c r="H375" s="22">
        <v>0</v>
      </c>
    </row>
    <row r="376" spans="6:8" ht="15.5" x14ac:dyDescent="0.35">
      <c r="F376" s="20">
        <v>315893</v>
      </c>
      <c r="G376" s="21" t="s">
        <v>976</v>
      </c>
      <c r="H376" s="22">
        <v>0</v>
      </c>
    </row>
    <row r="377" spans="6:8" ht="15.5" x14ac:dyDescent="0.35">
      <c r="F377" s="20">
        <v>90024675</v>
      </c>
      <c r="G377" s="21" t="s">
        <v>977</v>
      </c>
      <c r="H377" s="22">
        <v>0</v>
      </c>
    </row>
    <row r="378" spans="6:8" ht="15.5" x14ac:dyDescent="0.35">
      <c r="F378" s="20">
        <v>310326</v>
      </c>
      <c r="G378" s="21" t="s">
        <v>978</v>
      </c>
      <c r="H378" s="22">
        <v>0</v>
      </c>
    </row>
    <row r="379" spans="6:8" ht="15.5" x14ac:dyDescent="0.35">
      <c r="F379" s="20">
        <v>315133</v>
      </c>
      <c r="G379" s="21" t="s">
        <v>979</v>
      </c>
      <c r="H379" s="22">
        <v>0</v>
      </c>
    </row>
    <row r="380" spans="6:8" ht="15.5" x14ac:dyDescent="0.35">
      <c r="F380" s="20">
        <v>315743</v>
      </c>
      <c r="G380" s="21" t="s">
        <v>980</v>
      </c>
      <c r="H380" s="22">
        <v>0</v>
      </c>
    </row>
    <row r="381" spans="6:8" ht="15.5" x14ac:dyDescent="0.35">
      <c r="F381" s="20">
        <v>314080</v>
      </c>
      <c r="G381" s="21" t="s">
        <v>981</v>
      </c>
      <c r="H381" s="22">
        <v>0</v>
      </c>
    </row>
    <row r="382" spans="6:8" ht="15.5" x14ac:dyDescent="0.35">
      <c r="F382" s="20">
        <v>303716</v>
      </c>
      <c r="G382" s="21" t="s">
        <v>982</v>
      </c>
      <c r="H382" s="22">
        <v>0</v>
      </c>
    </row>
    <row r="383" spans="6:8" ht="15.5" x14ac:dyDescent="0.35">
      <c r="F383" s="20">
        <v>314726</v>
      </c>
      <c r="G383" s="21" t="s">
        <v>983</v>
      </c>
      <c r="H383" s="22">
        <v>0</v>
      </c>
    </row>
    <row r="384" spans="6:8" ht="15.5" x14ac:dyDescent="0.35">
      <c r="F384" s="20">
        <v>90038373</v>
      </c>
      <c r="G384" s="21" t="s">
        <v>984</v>
      </c>
      <c r="H384" s="22">
        <v>0</v>
      </c>
    </row>
    <row r="385" spans="6:8" ht="15.5" x14ac:dyDescent="0.35">
      <c r="F385" s="20">
        <v>307335</v>
      </c>
      <c r="G385" s="21" t="s">
        <v>985</v>
      </c>
      <c r="H385" s="22">
        <v>0</v>
      </c>
    </row>
    <row r="386" spans="6:8" ht="15.5" x14ac:dyDescent="0.35">
      <c r="F386" s="20">
        <v>90035045</v>
      </c>
      <c r="G386" s="21" t="s">
        <v>986</v>
      </c>
      <c r="H386" s="22">
        <v>0</v>
      </c>
    </row>
    <row r="387" spans="6:8" ht="15.5" x14ac:dyDescent="0.35">
      <c r="F387" s="20">
        <v>315690</v>
      </c>
      <c r="G387" s="21" t="s">
        <v>987</v>
      </c>
      <c r="H387" s="22">
        <v>0</v>
      </c>
    </row>
    <row r="388" spans="6:8" ht="15.5" x14ac:dyDescent="0.35">
      <c r="F388" s="20">
        <v>314864</v>
      </c>
      <c r="G388" s="21" t="s">
        <v>988</v>
      </c>
      <c r="H388" s="22">
        <v>0</v>
      </c>
    </row>
    <row r="389" spans="6:8" ht="15.5" x14ac:dyDescent="0.35">
      <c r="F389" s="20">
        <v>303766</v>
      </c>
      <c r="G389" s="21" t="s">
        <v>989</v>
      </c>
      <c r="H389" s="22">
        <v>0</v>
      </c>
    </row>
    <row r="390" spans="6:8" ht="15.5" x14ac:dyDescent="0.35">
      <c r="F390" s="20">
        <v>313985</v>
      </c>
      <c r="G390" s="21" t="s">
        <v>990</v>
      </c>
      <c r="H390" s="22">
        <v>0</v>
      </c>
    </row>
    <row r="391" spans="6:8" ht="15.5" x14ac:dyDescent="0.35">
      <c r="F391" s="20">
        <v>313648</v>
      </c>
      <c r="G391" s="21" t="s">
        <v>991</v>
      </c>
      <c r="H391" s="22">
        <v>0</v>
      </c>
    </row>
    <row r="392" spans="6:8" ht="15.5" x14ac:dyDescent="0.35">
      <c r="F392" s="20">
        <v>315029</v>
      </c>
      <c r="G392" s="21" t="s">
        <v>992</v>
      </c>
      <c r="H392" s="22">
        <v>0</v>
      </c>
    </row>
    <row r="393" spans="6:8" ht="15.5" x14ac:dyDescent="0.35">
      <c r="F393" s="20">
        <v>90023720</v>
      </c>
      <c r="G393" s="21" t="s">
        <v>993</v>
      </c>
      <c r="H393" s="22">
        <v>0</v>
      </c>
    </row>
    <row r="394" spans="6:8" ht="15.5" x14ac:dyDescent="0.35">
      <c r="F394" s="20">
        <v>90034378</v>
      </c>
      <c r="G394" s="21" t="s">
        <v>994</v>
      </c>
      <c r="H394" s="22">
        <v>0</v>
      </c>
    </row>
    <row r="395" spans="6:8" ht="15.5" x14ac:dyDescent="0.35">
      <c r="F395" s="20">
        <v>309787</v>
      </c>
      <c r="G395" s="21" t="s">
        <v>995</v>
      </c>
      <c r="H395" s="22">
        <v>0</v>
      </c>
    </row>
    <row r="396" spans="6:8" ht="15.5" x14ac:dyDescent="0.35">
      <c r="F396" s="20">
        <v>315267</v>
      </c>
      <c r="G396" s="21" t="s">
        <v>996</v>
      </c>
      <c r="H396" s="22">
        <v>0</v>
      </c>
    </row>
    <row r="397" spans="6:8" ht="15.5" x14ac:dyDescent="0.35">
      <c r="F397" s="20">
        <v>314451</v>
      </c>
      <c r="G397" s="21" t="s">
        <v>997</v>
      </c>
      <c r="H397" s="22">
        <v>0</v>
      </c>
    </row>
    <row r="398" spans="6:8" ht="15.5" x14ac:dyDescent="0.35">
      <c r="F398" s="20">
        <v>312153</v>
      </c>
      <c r="G398" s="21" t="s">
        <v>998</v>
      </c>
      <c r="H398" s="22">
        <v>0</v>
      </c>
    </row>
    <row r="399" spans="6:8" ht="15.5" x14ac:dyDescent="0.35">
      <c r="F399" s="20">
        <v>315125</v>
      </c>
      <c r="G399" s="21" t="s">
        <v>999</v>
      </c>
      <c r="H399" s="22">
        <v>0</v>
      </c>
    </row>
    <row r="400" spans="6:8" ht="15.5" x14ac:dyDescent="0.35">
      <c r="F400" s="20">
        <v>314135</v>
      </c>
      <c r="G400" s="21" t="s">
        <v>1000</v>
      </c>
      <c r="H400" s="22">
        <v>0</v>
      </c>
    </row>
    <row r="401" spans="6:11" ht="15.5" x14ac:dyDescent="0.35">
      <c r="F401" s="20">
        <v>300358</v>
      </c>
      <c r="G401" s="21" t="s">
        <v>1001</v>
      </c>
      <c r="H401" s="22">
        <v>0</v>
      </c>
    </row>
    <row r="402" spans="6:11" ht="15.5" x14ac:dyDescent="0.35">
      <c r="F402" s="20">
        <v>315422</v>
      </c>
      <c r="G402" s="21" t="s">
        <v>1002</v>
      </c>
      <c r="H402" s="22">
        <v>0</v>
      </c>
    </row>
    <row r="403" spans="6:11" ht="15.5" x14ac:dyDescent="0.35">
      <c r="F403" s="20">
        <v>315051</v>
      </c>
      <c r="G403" s="21" t="s">
        <v>1003</v>
      </c>
      <c r="H403" s="22">
        <v>0</v>
      </c>
      <c r="K403" t="s">
        <v>1004</v>
      </c>
    </row>
    <row r="404" spans="6:11" ht="15.5" x14ac:dyDescent="0.35">
      <c r="F404" s="20">
        <v>309822</v>
      </c>
      <c r="G404" s="21" t="s">
        <v>1005</v>
      </c>
      <c r="H404" s="22">
        <v>0</v>
      </c>
      <c r="K404" t="s">
        <v>1004</v>
      </c>
    </row>
    <row r="405" spans="6:11" ht="15.5" x14ac:dyDescent="0.35">
      <c r="F405" s="20">
        <v>90040281</v>
      </c>
      <c r="G405" s="21" t="s">
        <v>1006</v>
      </c>
      <c r="H405" s="22">
        <v>0</v>
      </c>
      <c r="K405" t="s">
        <v>1004</v>
      </c>
    </row>
    <row r="406" spans="6:11" ht="15.5" x14ac:dyDescent="0.35">
      <c r="F406" s="20">
        <v>302371</v>
      </c>
      <c r="G406" s="21" t="s">
        <v>1007</v>
      </c>
      <c r="H406" s="22">
        <v>0</v>
      </c>
      <c r="K406" t="s">
        <v>1004</v>
      </c>
    </row>
    <row r="407" spans="6:11" ht="15.5" x14ac:dyDescent="0.35">
      <c r="F407" s="20">
        <v>90040568</v>
      </c>
      <c r="G407" s="21" t="s">
        <v>1008</v>
      </c>
      <c r="H407" s="22">
        <v>0</v>
      </c>
      <c r="K407" t="s">
        <v>1004</v>
      </c>
    </row>
    <row r="408" spans="6:11" ht="15.5" x14ac:dyDescent="0.35">
      <c r="F408" s="20">
        <v>314836</v>
      </c>
      <c r="G408" s="21" t="s">
        <v>1009</v>
      </c>
      <c r="H408" s="22">
        <v>0</v>
      </c>
      <c r="K408" t="s">
        <v>1004</v>
      </c>
    </row>
    <row r="409" spans="6:11" ht="15.5" x14ac:dyDescent="0.35">
      <c r="F409" s="20">
        <v>314738</v>
      </c>
      <c r="G409" s="21" t="s">
        <v>1010</v>
      </c>
      <c r="H409" s="22">
        <v>0</v>
      </c>
      <c r="K409" t="s">
        <v>1004</v>
      </c>
    </row>
    <row r="410" spans="6:11" ht="15.5" x14ac:dyDescent="0.35">
      <c r="F410" s="20">
        <v>315301</v>
      </c>
      <c r="G410" s="21" t="s">
        <v>1011</v>
      </c>
      <c r="H410" s="22">
        <v>0</v>
      </c>
      <c r="K410" t="s">
        <v>1004</v>
      </c>
    </row>
    <row r="411" spans="6:11" ht="15.5" x14ac:dyDescent="0.35">
      <c r="F411" s="20">
        <v>90040530</v>
      </c>
      <c r="G411" s="21" t="s">
        <v>1012</v>
      </c>
      <c r="H411" s="22">
        <v>0</v>
      </c>
      <c r="K411" t="s">
        <v>1004</v>
      </c>
    </row>
    <row r="412" spans="6:11" ht="15.5" x14ac:dyDescent="0.35">
      <c r="F412" s="20">
        <v>315158</v>
      </c>
      <c r="G412" s="21" t="s">
        <v>1013</v>
      </c>
      <c r="H412" s="22">
        <v>0</v>
      </c>
      <c r="K412" t="s">
        <v>1004</v>
      </c>
    </row>
    <row r="413" spans="6:11" ht="15.5" x14ac:dyDescent="0.35">
      <c r="F413" s="20">
        <v>90019985</v>
      </c>
      <c r="G413" s="21" t="s">
        <v>1014</v>
      </c>
      <c r="H413" s="22">
        <v>0</v>
      </c>
    </row>
    <row r="414" spans="6:11" ht="15.5" x14ac:dyDescent="0.35">
      <c r="F414" s="20">
        <v>312533</v>
      </c>
      <c r="G414" s="21" t="s">
        <v>1015</v>
      </c>
      <c r="H414" s="22">
        <v>0</v>
      </c>
    </row>
    <row r="415" spans="6:11" ht="15.5" x14ac:dyDescent="0.35">
      <c r="F415" s="20">
        <v>313839</v>
      </c>
      <c r="G415" s="21" t="s">
        <v>1016</v>
      </c>
      <c r="H415" s="22">
        <v>0</v>
      </c>
    </row>
    <row r="416" spans="6:11" ht="15.5" x14ac:dyDescent="0.35">
      <c r="F416" s="20">
        <v>314773</v>
      </c>
      <c r="G416" s="21" t="s">
        <v>1017</v>
      </c>
      <c r="H416" s="22">
        <v>0</v>
      </c>
    </row>
    <row r="417" spans="6:8" ht="15.5" x14ac:dyDescent="0.35">
      <c r="F417" s="20">
        <v>312210</v>
      </c>
      <c r="G417" s="21" t="s">
        <v>1018</v>
      </c>
      <c r="H417" s="22">
        <v>0</v>
      </c>
    </row>
    <row r="418" spans="6:8" ht="15.5" x14ac:dyDescent="0.35">
      <c r="F418" s="20">
        <v>316060</v>
      </c>
      <c r="G418" s="21" t="s">
        <v>1019</v>
      </c>
      <c r="H418" s="22">
        <v>0</v>
      </c>
    </row>
    <row r="419" spans="6:8" ht="15.5" x14ac:dyDescent="0.35">
      <c r="F419" s="20">
        <v>313303</v>
      </c>
      <c r="G419" s="21" t="s">
        <v>1020</v>
      </c>
      <c r="H419" s="22">
        <v>0</v>
      </c>
    </row>
    <row r="420" spans="6:8" ht="15.5" x14ac:dyDescent="0.35">
      <c r="F420" s="20">
        <v>314841</v>
      </c>
      <c r="G420" s="21" t="s">
        <v>1021</v>
      </c>
      <c r="H420" s="22">
        <v>0</v>
      </c>
    </row>
    <row r="421" spans="6:8" ht="15.5" x14ac:dyDescent="0.35">
      <c r="F421" s="20">
        <v>90039873</v>
      </c>
      <c r="G421" s="21" t="s">
        <v>1022</v>
      </c>
      <c r="H421" s="22">
        <v>0</v>
      </c>
    </row>
    <row r="422" spans="6:8" ht="15.5" x14ac:dyDescent="0.35">
      <c r="F422" s="20">
        <v>308075</v>
      </c>
      <c r="G422" s="21" t="s">
        <v>1023</v>
      </c>
      <c r="H422" s="22">
        <v>0</v>
      </c>
    </row>
    <row r="423" spans="6:8" ht="15.5" x14ac:dyDescent="0.35">
      <c r="F423" s="20">
        <v>314441</v>
      </c>
      <c r="G423" s="21" t="s">
        <v>1024</v>
      </c>
      <c r="H423" s="22">
        <v>0</v>
      </c>
    </row>
    <row r="424" spans="6:8" ht="15.5" x14ac:dyDescent="0.35">
      <c r="F424" s="20">
        <v>90015872</v>
      </c>
      <c r="G424" s="21" t="s">
        <v>1025</v>
      </c>
      <c r="H424" s="22">
        <v>0</v>
      </c>
    </row>
    <row r="425" spans="6:8" ht="15.5" x14ac:dyDescent="0.35">
      <c r="F425" s="20">
        <v>202153</v>
      </c>
      <c r="G425" s="21" t="s">
        <v>1026</v>
      </c>
      <c r="H425" s="22">
        <v>0</v>
      </c>
    </row>
    <row r="426" spans="6:8" ht="15.5" x14ac:dyDescent="0.35">
      <c r="F426" s="20">
        <v>90046281</v>
      </c>
      <c r="G426" s="21" t="s">
        <v>1027</v>
      </c>
      <c r="H426" s="22">
        <v>0</v>
      </c>
    </row>
    <row r="427" spans="6:8" ht="15.5" x14ac:dyDescent="0.35">
      <c r="F427" s="20">
        <v>313324</v>
      </c>
      <c r="G427" s="21" t="s">
        <v>1028</v>
      </c>
      <c r="H427" s="22">
        <v>0</v>
      </c>
    </row>
    <row r="428" spans="6:8" ht="15.5" x14ac:dyDescent="0.35">
      <c r="F428" s="20">
        <v>310535</v>
      </c>
      <c r="G428" s="21" t="s">
        <v>1029</v>
      </c>
      <c r="H428" s="22">
        <v>0</v>
      </c>
    </row>
    <row r="429" spans="6:8" ht="15.5" x14ac:dyDescent="0.35">
      <c r="F429" s="20">
        <v>315501</v>
      </c>
      <c r="G429" s="21" t="s">
        <v>1030</v>
      </c>
      <c r="H429" s="22">
        <v>0</v>
      </c>
    </row>
    <row r="430" spans="6:8" ht="15.5" x14ac:dyDescent="0.35">
      <c r="F430" s="20">
        <v>313844</v>
      </c>
      <c r="G430" s="21" t="s">
        <v>1031</v>
      </c>
      <c r="H430" s="22">
        <v>0</v>
      </c>
    </row>
    <row r="431" spans="6:8" ht="15.5" x14ac:dyDescent="0.35">
      <c r="F431" s="20">
        <v>315111</v>
      </c>
      <c r="G431" s="21" t="s">
        <v>1032</v>
      </c>
      <c r="H431" s="22">
        <v>0</v>
      </c>
    </row>
    <row r="432" spans="6:8" ht="15.5" x14ac:dyDescent="0.35">
      <c r="F432" s="20">
        <v>314759</v>
      </c>
      <c r="G432" s="21" t="s">
        <v>1033</v>
      </c>
      <c r="H432" s="22">
        <v>0</v>
      </c>
    </row>
    <row r="433" spans="6:8" ht="15.5" x14ac:dyDescent="0.35">
      <c r="F433" s="20">
        <v>304522</v>
      </c>
      <c r="G433" s="21" t="s">
        <v>1034</v>
      </c>
      <c r="H433" s="22">
        <v>0</v>
      </c>
    </row>
    <row r="434" spans="6:8" ht="15.5" x14ac:dyDescent="0.35">
      <c r="F434" s="20">
        <v>315182</v>
      </c>
      <c r="G434" s="21" t="s">
        <v>1035</v>
      </c>
      <c r="H434" s="22">
        <v>0</v>
      </c>
    </row>
    <row r="435" spans="6:8" ht="15.5" x14ac:dyDescent="0.35">
      <c r="F435" s="20">
        <v>314413</v>
      </c>
      <c r="G435" s="21" t="s">
        <v>1036</v>
      </c>
      <c r="H435" s="22">
        <v>0</v>
      </c>
    </row>
    <row r="436" spans="6:8" ht="15.5" x14ac:dyDescent="0.35">
      <c r="F436" s="20">
        <v>311800</v>
      </c>
      <c r="G436" s="21" t="s">
        <v>1037</v>
      </c>
      <c r="H436" s="22">
        <v>0</v>
      </c>
    </row>
    <row r="437" spans="6:8" ht="15.5" x14ac:dyDescent="0.35">
      <c r="F437" s="20">
        <v>316294</v>
      </c>
      <c r="G437" s="21" t="s">
        <v>1038</v>
      </c>
      <c r="H437" s="22">
        <v>0</v>
      </c>
    </row>
    <row r="438" spans="6:8" ht="15.5" x14ac:dyDescent="0.35">
      <c r="F438" s="20">
        <v>312849</v>
      </c>
      <c r="G438" s="21" t="s">
        <v>1039</v>
      </c>
      <c r="H438" s="22">
        <v>0</v>
      </c>
    </row>
    <row r="439" spans="6:8" ht="15.5" x14ac:dyDescent="0.35">
      <c r="F439" s="20">
        <v>315612</v>
      </c>
      <c r="G439" s="21" t="s">
        <v>1040</v>
      </c>
      <c r="H439" s="22">
        <v>0</v>
      </c>
    </row>
    <row r="440" spans="6:8" ht="15.5" x14ac:dyDescent="0.35">
      <c r="F440" s="20">
        <v>312692</v>
      </c>
      <c r="G440" s="21" t="s">
        <v>1041</v>
      </c>
      <c r="H440" s="22">
        <v>0</v>
      </c>
    </row>
    <row r="441" spans="6:8" ht="15.5" x14ac:dyDescent="0.35">
      <c r="F441" s="20">
        <v>314287</v>
      </c>
      <c r="G441" s="21" t="s">
        <v>1042</v>
      </c>
      <c r="H441" s="22">
        <v>0</v>
      </c>
    </row>
    <row r="442" spans="6:8" ht="15.5" x14ac:dyDescent="0.35">
      <c r="F442" s="20">
        <v>90020133</v>
      </c>
      <c r="G442" s="21" t="s">
        <v>1043</v>
      </c>
      <c r="H442" s="22">
        <v>0</v>
      </c>
    </row>
    <row r="443" spans="6:8" ht="15.5" x14ac:dyDescent="0.35">
      <c r="F443" s="20">
        <v>311488</v>
      </c>
      <c r="G443" s="21" t="s">
        <v>1044</v>
      </c>
      <c r="H443" s="22">
        <v>0</v>
      </c>
    </row>
    <row r="444" spans="6:8" ht="15.5" x14ac:dyDescent="0.35">
      <c r="F444" s="20">
        <v>90046860</v>
      </c>
      <c r="G444" s="21" t="s">
        <v>1045</v>
      </c>
      <c r="H444" s="22">
        <v>0</v>
      </c>
    </row>
    <row r="445" spans="6:8" ht="15.5" x14ac:dyDescent="0.35">
      <c r="F445" s="20">
        <v>313662</v>
      </c>
      <c r="G445" s="21" t="s">
        <v>1046</v>
      </c>
      <c r="H445" s="22">
        <v>0</v>
      </c>
    </row>
    <row r="446" spans="6:8" ht="15.5" x14ac:dyDescent="0.35">
      <c r="F446" s="20">
        <v>307766</v>
      </c>
      <c r="G446" s="21" t="s">
        <v>1047</v>
      </c>
      <c r="H446" s="22">
        <v>0</v>
      </c>
    </row>
    <row r="447" spans="6:8" ht="15.5" x14ac:dyDescent="0.35">
      <c r="F447" s="20">
        <v>311730</v>
      </c>
      <c r="G447" s="21" t="s">
        <v>1048</v>
      </c>
      <c r="H447" s="22">
        <v>0</v>
      </c>
    </row>
    <row r="448" spans="6:8" ht="15.5" x14ac:dyDescent="0.35">
      <c r="F448" s="20">
        <v>304801</v>
      </c>
      <c r="G448" s="21" t="s">
        <v>1049</v>
      </c>
      <c r="H448" s="22">
        <v>0</v>
      </c>
    </row>
    <row r="449" spans="6:8" ht="15.5" x14ac:dyDescent="0.35">
      <c r="F449" s="20">
        <v>314955</v>
      </c>
      <c r="G449" s="21" t="s">
        <v>1050</v>
      </c>
      <c r="H449" s="22">
        <v>0</v>
      </c>
    </row>
    <row r="450" spans="6:8" ht="15.5" x14ac:dyDescent="0.35">
      <c r="F450" s="20">
        <v>315237</v>
      </c>
      <c r="G450" s="21" t="s">
        <v>1051</v>
      </c>
      <c r="H450" s="22">
        <v>0</v>
      </c>
    </row>
    <row r="451" spans="6:8" ht="15.5" x14ac:dyDescent="0.35">
      <c r="F451" s="20">
        <v>310950</v>
      </c>
      <c r="G451" s="21" t="s">
        <v>1052</v>
      </c>
      <c r="H451" s="22">
        <v>0</v>
      </c>
    </row>
    <row r="452" spans="6:8" ht="15.5" x14ac:dyDescent="0.35">
      <c r="F452" s="20">
        <v>90033490</v>
      </c>
      <c r="G452" s="21" t="s">
        <v>1053</v>
      </c>
      <c r="H452" s="22">
        <v>0</v>
      </c>
    </row>
    <row r="453" spans="6:8" ht="15.5" x14ac:dyDescent="0.35">
      <c r="F453" s="20">
        <v>90034702</v>
      </c>
      <c r="G453" s="21" t="s">
        <v>1054</v>
      </c>
      <c r="H453" s="22">
        <v>0</v>
      </c>
    </row>
    <row r="454" spans="6:8" ht="15.5" x14ac:dyDescent="0.35">
      <c r="F454" s="20">
        <v>315840</v>
      </c>
      <c r="G454" s="21" t="s">
        <v>1055</v>
      </c>
      <c r="H454" s="22">
        <v>0</v>
      </c>
    </row>
    <row r="455" spans="6:8" ht="15.5" x14ac:dyDescent="0.35">
      <c r="F455" s="20">
        <v>311971</v>
      </c>
      <c r="G455" s="21" t="s">
        <v>1056</v>
      </c>
      <c r="H455" s="22">
        <v>0</v>
      </c>
    </row>
    <row r="456" spans="6:8" ht="15.5" x14ac:dyDescent="0.35">
      <c r="F456" s="20">
        <v>314640</v>
      </c>
      <c r="G456" s="21" t="s">
        <v>1057</v>
      </c>
      <c r="H456" s="22">
        <v>0</v>
      </c>
    </row>
    <row r="457" spans="6:8" ht="15.5" x14ac:dyDescent="0.35">
      <c r="F457" s="20">
        <v>300192</v>
      </c>
      <c r="G457" s="21" t="s">
        <v>1058</v>
      </c>
      <c r="H457" s="22">
        <v>0</v>
      </c>
    </row>
    <row r="458" spans="6:8" ht="15.5" x14ac:dyDescent="0.35">
      <c r="F458" s="20">
        <v>313484</v>
      </c>
      <c r="G458" s="21" t="s">
        <v>1059</v>
      </c>
      <c r="H458" s="22">
        <v>0</v>
      </c>
    </row>
    <row r="459" spans="6:8" ht="15.5" x14ac:dyDescent="0.35">
      <c r="F459" s="20">
        <v>303330</v>
      </c>
      <c r="G459" s="21" t="s">
        <v>1060</v>
      </c>
      <c r="H459" s="22">
        <v>0</v>
      </c>
    </row>
    <row r="460" spans="6:8" ht="15.5" x14ac:dyDescent="0.35">
      <c r="F460" s="20">
        <v>313749</v>
      </c>
      <c r="G460" s="21" t="s">
        <v>1061</v>
      </c>
      <c r="H460" s="22">
        <v>0</v>
      </c>
    </row>
    <row r="461" spans="6:8" ht="15.5" x14ac:dyDescent="0.35">
      <c r="F461" s="20">
        <v>314446</v>
      </c>
      <c r="G461" s="21" t="s">
        <v>1062</v>
      </c>
      <c r="H461" s="22">
        <v>0</v>
      </c>
    </row>
    <row r="462" spans="6:8" ht="15.5" x14ac:dyDescent="0.35">
      <c r="F462" s="20">
        <v>314900</v>
      </c>
      <c r="G462" s="21" t="s">
        <v>1063</v>
      </c>
      <c r="H462" s="22">
        <v>0</v>
      </c>
    </row>
    <row r="463" spans="6:8" ht="15.5" x14ac:dyDescent="0.35">
      <c r="F463" s="20">
        <v>90013868</v>
      </c>
      <c r="G463" s="21" t="s">
        <v>1064</v>
      </c>
      <c r="H463" s="22">
        <v>0</v>
      </c>
    </row>
    <row r="464" spans="6:8" ht="15.5" x14ac:dyDescent="0.35">
      <c r="F464" s="20">
        <v>311692</v>
      </c>
      <c r="G464" s="21" t="s">
        <v>1065</v>
      </c>
      <c r="H464" s="22">
        <v>0</v>
      </c>
    </row>
    <row r="465" spans="6:8" ht="15.5" x14ac:dyDescent="0.35">
      <c r="F465" s="20">
        <v>315401</v>
      </c>
      <c r="G465" s="21" t="s">
        <v>1066</v>
      </c>
      <c r="H465" s="22">
        <v>0</v>
      </c>
    </row>
    <row r="466" spans="6:8" ht="15.5" x14ac:dyDescent="0.35">
      <c r="F466" s="20">
        <v>315509</v>
      </c>
      <c r="G466" s="21" t="s">
        <v>1067</v>
      </c>
      <c r="H466" s="22">
        <v>0</v>
      </c>
    </row>
    <row r="467" spans="6:8" ht="15.5" x14ac:dyDescent="0.35">
      <c r="F467" s="20">
        <v>310362</v>
      </c>
      <c r="G467" s="21" t="s">
        <v>1068</v>
      </c>
      <c r="H467" s="22">
        <v>0</v>
      </c>
    </row>
    <row r="468" spans="6:8" ht="15.5" x14ac:dyDescent="0.35">
      <c r="F468" s="20">
        <v>315525</v>
      </c>
      <c r="G468" s="21" t="s">
        <v>1069</v>
      </c>
      <c r="H468" s="22">
        <v>0</v>
      </c>
    </row>
    <row r="469" spans="6:8" ht="15.5" x14ac:dyDescent="0.35">
      <c r="F469" s="20">
        <v>314565</v>
      </c>
      <c r="G469" s="21" t="s">
        <v>1070</v>
      </c>
      <c r="H469" s="22">
        <v>0</v>
      </c>
    </row>
    <row r="470" spans="6:8" ht="15.5" x14ac:dyDescent="0.35">
      <c r="F470" s="20">
        <v>312926</v>
      </c>
      <c r="G470" s="21" t="s">
        <v>1071</v>
      </c>
      <c r="H470" s="22">
        <v>0</v>
      </c>
    </row>
    <row r="471" spans="6:8" ht="15.5" x14ac:dyDescent="0.35">
      <c r="F471" s="20">
        <v>316051</v>
      </c>
      <c r="G471" s="21" t="s">
        <v>1072</v>
      </c>
      <c r="H471" s="22">
        <v>0</v>
      </c>
    </row>
    <row r="472" spans="6:8" ht="15.5" x14ac:dyDescent="0.35">
      <c r="F472" s="20">
        <v>309907</v>
      </c>
      <c r="G472" s="21" t="s">
        <v>1073</v>
      </c>
      <c r="H472" s="22">
        <v>0</v>
      </c>
    </row>
    <row r="473" spans="6:8" ht="15.5" x14ac:dyDescent="0.35">
      <c r="F473" s="20">
        <v>90035213</v>
      </c>
      <c r="G473" s="21" t="s">
        <v>1074</v>
      </c>
      <c r="H473" s="22">
        <v>0</v>
      </c>
    </row>
    <row r="474" spans="6:8" ht="15.5" x14ac:dyDescent="0.35">
      <c r="F474" s="20">
        <v>314040</v>
      </c>
      <c r="G474" s="21" t="s">
        <v>1075</v>
      </c>
      <c r="H474" s="22">
        <v>0</v>
      </c>
    </row>
    <row r="475" spans="6:8" ht="15.5" x14ac:dyDescent="0.35">
      <c r="F475" s="20">
        <v>312703</v>
      </c>
      <c r="G475" s="21" t="s">
        <v>1076</v>
      </c>
      <c r="H475" s="22">
        <v>0</v>
      </c>
    </row>
    <row r="476" spans="6:8" ht="15.5" x14ac:dyDescent="0.35">
      <c r="F476" s="20">
        <v>307760</v>
      </c>
      <c r="G476" s="21" t="s">
        <v>1077</v>
      </c>
      <c r="H476" s="22">
        <v>0</v>
      </c>
    </row>
    <row r="477" spans="6:8" ht="15.5" x14ac:dyDescent="0.35">
      <c r="F477" s="20">
        <v>312950</v>
      </c>
      <c r="G477" s="21" t="s">
        <v>1078</v>
      </c>
      <c r="H477" s="22">
        <v>0</v>
      </c>
    </row>
    <row r="478" spans="6:8" ht="15.5" x14ac:dyDescent="0.35">
      <c r="F478" s="20">
        <v>314704</v>
      </c>
      <c r="G478" s="21" t="s">
        <v>1079</v>
      </c>
      <c r="H478" s="22">
        <v>0</v>
      </c>
    </row>
    <row r="479" spans="6:8" ht="15.5" x14ac:dyDescent="0.35">
      <c r="F479" s="20">
        <v>312302</v>
      </c>
      <c r="G479" s="21" t="s">
        <v>1080</v>
      </c>
      <c r="H479" s="22">
        <v>0</v>
      </c>
    </row>
    <row r="480" spans="6:8" ht="15.5" x14ac:dyDescent="0.35">
      <c r="F480" s="20">
        <v>312872</v>
      </c>
      <c r="G480" s="21" t="s">
        <v>1081</v>
      </c>
      <c r="H480" s="22">
        <v>0</v>
      </c>
    </row>
    <row r="481" spans="6:8" ht="15.5" x14ac:dyDescent="0.35">
      <c r="F481" s="20">
        <v>314903</v>
      </c>
      <c r="G481" s="21" t="s">
        <v>1082</v>
      </c>
      <c r="H481" s="22">
        <v>0</v>
      </c>
    </row>
    <row r="482" spans="6:8" ht="15.5" x14ac:dyDescent="0.35">
      <c r="F482" s="20">
        <v>90012180</v>
      </c>
      <c r="G482" s="21" t="s">
        <v>1083</v>
      </c>
      <c r="H482" s="22">
        <v>0</v>
      </c>
    </row>
    <row r="483" spans="6:8" ht="15.5" x14ac:dyDescent="0.35">
      <c r="F483" s="20">
        <v>312532</v>
      </c>
      <c r="G483" s="21" t="s">
        <v>1084</v>
      </c>
      <c r="H483" s="22">
        <v>0</v>
      </c>
    </row>
    <row r="484" spans="6:8" ht="15.5" x14ac:dyDescent="0.35">
      <c r="F484" s="20">
        <v>90040631</v>
      </c>
      <c r="G484" s="21" t="s">
        <v>1085</v>
      </c>
      <c r="H484" s="22">
        <v>0</v>
      </c>
    </row>
    <row r="485" spans="6:8" ht="15.5" x14ac:dyDescent="0.35">
      <c r="F485" s="20">
        <v>314028</v>
      </c>
      <c r="G485" s="21" t="s">
        <v>1086</v>
      </c>
      <c r="H485" s="22">
        <v>0</v>
      </c>
    </row>
    <row r="486" spans="6:8" ht="15.5" x14ac:dyDescent="0.35">
      <c r="F486" s="20">
        <v>315484</v>
      </c>
      <c r="G486" s="21" t="s">
        <v>1087</v>
      </c>
      <c r="H486" s="22">
        <v>0</v>
      </c>
    </row>
    <row r="487" spans="6:8" ht="15.5" x14ac:dyDescent="0.35">
      <c r="F487" s="20">
        <v>314689</v>
      </c>
      <c r="G487" s="21" t="s">
        <v>1088</v>
      </c>
      <c r="H487" s="22">
        <v>0</v>
      </c>
    </row>
    <row r="488" spans="6:8" ht="15.5" x14ac:dyDescent="0.35">
      <c r="F488" s="20">
        <v>314409</v>
      </c>
      <c r="G488" s="21" t="s">
        <v>1089</v>
      </c>
      <c r="H488" s="22">
        <v>0</v>
      </c>
    </row>
    <row r="489" spans="6:8" ht="15.5" x14ac:dyDescent="0.35">
      <c r="F489" s="20">
        <v>310946</v>
      </c>
      <c r="G489" s="21" t="s">
        <v>1090</v>
      </c>
      <c r="H489" s="22">
        <v>0</v>
      </c>
    </row>
    <row r="490" spans="6:8" ht="15.5" x14ac:dyDescent="0.35">
      <c r="F490" s="20">
        <v>312831</v>
      </c>
      <c r="G490" s="21" t="s">
        <v>1091</v>
      </c>
      <c r="H490" s="22">
        <v>0</v>
      </c>
    </row>
    <row r="491" spans="6:8" ht="15.5" x14ac:dyDescent="0.35">
      <c r="F491" s="20">
        <v>90033088</v>
      </c>
      <c r="G491" s="21" t="s">
        <v>1092</v>
      </c>
      <c r="H491" s="22">
        <v>0</v>
      </c>
    </row>
    <row r="492" spans="6:8" ht="15.5" x14ac:dyDescent="0.35">
      <c r="F492" s="20">
        <v>314546</v>
      </c>
      <c r="G492" s="21" t="s">
        <v>1093</v>
      </c>
      <c r="H492" s="22">
        <v>0</v>
      </c>
    </row>
    <row r="493" spans="6:8" ht="15.5" x14ac:dyDescent="0.35">
      <c r="F493" s="20">
        <v>312181</v>
      </c>
      <c r="G493" s="21" t="s">
        <v>1094</v>
      </c>
      <c r="H493" s="22">
        <v>0</v>
      </c>
    </row>
    <row r="494" spans="6:8" ht="15.5" x14ac:dyDescent="0.35">
      <c r="F494" s="20">
        <v>310768</v>
      </c>
      <c r="G494" s="21" t="s">
        <v>1095</v>
      </c>
      <c r="H494" s="22">
        <v>0</v>
      </c>
    </row>
    <row r="495" spans="6:8" ht="15.5" x14ac:dyDescent="0.35">
      <c r="F495" s="20">
        <v>315453</v>
      </c>
      <c r="G495" s="21" t="s">
        <v>1096</v>
      </c>
      <c r="H495" s="22">
        <v>0</v>
      </c>
    </row>
    <row r="496" spans="6:8" ht="15.5" x14ac:dyDescent="0.35">
      <c r="F496" s="20">
        <v>306444</v>
      </c>
      <c r="G496" s="21" t="s">
        <v>1097</v>
      </c>
      <c r="H496" s="22">
        <v>0</v>
      </c>
    </row>
    <row r="497" spans="6:8" ht="15.5" x14ac:dyDescent="0.35">
      <c r="F497" s="20">
        <v>315625</v>
      </c>
      <c r="G497" s="21" t="s">
        <v>1098</v>
      </c>
      <c r="H497" s="22">
        <v>0</v>
      </c>
    </row>
    <row r="498" spans="6:8" ht="15.5" x14ac:dyDescent="0.35">
      <c r="F498" s="20">
        <v>301809</v>
      </c>
      <c r="G498" s="21" t="s">
        <v>1099</v>
      </c>
      <c r="H498" s="22">
        <v>0</v>
      </c>
    </row>
    <row r="499" spans="6:8" ht="15.5" x14ac:dyDescent="0.35">
      <c r="F499" s="20">
        <v>90010411</v>
      </c>
      <c r="G499" s="21" t="s">
        <v>1100</v>
      </c>
      <c r="H499" s="22">
        <v>0</v>
      </c>
    </row>
    <row r="500" spans="6:8" ht="15.5" x14ac:dyDescent="0.35">
      <c r="F500" s="20">
        <v>311808</v>
      </c>
      <c r="G500" s="21" t="s">
        <v>1101</v>
      </c>
      <c r="H500" s="22">
        <v>0</v>
      </c>
    </row>
    <row r="501" spans="6:8" ht="15.5" x14ac:dyDescent="0.35">
      <c r="F501" s="20">
        <v>313840</v>
      </c>
      <c r="G501" s="21" t="s">
        <v>1102</v>
      </c>
      <c r="H501" s="22">
        <v>0</v>
      </c>
    </row>
    <row r="502" spans="6:8" ht="15.5" x14ac:dyDescent="0.35">
      <c r="F502" s="20">
        <v>314574</v>
      </c>
      <c r="G502" s="21" t="s">
        <v>1103</v>
      </c>
      <c r="H502" s="22">
        <v>0</v>
      </c>
    </row>
    <row r="503" spans="6:8" ht="15.5" x14ac:dyDescent="0.35">
      <c r="F503" s="20">
        <v>315248</v>
      </c>
      <c r="G503" s="21" t="s">
        <v>1104</v>
      </c>
      <c r="H503" s="22">
        <v>0</v>
      </c>
    </row>
    <row r="504" spans="6:8" ht="15.5" x14ac:dyDescent="0.35">
      <c r="F504" s="20">
        <v>313613</v>
      </c>
      <c r="G504" s="21" t="s">
        <v>1105</v>
      </c>
      <c r="H504" s="22">
        <v>0</v>
      </c>
    </row>
    <row r="505" spans="6:8" ht="15.5" x14ac:dyDescent="0.35">
      <c r="F505" s="20">
        <v>315859</v>
      </c>
      <c r="G505" s="21" t="s">
        <v>1106</v>
      </c>
      <c r="H505" s="22">
        <v>0</v>
      </c>
    </row>
    <row r="506" spans="6:8" ht="15.5" x14ac:dyDescent="0.35">
      <c r="F506" s="20">
        <v>90034566</v>
      </c>
      <c r="G506" s="21" t="s">
        <v>1107</v>
      </c>
      <c r="H506" s="22">
        <v>0</v>
      </c>
    </row>
    <row r="507" spans="6:8" ht="15.5" x14ac:dyDescent="0.35">
      <c r="F507" s="20">
        <v>306569</v>
      </c>
      <c r="G507" s="21" t="s">
        <v>1108</v>
      </c>
      <c r="H507" s="22">
        <v>0</v>
      </c>
    </row>
    <row r="508" spans="6:8" ht="15.5" x14ac:dyDescent="0.35">
      <c r="F508" s="20">
        <v>311441</v>
      </c>
      <c r="G508" s="21" t="s">
        <v>1109</v>
      </c>
      <c r="H508" s="22">
        <v>0</v>
      </c>
    </row>
    <row r="509" spans="6:8" ht="15.5" x14ac:dyDescent="0.35">
      <c r="F509" s="20">
        <v>303265</v>
      </c>
      <c r="G509" s="21" t="s">
        <v>1110</v>
      </c>
      <c r="H509" s="22">
        <v>0</v>
      </c>
    </row>
    <row r="510" spans="6:8" ht="15.5" x14ac:dyDescent="0.35">
      <c r="F510" s="20">
        <v>313318</v>
      </c>
      <c r="G510" s="21" t="s">
        <v>1111</v>
      </c>
      <c r="H510" s="22">
        <v>0</v>
      </c>
    </row>
    <row r="511" spans="6:8" ht="15.5" x14ac:dyDescent="0.35">
      <c r="F511" s="20">
        <v>90048811</v>
      </c>
      <c r="G511" s="21" t="s">
        <v>1112</v>
      </c>
      <c r="H511" s="22">
        <v>0</v>
      </c>
    </row>
    <row r="512" spans="6:8" ht="15.5" x14ac:dyDescent="0.35">
      <c r="F512" s="20">
        <v>315497</v>
      </c>
      <c r="G512" s="21" t="s">
        <v>1113</v>
      </c>
      <c r="H512" s="22">
        <v>0</v>
      </c>
    </row>
    <row r="513" spans="6:8" ht="15.5" x14ac:dyDescent="0.35">
      <c r="F513" s="20">
        <v>309535</v>
      </c>
      <c r="G513" s="21" t="s">
        <v>1114</v>
      </c>
      <c r="H513" s="22">
        <v>0</v>
      </c>
    </row>
    <row r="514" spans="6:8" ht="15.5" x14ac:dyDescent="0.35">
      <c r="F514" s="20">
        <v>315611</v>
      </c>
      <c r="G514" s="21" t="s">
        <v>1115</v>
      </c>
      <c r="H514" s="22">
        <v>0</v>
      </c>
    </row>
    <row r="515" spans="6:8" ht="15.5" x14ac:dyDescent="0.35">
      <c r="F515" s="20">
        <v>314757</v>
      </c>
      <c r="G515" s="21" t="s">
        <v>1116</v>
      </c>
      <c r="H515" s="22">
        <v>0</v>
      </c>
    </row>
    <row r="516" spans="6:8" ht="15.5" x14ac:dyDescent="0.35">
      <c r="F516" s="20">
        <v>90040454</v>
      </c>
      <c r="G516" s="21" t="s">
        <v>1117</v>
      </c>
      <c r="H516" s="22">
        <v>0</v>
      </c>
    </row>
    <row r="517" spans="6:8" ht="15.5" x14ac:dyDescent="0.35">
      <c r="F517" s="20">
        <v>90033452</v>
      </c>
      <c r="G517" s="21" t="s">
        <v>1118</v>
      </c>
      <c r="H517" s="22">
        <v>0</v>
      </c>
    </row>
    <row r="518" spans="6:8" ht="15.5" x14ac:dyDescent="0.35">
      <c r="F518" s="20">
        <v>90046187</v>
      </c>
      <c r="G518" s="21" t="s">
        <v>1119</v>
      </c>
      <c r="H518" s="22">
        <v>0</v>
      </c>
    </row>
    <row r="519" spans="6:8" ht="15.5" x14ac:dyDescent="0.35">
      <c r="F519" s="20">
        <v>90019997</v>
      </c>
      <c r="G519" s="21" t="s">
        <v>1120</v>
      </c>
      <c r="H519" s="22">
        <v>0</v>
      </c>
    </row>
    <row r="520" spans="6:8" ht="15.5" x14ac:dyDescent="0.35">
      <c r="F520" s="20">
        <v>310711</v>
      </c>
      <c r="G520" s="21" t="s">
        <v>1121</v>
      </c>
      <c r="H520" s="22">
        <v>0</v>
      </c>
    </row>
    <row r="521" spans="6:8" ht="15.5" x14ac:dyDescent="0.35">
      <c r="F521" s="20">
        <v>314119</v>
      </c>
      <c r="G521" s="21" t="s">
        <v>1122</v>
      </c>
      <c r="H521" s="22">
        <v>0</v>
      </c>
    </row>
    <row r="522" spans="6:8" ht="15.5" x14ac:dyDescent="0.35">
      <c r="F522" s="20">
        <v>90038775</v>
      </c>
      <c r="G522" s="21" t="s">
        <v>1123</v>
      </c>
      <c r="H522" s="22">
        <v>0</v>
      </c>
    </row>
    <row r="523" spans="6:8" ht="15.5" x14ac:dyDescent="0.35">
      <c r="F523" s="20">
        <v>312995</v>
      </c>
      <c r="G523" s="21" t="s">
        <v>1124</v>
      </c>
      <c r="H523" s="22">
        <v>0</v>
      </c>
    </row>
    <row r="524" spans="6:8" ht="15.5" x14ac:dyDescent="0.35">
      <c r="F524" s="20">
        <v>313746</v>
      </c>
      <c r="G524" s="21" t="s">
        <v>1125</v>
      </c>
      <c r="H524" s="22">
        <v>0</v>
      </c>
    </row>
    <row r="525" spans="6:8" ht="15.5" x14ac:dyDescent="0.35">
      <c r="F525" s="20">
        <v>314701</v>
      </c>
      <c r="G525" s="21" t="s">
        <v>1126</v>
      </c>
      <c r="H525" s="22">
        <v>0</v>
      </c>
    </row>
    <row r="526" spans="6:8" ht="15.5" x14ac:dyDescent="0.35">
      <c r="F526" s="20">
        <v>314817</v>
      </c>
      <c r="G526" s="21" t="s">
        <v>1127</v>
      </c>
      <c r="H526" s="22">
        <v>0</v>
      </c>
    </row>
    <row r="527" spans="6:8" ht="15.5" x14ac:dyDescent="0.35">
      <c r="F527" s="20">
        <v>314085</v>
      </c>
      <c r="G527" s="21" t="s">
        <v>1128</v>
      </c>
      <c r="H527" s="22">
        <v>0</v>
      </c>
    </row>
    <row r="528" spans="6:8" ht="15.5" x14ac:dyDescent="0.35">
      <c r="F528" s="20">
        <v>314431</v>
      </c>
      <c r="G528" s="21" t="s">
        <v>1129</v>
      </c>
      <c r="H528" s="22">
        <v>0</v>
      </c>
    </row>
    <row r="529" spans="6:8" ht="15.5" x14ac:dyDescent="0.35">
      <c r="F529" s="20">
        <v>90050524</v>
      </c>
      <c r="G529" s="21" t="s">
        <v>1130</v>
      </c>
      <c r="H529" s="22">
        <v>0</v>
      </c>
    </row>
    <row r="530" spans="6:8" ht="15.5" x14ac:dyDescent="0.35">
      <c r="F530" s="20">
        <v>314612</v>
      </c>
      <c r="G530" s="21" t="s">
        <v>1131</v>
      </c>
      <c r="H530" s="22">
        <v>0</v>
      </c>
    </row>
    <row r="531" spans="6:8" ht="15.5" x14ac:dyDescent="0.35">
      <c r="F531" s="20">
        <v>314468</v>
      </c>
      <c r="G531" s="21" t="s">
        <v>1132</v>
      </c>
      <c r="H531" s="22">
        <v>0</v>
      </c>
    </row>
    <row r="532" spans="6:8" ht="15.5" x14ac:dyDescent="0.35">
      <c r="F532" s="20">
        <v>314670</v>
      </c>
      <c r="G532" s="21" t="s">
        <v>1133</v>
      </c>
      <c r="H532" s="22">
        <v>0</v>
      </c>
    </row>
    <row r="533" spans="6:8" ht="15.5" x14ac:dyDescent="0.35">
      <c r="F533" s="20">
        <v>315578</v>
      </c>
      <c r="G533" s="21" t="s">
        <v>1134</v>
      </c>
      <c r="H533" s="22">
        <v>0</v>
      </c>
    </row>
    <row r="534" spans="6:8" ht="15.5" x14ac:dyDescent="0.35">
      <c r="F534" s="20">
        <v>307449</v>
      </c>
      <c r="G534" s="21" t="s">
        <v>1135</v>
      </c>
      <c r="H534" s="22">
        <v>0</v>
      </c>
    </row>
    <row r="535" spans="6:8" ht="15.5" x14ac:dyDescent="0.35">
      <c r="F535" s="20">
        <v>306823</v>
      </c>
      <c r="G535" s="21" t="s">
        <v>1136</v>
      </c>
      <c r="H535" s="22">
        <v>0</v>
      </c>
    </row>
    <row r="536" spans="6:8" ht="15.5" x14ac:dyDescent="0.35">
      <c r="F536" s="20">
        <v>313589</v>
      </c>
      <c r="G536" s="21" t="s">
        <v>1137</v>
      </c>
      <c r="H536" s="22">
        <v>0</v>
      </c>
    </row>
    <row r="537" spans="6:8" ht="15.5" x14ac:dyDescent="0.35">
      <c r="F537" s="20">
        <v>314538</v>
      </c>
      <c r="G537" s="21" t="s">
        <v>1138</v>
      </c>
      <c r="H537" s="22">
        <v>0</v>
      </c>
    </row>
    <row r="538" spans="6:8" ht="15.5" x14ac:dyDescent="0.35">
      <c r="F538" s="20">
        <v>90024719</v>
      </c>
      <c r="G538" s="21" t="s">
        <v>1139</v>
      </c>
      <c r="H538" s="22">
        <v>0</v>
      </c>
    </row>
    <row r="539" spans="6:8" ht="15.5" x14ac:dyDescent="0.35">
      <c r="F539" s="20">
        <v>310386</v>
      </c>
      <c r="G539" s="21" t="s">
        <v>1140</v>
      </c>
      <c r="H539" s="22">
        <v>0</v>
      </c>
    </row>
    <row r="540" spans="6:8" ht="15.5" x14ac:dyDescent="0.35">
      <c r="F540" s="20">
        <v>314883</v>
      </c>
      <c r="G540" s="21" t="s">
        <v>1141</v>
      </c>
      <c r="H540" s="22">
        <v>0</v>
      </c>
    </row>
    <row r="541" spans="6:8" ht="15.5" x14ac:dyDescent="0.35">
      <c r="F541" s="20">
        <v>313709</v>
      </c>
      <c r="G541" s="21" t="s">
        <v>1142</v>
      </c>
      <c r="H541" s="22">
        <v>0</v>
      </c>
    </row>
    <row r="542" spans="6:8" ht="15.5" x14ac:dyDescent="0.35">
      <c r="F542" s="20">
        <v>314097</v>
      </c>
      <c r="G542" s="21" t="s">
        <v>1143</v>
      </c>
      <c r="H542" s="22">
        <v>0</v>
      </c>
    </row>
    <row r="543" spans="6:8" ht="15.5" x14ac:dyDescent="0.35">
      <c r="F543" s="20">
        <v>90038604</v>
      </c>
      <c r="G543" s="21" t="s">
        <v>1144</v>
      </c>
      <c r="H543" s="22">
        <v>0</v>
      </c>
    </row>
    <row r="544" spans="6:8" ht="15.5" x14ac:dyDescent="0.35">
      <c r="F544" s="20">
        <v>90049072</v>
      </c>
      <c r="G544" s="21" t="s">
        <v>1145</v>
      </c>
      <c r="H544" s="22">
        <v>0</v>
      </c>
    </row>
    <row r="545" spans="6:8" ht="15.5" x14ac:dyDescent="0.35">
      <c r="F545" s="20">
        <v>314981</v>
      </c>
      <c r="G545" s="21" t="s">
        <v>1146</v>
      </c>
      <c r="H545" s="22">
        <v>0</v>
      </c>
    </row>
    <row r="546" spans="6:8" ht="15.5" x14ac:dyDescent="0.35">
      <c r="F546" s="20">
        <v>315331</v>
      </c>
      <c r="G546" s="21" t="s">
        <v>1147</v>
      </c>
      <c r="H546" s="22">
        <v>0</v>
      </c>
    </row>
    <row r="547" spans="6:8" ht="15.5" x14ac:dyDescent="0.35">
      <c r="F547" s="20">
        <v>308765</v>
      </c>
      <c r="G547" s="21" t="s">
        <v>1148</v>
      </c>
      <c r="H547" s="22">
        <v>0</v>
      </c>
    </row>
    <row r="548" spans="6:8" ht="15.5" x14ac:dyDescent="0.35">
      <c r="F548" s="20">
        <v>315256</v>
      </c>
      <c r="G548" s="21" t="s">
        <v>1149</v>
      </c>
      <c r="H548" s="22">
        <v>0</v>
      </c>
    </row>
    <row r="549" spans="6:8" ht="15.5" x14ac:dyDescent="0.35">
      <c r="F549" s="20">
        <v>315624</v>
      </c>
      <c r="G549" s="21" t="s">
        <v>1150</v>
      </c>
      <c r="H549" s="22">
        <v>0</v>
      </c>
    </row>
    <row r="550" spans="6:8" ht="15.5" x14ac:dyDescent="0.35">
      <c r="F550" s="20">
        <v>307394</v>
      </c>
      <c r="G550" s="21" t="s">
        <v>1151</v>
      </c>
      <c r="H550" s="22">
        <v>0</v>
      </c>
    </row>
    <row r="551" spans="6:8" ht="15.5" x14ac:dyDescent="0.35">
      <c r="F551" s="20">
        <v>312949</v>
      </c>
      <c r="G551" s="21" t="s">
        <v>1152</v>
      </c>
      <c r="H551" s="22">
        <v>0</v>
      </c>
    </row>
    <row r="552" spans="6:8" ht="15.5" x14ac:dyDescent="0.35">
      <c r="F552" s="20">
        <v>314411</v>
      </c>
      <c r="G552" s="21" t="s">
        <v>1153</v>
      </c>
      <c r="H552" s="22">
        <v>0</v>
      </c>
    </row>
    <row r="553" spans="6:8" ht="15.5" x14ac:dyDescent="0.35">
      <c r="F553" s="20">
        <v>314179</v>
      </c>
      <c r="G553" s="21" t="s">
        <v>1154</v>
      </c>
      <c r="H553" s="22">
        <v>0</v>
      </c>
    </row>
    <row r="554" spans="6:8" ht="15.5" x14ac:dyDescent="0.35">
      <c r="F554" s="20">
        <v>314276</v>
      </c>
      <c r="G554" s="21" t="s">
        <v>1155</v>
      </c>
      <c r="H554" s="22">
        <v>0</v>
      </c>
    </row>
    <row r="555" spans="6:8" ht="15.5" x14ac:dyDescent="0.35">
      <c r="F555" s="20">
        <v>313514</v>
      </c>
      <c r="G555" s="21" t="s">
        <v>1156</v>
      </c>
      <c r="H555" s="22">
        <v>0</v>
      </c>
    </row>
    <row r="556" spans="6:8" ht="15.5" x14ac:dyDescent="0.35">
      <c r="F556" s="20">
        <v>90029081</v>
      </c>
      <c r="G556" s="21" t="s">
        <v>1157</v>
      </c>
      <c r="H556" s="22">
        <v>0</v>
      </c>
    </row>
    <row r="557" spans="6:8" ht="15.5" x14ac:dyDescent="0.35">
      <c r="F557" s="20">
        <v>313868</v>
      </c>
      <c r="G557" s="21" t="s">
        <v>1158</v>
      </c>
      <c r="H557" s="22">
        <v>0</v>
      </c>
    </row>
    <row r="558" spans="6:8" ht="15.5" x14ac:dyDescent="0.35">
      <c r="F558" s="20">
        <v>315480</v>
      </c>
      <c r="G558" s="21" t="s">
        <v>1159</v>
      </c>
      <c r="H558" s="22">
        <v>0</v>
      </c>
    </row>
    <row r="559" spans="6:8" ht="15.5" x14ac:dyDescent="0.35">
      <c r="F559" s="20">
        <v>314406</v>
      </c>
      <c r="G559" s="21" t="s">
        <v>1160</v>
      </c>
      <c r="H559" s="22">
        <v>0</v>
      </c>
    </row>
    <row r="560" spans="6:8" ht="15.5" x14ac:dyDescent="0.35">
      <c r="F560" s="20">
        <v>316140</v>
      </c>
      <c r="G560" s="21" t="s">
        <v>1161</v>
      </c>
      <c r="H560" s="22">
        <v>0</v>
      </c>
    </row>
    <row r="561" spans="6:8" ht="15.5" x14ac:dyDescent="0.35">
      <c r="F561" s="20">
        <v>90045772</v>
      </c>
      <c r="G561" s="21" t="s">
        <v>1162</v>
      </c>
      <c r="H561" s="22">
        <v>0</v>
      </c>
    </row>
    <row r="562" spans="6:8" ht="15.5" x14ac:dyDescent="0.35">
      <c r="F562" s="20">
        <v>90039185</v>
      </c>
      <c r="G562" s="21" t="s">
        <v>1163</v>
      </c>
      <c r="H562" s="22">
        <v>0</v>
      </c>
    </row>
    <row r="563" spans="6:8" ht="15.5" x14ac:dyDescent="0.35">
      <c r="F563" s="20">
        <v>314646</v>
      </c>
      <c r="G563" s="21" t="s">
        <v>1164</v>
      </c>
      <c r="H563" s="22">
        <v>0</v>
      </c>
    </row>
    <row r="564" spans="6:8" ht="15.5" x14ac:dyDescent="0.35">
      <c r="F564" s="20">
        <v>305521</v>
      </c>
      <c r="G564" s="21" t="s">
        <v>1165</v>
      </c>
      <c r="H564" s="22">
        <v>0</v>
      </c>
    </row>
    <row r="565" spans="6:8" ht="15.5" x14ac:dyDescent="0.35">
      <c r="F565" s="20">
        <v>315030</v>
      </c>
      <c r="G565" s="21" t="s">
        <v>1166</v>
      </c>
      <c r="H565" s="22">
        <v>0</v>
      </c>
    </row>
    <row r="566" spans="6:8" ht="15.5" x14ac:dyDescent="0.35">
      <c r="F566" s="20">
        <v>90040976</v>
      </c>
      <c r="G566" s="21" t="s">
        <v>1167</v>
      </c>
      <c r="H566" s="22">
        <v>0</v>
      </c>
    </row>
    <row r="567" spans="6:8" ht="15.5" x14ac:dyDescent="0.35">
      <c r="F567" s="20">
        <v>90009267</v>
      </c>
      <c r="G567" s="21" t="s">
        <v>1168</v>
      </c>
      <c r="H567" s="22">
        <v>0</v>
      </c>
    </row>
    <row r="568" spans="6:8" ht="15.5" x14ac:dyDescent="0.35">
      <c r="F568" s="20">
        <v>315568</v>
      </c>
      <c r="G568" s="21" t="s">
        <v>1169</v>
      </c>
      <c r="H568" s="22">
        <v>0</v>
      </c>
    </row>
    <row r="569" spans="6:8" ht="15.5" x14ac:dyDescent="0.35">
      <c r="F569" s="20">
        <v>90018997</v>
      </c>
      <c r="G569" s="21" t="s">
        <v>1170</v>
      </c>
      <c r="H569" s="22">
        <v>0</v>
      </c>
    </row>
    <row r="570" spans="6:8" ht="15.5" x14ac:dyDescent="0.35">
      <c r="F570" s="20">
        <v>310374</v>
      </c>
      <c r="G570" s="21" t="s">
        <v>1171</v>
      </c>
      <c r="H570" s="22">
        <v>0</v>
      </c>
    </row>
    <row r="571" spans="6:8" ht="15.5" x14ac:dyDescent="0.35">
      <c r="F571" s="20">
        <v>90027914</v>
      </c>
      <c r="G571" s="21" t="s">
        <v>1172</v>
      </c>
      <c r="H571" s="22">
        <v>0</v>
      </c>
    </row>
    <row r="572" spans="6:8" ht="15.5" x14ac:dyDescent="0.35">
      <c r="F572" s="20">
        <v>316279</v>
      </c>
      <c r="G572" s="21" t="s">
        <v>1173</v>
      </c>
      <c r="H572" s="22">
        <v>0</v>
      </c>
    </row>
    <row r="573" spans="6:8" ht="15.5" x14ac:dyDescent="0.35">
      <c r="F573" s="20">
        <v>315327</v>
      </c>
      <c r="G573" s="21" t="s">
        <v>1174</v>
      </c>
      <c r="H573" s="22">
        <v>0</v>
      </c>
    </row>
    <row r="574" spans="6:8" ht="15.5" x14ac:dyDescent="0.35">
      <c r="F574" s="20">
        <v>307048</v>
      </c>
      <c r="G574" s="21" t="s">
        <v>1175</v>
      </c>
      <c r="H574" s="22">
        <v>0</v>
      </c>
    </row>
    <row r="575" spans="6:8" ht="15.5" x14ac:dyDescent="0.35">
      <c r="F575" s="20">
        <v>312659</v>
      </c>
      <c r="G575" s="21" t="s">
        <v>1176</v>
      </c>
      <c r="H575" s="22">
        <v>0</v>
      </c>
    </row>
    <row r="576" spans="6:8" ht="15.5" x14ac:dyDescent="0.35">
      <c r="F576" s="20">
        <v>315104</v>
      </c>
      <c r="G576" s="21" t="s">
        <v>1177</v>
      </c>
      <c r="H576" s="22">
        <v>0</v>
      </c>
    </row>
    <row r="577" spans="6:8" ht="15.5" x14ac:dyDescent="0.35">
      <c r="F577" s="20">
        <v>314807</v>
      </c>
      <c r="G577" s="21" t="s">
        <v>1178</v>
      </c>
      <c r="H577" s="22">
        <v>0</v>
      </c>
    </row>
    <row r="578" spans="6:8" ht="15.5" x14ac:dyDescent="0.35">
      <c r="F578" s="20">
        <v>312391</v>
      </c>
      <c r="G578" s="21" t="s">
        <v>1179</v>
      </c>
      <c r="H578" s="22">
        <v>0</v>
      </c>
    </row>
    <row r="579" spans="6:8" ht="15.5" x14ac:dyDescent="0.35">
      <c r="F579" s="20">
        <v>312172</v>
      </c>
      <c r="G579" s="21" t="s">
        <v>1180</v>
      </c>
      <c r="H579" s="22">
        <v>0</v>
      </c>
    </row>
    <row r="580" spans="6:8" ht="15.5" x14ac:dyDescent="0.35">
      <c r="F580" s="20">
        <v>314845</v>
      </c>
      <c r="G580" s="21" t="s">
        <v>1181</v>
      </c>
      <c r="H580" s="22">
        <v>0</v>
      </c>
    </row>
    <row r="581" spans="6:8" ht="15.5" x14ac:dyDescent="0.35">
      <c r="F581" s="20">
        <v>312419</v>
      </c>
      <c r="G581" s="21" t="s">
        <v>1182</v>
      </c>
      <c r="H581" s="22">
        <v>0</v>
      </c>
    </row>
    <row r="582" spans="6:8" ht="15.5" x14ac:dyDescent="0.35">
      <c r="F582" s="20">
        <v>312836</v>
      </c>
      <c r="G582" s="21" t="s">
        <v>1183</v>
      </c>
      <c r="H582" s="22">
        <v>0</v>
      </c>
    </row>
    <row r="583" spans="6:8" ht="15.5" x14ac:dyDescent="0.35">
      <c r="F583" s="20">
        <v>312077</v>
      </c>
      <c r="G583" s="21" t="s">
        <v>1184</v>
      </c>
      <c r="H583" s="22">
        <v>0</v>
      </c>
    </row>
    <row r="584" spans="6:8" ht="15.5" x14ac:dyDescent="0.35">
      <c r="F584" s="20">
        <v>316002</v>
      </c>
      <c r="G584" s="21" t="s">
        <v>1185</v>
      </c>
      <c r="H584" s="22">
        <v>0</v>
      </c>
    </row>
    <row r="585" spans="6:8" ht="15.5" x14ac:dyDescent="0.35">
      <c r="F585" s="20">
        <v>90046250</v>
      </c>
      <c r="G585" s="21" t="s">
        <v>1186</v>
      </c>
      <c r="H585" s="22">
        <v>0</v>
      </c>
    </row>
    <row r="586" spans="6:8" ht="15.5" x14ac:dyDescent="0.35">
      <c r="F586" s="20">
        <v>314775</v>
      </c>
      <c r="G586" s="21" t="s">
        <v>1187</v>
      </c>
      <c r="H586" s="22">
        <v>0</v>
      </c>
    </row>
    <row r="587" spans="6:8" ht="15.5" x14ac:dyDescent="0.35">
      <c r="F587" s="20">
        <v>312223</v>
      </c>
      <c r="G587" s="21" t="s">
        <v>1188</v>
      </c>
      <c r="H587" s="22">
        <v>0</v>
      </c>
    </row>
    <row r="588" spans="6:8" ht="15.5" x14ac:dyDescent="0.35">
      <c r="F588" s="20">
        <v>309926</v>
      </c>
      <c r="G588" s="21" t="s">
        <v>1189</v>
      </c>
      <c r="H588" s="22">
        <v>0</v>
      </c>
    </row>
    <row r="589" spans="6:8" ht="15.5" x14ac:dyDescent="0.35">
      <c r="F589" s="20">
        <v>315650</v>
      </c>
      <c r="G589" s="21" t="s">
        <v>1190</v>
      </c>
      <c r="H589" s="22">
        <v>0</v>
      </c>
    </row>
    <row r="590" spans="6:8" ht="15.5" x14ac:dyDescent="0.35">
      <c r="F590" s="20">
        <v>90049762</v>
      </c>
      <c r="G590" s="21" t="s">
        <v>1191</v>
      </c>
      <c r="H590" s="22">
        <v>0</v>
      </c>
    </row>
    <row r="591" spans="6:8" ht="15.5" x14ac:dyDescent="0.35">
      <c r="F591" s="20">
        <v>315167</v>
      </c>
      <c r="G591" s="21" t="s">
        <v>1192</v>
      </c>
      <c r="H591" s="22">
        <v>0</v>
      </c>
    </row>
    <row r="592" spans="6:8" ht="15.5" x14ac:dyDescent="0.35">
      <c r="F592" s="20">
        <v>311345</v>
      </c>
      <c r="G592" s="21" t="s">
        <v>1193</v>
      </c>
      <c r="H592" s="22">
        <v>0</v>
      </c>
    </row>
    <row r="593" spans="6:8" ht="15.5" x14ac:dyDescent="0.35">
      <c r="F593" s="20">
        <v>310390</v>
      </c>
      <c r="G593" s="21" t="s">
        <v>1194</v>
      </c>
      <c r="H593" s="22">
        <v>0</v>
      </c>
    </row>
    <row r="594" spans="6:8" ht="15.5" x14ac:dyDescent="0.35">
      <c r="F594" s="20">
        <v>202076</v>
      </c>
      <c r="G594" s="21" t="s">
        <v>1195</v>
      </c>
      <c r="H594" s="22">
        <v>0</v>
      </c>
    </row>
    <row r="595" spans="6:8" ht="15.5" x14ac:dyDescent="0.35">
      <c r="F595" s="20">
        <v>314891</v>
      </c>
      <c r="G595" s="21" t="s">
        <v>1196</v>
      </c>
      <c r="H595" s="22">
        <v>0</v>
      </c>
    </row>
    <row r="596" spans="6:8" ht="15.5" x14ac:dyDescent="0.35">
      <c r="F596" s="20">
        <v>316254</v>
      </c>
      <c r="G596" s="21" t="s">
        <v>1197</v>
      </c>
      <c r="H596" s="22">
        <v>0</v>
      </c>
    </row>
    <row r="597" spans="6:8" ht="15.5" x14ac:dyDescent="0.35">
      <c r="F597" s="20">
        <v>309831</v>
      </c>
      <c r="G597" s="21" t="s">
        <v>1198</v>
      </c>
      <c r="H597" s="22">
        <v>0</v>
      </c>
    </row>
    <row r="598" spans="6:8" ht="15.5" x14ac:dyDescent="0.35">
      <c r="F598" s="20">
        <v>314090</v>
      </c>
      <c r="G598" s="21" t="s">
        <v>1199</v>
      </c>
      <c r="H598" s="22">
        <v>0</v>
      </c>
    </row>
    <row r="599" spans="6:8" ht="15.5" x14ac:dyDescent="0.35">
      <c r="F599" s="20">
        <v>315533</v>
      </c>
      <c r="G599" s="21" t="s">
        <v>1200</v>
      </c>
      <c r="H599" s="22">
        <v>0</v>
      </c>
    </row>
    <row r="600" spans="6:8" ht="15.5" x14ac:dyDescent="0.35">
      <c r="F600" s="20">
        <v>314017</v>
      </c>
      <c r="G600" s="21" t="s">
        <v>1201</v>
      </c>
      <c r="H600" s="22">
        <v>0</v>
      </c>
    </row>
    <row r="601" spans="6:8" ht="15.5" x14ac:dyDescent="0.35">
      <c r="F601" s="20">
        <v>90028025</v>
      </c>
      <c r="G601" s="21" t="s">
        <v>1202</v>
      </c>
      <c r="H601" s="22">
        <v>0</v>
      </c>
    </row>
    <row r="602" spans="6:8" ht="15.5" x14ac:dyDescent="0.35">
      <c r="F602" s="20">
        <v>314852</v>
      </c>
      <c r="G602" s="21" t="s">
        <v>1203</v>
      </c>
      <c r="H602" s="22">
        <v>0</v>
      </c>
    </row>
    <row r="603" spans="6:8" ht="15.5" x14ac:dyDescent="0.35">
      <c r="F603" s="20">
        <v>313408</v>
      </c>
      <c r="G603" s="21" t="s">
        <v>1204</v>
      </c>
      <c r="H603" s="22">
        <v>0</v>
      </c>
    </row>
    <row r="604" spans="6:8" ht="15.5" x14ac:dyDescent="0.35">
      <c r="F604" s="20">
        <v>90040024</v>
      </c>
      <c r="G604" s="21" t="s">
        <v>1205</v>
      </c>
      <c r="H604" s="22">
        <v>0</v>
      </c>
    </row>
    <row r="605" spans="6:8" ht="15.5" x14ac:dyDescent="0.35">
      <c r="F605" s="20">
        <v>315552</v>
      </c>
      <c r="G605" s="21" t="s">
        <v>1206</v>
      </c>
      <c r="H605" s="22">
        <v>0</v>
      </c>
    </row>
    <row r="606" spans="6:8" ht="15.5" x14ac:dyDescent="0.35">
      <c r="F606" s="20">
        <v>313629</v>
      </c>
      <c r="G606" s="21" t="s">
        <v>1207</v>
      </c>
      <c r="H606" s="22">
        <v>0</v>
      </c>
    </row>
    <row r="607" spans="6:8" ht="15.5" x14ac:dyDescent="0.35">
      <c r="F607" s="20">
        <v>315270</v>
      </c>
      <c r="G607" s="21" t="s">
        <v>1208</v>
      </c>
      <c r="H607" s="22">
        <v>0</v>
      </c>
    </row>
    <row r="608" spans="6:8" ht="15.5" x14ac:dyDescent="0.35">
      <c r="F608" s="20">
        <v>90040435</v>
      </c>
      <c r="G608" s="21" t="s">
        <v>1209</v>
      </c>
      <c r="H608" s="22">
        <v>0</v>
      </c>
    </row>
    <row r="609" spans="6:8" ht="15.5" x14ac:dyDescent="0.35">
      <c r="F609" s="20">
        <v>314353</v>
      </c>
      <c r="G609" s="21" t="s">
        <v>1210</v>
      </c>
      <c r="H609" s="22">
        <v>0</v>
      </c>
    </row>
    <row r="610" spans="6:8" ht="15.5" x14ac:dyDescent="0.35">
      <c r="F610" s="20">
        <v>90039668</v>
      </c>
      <c r="G610" s="21" t="s">
        <v>1211</v>
      </c>
      <c r="H610" s="22">
        <v>0</v>
      </c>
    </row>
    <row r="611" spans="6:8" ht="15.5" x14ac:dyDescent="0.35">
      <c r="F611" s="20">
        <v>302751</v>
      </c>
      <c r="G611" s="21" t="s">
        <v>1212</v>
      </c>
      <c r="H611" s="22">
        <v>0</v>
      </c>
    </row>
    <row r="612" spans="6:8" ht="15.5" x14ac:dyDescent="0.35">
      <c r="F612" s="20">
        <v>201031</v>
      </c>
      <c r="G612" s="21" t="s">
        <v>1213</v>
      </c>
      <c r="H612" s="22">
        <v>0</v>
      </c>
    </row>
    <row r="613" spans="6:8" ht="15.5" x14ac:dyDescent="0.35">
      <c r="F613" s="20">
        <v>311758</v>
      </c>
      <c r="G613" s="21" t="s">
        <v>1214</v>
      </c>
      <c r="H613" s="22">
        <v>0</v>
      </c>
    </row>
    <row r="614" spans="6:8" ht="15.5" x14ac:dyDescent="0.35">
      <c r="F614" s="20">
        <v>307870</v>
      </c>
      <c r="G614" s="21" t="s">
        <v>1215</v>
      </c>
      <c r="H614" s="22">
        <v>0</v>
      </c>
    </row>
    <row r="615" spans="6:8" ht="15.5" x14ac:dyDescent="0.35">
      <c r="F615" s="20">
        <v>90025139</v>
      </c>
      <c r="G615" s="21" t="s">
        <v>1216</v>
      </c>
      <c r="H615" s="22">
        <v>0</v>
      </c>
    </row>
    <row r="616" spans="6:8" ht="15.5" x14ac:dyDescent="0.35">
      <c r="F616" s="20">
        <v>314901</v>
      </c>
      <c r="G616" s="21" t="s">
        <v>1217</v>
      </c>
      <c r="H616" s="22">
        <v>0</v>
      </c>
    </row>
    <row r="617" spans="6:8" ht="15.5" x14ac:dyDescent="0.35">
      <c r="F617" s="20">
        <v>306256</v>
      </c>
      <c r="G617" s="21" t="s">
        <v>1218</v>
      </c>
      <c r="H617" s="22">
        <v>0</v>
      </c>
    </row>
    <row r="618" spans="6:8" ht="15.5" x14ac:dyDescent="0.35">
      <c r="F618" s="20">
        <v>314540</v>
      </c>
      <c r="G618" s="21" t="s">
        <v>1219</v>
      </c>
      <c r="H618" s="22">
        <v>0</v>
      </c>
    </row>
    <row r="619" spans="6:8" ht="15.5" x14ac:dyDescent="0.35">
      <c r="F619" s="20">
        <v>315802</v>
      </c>
      <c r="G619" s="21" t="s">
        <v>1220</v>
      </c>
      <c r="H619" s="22">
        <v>0</v>
      </c>
    </row>
    <row r="620" spans="6:8" ht="15.5" x14ac:dyDescent="0.35">
      <c r="F620" s="20">
        <v>90039302</v>
      </c>
      <c r="G620" s="21" t="s">
        <v>1221</v>
      </c>
      <c r="H620" s="22">
        <v>0</v>
      </c>
    </row>
    <row r="621" spans="6:8" ht="15.5" x14ac:dyDescent="0.35">
      <c r="F621" s="20">
        <v>312158</v>
      </c>
      <c r="G621" s="21" t="s">
        <v>1222</v>
      </c>
      <c r="H621" s="22">
        <v>0</v>
      </c>
    </row>
    <row r="622" spans="6:8" ht="15.5" x14ac:dyDescent="0.35">
      <c r="F622" s="20">
        <v>315437</v>
      </c>
      <c r="G622" s="21" t="s">
        <v>1223</v>
      </c>
      <c r="H622" s="22">
        <v>0</v>
      </c>
    </row>
    <row r="623" spans="6:8" ht="15.5" x14ac:dyDescent="0.35">
      <c r="F623" s="20">
        <v>309692</v>
      </c>
      <c r="G623" s="21" t="s">
        <v>1224</v>
      </c>
      <c r="H623" s="22">
        <v>0</v>
      </c>
    </row>
    <row r="624" spans="6:8" ht="15.5" x14ac:dyDescent="0.35">
      <c r="F624" s="20">
        <v>309418</v>
      </c>
      <c r="G624" s="21" t="s">
        <v>1225</v>
      </c>
      <c r="H624" s="22">
        <v>0</v>
      </c>
    </row>
    <row r="625" spans="6:8" ht="15.5" x14ac:dyDescent="0.35">
      <c r="F625" s="20">
        <v>313797</v>
      </c>
      <c r="G625" s="21" t="s">
        <v>1226</v>
      </c>
      <c r="H625" s="22">
        <v>0</v>
      </c>
    </row>
    <row r="626" spans="6:8" ht="15.5" x14ac:dyDescent="0.35">
      <c r="F626" s="20">
        <v>312166</v>
      </c>
      <c r="G626" s="21" t="s">
        <v>1227</v>
      </c>
      <c r="H626" s="22">
        <v>0</v>
      </c>
    </row>
    <row r="627" spans="6:8" ht="15.5" x14ac:dyDescent="0.35">
      <c r="F627" s="20">
        <v>315803</v>
      </c>
      <c r="G627" s="21" t="s">
        <v>1228</v>
      </c>
      <c r="H627" s="22">
        <v>0</v>
      </c>
    </row>
    <row r="628" spans="6:8" ht="15.5" x14ac:dyDescent="0.35">
      <c r="F628" s="20">
        <v>313856</v>
      </c>
      <c r="G628" s="21" t="s">
        <v>1229</v>
      </c>
      <c r="H628" s="22">
        <v>0</v>
      </c>
    </row>
    <row r="629" spans="6:8" ht="15.5" x14ac:dyDescent="0.35">
      <c r="F629" s="20">
        <v>310411</v>
      </c>
      <c r="G629" s="21" t="s">
        <v>1230</v>
      </c>
      <c r="H629" s="22">
        <v>0</v>
      </c>
    </row>
    <row r="630" spans="6:8" ht="15.5" x14ac:dyDescent="0.35">
      <c r="F630" s="20">
        <v>315070</v>
      </c>
      <c r="G630" s="21" t="s">
        <v>1231</v>
      </c>
      <c r="H630" s="22">
        <v>0</v>
      </c>
    </row>
    <row r="631" spans="6:8" ht="15.5" x14ac:dyDescent="0.35">
      <c r="F631" s="20">
        <v>90039330</v>
      </c>
      <c r="G631" s="21" t="s">
        <v>1232</v>
      </c>
      <c r="H631" s="22">
        <v>0</v>
      </c>
    </row>
    <row r="632" spans="6:8" ht="15.5" x14ac:dyDescent="0.35">
      <c r="F632" s="20">
        <v>315089</v>
      </c>
      <c r="G632" s="21" t="s">
        <v>1233</v>
      </c>
      <c r="H632" s="22">
        <v>0</v>
      </c>
    </row>
    <row r="633" spans="6:8" ht="15.5" x14ac:dyDescent="0.35">
      <c r="F633" s="20">
        <v>315209</v>
      </c>
      <c r="G633" s="21" t="s">
        <v>1234</v>
      </c>
      <c r="H633" s="22">
        <v>0</v>
      </c>
    </row>
    <row r="634" spans="6:8" ht="15.5" x14ac:dyDescent="0.35">
      <c r="F634" s="20">
        <v>314964</v>
      </c>
      <c r="G634" s="21" t="s">
        <v>1235</v>
      </c>
      <c r="H634" s="22">
        <v>0</v>
      </c>
    </row>
    <row r="635" spans="6:8" ht="15.5" x14ac:dyDescent="0.35">
      <c r="F635" s="20">
        <v>309360</v>
      </c>
      <c r="G635" s="21" t="s">
        <v>1236</v>
      </c>
      <c r="H635" s="22">
        <v>0</v>
      </c>
    </row>
    <row r="636" spans="6:8" ht="15.5" x14ac:dyDescent="0.35">
      <c r="F636" s="20">
        <v>315616</v>
      </c>
      <c r="G636" s="21" t="s">
        <v>1237</v>
      </c>
      <c r="H636" s="22">
        <v>0</v>
      </c>
    </row>
    <row r="637" spans="6:8" ht="15.5" x14ac:dyDescent="0.35">
      <c r="F637" s="20">
        <v>90023521</v>
      </c>
      <c r="G637" s="21" t="s">
        <v>1238</v>
      </c>
      <c r="H637" s="22">
        <v>0</v>
      </c>
    </row>
    <row r="638" spans="6:8" ht="15.5" x14ac:dyDescent="0.35">
      <c r="F638" s="20">
        <v>90025289</v>
      </c>
      <c r="G638" s="21" t="s">
        <v>1239</v>
      </c>
      <c r="H638" s="22">
        <v>0</v>
      </c>
    </row>
    <row r="639" spans="6:8" ht="15.5" x14ac:dyDescent="0.35">
      <c r="F639" s="20">
        <v>310497</v>
      </c>
      <c r="G639" s="21" t="s">
        <v>1240</v>
      </c>
      <c r="H639" s="22">
        <v>0</v>
      </c>
    </row>
    <row r="640" spans="6:8" ht="15.5" x14ac:dyDescent="0.35">
      <c r="F640" s="20">
        <v>315545</v>
      </c>
      <c r="G640" s="21" t="s">
        <v>1241</v>
      </c>
      <c r="H640" s="22">
        <v>0</v>
      </c>
    </row>
    <row r="641" spans="6:8" ht="15.5" x14ac:dyDescent="0.35">
      <c r="F641" s="20">
        <v>314603</v>
      </c>
      <c r="G641" s="21" t="s">
        <v>1242</v>
      </c>
      <c r="H641" s="22">
        <v>0</v>
      </c>
    </row>
    <row r="642" spans="6:8" ht="15.5" x14ac:dyDescent="0.35">
      <c r="F642" s="20">
        <v>314250</v>
      </c>
      <c r="G642" s="21" t="s">
        <v>1243</v>
      </c>
      <c r="H642" s="22">
        <v>0</v>
      </c>
    </row>
    <row r="643" spans="6:8" ht="15.5" x14ac:dyDescent="0.35">
      <c r="F643" s="20">
        <v>314912</v>
      </c>
      <c r="G643" s="21" t="s">
        <v>1244</v>
      </c>
      <c r="H643" s="22">
        <v>0</v>
      </c>
    </row>
    <row r="644" spans="6:8" ht="15.5" x14ac:dyDescent="0.35">
      <c r="F644" s="20">
        <v>90018989</v>
      </c>
      <c r="G644" s="21" t="s">
        <v>1245</v>
      </c>
      <c r="H644" s="22">
        <v>0</v>
      </c>
    </row>
    <row r="645" spans="6:8" ht="15.5" x14ac:dyDescent="0.35">
      <c r="F645" s="20">
        <v>314021</v>
      </c>
      <c r="G645" s="21" t="s">
        <v>1246</v>
      </c>
      <c r="H645" s="22">
        <v>0</v>
      </c>
    </row>
    <row r="646" spans="6:8" ht="15.5" x14ac:dyDescent="0.35">
      <c r="F646" s="20">
        <v>315354</v>
      </c>
      <c r="G646" s="21" t="s">
        <v>1247</v>
      </c>
      <c r="H646" s="22">
        <v>0</v>
      </c>
    </row>
    <row r="647" spans="6:8" ht="15.5" x14ac:dyDescent="0.35">
      <c r="F647" s="20">
        <v>314609</v>
      </c>
      <c r="G647" s="21" t="s">
        <v>1248</v>
      </c>
      <c r="H647" s="22">
        <v>0</v>
      </c>
    </row>
    <row r="648" spans="6:8" ht="15.5" x14ac:dyDescent="0.35">
      <c r="F648" s="20">
        <v>90025593</v>
      </c>
      <c r="G648" s="21" t="s">
        <v>1249</v>
      </c>
      <c r="H648" s="22">
        <v>0</v>
      </c>
    </row>
    <row r="649" spans="6:8" ht="15.5" x14ac:dyDescent="0.35">
      <c r="F649" s="20">
        <v>315393</v>
      </c>
      <c r="G649" s="21" t="s">
        <v>1250</v>
      </c>
      <c r="H649" s="22">
        <v>0</v>
      </c>
    </row>
    <row r="650" spans="6:8" ht="15.5" x14ac:dyDescent="0.35">
      <c r="F650" s="20">
        <v>90024411</v>
      </c>
      <c r="G650" s="21" t="s">
        <v>1251</v>
      </c>
      <c r="H650" s="22">
        <v>0</v>
      </c>
    </row>
    <row r="651" spans="6:8" ht="15.5" x14ac:dyDescent="0.35">
      <c r="F651" s="20">
        <v>315224</v>
      </c>
      <c r="G651" s="21" t="s">
        <v>1252</v>
      </c>
      <c r="H651" s="22">
        <v>0</v>
      </c>
    </row>
    <row r="652" spans="6:8" ht="15.5" x14ac:dyDescent="0.35">
      <c r="F652" s="20">
        <v>301534</v>
      </c>
      <c r="G652" s="21" t="s">
        <v>1253</v>
      </c>
      <c r="H652" s="22">
        <v>0</v>
      </c>
    </row>
    <row r="653" spans="6:8" ht="15.5" x14ac:dyDescent="0.35">
      <c r="F653" s="20">
        <v>314847</v>
      </c>
      <c r="G653" s="21" t="s">
        <v>1254</v>
      </c>
      <c r="H653" s="22">
        <v>0</v>
      </c>
    </row>
    <row r="654" spans="6:8" ht="15.5" x14ac:dyDescent="0.35">
      <c r="F654" s="20">
        <v>314364</v>
      </c>
      <c r="G654" s="21" t="s">
        <v>1255</v>
      </c>
      <c r="H654" s="22">
        <v>0</v>
      </c>
    </row>
    <row r="655" spans="6:8" ht="15.5" x14ac:dyDescent="0.35">
      <c r="F655" s="20">
        <v>314070</v>
      </c>
      <c r="G655" s="21" t="s">
        <v>1256</v>
      </c>
      <c r="H655" s="22">
        <v>0</v>
      </c>
    </row>
    <row r="656" spans="6:8" ht="15.5" x14ac:dyDescent="0.35">
      <c r="F656" s="20">
        <v>313316</v>
      </c>
      <c r="G656" s="21" t="s">
        <v>1257</v>
      </c>
      <c r="H656" s="22">
        <v>0</v>
      </c>
    </row>
    <row r="657" spans="6:8" ht="15.5" x14ac:dyDescent="0.35">
      <c r="F657" s="20">
        <v>308707</v>
      </c>
      <c r="G657" s="21" t="s">
        <v>1258</v>
      </c>
      <c r="H657" s="22">
        <v>0</v>
      </c>
    </row>
    <row r="658" spans="6:8" ht="15.5" x14ac:dyDescent="0.35">
      <c r="F658" s="20">
        <v>308921</v>
      </c>
      <c r="G658" s="21" t="s">
        <v>1259</v>
      </c>
      <c r="H658" s="22">
        <v>0</v>
      </c>
    </row>
    <row r="659" spans="6:8" ht="15.5" x14ac:dyDescent="0.35">
      <c r="F659" s="20">
        <v>315057</v>
      </c>
      <c r="G659" s="21" t="s">
        <v>1260</v>
      </c>
      <c r="H659" s="22">
        <v>0</v>
      </c>
    </row>
    <row r="660" spans="6:8" ht="15.5" x14ac:dyDescent="0.35">
      <c r="F660" s="20">
        <v>312651</v>
      </c>
      <c r="G660" s="21" t="s">
        <v>1261</v>
      </c>
      <c r="H660" s="22">
        <v>0</v>
      </c>
    </row>
    <row r="661" spans="6:8" ht="15.5" x14ac:dyDescent="0.35">
      <c r="F661" s="20">
        <v>316040</v>
      </c>
      <c r="G661" s="21" t="s">
        <v>1262</v>
      </c>
      <c r="H661" s="22">
        <v>0</v>
      </c>
    </row>
    <row r="662" spans="6:8" ht="15.5" x14ac:dyDescent="0.35">
      <c r="F662" s="20">
        <v>314635</v>
      </c>
      <c r="G662" s="21" t="s">
        <v>1263</v>
      </c>
      <c r="H662" s="22">
        <v>0</v>
      </c>
    </row>
    <row r="663" spans="6:8" ht="15.5" x14ac:dyDescent="0.35">
      <c r="F663" s="20">
        <v>313351</v>
      </c>
      <c r="G663" s="21" t="s">
        <v>1264</v>
      </c>
      <c r="H663" s="22">
        <v>0</v>
      </c>
    </row>
    <row r="664" spans="6:8" ht="15.5" x14ac:dyDescent="0.35">
      <c r="F664" s="20">
        <v>309154</v>
      </c>
      <c r="G664" s="21" t="s">
        <v>1265</v>
      </c>
      <c r="H664" s="22">
        <v>0</v>
      </c>
    </row>
    <row r="665" spans="6:8" ht="15.5" x14ac:dyDescent="0.35">
      <c r="F665" s="20">
        <v>314977</v>
      </c>
      <c r="G665" s="21" t="s">
        <v>1266</v>
      </c>
      <c r="H665" s="22">
        <v>0</v>
      </c>
    </row>
    <row r="666" spans="6:8" ht="15.5" x14ac:dyDescent="0.35">
      <c r="F666" s="20">
        <v>316311</v>
      </c>
      <c r="G666" s="21" t="s">
        <v>1267</v>
      </c>
      <c r="H666" s="22">
        <v>0</v>
      </c>
    </row>
    <row r="667" spans="6:8" ht="15.5" x14ac:dyDescent="0.35">
      <c r="F667" s="20">
        <v>310593</v>
      </c>
      <c r="G667" s="21" t="s">
        <v>1268</v>
      </c>
      <c r="H667" s="22">
        <v>0</v>
      </c>
    </row>
    <row r="668" spans="6:8" ht="15.5" x14ac:dyDescent="0.35">
      <c r="F668" s="20">
        <v>312578</v>
      </c>
      <c r="G668" s="21" t="s">
        <v>1269</v>
      </c>
      <c r="H668" s="22">
        <v>0</v>
      </c>
    </row>
    <row r="669" spans="6:8" ht="15.5" x14ac:dyDescent="0.35">
      <c r="F669" s="20">
        <v>90027833</v>
      </c>
      <c r="G669" s="21" t="s">
        <v>1270</v>
      </c>
      <c r="H669" s="22">
        <v>0</v>
      </c>
    </row>
    <row r="670" spans="6:8" ht="15.5" x14ac:dyDescent="0.35">
      <c r="F670" s="20">
        <v>90040421</v>
      </c>
      <c r="G670" s="21" t="s">
        <v>1271</v>
      </c>
      <c r="H670" s="22">
        <v>0</v>
      </c>
    </row>
    <row r="671" spans="6:8" ht="15.5" x14ac:dyDescent="0.35">
      <c r="F671" s="20">
        <v>315028</v>
      </c>
      <c r="G671" s="21" t="s">
        <v>1272</v>
      </c>
      <c r="H671" s="22">
        <v>0</v>
      </c>
    </row>
    <row r="672" spans="6:8" ht="15.5" x14ac:dyDescent="0.35">
      <c r="F672" s="20">
        <v>314016</v>
      </c>
      <c r="G672" s="21" t="s">
        <v>1273</v>
      </c>
      <c r="H672" s="22">
        <v>0</v>
      </c>
    </row>
    <row r="673" spans="6:8" ht="15.5" x14ac:dyDescent="0.35">
      <c r="F673" s="20">
        <v>314511</v>
      </c>
      <c r="G673" s="21" t="s">
        <v>1274</v>
      </c>
      <c r="H673" s="22">
        <v>0</v>
      </c>
    </row>
    <row r="674" spans="6:8" ht="15.5" x14ac:dyDescent="0.35">
      <c r="F674" s="20">
        <v>90051355</v>
      </c>
      <c r="G674" s="21" t="s">
        <v>1275</v>
      </c>
      <c r="H674" s="22">
        <v>0</v>
      </c>
    </row>
    <row r="675" spans="6:8" ht="15.5" x14ac:dyDescent="0.35">
      <c r="F675" s="20">
        <v>314338</v>
      </c>
      <c r="G675" s="21" t="s">
        <v>1276</v>
      </c>
      <c r="H675" s="22">
        <v>0</v>
      </c>
    </row>
    <row r="676" spans="6:8" ht="15.5" x14ac:dyDescent="0.35">
      <c r="F676" s="20">
        <v>315734</v>
      </c>
      <c r="G676" s="21" t="s">
        <v>1277</v>
      </c>
      <c r="H676" s="22">
        <v>0</v>
      </c>
    </row>
    <row r="677" spans="6:8" ht="15.5" x14ac:dyDescent="0.35">
      <c r="F677" s="20">
        <v>90046332</v>
      </c>
      <c r="G677" s="21" t="s">
        <v>1278</v>
      </c>
      <c r="H677" s="22">
        <v>0</v>
      </c>
    </row>
    <row r="678" spans="6:8" ht="15.5" x14ac:dyDescent="0.35">
      <c r="F678" s="20">
        <v>301052</v>
      </c>
      <c r="G678" s="21" t="s">
        <v>1279</v>
      </c>
      <c r="H678" s="22">
        <v>0</v>
      </c>
    </row>
    <row r="679" spans="6:8" ht="15.5" x14ac:dyDescent="0.35">
      <c r="F679" s="20">
        <v>313406</v>
      </c>
      <c r="G679" s="21" t="s">
        <v>1280</v>
      </c>
      <c r="H679" s="22">
        <v>0</v>
      </c>
    </row>
    <row r="680" spans="6:8" ht="15.5" x14ac:dyDescent="0.35">
      <c r="F680" s="20">
        <v>315061</v>
      </c>
      <c r="G680" s="21" t="s">
        <v>1281</v>
      </c>
      <c r="H680" s="22">
        <v>0</v>
      </c>
    </row>
    <row r="681" spans="6:8" ht="15.5" x14ac:dyDescent="0.35">
      <c r="F681" s="20">
        <v>315551</v>
      </c>
      <c r="G681" s="21" t="s">
        <v>1282</v>
      </c>
      <c r="H681" s="22">
        <v>0</v>
      </c>
    </row>
    <row r="682" spans="6:8" ht="15.5" x14ac:dyDescent="0.35">
      <c r="F682" s="20">
        <v>301579</v>
      </c>
      <c r="G682" s="21" t="s">
        <v>1283</v>
      </c>
      <c r="H682" s="22">
        <v>0</v>
      </c>
    </row>
    <row r="683" spans="6:8" ht="15.5" x14ac:dyDescent="0.35">
      <c r="F683" s="20">
        <v>314077</v>
      </c>
      <c r="G683" s="21" t="s">
        <v>1284</v>
      </c>
      <c r="H683" s="22">
        <v>0</v>
      </c>
    </row>
    <row r="684" spans="6:8" ht="15.5" x14ac:dyDescent="0.35">
      <c r="F684" s="20">
        <v>304630</v>
      </c>
      <c r="G684" s="21" t="s">
        <v>1285</v>
      </c>
      <c r="H684" s="22">
        <v>0</v>
      </c>
    </row>
    <row r="685" spans="6:8" ht="15.5" x14ac:dyDescent="0.35">
      <c r="F685" s="20">
        <v>315163</v>
      </c>
      <c r="G685" s="21" t="s">
        <v>1286</v>
      </c>
      <c r="H685" s="22">
        <v>0</v>
      </c>
    </row>
    <row r="686" spans="6:8" ht="15.5" x14ac:dyDescent="0.35">
      <c r="F686" s="20">
        <v>90041399</v>
      </c>
      <c r="G686" s="21" t="s">
        <v>1287</v>
      </c>
      <c r="H686" s="22">
        <v>0</v>
      </c>
    </row>
    <row r="687" spans="6:8" ht="15.5" x14ac:dyDescent="0.35">
      <c r="F687" s="20">
        <v>314231</v>
      </c>
      <c r="G687" s="21" t="s">
        <v>1288</v>
      </c>
      <c r="H687" s="22">
        <v>0</v>
      </c>
    </row>
    <row r="688" spans="6:8" ht="15.5" x14ac:dyDescent="0.35">
      <c r="F688" s="20">
        <v>312910</v>
      </c>
      <c r="G688" s="21" t="s">
        <v>1289</v>
      </c>
      <c r="H688" s="22">
        <v>0</v>
      </c>
    </row>
    <row r="689" spans="6:8" ht="15.5" x14ac:dyDescent="0.35">
      <c r="F689" s="20">
        <v>314084</v>
      </c>
      <c r="G689" s="21" t="s">
        <v>1290</v>
      </c>
      <c r="H689" s="22">
        <v>0</v>
      </c>
    </row>
    <row r="690" spans="6:8" ht="15.5" x14ac:dyDescent="0.35">
      <c r="F690" s="20">
        <v>311466</v>
      </c>
      <c r="G690" s="21" t="s">
        <v>1291</v>
      </c>
      <c r="H690" s="22">
        <v>0</v>
      </c>
    </row>
    <row r="691" spans="6:8" ht="15.5" x14ac:dyDescent="0.35">
      <c r="F691" s="20">
        <v>312457</v>
      </c>
      <c r="G691" s="21" t="s">
        <v>1292</v>
      </c>
      <c r="H691" s="22">
        <v>0</v>
      </c>
    </row>
    <row r="692" spans="6:8" ht="15.5" x14ac:dyDescent="0.35">
      <c r="F692" s="20">
        <v>316039</v>
      </c>
      <c r="G692" s="21" t="s">
        <v>1293</v>
      </c>
      <c r="H692" s="22">
        <v>0</v>
      </c>
    </row>
    <row r="693" spans="6:8" ht="15.5" x14ac:dyDescent="0.35">
      <c r="F693" s="20">
        <v>313373</v>
      </c>
      <c r="G693" s="21" t="s">
        <v>1294</v>
      </c>
      <c r="H693" s="22">
        <v>0</v>
      </c>
    </row>
    <row r="694" spans="6:8" ht="15.5" x14ac:dyDescent="0.35">
      <c r="F694" s="20">
        <v>315597</v>
      </c>
      <c r="G694" s="21" t="s">
        <v>1295</v>
      </c>
      <c r="H694" s="22">
        <v>0</v>
      </c>
    </row>
    <row r="695" spans="6:8" ht="15.5" x14ac:dyDescent="0.35">
      <c r="F695" s="20">
        <v>90012195</v>
      </c>
      <c r="G695" s="21" t="s">
        <v>1296</v>
      </c>
      <c r="H695" s="22">
        <v>0</v>
      </c>
    </row>
    <row r="696" spans="6:8" ht="15.5" x14ac:dyDescent="0.35">
      <c r="F696" s="20">
        <v>314531</v>
      </c>
      <c r="G696" s="21" t="s">
        <v>1297</v>
      </c>
      <c r="H696" s="22">
        <v>0</v>
      </c>
    </row>
    <row r="697" spans="6:8" ht="15.5" x14ac:dyDescent="0.35">
      <c r="F697" s="20">
        <v>309428</v>
      </c>
      <c r="G697" s="21" t="s">
        <v>1298</v>
      </c>
      <c r="H697" s="22">
        <v>0</v>
      </c>
    </row>
    <row r="698" spans="6:8" ht="15.5" x14ac:dyDescent="0.35">
      <c r="F698" s="20">
        <v>315766</v>
      </c>
      <c r="G698" s="21" t="s">
        <v>1299</v>
      </c>
      <c r="H698" s="22">
        <v>0</v>
      </c>
    </row>
    <row r="699" spans="6:8" ht="15.5" x14ac:dyDescent="0.35">
      <c r="F699" s="20">
        <v>313559</v>
      </c>
      <c r="G699" s="21" t="s">
        <v>1300</v>
      </c>
      <c r="H699" s="22">
        <v>0</v>
      </c>
    </row>
    <row r="700" spans="6:8" ht="15.5" x14ac:dyDescent="0.35">
      <c r="F700" s="20">
        <v>314916</v>
      </c>
      <c r="G700" s="21" t="s">
        <v>1301</v>
      </c>
      <c r="H700" s="22">
        <v>0</v>
      </c>
    </row>
    <row r="701" spans="6:8" ht="15.5" x14ac:dyDescent="0.35">
      <c r="F701" s="20">
        <v>314885</v>
      </c>
      <c r="G701" s="21" t="s">
        <v>1302</v>
      </c>
      <c r="H701" s="22">
        <v>0</v>
      </c>
    </row>
    <row r="702" spans="6:8" ht="15.5" x14ac:dyDescent="0.35">
      <c r="F702" s="20">
        <v>313141</v>
      </c>
      <c r="G702" s="21" t="s">
        <v>1303</v>
      </c>
      <c r="H702" s="22">
        <v>0</v>
      </c>
    </row>
    <row r="703" spans="6:8" ht="15.5" x14ac:dyDescent="0.35">
      <c r="F703" s="20">
        <v>313861</v>
      </c>
      <c r="G703" s="21" t="s">
        <v>1304</v>
      </c>
      <c r="H703" s="22">
        <v>0</v>
      </c>
    </row>
    <row r="704" spans="6:8" ht="15.5" x14ac:dyDescent="0.35">
      <c r="F704" s="20">
        <v>311901</v>
      </c>
      <c r="G704" s="21" t="s">
        <v>1305</v>
      </c>
      <c r="H704" s="22">
        <v>0</v>
      </c>
    </row>
    <row r="705" spans="6:8" ht="15.5" x14ac:dyDescent="0.35">
      <c r="F705" s="20">
        <v>304240</v>
      </c>
      <c r="G705" s="21" t="s">
        <v>1306</v>
      </c>
      <c r="H705" s="22">
        <v>0</v>
      </c>
    </row>
    <row r="706" spans="6:8" ht="15.5" x14ac:dyDescent="0.35">
      <c r="F706" s="20">
        <v>90024418</v>
      </c>
      <c r="G706" s="21" t="s">
        <v>1307</v>
      </c>
      <c r="H706" s="22">
        <v>0</v>
      </c>
    </row>
    <row r="707" spans="6:8" ht="15.5" x14ac:dyDescent="0.35">
      <c r="F707" s="20">
        <v>313195</v>
      </c>
      <c r="G707" s="21" t="s">
        <v>1308</v>
      </c>
      <c r="H707" s="22">
        <v>0</v>
      </c>
    </row>
    <row r="708" spans="6:8" ht="15.5" x14ac:dyDescent="0.35">
      <c r="F708" s="20">
        <v>313770</v>
      </c>
      <c r="G708" s="21" t="s">
        <v>1309</v>
      </c>
      <c r="H708" s="22">
        <v>0</v>
      </c>
    </row>
    <row r="709" spans="6:8" ht="15.5" x14ac:dyDescent="0.35">
      <c r="F709" s="20">
        <v>90048797</v>
      </c>
      <c r="G709" s="21" t="s">
        <v>1310</v>
      </c>
      <c r="H709" s="22">
        <v>0</v>
      </c>
    </row>
    <row r="710" spans="6:8" ht="15.5" x14ac:dyDescent="0.35">
      <c r="F710" s="20">
        <v>314675</v>
      </c>
      <c r="G710" s="21" t="s">
        <v>1311</v>
      </c>
      <c r="H710" s="22">
        <v>0</v>
      </c>
    </row>
    <row r="711" spans="6:8" ht="15.5" x14ac:dyDescent="0.35">
      <c r="F711" s="20">
        <v>308533</v>
      </c>
      <c r="G711" s="21" t="s">
        <v>1312</v>
      </c>
      <c r="H711" s="22">
        <v>0</v>
      </c>
    </row>
    <row r="712" spans="6:8" ht="15.5" x14ac:dyDescent="0.35">
      <c r="F712" s="20">
        <v>315502</v>
      </c>
      <c r="G712" s="21" t="s">
        <v>1313</v>
      </c>
      <c r="H712" s="22">
        <v>0</v>
      </c>
    </row>
    <row r="713" spans="6:8" ht="15.5" x14ac:dyDescent="0.35">
      <c r="F713" s="20">
        <v>315786</v>
      </c>
      <c r="G713" s="21" t="s">
        <v>1314</v>
      </c>
      <c r="H713" s="22">
        <v>0</v>
      </c>
    </row>
    <row r="714" spans="6:8" ht="15.5" x14ac:dyDescent="0.35">
      <c r="F714" s="20">
        <v>315483</v>
      </c>
      <c r="G714" s="21" t="s">
        <v>1315</v>
      </c>
      <c r="H714" s="22">
        <v>0</v>
      </c>
    </row>
    <row r="715" spans="6:8" ht="15.5" x14ac:dyDescent="0.35">
      <c r="F715" s="20">
        <v>306695</v>
      </c>
      <c r="G715" s="21" t="s">
        <v>1316</v>
      </c>
      <c r="H715" s="22">
        <v>0</v>
      </c>
    </row>
    <row r="716" spans="6:8" ht="15.5" x14ac:dyDescent="0.35">
      <c r="F716" s="20">
        <v>313804</v>
      </c>
      <c r="G716" s="21" t="s">
        <v>1317</v>
      </c>
      <c r="H716" s="22">
        <v>0</v>
      </c>
    </row>
    <row r="717" spans="6:8" ht="15.5" x14ac:dyDescent="0.35">
      <c r="F717" s="20">
        <v>305736</v>
      </c>
      <c r="G717" s="21" t="s">
        <v>1318</v>
      </c>
      <c r="H717" s="22">
        <v>0</v>
      </c>
    </row>
    <row r="718" spans="6:8" ht="15.5" x14ac:dyDescent="0.35">
      <c r="F718" s="20">
        <v>90024501</v>
      </c>
      <c r="G718" s="21" t="s">
        <v>1319</v>
      </c>
      <c r="H718" s="22">
        <v>0</v>
      </c>
    </row>
    <row r="719" spans="6:8" ht="15.5" x14ac:dyDescent="0.35">
      <c r="F719" s="20">
        <v>313259</v>
      </c>
      <c r="G719" s="21" t="s">
        <v>1320</v>
      </c>
      <c r="H719" s="22">
        <v>0</v>
      </c>
    </row>
    <row r="720" spans="6:8" ht="15.5" x14ac:dyDescent="0.35">
      <c r="F720" s="20">
        <v>313327</v>
      </c>
      <c r="G720" s="21" t="s">
        <v>1321</v>
      </c>
      <c r="H720" s="22">
        <v>0</v>
      </c>
    </row>
    <row r="721" spans="6:8" ht="15.5" x14ac:dyDescent="0.35">
      <c r="F721" s="20">
        <v>309209</v>
      </c>
      <c r="G721" s="21" t="s">
        <v>1322</v>
      </c>
      <c r="H721" s="22">
        <v>0</v>
      </c>
    </row>
    <row r="722" spans="6:8" ht="15.5" x14ac:dyDescent="0.35">
      <c r="F722" s="20">
        <v>314281</v>
      </c>
      <c r="G722" s="21" t="s">
        <v>1323</v>
      </c>
      <c r="H722" s="22">
        <v>0</v>
      </c>
    </row>
    <row r="723" spans="6:8" ht="15.5" x14ac:dyDescent="0.35">
      <c r="F723" s="20">
        <v>311219</v>
      </c>
      <c r="G723" s="21" t="s">
        <v>1324</v>
      </c>
      <c r="H723" s="22">
        <v>0</v>
      </c>
    </row>
    <row r="724" spans="6:8" ht="15.5" x14ac:dyDescent="0.35">
      <c r="F724" s="20">
        <v>316043</v>
      </c>
      <c r="G724" s="21" t="s">
        <v>1325</v>
      </c>
      <c r="H724" s="22">
        <v>0</v>
      </c>
    </row>
    <row r="725" spans="6:8" ht="15.5" x14ac:dyDescent="0.35">
      <c r="F725" s="20">
        <v>315174</v>
      </c>
      <c r="G725" s="21" t="s">
        <v>1326</v>
      </c>
      <c r="H725" s="22">
        <v>0</v>
      </c>
    </row>
    <row r="726" spans="6:8" ht="15.5" x14ac:dyDescent="0.35">
      <c r="F726" s="20">
        <v>312540</v>
      </c>
      <c r="G726" s="21" t="s">
        <v>1327</v>
      </c>
      <c r="H726" s="22">
        <v>0</v>
      </c>
    </row>
    <row r="727" spans="6:8" ht="15.5" x14ac:dyDescent="0.35">
      <c r="F727" s="20">
        <v>90009506</v>
      </c>
      <c r="G727" s="21" t="s">
        <v>1328</v>
      </c>
      <c r="H727" s="22">
        <v>0</v>
      </c>
    </row>
    <row r="728" spans="6:8" ht="15.5" x14ac:dyDescent="0.35">
      <c r="F728" s="20">
        <v>313701</v>
      </c>
      <c r="G728" s="21" t="s">
        <v>1329</v>
      </c>
      <c r="H728" s="22">
        <v>0</v>
      </c>
    </row>
    <row r="729" spans="6:8" ht="15.5" x14ac:dyDescent="0.35">
      <c r="F729" s="20">
        <v>312557</v>
      </c>
      <c r="G729" s="21" t="s">
        <v>1330</v>
      </c>
      <c r="H729" s="22">
        <v>0</v>
      </c>
    </row>
    <row r="730" spans="6:8" ht="15.5" x14ac:dyDescent="0.35">
      <c r="F730" s="20">
        <v>315994</v>
      </c>
      <c r="G730" s="21" t="s">
        <v>1331</v>
      </c>
      <c r="H730" s="22">
        <v>0</v>
      </c>
    </row>
    <row r="731" spans="6:8" ht="15.5" x14ac:dyDescent="0.35">
      <c r="F731" s="20">
        <v>315190</v>
      </c>
      <c r="G731" s="21" t="s">
        <v>1332</v>
      </c>
      <c r="H731" s="22">
        <v>0</v>
      </c>
    </row>
    <row r="732" spans="6:8" ht="15.5" x14ac:dyDescent="0.35">
      <c r="F732" s="20">
        <v>90023752</v>
      </c>
      <c r="G732" s="21" t="s">
        <v>1333</v>
      </c>
      <c r="H732" s="22">
        <v>0</v>
      </c>
    </row>
    <row r="733" spans="6:8" ht="15.5" x14ac:dyDescent="0.35">
      <c r="F733" s="20">
        <v>311167</v>
      </c>
      <c r="G733" s="21" t="s">
        <v>1334</v>
      </c>
      <c r="H733" s="22">
        <v>0</v>
      </c>
    </row>
    <row r="734" spans="6:8" ht="15.5" x14ac:dyDescent="0.35">
      <c r="F734" s="20">
        <v>90034737</v>
      </c>
      <c r="G734" s="21" t="s">
        <v>1335</v>
      </c>
      <c r="H734" s="22">
        <v>0</v>
      </c>
    </row>
    <row r="735" spans="6:8" ht="15.5" x14ac:dyDescent="0.35">
      <c r="F735" s="20">
        <v>90033087</v>
      </c>
      <c r="G735" s="21" t="s">
        <v>1336</v>
      </c>
      <c r="H735" s="22">
        <v>0</v>
      </c>
    </row>
    <row r="736" spans="6:8" ht="15.5" x14ac:dyDescent="0.35">
      <c r="F736" s="20">
        <v>312542</v>
      </c>
      <c r="G736" s="21" t="s">
        <v>1337</v>
      </c>
      <c r="H736" s="22">
        <v>0</v>
      </c>
    </row>
    <row r="737" spans="6:8" ht="15.5" x14ac:dyDescent="0.35">
      <c r="F737" s="20">
        <v>3410331</v>
      </c>
      <c r="G737" s="21" t="s">
        <v>1338</v>
      </c>
      <c r="H737" s="22">
        <v>0</v>
      </c>
    </row>
    <row r="738" spans="6:8" ht="15.5" x14ac:dyDescent="0.35">
      <c r="F738" s="20">
        <v>303412</v>
      </c>
      <c r="G738" s="21" t="s">
        <v>1339</v>
      </c>
      <c r="H738" s="22">
        <v>0</v>
      </c>
    </row>
    <row r="739" spans="6:8" ht="15.5" x14ac:dyDescent="0.35">
      <c r="F739" s="20">
        <v>315436</v>
      </c>
      <c r="G739" s="21" t="s">
        <v>1340</v>
      </c>
      <c r="H739" s="22">
        <v>0</v>
      </c>
    </row>
    <row r="740" spans="6:8" ht="15.5" x14ac:dyDescent="0.35">
      <c r="F740" s="20">
        <v>311891</v>
      </c>
      <c r="G740" s="21" t="s">
        <v>1341</v>
      </c>
      <c r="H740" s="22">
        <v>0</v>
      </c>
    </row>
    <row r="741" spans="6:8" ht="15.5" x14ac:dyDescent="0.35">
      <c r="F741" s="20">
        <v>309812</v>
      </c>
      <c r="G741" s="21" t="s">
        <v>1342</v>
      </c>
      <c r="H741" s="22">
        <v>0</v>
      </c>
    </row>
    <row r="742" spans="6:8" ht="15.5" x14ac:dyDescent="0.35">
      <c r="F742" s="20">
        <v>315975</v>
      </c>
      <c r="G742" s="21" t="s">
        <v>1343</v>
      </c>
      <c r="H742" s="22">
        <v>0</v>
      </c>
    </row>
    <row r="743" spans="6:8" ht="15.5" x14ac:dyDescent="0.35">
      <c r="F743" s="20">
        <v>314275</v>
      </c>
      <c r="G743" s="21" t="s">
        <v>1344</v>
      </c>
      <c r="H743" s="22">
        <v>0</v>
      </c>
    </row>
    <row r="744" spans="6:8" ht="15.5" x14ac:dyDescent="0.35">
      <c r="F744" s="20">
        <v>313314</v>
      </c>
      <c r="G744" s="21" t="s">
        <v>1345</v>
      </c>
      <c r="H744" s="22">
        <v>0</v>
      </c>
    </row>
    <row r="745" spans="6:8" ht="15.5" x14ac:dyDescent="0.35">
      <c r="F745" s="20">
        <v>307588</v>
      </c>
      <c r="G745" s="21" t="s">
        <v>1346</v>
      </c>
      <c r="H745" s="22">
        <v>0</v>
      </c>
    </row>
    <row r="746" spans="6:8" ht="15.5" x14ac:dyDescent="0.35">
      <c r="F746" s="20">
        <v>315463</v>
      </c>
      <c r="G746" s="21" t="s">
        <v>1347</v>
      </c>
      <c r="H746" s="22">
        <v>0</v>
      </c>
    </row>
    <row r="747" spans="6:8" ht="15.5" x14ac:dyDescent="0.35">
      <c r="F747" s="20">
        <v>90045872</v>
      </c>
      <c r="G747" s="21" t="s">
        <v>1348</v>
      </c>
      <c r="H747" s="22">
        <v>0</v>
      </c>
    </row>
    <row r="748" spans="6:8" ht="15.5" x14ac:dyDescent="0.35">
      <c r="F748" s="20">
        <v>316378</v>
      </c>
      <c r="G748" s="21" t="s">
        <v>1349</v>
      </c>
      <c r="H748" s="22">
        <v>0</v>
      </c>
    </row>
    <row r="749" spans="6:8" ht="15.5" x14ac:dyDescent="0.35">
      <c r="F749" s="20">
        <v>310755</v>
      </c>
      <c r="G749" s="21" t="s">
        <v>1350</v>
      </c>
      <c r="H749" s="22">
        <v>0</v>
      </c>
    </row>
    <row r="750" spans="6:8" ht="15.5" x14ac:dyDescent="0.35">
      <c r="F750" s="20">
        <v>314466</v>
      </c>
      <c r="G750" s="21" t="s">
        <v>1351</v>
      </c>
      <c r="H750" s="22">
        <v>0</v>
      </c>
    </row>
    <row r="751" spans="6:8" ht="15.5" x14ac:dyDescent="0.35">
      <c r="F751" s="20">
        <v>315555</v>
      </c>
      <c r="G751" s="21" t="s">
        <v>1352</v>
      </c>
      <c r="H751" s="22">
        <v>0</v>
      </c>
    </row>
    <row r="752" spans="6:8" ht="15.5" x14ac:dyDescent="0.35">
      <c r="F752" s="20">
        <v>90016469</v>
      </c>
      <c r="G752" s="21" t="s">
        <v>1353</v>
      </c>
      <c r="H752" s="22">
        <v>0</v>
      </c>
    </row>
    <row r="753" spans="6:8" ht="15.5" x14ac:dyDescent="0.35">
      <c r="F753" s="20">
        <v>310043</v>
      </c>
      <c r="G753" s="21" t="s">
        <v>1354</v>
      </c>
      <c r="H753" s="22">
        <v>0</v>
      </c>
    </row>
    <row r="754" spans="6:8" ht="15.5" x14ac:dyDescent="0.35">
      <c r="F754" s="20">
        <v>314443</v>
      </c>
      <c r="G754" s="21" t="s">
        <v>1355</v>
      </c>
      <c r="H754" s="22">
        <v>0</v>
      </c>
    </row>
    <row r="755" spans="6:8" ht="15.5" x14ac:dyDescent="0.35">
      <c r="F755" s="20">
        <v>314800</v>
      </c>
      <c r="G755" s="21" t="s">
        <v>1356</v>
      </c>
      <c r="H755" s="22">
        <v>0</v>
      </c>
    </row>
    <row r="756" spans="6:8" ht="15.5" x14ac:dyDescent="0.35">
      <c r="F756" s="20">
        <v>314739</v>
      </c>
      <c r="G756" s="21" t="s">
        <v>1357</v>
      </c>
      <c r="H756" s="22">
        <v>0</v>
      </c>
    </row>
    <row r="757" spans="6:8" ht="15.5" x14ac:dyDescent="0.35">
      <c r="F757" s="20">
        <v>314763</v>
      </c>
      <c r="G757" s="21" t="s">
        <v>1358</v>
      </c>
      <c r="H757" s="22">
        <v>0</v>
      </c>
    </row>
    <row r="758" spans="6:8" ht="15.5" x14ac:dyDescent="0.35">
      <c r="F758" s="20">
        <v>311227</v>
      </c>
      <c r="G758" s="21" t="s">
        <v>1359</v>
      </c>
      <c r="H758" s="22">
        <v>0</v>
      </c>
    </row>
    <row r="759" spans="6:8" ht="15.5" x14ac:dyDescent="0.35">
      <c r="F759" s="20">
        <v>308968</v>
      </c>
      <c r="G759" s="21" t="s">
        <v>1360</v>
      </c>
      <c r="H759" s="22">
        <v>0</v>
      </c>
    </row>
    <row r="760" spans="6:8" ht="15.5" x14ac:dyDescent="0.35">
      <c r="F760" s="20">
        <v>308401</v>
      </c>
      <c r="G760" s="21" t="s">
        <v>1361</v>
      </c>
      <c r="H760" s="22">
        <v>0</v>
      </c>
    </row>
    <row r="761" spans="6:8" ht="15.5" x14ac:dyDescent="0.35">
      <c r="F761" s="20">
        <v>314871</v>
      </c>
      <c r="G761" s="21" t="s">
        <v>1362</v>
      </c>
      <c r="H761" s="22">
        <v>0</v>
      </c>
    </row>
    <row r="762" spans="6:8" ht="15.5" x14ac:dyDescent="0.35">
      <c r="F762" s="20">
        <v>90040434</v>
      </c>
      <c r="G762" s="21" t="s">
        <v>1363</v>
      </c>
      <c r="H762" s="22">
        <v>0</v>
      </c>
    </row>
    <row r="763" spans="6:8" ht="15.5" x14ac:dyDescent="0.35">
      <c r="F763" s="20">
        <v>315613</v>
      </c>
      <c r="G763" s="21" t="s">
        <v>1364</v>
      </c>
      <c r="H763" s="22">
        <v>0</v>
      </c>
    </row>
    <row r="764" spans="6:8" ht="15.5" x14ac:dyDescent="0.35">
      <c r="F764" s="20">
        <v>90020902</v>
      </c>
      <c r="G764" s="21" t="s">
        <v>1365</v>
      </c>
      <c r="H764" s="22">
        <v>0</v>
      </c>
    </row>
    <row r="765" spans="6:8" ht="15.5" x14ac:dyDescent="0.35">
      <c r="F765" s="20">
        <v>313368</v>
      </c>
      <c r="G765" s="21" t="s">
        <v>1366</v>
      </c>
      <c r="H765" s="22">
        <v>0</v>
      </c>
    </row>
    <row r="766" spans="6:8" ht="15.5" x14ac:dyDescent="0.35">
      <c r="F766" s="20">
        <v>314342</v>
      </c>
      <c r="G766" s="21" t="s">
        <v>1367</v>
      </c>
      <c r="H766" s="22">
        <v>0</v>
      </c>
    </row>
    <row r="767" spans="6:8" ht="15.5" x14ac:dyDescent="0.35">
      <c r="F767" s="20">
        <v>312736</v>
      </c>
      <c r="G767" s="21" t="s">
        <v>1368</v>
      </c>
      <c r="H767" s="22">
        <v>0</v>
      </c>
    </row>
    <row r="768" spans="6:8" ht="15.5" x14ac:dyDescent="0.35">
      <c r="F768" s="20">
        <v>90039503</v>
      </c>
      <c r="G768" s="21" t="s">
        <v>1369</v>
      </c>
      <c r="H768" s="22">
        <v>0</v>
      </c>
    </row>
    <row r="769" spans="6:8" ht="15.5" x14ac:dyDescent="0.35">
      <c r="F769" s="20">
        <v>90034565</v>
      </c>
      <c r="G769" s="21" t="s">
        <v>1370</v>
      </c>
      <c r="H769" s="22">
        <v>0</v>
      </c>
    </row>
    <row r="770" spans="6:8" ht="15.5" x14ac:dyDescent="0.35">
      <c r="F770" s="20">
        <v>312762</v>
      </c>
      <c r="G770" s="21" t="s">
        <v>1371</v>
      </c>
      <c r="H770" s="22">
        <v>0</v>
      </c>
    </row>
    <row r="771" spans="6:8" ht="15.5" x14ac:dyDescent="0.35">
      <c r="F771" s="20">
        <v>303591</v>
      </c>
      <c r="G771" s="21" t="s">
        <v>1372</v>
      </c>
      <c r="H771" s="22">
        <v>0</v>
      </c>
    </row>
    <row r="772" spans="6:8" ht="15.5" x14ac:dyDescent="0.35">
      <c r="F772" s="20">
        <v>312165</v>
      </c>
      <c r="G772" s="21" t="s">
        <v>1373</v>
      </c>
      <c r="H772" s="22">
        <v>0</v>
      </c>
    </row>
    <row r="773" spans="6:8" ht="15.5" x14ac:dyDescent="0.35">
      <c r="F773" s="20">
        <v>90033484</v>
      </c>
      <c r="G773" s="21" t="s">
        <v>1374</v>
      </c>
      <c r="H773" s="22">
        <v>0</v>
      </c>
    </row>
    <row r="774" spans="6:8" ht="15.5" x14ac:dyDescent="0.35">
      <c r="F774" s="20">
        <v>860236</v>
      </c>
      <c r="G774" s="21" t="s">
        <v>1375</v>
      </c>
      <c r="H774" s="22">
        <v>0</v>
      </c>
    </row>
    <row r="775" spans="6:8" ht="15.5" x14ac:dyDescent="0.35">
      <c r="F775" s="20">
        <v>313560</v>
      </c>
      <c r="G775" s="21" t="s">
        <v>1376</v>
      </c>
      <c r="H775" s="22">
        <v>0</v>
      </c>
    </row>
    <row r="776" spans="6:8" ht="15.5" x14ac:dyDescent="0.35">
      <c r="F776" s="20">
        <v>315360</v>
      </c>
      <c r="G776" s="21" t="s">
        <v>1377</v>
      </c>
      <c r="H776" s="22">
        <v>0</v>
      </c>
    </row>
    <row r="777" spans="6:8" ht="15.5" x14ac:dyDescent="0.35">
      <c r="F777" s="20">
        <v>316174</v>
      </c>
      <c r="G777" s="21" t="s">
        <v>1378</v>
      </c>
      <c r="H777" s="22">
        <v>0</v>
      </c>
    </row>
    <row r="778" spans="6:8" ht="15.5" x14ac:dyDescent="0.35">
      <c r="F778" s="20">
        <v>315047</v>
      </c>
      <c r="G778" s="21" t="s">
        <v>1379</v>
      </c>
      <c r="H778" s="22">
        <v>0</v>
      </c>
    </row>
    <row r="779" spans="6:8" ht="15.5" x14ac:dyDescent="0.35">
      <c r="F779" s="20">
        <v>90021461</v>
      </c>
      <c r="G779" s="21" t="s">
        <v>1380</v>
      </c>
      <c r="H779" s="22">
        <v>0</v>
      </c>
    </row>
    <row r="780" spans="6:8" ht="15.5" x14ac:dyDescent="0.35">
      <c r="F780" s="20">
        <v>311598</v>
      </c>
      <c r="G780" s="21" t="s">
        <v>1381</v>
      </c>
      <c r="H780" s="22">
        <v>0</v>
      </c>
    </row>
    <row r="781" spans="6:8" ht="15.5" x14ac:dyDescent="0.35">
      <c r="F781" s="20">
        <v>90048448</v>
      </c>
      <c r="G781" s="21" t="s">
        <v>149</v>
      </c>
      <c r="H781" s="22">
        <v>0</v>
      </c>
    </row>
    <row r="782" spans="6:8" ht="15.5" x14ac:dyDescent="0.35">
      <c r="F782" s="20">
        <v>313451</v>
      </c>
      <c r="G782" s="21" t="s">
        <v>1382</v>
      </c>
      <c r="H782" s="22">
        <v>0</v>
      </c>
    </row>
    <row r="783" spans="6:8" ht="15.5" x14ac:dyDescent="0.35">
      <c r="F783" s="20">
        <v>311742</v>
      </c>
      <c r="G783" s="21" t="s">
        <v>1383</v>
      </c>
      <c r="H783" s="22">
        <v>0</v>
      </c>
    </row>
    <row r="784" spans="6:8" ht="15.5" x14ac:dyDescent="0.35">
      <c r="F784" s="20">
        <v>308758</v>
      </c>
      <c r="G784" s="21" t="s">
        <v>1384</v>
      </c>
      <c r="H784" s="22">
        <v>0</v>
      </c>
    </row>
    <row r="785" spans="6:8" ht="15.5" x14ac:dyDescent="0.35">
      <c r="F785" s="20">
        <v>90025143</v>
      </c>
      <c r="G785" s="21" t="s">
        <v>1385</v>
      </c>
      <c r="H785" s="22">
        <v>0</v>
      </c>
    </row>
    <row r="786" spans="6:8" ht="15.5" x14ac:dyDescent="0.35">
      <c r="F786" s="20">
        <v>90015672</v>
      </c>
      <c r="G786" s="21" t="s">
        <v>1386</v>
      </c>
      <c r="H786" s="22">
        <v>0</v>
      </c>
    </row>
    <row r="787" spans="6:8" ht="15.5" x14ac:dyDescent="0.35">
      <c r="F787" s="20">
        <v>314371</v>
      </c>
      <c r="G787" s="21" t="s">
        <v>1387</v>
      </c>
      <c r="H787" s="22">
        <v>0</v>
      </c>
    </row>
    <row r="788" spans="6:8" ht="15.5" x14ac:dyDescent="0.35">
      <c r="F788" s="20">
        <v>90014082</v>
      </c>
      <c r="G788" s="21" t="s">
        <v>1388</v>
      </c>
      <c r="H788" s="22">
        <v>0</v>
      </c>
    </row>
    <row r="789" spans="6:8" ht="15.5" x14ac:dyDescent="0.35">
      <c r="F789" s="20">
        <v>314095</v>
      </c>
      <c r="G789" s="21" t="s">
        <v>1389</v>
      </c>
      <c r="H789" s="22">
        <v>0</v>
      </c>
    </row>
    <row r="790" spans="6:8" ht="15.5" x14ac:dyDescent="0.35">
      <c r="F790" s="20">
        <v>314408</v>
      </c>
      <c r="G790" s="21" t="s">
        <v>1390</v>
      </c>
      <c r="H790" s="22">
        <v>0</v>
      </c>
    </row>
    <row r="791" spans="6:8" ht="15.5" x14ac:dyDescent="0.35">
      <c r="F791" s="20">
        <v>315868</v>
      </c>
      <c r="G791" s="21" t="s">
        <v>1391</v>
      </c>
      <c r="H791" s="22">
        <v>0</v>
      </c>
    </row>
    <row r="792" spans="6:8" ht="15.5" x14ac:dyDescent="0.35">
      <c r="F792" s="20">
        <v>315890</v>
      </c>
      <c r="G792" s="21" t="s">
        <v>1392</v>
      </c>
      <c r="H792" s="22">
        <v>0</v>
      </c>
    </row>
    <row r="793" spans="6:8" ht="15.5" x14ac:dyDescent="0.35">
      <c r="F793" s="20">
        <v>312434</v>
      </c>
      <c r="G793" s="21" t="s">
        <v>1393</v>
      </c>
      <c r="H793" s="22">
        <v>0</v>
      </c>
    </row>
    <row r="794" spans="6:8" ht="15.5" x14ac:dyDescent="0.35">
      <c r="F794" s="20">
        <v>202410</v>
      </c>
      <c r="G794" s="21" t="s">
        <v>1394</v>
      </c>
      <c r="H794" s="22">
        <v>0</v>
      </c>
    </row>
    <row r="795" spans="6:8" ht="15.5" x14ac:dyDescent="0.35">
      <c r="F795" s="20">
        <v>90046396</v>
      </c>
      <c r="G795" s="21" t="s">
        <v>1395</v>
      </c>
      <c r="H795" s="22">
        <v>0</v>
      </c>
    </row>
    <row r="796" spans="6:8" ht="15.5" x14ac:dyDescent="0.35">
      <c r="F796" s="20">
        <v>310750</v>
      </c>
      <c r="G796" s="21" t="s">
        <v>1396</v>
      </c>
      <c r="H796" s="22">
        <v>0</v>
      </c>
    </row>
    <row r="797" spans="6:8" ht="15.5" x14ac:dyDescent="0.35">
      <c r="F797" s="20">
        <v>304557</v>
      </c>
      <c r="G797" s="21" t="s">
        <v>1397</v>
      </c>
      <c r="H797" s="22">
        <v>0</v>
      </c>
    </row>
    <row r="798" spans="6:8" ht="15.5" x14ac:dyDescent="0.35">
      <c r="F798" s="20">
        <v>308593</v>
      </c>
      <c r="G798" s="21" t="s">
        <v>1398</v>
      </c>
      <c r="H798" s="22">
        <v>0</v>
      </c>
    </row>
    <row r="799" spans="6:8" ht="15.5" x14ac:dyDescent="0.35">
      <c r="F799" s="20">
        <v>90040440</v>
      </c>
      <c r="G799" s="21" t="s">
        <v>1399</v>
      </c>
      <c r="H799" s="22">
        <v>0</v>
      </c>
    </row>
    <row r="800" spans="6:8" ht="15.5" x14ac:dyDescent="0.35">
      <c r="F800" s="20">
        <v>90024632</v>
      </c>
      <c r="G800" s="21" t="s">
        <v>1400</v>
      </c>
      <c r="H800" s="22">
        <v>0</v>
      </c>
    </row>
    <row r="801" spans="6:8" ht="15.5" x14ac:dyDescent="0.35">
      <c r="F801" s="20">
        <v>310893</v>
      </c>
      <c r="G801" s="21" t="s">
        <v>1401</v>
      </c>
      <c r="H801" s="22">
        <v>0</v>
      </c>
    </row>
    <row r="802" spans="6:8" ht="15.5" x14ac:dyDescent="0.35">
      <c r="F802" s="20">
        <v>310845</v>
      </c>
      <c r="G802" s="21" t="s">
        <v>1402</v>
      </c>
      <c r="H802" s="22">
        <v>0</v>
      </c>
    </row>
    <row r="803" spans="6:8" ht="15.5" x14ac:dyDescent="0.35">
      <c r="F803" s="20">
        <v>316018</v>
      </c>
      <c r="G803" s="21" t="s">
        <v>1403</v>
      </c>
      <c r="H803" s="22">
        <v>0</v>
      </c>
    </row>
    <row r="804" spans="6:8" ht="15.5" x14ac:dyDescent="0.35">
      <c r="F804" s="20">
        <v>313654</v>
      </c>
      <c r="G804" s="21" t="s">
        <v>1404</v>
      </c>
      <c r="H804" s="22">
        <v>0</v>
      </c>
    </row>
    <row r="805" spans="6:8" ht="15.5" x14ac:dyDescent="0.35">
      <c r="F805" s="20">
        <v>308152</v>
      </c>
      <c r="G805" s="21" t="s">
        <v>1405</v>
      </c>
      <c r="H805" s="22">
        <v>0</v>
      </c>
    </row>
    <row r="806" spans="6:8" ht="15.5" x14ac:dyDescent="0.35">
      <c r="F806" s="20">
        <v>313812</v>
      </c>
      <c r="G806" s="21" t="s">
        <v>1406</v>
      </c>
      <c r="H806" s="22">
        <v>0</v>
      </c>
    </row>
    <row r="807" spans="6:8" ht="15.5" x14ac:dyDescent="0.35">
      <c r="F807" s="20">
        <v>315652</v>
      </c>
      <c r="G807" s="21" t="s">
        <v>1407</v>
      </c>
      <c r="H807" s="22">
        <v>0</v>
      </c>
    </row>
    <row r="808" spans="6:8" ht="15.5" x14ac:dyDescent="0.35">
      <c r="F808" s="20">
        <v>90019931</v>
      </c>
      <c r="G808" s="21" t="s">
        <v>1408</v>
      </c>
      <c r="H808" s="22">
        <v>0</v>
      </c>
    </row>
    <row r="809" spans="6:8" ht="15.5" x14ac:dyDescent="0.35">
      <c r="F809" s="20">
        <v>90039750</v>
      </c>
      <c r="G809" s="21" t="s">
        <v>1409</v>
      </c>
      <c r="H809" s="22">
        <v>0</v>
      </c>
    </row>
    <row r="810" spans="6:8" ht="15.5" x14ac:dyDescent="0.35">
      <c r="F810" s="20">
        <v>314467</v>
      </c>
      <c r="G810" s="21" t="s">
        <v>1410</v>
      </c>
      <c r="H810" s="22">
        <v>0</v>
      </c>
    </row>
    <row r="811" spans="6:8" ht="15.5" x14ac:dyDescent="0.35">
      <c r="F811" s="20">
        <v>303616</v>
      </c>
      <c r="G811" s="21" t="s">
        <v>1411</v>
      </c>
      <c r="H811" s="22">
        <v>0</v>
      </c>
    </row>
    <row r="812" spans="6:8" ht="15.5" x14ac:dyDescent="0.35">
      <c r="F812" s="20">
        <v>310011</v>
      </c>
      <c r="G812" s="21" t="s">
        <v>1412</v>
      </c>
      <c r="H812" s="22">
        <v>0</v>
      </c>
    </row>
    <row r="813" spans="6:8" ht="15.5" x14ac:dyDescent="0.35">
      <c r="F813" s="20">
        <v>314808</v>
      </c>
      <c r="G813" s="21" t="s">
        <v>1413</v>
      </c>
      <c r="H813" s="22">
        <v>0</v>
      </c>
    </row>
    <row r="814" spans="6:8" ht="15.5" x14ac:dyDescent="0.35">
      <c r="F814" s="20">
        <v>306497</v>
      </c>
      <c r="G814" s="21" t="s">
        <v>1414</v>
      </c>
      <c r="H814" s="22">
        <v>0</v>
      </c>
    </row>
    <row r="815" spans="6:8" ht="15.5" x14ac:dyDescent="0.35">
      <c r="F815" s="20">
        <v>90024786</v>
      </c>
      <c r="G815" s="21" t="s">
        <v>1415</v>
      </c>
      <c r="H815" s="22">
        <v>0</v>
      </c>
    </row>
    <row r="816" spans="6:8" ht="15.5" x14ac:dyDescent="0.35">
      <c r="F816" s="20">
        <v>90028608</v>
      </c>
      <c r="G816" s="21" t="s">
        <v>1416</v>
      </c>
      <c r="H816" s="22">
        <v>0</v>
      </c>
    </row>
    <row r="817" spans="6:8" ht="15.5" x14ac:dyDescent="0.35">
      <c r="F817" s="20">
        <v>314703</v>
      </c>
      <c r="G817" s="21" t="s">
        <v>1417</v>
      </c>
      <c r="H817" s="22">
        <v>0</v>
      </c>
    </row>
    <row r="818" spans="6:8" ht="15.5" x14ac:dyDescent="0.35">
      <c r="F818" s="20">
        <v>315330</v>
      </c>
      <c r="G818" s="21" t="s">
        <v>1418</v>
      </c>
      <c r="H818" s="22">
        <v>0</v>
      </c>
    </row>
    <row r="819" spans="6:8" ht="15.5" x14ac:dyDescent="0.35">
      <c r="F819" s="20">
        <v>315947</v>
      </c>
      <c r="G819" s="21" t="s">
        <v>1419</v>
      </c>
      <c r="H819" s="22">
        <v>0</v>
      </c>
    </row>
    <row r="820" spans="6:8" ht="15.5" x14ac:dyDescent="0.35">
      <c r="F820" s="20">
        <v>90024069</v>
      </c>
      <c r="G820" s="21" t="s">
        <v>1420</v>
      </c>
      <c r="H820" s="22">
        <v>0</v>
      </c>
    </row>
    <row r="821" spans="6:8" ht="15.5" x14ac:dyDescent="0.35">
      <c r="F821" s="20">
        <v>313727</v>
      </c>
      <c r="G821" s="21" t="s">
        <v>1421</v>
      </c>
      <c r="H821" s="22">
        <v>0</v>
      </c>
    </row>
    <row r="822" spans="6:8" ht="15.5" x14ac:dyDescent="0.35">
      <c r="F822" s="20">
        <v>313685</v>
      </c>
      <c r="G822" s="21" t="s">
        <v>1422</v>
      </c>
      <c r="H822" s="22">
        <v>0</v>
      </c>
    </row>
    <row r="823" spans="6:8" ht="15.5" x14ac:dyDescent="0.35">
      <c r="F823" s="20">
        <v>314684</v>
      </c>
      <c r="G823" s="21" t="s">
        <v>1423</v>
      </c>
      <c r="H823" s="22">
        <v>0</v>
      </c>
    </row>
    <row r="824" spans="6:8" ht="15.5" x14ac:dyDescent="0.35">
      <c r="F824" s="20">
        <v>315123</v>
      </c>
      <c r="G824" s="21" t="s">
        <v>1424</v>
      </c>
      <c r="H824" s="22">
        <v>0</v>
      </c>
    </row>
    <row r="825" spans="6:8" ht="15.5" x14ac:dyDescent="0.35">
      <c r="F825" s="20">
        <v>315491</v>
      </c>
      <c r="G825" s="21" t="s">
        <v>1425</v>
      </c>
      <c r="H825" s="22">
        <v>0</v>
      </c>
    </row>
    <row r="826" spans="6:8" ht="15.5" x14ac:dyDescent="0.35">
      <c r="F826" s="20">
        <v>314068</v>
      </c>
      <c r="G826" s="21" t="s">
        <v>1426</v>
      </c>
      <c r="H826" s="22">
        <v>0</v>
      </c>
    </row>
    <row r="827" spans="6:8" ht="15.5" x14ac:dyDescent="0.35">
      <c r="F827" s="20">
        <v>313871</v>
      </c>
      <c r="G827" s="21" t="s">
        <v>1427</v>
      </c>
      <c r="H827" s="22">
        <v>0</v>
      </c>
    </row>
    <row r="828" spans="6:8" ht="15.5" x14ac:dyDescent="0.35">
      <c r="F828" s="20">
        <v>312554</v>
      </c>
      <c r="G828" s="21" t="s">
        <v>1428</v>
      </c>
      <c r="H828" s="22">
        <v>0</v>
      </c>
    </row>
    <row r="829" spans="6:8" ht="15.5" x14ac:dyDescent="0.35">
      <c r="F829" s="20">
        <v>313410</v>
      </c>
      <c r="G829" s="21" t="s">
        <v>1429</v>
      </c>
      <c r="H829" s="22">
        <v>0</v>
      </c>
    </row>
    <row r="830" spans="6:8" ht="15.5" x14ac:dyDescent="0.35">
      <c r="F830" s="20">
        <v>315510</v>
      </c>
      <c r="G830" s="21" t="s">
        <v>1430</v>
      </c>
      <c r="H830" s="22">
        <v>0</v>
      </c>
    </row>
    <row r="831" spans="6:8" ht="15.5" x14ac:dyDescent="0.35">
      <c r="F831" s="20">
        <v>90041423</v>
      </c>
      <c r="G831" s="21" t="s">
        <v>1431</v>
      </c>
      <c r="H831" s="22">
        <v>0</v>
      </c>
    </row>
    <row r="832" spans="6:8" ht="15.5" x14ac:dyDescent="0.35">
      <c r="F832" s="20">
        <v>90045666</v>
      </c>
      <c r="G832" s="21" t="s">
        <v>1432</v>
      </c>
      <c r="H832" s="22">
        <v>0</v>
      </c>
    </row>
    <row r="833" spans="6:8" ht="15.5" x14ac:dyDescent="0.35">
      <c r="F833" s="20">
        <v>313644</v>
      </c>
      <c r="G833" s="21" t="s">
        <v>1433</v>
      </c>
      <c r="H833" s="22">
        <v>0</v>
      </c>
    </row>
    <row r="834" spans="6:8" ht="15.5" x14ac:dyDescent="0.35">
      <c r="F834" s="20">
        <v>312323</v>
      </c>
      <c r="G834" s="21" t="s">
        <v>1434</v>
      </c>
      <c r="H834" s="22">
        <v>0</v>
      </c>
    </row>
    <row r="835" spans="6:8" ht="15.5" x14ac:dyDescent="0.35">
      <c r="F835" s="20">
        <v>313428</v>
      </c>
      <c r="G835" s="21" t="s">
        <v>1435</v>
      </c>
      <c r="H835" s="22">
        <v>0</v>
      </c>
    </row>
    <row r="836" spans="6:8" ht="15.5" x14ac:dyDescent="0.35">
      <c r="F836" s="20">
        <v>90034152</v>
      </c>
      <c r="G836" s="21" t="s">
        <v>1436</v>
      </c>
      <c r="H836" s="22">
        <v>0</v>
      </c>
    </row>
    <row r="837" spans="6:8" ht="15.5" x14ac:dyDescent="0.35">
      <c r="F837" s="20">
        <v>90033763</v>
      </c>
      <c r="G837" s="21" t="s">
        <v>1437</v>
      </c>
      <c r="H837" s="22">
        <v>0</v>
      </c>
    </row>
    <row r="838" spans="6:8" ht="15.5" x14ac:dyDescent="0.35">
      <c r="F838" s="20">
        <v>311094</v>
      </c>
      <c r="G838" s="21" t="s">
        <v>1438</v>
      </c>
      <c r="H838" s="22">
        <v>0</v>
      </c>
    </row>
    <row r="839" spans="6:8" ht="15.5" x14ac:dyDescent="0.35">
      <c r="F839" s="20">
        <v>313151</v>
      </c>
      <c r="G839" s="21" t="s">
        <v>1439</v>
      </c>
      <c r="H839" s="22">
        <v>0</v>
      </c>
    </row>
    <row r="840" spans="6:8" ht="15.5" x14ac:dyDescent="0.35">
      <c r="F840" s="20">
        <v>90048474</v>
      </c>
      <c r="G840" s="21" t="s">
        <v>1440</v>
      </c>
      <c r="H840" s="22">
        <v>0</v>
      </c>
    </row>
    <row r="841" spans="6:8" ht="15.5" x14ac:dyDescent="0.35">
      <c r="F841" s="20">
        <v>315682</v>
      </c>
      <c r="G841" s="21" t="s">
        <v>1441</v>
      </c>
      <c r="H841" s="22">
        <v>0</v>
      </c>
    </row>
    <row r="842" spans="6:8" ht="15.5" x14ac:dyDescent="0.35">
      <c r="F842" s="20">
        <v>308702</v>
      </c>
      <c r="G842" s="21" t="s">
        <v>1442</v>
      </c>
      <c r="H842" s="22">
        <v>0</v>
      </c>
    </row>
    <row r="843" spans="6:8" ht="15.5" x14ac:dyDescent="0.35">
      <c r="F843" s="20">
        <v>306313</v>
      </c>
      <c r="G843" s="21" t="s">
        <v>1443</v>
      </c>
      <c r="H843" s="22">
        <v>0</v>
      </c>
    </row>
    <row r="844" spans="6:8" ht="15.5" x14ac:dyDescent="0.35">
      <c r="F844" s="20">
        <v>315646</v>
      </c>
      <c r="G844" s="21" t="s">
        <v>1444</v>
      </c>
      <c r="H844" s="22">
        <v>0</v>
      </c>
    </row>
    <row r="845" spans="6:8" ht="15.5" x14ac:dyDescent="0.35">
      <c r="F845" s="20">
        <v>315249</v>
      </c>
      <c r="G845" s="21" t="s">
        <v>1445</v>
      </c>
      <c r="H845" s="22">
        <v>0</v>
      </c>
    </row>
    <row r="846" spans="6:8" ht="15.5" x14ac:dyDescent="0.35">
      <c r="F846" s="20">
        <v>315056</v>
      </c>
      <c r="G846" s="21" t="s">
        <v>1446</v>
      </c>
      <c r="H846" s="22">
        <v>0</v>
      </c>
    </row>
    <row r="847" spans="6:8" ht="15.5" x14ac:dyDescent="0.35">
      <c r="F847" s="20">
        <v>314285</v>
      </c>
      <c r="G847" s="21" t="s">
        <v>1447</v>
      </c>
      <c r="H847" s="22">
        <v>0</v>
      </c>
    </row>
    <row r="848" spans="6:8" ht="15.5" x14ac:dyDescent="0.35">
      <c r="F848" s="20">
        <v>311882</v>
      </c>
      <c r="G848" s="21" t="s">
        <v>1448</v>
      </c>
      <c r="H848" s="22">
        <v>0</v>
      </c>
    </row>
    <row r="849" spans="6:8" ht="15.5" x14ac:dyDescent="0.35">
      <c r="F849" s="20">
        <v>314750</v>
      </c>
      <c r="G849" s="21" t="s">
        <v>1449</v>
      </c>
      <c r="H849" s="22">
        <v>0</v>
      </c>
    </row>
    <row r="850" spans="6:8" ht="15.5" x14ac:dyDescent="0.35">
      <c r="F850" s="20">
        <v>315596</v>
      </c>
      <c r="G850" s="21" t="s">
        <v>1450</v>
      </c>
      <c r="H850" s="22">
        <v>0</v>
      </c>
    </row>
    <row r="851" spans="6:8" ht="15.5" x14ac:dyDescent="0.35">
      <c r="F851" s="20">
        <v>315176</v>
      </c>
      <c r="G851" s="21" t="s">
        <v>1451</v>
      </c>
      <c r="H851" s="22">
        <v>0</v>
      </c>
    </row>
    <row r="852" spans="6:8" ht="15.5" x14ac:dyDescent="0.35">
      <c r="F852" s="20">
        <v>315041</v>
      </c>
      <c r="G852" s="21" t="s">
        <v>1452</v>
      </c>
      <c r="H852" s="22">
        <v>0</v>
      </c>
    </row>
    <row r="853" spans="6:8" ht="15.5" x14ac:dyDescent="0.35">
      <c r="F853" s="20">
        <v>313219</v>
      </c>
      <c r="G853" s="21" t="s">
        <v>1453</v>
      </c>
      <c r="H853" s="22">
        <v>0</v>
      </c>
    </row>
    <row r="854" spans="6:8" ht="15.5" x14ac:dyDescent="0.35">
      <c r="F854" s="20">
        <v>314553</v>
      </c>
      <c r="G854" s="21" t="s">
        <v>1454</v>
      </c>
      <c r="H854" s="22">
        <v>0</v>
      </c>
    </row>
    <row r="855" spans="6:8" ht="15.5" x14ac:dyDescent="0.35">
      <c r="F855" s="20">
        <v>90040156</v>
      </c>
      <c r="G855" s="21" t="s">
        <v>1455</v>
      </c>
      <c r="H855" s="22">
        <v>0</v>
      </c>
    </row>
    <row r="856" spans="6:8" ht="15.5" x14ac:dyDescent="0.35">
      <c r="F856" s="20">
        <v>313803</v>
      </c>
      <c r="G856" s="21" t="s">
        <v>1456</v>
      </c>
      <c r="H856" s="22">
        <v>0</v>
      </c>
    </row>
    <row r="857" spans="6:8" ht="15.5" x14ac:dyDescent="0.35">
      <c r="F857" s="20">
        <v>90034562</v>
      </c>
      <c r="G857" s="21" t="s">
        <v>1457</v>
      </c>
      <c r="H857" s="22">
        <v>0</v>
      </c>
    </row>
    <row r="858" spans="6:8" ht="15.5" x14ac:dyDescent="0.35">
      <c r="F858" s="20">
        <v>307154</v>
      </c>
      <c r="G858" s="21" t="s">
        <v>1458</v>
      </c>
      <c r="H858" s="22">
        <v>0</v>
      </c>
    </row>
    <row r="859" spans="6:8" ht="15.5" x14ac:dyDescent="0.35">
      <c r="F859" s="20">
        <v>314445</v>
      </c>
      <c r="G859" s="21" t="s">
        <v>1459</v>
      </c>
      <c r="H859" s="22">
        <v>0</v>
      </c>
    </row>
    <row r="860" spans="6:8" ht="15.5" x14ac:dyDescent="0.35">
      <c r="F860" s="20">
        <v>314320</v>
      </c>
      <c r="G860" s="21" t="s">
        <v>1460</v>
      </c>
      <c r="H860" s="22">
        <v>0</v>
      </c>
    </row>
    <row r="861" spans="6:8" ht="15.5" x14ac:dyDescent="0.35">
      <c r="F861" s="20">
        <v>90024829</v>
      </c>
      <c r="G861" s="21" t="s">
        <v>1461</v>
      </c>
      <c r="H861" s="22">
        <v>0</v>
      </c>
    </row>
    <row r="862" spans="6:8" ht="15.5" x14ac:dyDescent="0.35">
      <c r="F862" s="20">
        <v>90049264</v>
      </c>
      <c r="G862" s="21" t="s">
        <v>1462</v>
      </c>
      <c r="H862" s="22">
        <v>0</v>
      </c>
    </row>
    <row r="863" spans="6:8" ht="15.5" x14ac:dyDescent="0.35">
      <c r="F863" s="20">
        <v>90045957</v>
      </c>
      <c r="G863" s="21" t="s">
        <v>1463</v>
      </c>
      <c r="H863" s="22">
        <v>0</v>
      </c>
    </row>
    <row r="864" spans="6:8" ht="15.5" x14ac:dyDescent="0.35">
      <c r="F864" s="20">
        <v>313699</v>
      </c>
      <c r="G864" s="21" t="s">
        <v>1464</v>
      </c>
      <c r="H864" s="22">
        <v>0</v>
      </c>
    </row>
    <row r="865" spans="6:13" ht="15.5" x14ac:dyDescent="0.35">
      <c r="F865" s="20">
        <v>307498</v>
      </c>
      <c r="G865" s="21" t="s">
        <v>1465</v>
      </c>
      <c r="H865" s="22">
        <v>0</v>
      </c>
    </row>
    <row r="866" spans="6:13" ht="15.5" x14ac:dyDescent="0.35">
      <c r="F866" s="20">
        <v>313108</v>
      </c>
      <c r="G866" s="21" t="s">
        <v>1466</v>
      </c>
      <c r="H866" s="22">
        <v>0</v>
      </c>
    </row>
    <row r="867" spans="6:13" ht="15.5" x14ac:dyDescent="0.35">
      <c r="F867" s="20">
        <v>315762</v>
      </c>
      <c r="G867" s="21" t="s">
        <v>1467</v>
      </c>
      <c r="H867" s="22">
        <v>0</v>
      </c>
    </row>
    <row r="868" spans="6:13" ht="15.5" x14ac:dyDescent="0.35">
      <c r="F868" s="20">
        <v>312811</v>
      </c>
      <c r="G868" s="21" t="s">
        <v>1468</v>
      </c>
      <c r="H868" s="22">
        <v>0</v>
      </c>
    </row>
    <row r="869" spans="6:13" ht="15.5" x14ac:dyDescent="0.35">
      <c r="F869" s="20">
        <v>313353</v>
      </c>
      <c r="G869" s="21" t="s">
        <v>1469</v>
      </c>
      <c r="H869" s="22">
        <v>0</v>
      </c>
    </row>
    <row r="870" spans="6:13" ht="15.5" x14ac:dyDescent="0.35">
      <c r="F870" s="20">
        <v>313264</v>
      </c>
      <c r="G870" s="21" t="s">
        <v>1470</v>
      </c>
      <c r="H870" s="22">
        <v>0</v>
      </c>
    </row>
    <row r="871" spans="6:13" ht="15.5" x14ac:dyDescent="0.35">
      <c r="F871" s="20">
        <v>314528</v>
      </c>
      <c r="G871" s="21" t="s">
        <v>1471</v>
      </c>
      <c r="H871" s="22">
        <v>0</v>
      </c>
    </row>
    <row r="872" spans="6:13" ht="15.5" x14ac:dyDescent="0.35">
      <c r="F872" s="20">
        <v>307008</v>
      </c>
      <c r="G872" s="21" t="s">
        <v>1472</v>
      </c>
      <c r="H872" s="22">
        <v>0</v>
      </c>
    </row>
    <row r="873" spans="6:13" ht="15.5" x14ac:dyDescent="0.35">
      <c r="F873" s="20">
        <v>311933</v>
      </c>
      <c r="G873" s="21" t="s">
        <v>1473</v>
      </c>
      <c r="H873" s="22">
        <v>0</v>
      </c>
    </row>
    <row r="874" spans="6:13" ht="15.5" x14ac:dyDescent="0.35">
      <c r="F874" s="20">
        <v>90033666</v>
      </c>
      <c r="G874" s="21" t="s">
        <v>1474</v>
      </c>
      <c r="H874" s="22">
        <v>0</v>
      </c>
    </row>
    <row r="875" spans="6:13" ht="15.5" x14ac:dyDescent="0.35">
      <c r="F875" s="20">
        <v>315213</v>
      </c>
      <c r="G875" s="21" t="s">
        <v>1475</v>
      </c>
      <c r="H875" s="22">
        <v>0</v>
      </c>
    </row>
    <row r="876" spans="6:13" ht="15.5" x14ac:dyDescent="0.35">
      <c r="F876" s="20">
        <v>311721</v>
      </c>
      <c r="G876" s="21" t="s">
        <v>1476</v>
      </c>
      <c r="H876" s="22">
        <v>0</v>
      </c>
    </row>
    <row r="877" spans="6:13" ht="15.5" x14ac:dyDescent="0.35">
      <c r="F877" s="20">
        <v>90039532</v>
      </c>
      <c r="G877" s="21" t="s">
        <v>1477</v>
      </c>
      <c r="H877" s="22">
        <v>0</v>
      </c>
    </row>
    <row r="878" spans="6:13" ht="15.5" x14ac:dyDescent="0.35">
      <c r="F878" s="20">
        <v>90025140</v>
      </c>
      <c r="G878" s="21" t="s">
        <v>1478</v>
      </c>
      <c r="H878" s="22">
        <v>0</v>
      </c>
    </row>
    <row r="879" spans="6:13" ht="15.5" x14ac:dyDescent="0.35">
      <c r="F879" s="20">
        <v>313016</v>
      </c>
      <c r="G879" s="21" t="s">
        <v>1479</v>
      </c>
      <c r="H879" s="22">
        <v>0</v>
      </c>
    </row>
    <row r="880" spans="6:13" ht="15.5" x14ac:dyDescent="0.35">
      <c r="F880" s="20">
        <v>313552</v>
      </c>
      <c r="G880" s="21" t="s">
        <v>1480</v>
      </c>
      <c r="H880" s="22">
        <v>0</v>
      </c>
      <c r="L880" s="28"/>
      <c r="M880" s="28"/>
    </row>
    <row r="881" spans="6:8" ht="15.5" x14ac:dyDescent="0.35">
      <c r="F881" s="20">
        <v>313091</v>
      </c>
      <c r="G881" s="21" t="s">
        <v>1481</v>
      </c>
      <c r="H881" s="22">
        <v>0</v>
      </c>
    </row>
    <row r="882" spans="6:8" ht="15.5" x14ac:dyDescent="0.35">
      <c r="F882" s="20">
        <v>312169</v>
      </c>
      <c r="G882" s="21" t="s">
        <v>1482</v>
      </c>
      <c r="H882" s="22">
        <v>0</v>
      </c>
    </row>
    <row r="883" spans="6:8" ht="15.5" x14ac:dyDescent="0.35">
      <c r="F883" s="20">
        <v>308284</v>
      </c>
      <c r="G883" s="21" t="s">
        <v>1483</v>
      </c>
      <c r="H883" s="22">
        <v>0</v>
      </c>
    </row>
    <row r="884" spans="6:8" ht="15.5" x14ac:dyDescent="0.35">
      <c r="F884" s="20">
        <v>312293</v>
      </c>
      <c r="G884" s="21" t="s">
        <v>1484</v>
      </c>
      <c r="H884" s="22">
        <v>0</v>
      </c>
    </row>
    <row r="885" spans="6:8" ht="15.5" x14ac:dyDescent="0.35">
      <c r="F885" s="20">
        <v>315582</v>
      </c>
      <c r="G885" s="21" t="s">
        <v>1485</v>
      </c>
      <c r="H885" s="22">
        <v>0</v>
      </c>
    </row>
    <row r="886" spans="6:8" ht="15.5" x14ac:dyDescent="0.35">
      <c r="F886" s="20">
        <v>314664</v>
      </c>
      <c r="G886" s="21" t="s">
        <v>1486</v>
      </c>
      <c r="H886" s="22">
        <v>0</v>
      </c>
    </row>
    <row r="887" spans="6:8" ht="15.5" x14ac:dyDescent="0.35">
      <c r="F887" s="20">
        <v>316273</v>
      </c>
      <c r="G887" s="21" t="s">
        <v>1487</v>
      </c>
      <c r="H887" s="22">
        <v>0</v>
      </c>
    </row>
    <row r="888" spans="6:8" ht="15.5" x14ac:dyDescent="0.35">
      <c r="F888" s="20">
        <v>314263</v>
      </c>
      <c r="G888" s="21" t="s">
        <v>1488</v>
      </c>
      <c r="H888" s="22">
        <v>0</v>
      </c>
    </row>
    <row r="889" spans="6:8" ht="15.5" x14ac:dyDescent="0.35">
      <c r="F889" s="20">
        <v>314012</v>
      </c>
      <c r="G889" s="21" t="s">
        <v>1489</v>
      </c>
      <c r="H889" s="22">
        <v>0</v>
      </c>
    </row>
    <row r="890" spans="6:8" ht="15.5" x14ac:dyDescent="0.35">
      <c r="F890" s="20">
        <v>314349</v>
      </c>
      <c r="G890" s="21" t="s">
        <v>1490</v>
      </c>
      <c r="H890" s="22">
        <v>0</v>
      </c>
    </row>
    <row r="891" spans="6:8" ht="15.5" x14ac:dyDescent="0.35">
      <c r="F891" s="20">
        <v>312409</v>
      </c>
      <c r="G891" s="21" t="s">
        <v>1491</v>
      </c>
      <c r="H891" s="22">
        <v>0</v>
      </c>
    </row>
    <row r="892" spans="6:8" ht="15.5" x14ac:dyDescent="0.35">
      <c r="F892" s="20">
        <v>316145</v>
      </c>
      <c r="G892" s="21" t="s">
        <v>1492</v>
      </c>
      <c r="H892" s="22">
        <v>0</v>
      </c>
    </row>
    <row r="893" spans="6:8" ht="15.5" x14ac:dyDescent="0.35">
      <c r="F893" s="20">
        <v>314934</v>
      </c>
      <c r="G893" s="21" t="s">
        <v>1493</v>
      </c>
      <c r="H893" s="22">
        <v>0</v>
      </c>
    </row>
    <row r="894" spans="6:8" ht="15.5" x14ac:dyDescent="0.35">
      <c r="F894" s="20">
        <v>90046185</v>
      </c>
      <c r="G894" s="21" t="s">
        <v>1494</v>
      </c>
      <c r="H894" s="22">
        <v>0</v>
      </c>
    </row>
    <row r="895" spans="6:8" ht="15.5" x14ac:dyDescent="0.35">
      <c r="F895" s="20">
        <v>90023868</v>
      </c>
      <c r="G895" s="21" t="s">
        <v>1495</v>
      </c>
      <c r="H895" s="22">
        <v>0</v>
      </c>
    </row>
    <row r="896" spans="6:8" ht="15.5" x14ac:dyDescent="0.35">
      <c r="F896" s="20">
        <v>315303</v>
      </c>
      <c r="G896" s="21" t="s">
        <v>1496</v>
      </c>
      <c r="H896" s="22">
        <v>0</v>
      </c>
    </row>
    <row r="897" spans="6:8" ht="15.5" x14ac:dyDescent="0.35">
      <c r="F897" s="20">
        <v>315309</v>
      </c>
      <c r="G897" s="21" t="s">
        <v>1497</v>
      </c>
      <c r="H897" s="22">
        <v>0</v>
      </c>
    </row>
    <row r="898" spans="6:8" ht="15.5" x14ac:dyDescent="0.35">
      <c r="F898" s="20">
        <v>307917</v>
      </c>
      <c r="G898" s="21" t="s">
        <v>1498</v>
      </c>
      <c r="H898" s="22">
        <v>0</v>
      </c>
    </row>
    <row r="899" spans="6:8" ht="15.5" x14ac:dyDescent="0.35">
      <c r="F899" s="20">
        <v>90049037</v>
      </c>
      <c r="G899" s="21" t="s">
        <v>1499</v>
      </c>
      <c r="H899" s="22">
        <v>0</v>
      </c>
    </row>
    <row r="900" spans="6:8" ht="15.5" x14ac:dyDescent="0.35">
      <c r="F900" s="20">
        <v>315038</v>
      </c>
      <c r="G900" s="21" t="s">
        <v>1500</v>
      </c>
      <c r="H900" s="22">
        <v>0</v>
      </c>
    </row>
    <row r="901" spans="6:8" ht="15.5" x14ac:dyDescent="0.35">
      <c r="F901" s="20">
        <v>315593</v>
      </c>
      <c r="G901" s="21" t="s">
        <v>1501</v>
      </c>
      <c r="H901" s="22">
        <v>0</v>
      </c>
    </row>
    <row r="902" spans="6:8" ht="15.5" x14ac:dyDescent="0.35">
      <c r="F902" s="20">
        <v>303509</v>
      </c>
      <c r="G902" s="21" t="s">
        <v>1502</v>
      </c>
      <c r="H902" s="22">
        <v>0</v>
      </c>
    </row>
    <row r="903" spans="6:8" ht="15.5" x14ac:dyDescent="0.35">
      <c r="F903" s="20">
        <v>101729</v>
      </c>
      <c r="G903" s="21" t="s">
        <v>1503</v>
      </c>
      <c r="H903" s="22">
        <v>0</v>
      </c>
    </row>
    <row r="904" spans="6:8" ht="15.5" x14ac:dyDescent="0.35">
      <c r="F904" s="20">
        <v>314230</v>
      </c>
      <c r="G904" s="21" t="s">
        <v>1504</v>
      </c>
      <c r="H904" s="22">
        <v>0</v>
      </c>
    </row>
    <row r="905" spans="6:8" ht="15.5" x14ac:dyDescent="0.35">
      <c r="F905" s="20">
        <v>314093</v>
      </c>
      <c r="G905" s="21" t="s">
        <v>1505</v>
      </c>
      <c r="H905" s="22">
        <v>0</v>
      </c>
    </row>
    <row r="906" spans="6:8" ht="15.5" x14ac:dyDescent="0.35">
      <c r="F906" s="20">
        <v>312717</v>
      </c>
      <c r="G906" s="21" t="s">
        <v>1506</v>
      </c>
      <c r="H906" s="22">
        <v>0</v>
      </c>
    </row>
    <row r="907" spans="6:8" ht="15.5" x14ac:dyDescent="0.35">
      <c r="F907" s="20">
        <v>314785</v>
      </c>
      <c r="G907" s="21" t="s">
        <v>1507</v>
      </c>
      <c r="H907" s="22">
        <v>0</v>
      </c>
    </row>
    <row r="908" spans="6:8" ht="15.5" x14ac:dyDescent="0.35">
      <c r="F908" s="20">
        <v>305673</v>
      </c>
      <c r="G908" s="21" t="s">
        <v>1508</v>
      </c>
      <c r="H908" s="22">
        <v>0</v>
      </c>
    </row>
    <row r="909" spans="6:8" ht="15.5" x14ac:dyDescent="0.35">
      <c r="F909" s="20">
        <v>90040629</v>
      </c>
      <c r="G909" s="21" t="s">
        <v>1509</v>
      </c>
      <c r="H909" s="22">
        <v>0</v>
      </c>
    </row>
    <row r="910" spans="6:8" ht="15.5" x14ac:dyDescent="0.35">
      <c r="F910" s="20">
        <v>314524</v>
      </c>
      <c r="G910" s="21" t="s">
        <v>1510</v>
      </c>
      <c r="H910" s="22">
        <v>0</v>
      </c>
    </row>
    <row r="911" spans="6:8" ht="15.5" x14ac:dyDescent="0.35">
      <c r="F911" s="20">
        <v>315987</v>
      </c>
      <c r="G911" s="21" t="s">
        <v>1511</v>
      </c>
      <c r="H911" s="22">
        <v>0</v>
      </c>
    </row>
    <row r="912" spans="6:8" ht="15.5" x14ac:dyDescent="0.35">
      <c r="F912" s="20">
        <v>310144</v>
      </c>
      <c r="G912" s="21" t="s">
        <v>1512</v>
      </c>
      <c r="H912" s="22">
        <v>0</v>
      </c>
    </row>
    <row r="913" spans="6:8" ht="15.5" x14ac:dyDescent="0.35">
      <c r="F913" s="20">
        <v>315457</v>
      </c>
      <c r="G913" s="21" t="s">
        <v>1513</v>
      </c>
      <c r="H913" s="22">
        <v>0</v>
      </c>
    </row>
    <row r="914" spans="6:8" ht="15.5" x14ac:dyDescent="0.35">
      <c r="F914" s="20">
        <v>90027823</v>
      </c>
      <c r="G914" s="21" t="s">
        <v>1514</v>
      </c>
      <c r="H914" s="22">
        <v>0</v>
      </c>
    </row>
    <row r="915" spans="6:8" ht="15.5" x14ac:dyDescent="0.35">
      <c r="F915" s="20">
        <v>313313</v>
      </c>
      <c r="G915" s="21" t="s">
        <v>1515</v>
      </c>
      <c r="H915" s="22">
        <v>0</v>
      </c>
    </row>
    <row r="916" spans="6:8" ht="15.5" x14ac:dyDescent="0.35">
      <c r="F916" s="20">
        <v>313497</v>
      </c>
      <c r="G916" s="21" t="s">
        <v>1516</v>
      </c>
      <c r="H916" s="22">
        <v>0</v>
      </c>
    </row>
    <row r="917" spans="6:8" ht="15.5" x14ac:dyDescent="0.35">
      <c r="F917" s="20">
        <v>90027915</v>
      </c>
      <c r="G917" s="21" t="s">
        <v>1517</v>
      </c>
      <c r="H917" s="22">
        <v>0</v>
      </c>
    </row>
    <row r="918" spans="6:8" ht="15.5" x14ac:dyDescent="0.35">
      <c r="F918" s="20">
        <v>90040153</v>
      </c>
      <c r="G918" s="21" t="s">
        <v>1518</v>
      </c>
      <c r="H918" s="22">
        <v>0</v>
      </c>
    </row>
    <row r="919" spans="6:8" ht="15.5" x14ac:dyDescent="0.35">
      <c r="F919" s="20">
        <v>311612</v>
      </c>
      <c r="G919" s="21" t="s">
        <v>1519</v>
      </c>
      <c r="H919" s="22">
        <v>0</v>
      </c>
    </row>
    <row r="920" spans="6:8" ht="15.5" x14ac:dyDescent="0.35">
      <c r="F920" s="20">
        <v>90009231</v>
      </c>
      <c r="G920" s="21" t="s">
        <v>1520</v>
      </c>
      <c r="H920" s="22">
        <v>0</v>
      </c>
    </row>
    <row r="921" spans="6:8" ht="15.5" x14ac:dyDescent="0.35">
      <c r="F921" s="20">
        <v>310557</v>
      </c>
      <c r="G921" s="21" t="s">
        <v>1521</v>
      </c>
      <c r="H921" s="22">
        <v>0</v>
      </c>
    </row>
    <row r="922" spans="6:8" ht="15.5" x14ac:dyDescent="0.35">
      <c r="F922" s="20">
        <v>90024340</v>
      </c>
      <c r="G922" s="21" t="s">
        <v>1522</v>
      </c>
      <c r="H922" s="22">
        <v>0</v>
      </c>
    </row>
    <row r="923" spans="6:8" ht="15.5" x14ac:dyDescent="0.35">
      <c r="F923" s="20">
        <v>314748</v>
      </c>
      <c r="G923" s="21" t="s">
        <v>1523</v>
      </c>
      <c r="H923" s="22">
        <v>0</v>
      </c>
    </row>
    <row r="924" spans="6:8" ht="15.5" x14ac:dyDescent="0.35">
      <c r="F924" s="20">
        <v>314329</v>
      </c>
      <c r="G924" s="21" t="s">
        <v>1524</v>
      </c>
      <c r="H924" s="22">
        <v>0</v>
      </c>
    </row>
    <row r="925" spans="6:8" ht="15.5" x14ac:dyDescent="0.35">
      <c r="F925" s="20">
        <v>90039301</v>
      </c>
      <c r="G925" s="21" t="s">
        <v>1525</v>
      </c>
      <c r="H925" s="22">
        <v>0</v>
      </c>
    </row>
    <row r="926" spans="6:8" ht="15.5" x14ac:dyDescent="0.35">
      <c r="F926" s="20">
        <v>314753</v>
      </c>
      <c r="G926" s="21" t="s">
        <v>1526</v>
      </c>
      <c r="H926" s="22">
        <v>0</v>
      </c>
    </row>
    <row r="927" spans="6:8" ht="15.5" x14ac:dyDescent="0.35">
      <c r="F927" s="20">
        <v>315204</v>
      </c>
      <c r="G927" s="21" t="s">
        <v>1527</v>
      </c>
      <c r="H927" s="22">
        <v>0</v>
      </c>
    </row>
    <row r="928" spans="6:8" ht="15.5" x14ac:dyDescent="0.35">
      <c r="F928" s="20">
        <v>90009507</v>
      </c>
      <c r="G928" s="21" t="s">
        <v>1528</v>
      </c>
      <c r="H928" s="22">
        <v>0</v>
      </c>
    </row>
    <row r="929" spans="6:8" ht="15.5" x14ac:dyDescent="0.35">
      <c r="F929" s="20">
        <v>315584</v>
      </c>
      <c r="G929" s="21" t="s">
        <v>1529</v>
      </c>
      <c r="H929" s="22">
        <v>0</v>
      </c>
    </row>
    <row r="930" spans="6:8" ht="15.5" x14ac:dyDescent="0.35">
      <c r="F930" s="20">
        <v>311548</v>
      </c>
      <c r="G930" s="21" t="s">
        <v>1530</v>
      </c>
      <c r="H930" s="22">
        <v>0</v>
      </c>
    </row>
    <row r="931" spans="6:8" ht="15.5" x14ac:dyDescent="0.35">
      <c r="F931" s="20">
        <v>314815</v>
      </c>
      <c r="G931" s="21" t="s">
        <v>1531</v>
      </c>
      <c r="H931" s="22">
        <v>0</v>
      </c>
    </row>
    <row r="932" spans="6:8" ht="15.5" x14ac:dyDescent="0.35">
      <c r="F932" s="20">
        <v>306667</v>
      </c>
      <c r="G932" s="21" t="s">
        <v>1532</v>
      </c>
      <c r="H932" s="22">
        <v>0</v>
      </c>
    </row>
    <row r="933" spans="6:8" ht="15.5" x14ac:dyDescent="0.35">
      <c r="F933" s="20">
        <v>90024328</v>
      </c>
      <c r="G933" s="21" t="s">
        <v>1533</v>
      </c>
      <c r="H933" s="22">
        <v>0</v>
      </c>
    </row>
    <row r="934" spans="6:8" ht="15.5" x14ac:dyDescent="0.35">
      <c r="F934" s="20">
        <v>316322</v>
      </c>
      <c r="G934" s="21" t="s">
        <v>1534</v>
      </c>
      <c r="H934" s="22">
        <v>0</v>
      </c>
    </row>
    <row r="935" spans="6:8" ht="15.5" x14ac:dyDescent="0.35">
      <c r="F935" s="20">
        <v>90019276</v>
      </c>
      <c r="G935" s="21" t="s">
        <v>1535</v>
      </c>
      <c r="H935" s="22">
        <v>0</v>
      </c>
    </row>
    <row r="936" spans="6:8" ht="15.5" x14ac:dyDescent="0.35">
      <c r="F936" s="20">
        <v>314533</v>
      </c>
      <c r="G936" s="21" t="s">
        <v>1536</v>
      </c>
      <c r="H936" s="22">
        <v>0</v>
      </c>
    </row>
    <row r="937" spans="6:8" ht="15.5" x14ac:dyDescent="0.35">
      <c r="F937" s="20">
        <v>315318</v>
      </c>
      <c r="G937" s="21" t="s">
        <v>1537</v>
      </c>
      <c r="H937" s="22">
        <v>0</v>
      </c>
    </row>
    <row r="938" spans="6:8" ht="15.5" x14ac:dyDescent="0.35">
      <c r="F938" s="20">
        <v>311817</v>
      </c>
      <c r="G938" s="21" t="s">
        <v>1538</v>
      </c>
      <c r="H938" s="22">
        <v>0</v>
      </c>
    </row>
    <row r="939" spans="6:8" ht="15.5" x14ac:dyDescent="0.35">
      <c r="F939" s="20">
        <v>301309</v>
      </c>
      <c r="G939" s="21" t="s">
        <v>1539</v>
      </c>
      <c r="H939" s="22">
        <v>0</v>
      </c>
    </row>
    <row r="940" spans="6:8" ht="15.5" x14ac:dyDescent="0.35">
      <c r="F940" s="20">
        <v>315530</v>
      </c>
      <c r="G940" s="21" t="s">
        <v>1540</v>
      </c>
      <c r="H940" s="22">
        <v>0</v>
      </c>
    </row>
    <row r="941" spans="6:8" ht="15.5" x14ac:dyDescent="0.35">
      <c r="F941" s="20">
        <v>315343</v>
      </c>
      <c r="G941" s="21" t="s">
        <v>1541</v>
      </c>
      <c r="H941" s="22">
        <v>0</v>
      </c>
    </row>
    <row r="942" spans="6:8" ht="15.5" x14ac:dyDescent="0.35">
      <c r="F942" s="20">
        <v>309911</v>
      </c>
      <c r="G942" s="21" t="s">
        <v>1542</v>
      </c>
      <c r="H942" s="22">
        <v>0</v>
      </c>
    </row>
    <row r="943" spans="6:8" ht="15.5" x14ac:dyDescent="0.35">
      <c r="F943" s="20">
        <v>90035164</v>
      </c>
      <c r="G943" s="21" t="s">
        <v>1543</v>
      </c>
      <c r="H943" s="22">
        <v>0</v>
      </c>
    </row>
    <row r="944" spans="6:8" ht="15.5" x14ac:dyDescent="0.35">
      <c r="F944" s="20">
        <v>90046848</v>
      </c>
      <c r="G944" s="21" t="s">
        <v>1544</v>
      </c>
      <c r="H944" s="22">
        <v>0</v>
      </c>
    </row>
    <row r="945" spans="6:8" ht="15.5" x14ac:dyDescent="0.35">
      <c r="F945" s="20">
        <v>90040516</v>
      </c>
      <c r="G945" s="21" t="s">
        <v>1545</v>
      </c>
      <c r="H945" s="22">
        <v>0</v>
      </c>
    </row>
    <row r="946" spans="6:8" ht="15.5" x14ac:dyDescent="0.35">
      <c r="F946" s="20">
        <v>90046366</v>
      </c>
      <c r="G946" s="21" t="s">
        <v>1546</v>
      </c>
      <c r="H946" s="22">
        <v>0</v>
      </c>
    </row>
    <row r="947" spans="6:8" ht="15.5" x14ac:dyDescent="0.35">
      <c r="F947" s="20">
        <v>315485</v>
      </c>
      <c r="G947" s="21" t="s">
        <v>1547</v>
      </c>
      <c r="H947" s="22">
        <v>0</v>
      </c>
    </row>
    <row r="948" spans="6:8" ht="15.5" x14ac:dyDescent="0.35">
      <c r="F948" s="20">
        <v>90027918</v>
      </c>
      <c r="G948" s="21" t="s">
        <v>1548</v>
      </c>
      <c r="H948" s="22">
        <v>0</v>
      </c>
    </row>
    <row r="949" spans="6:8" ht="15.5" x14ac:dyDescent="0.35">
      <c r="F949" s="20">
        <v>307104</v>
      </c>
      <c r="G949" s="21" t="s">
        <v>1549</v>
      </c>
      <c r="H949" s="22">
        <v>0</v>
      </c>
    </row>
    <row r="950" spans="6:8" ht="15.5" x14ac:dyDescent="0.35">
      <c r="F950" s="20">
        <v>90050198</v>
      </c>
      <c r="G950" s="21" t="s">
        <v>1550</v>
      </c>
      <c r="H950" s="22">
        <v>0</v>
      </c>
    </row>
    <row r="951" spans="6:8" ht="15.5" x14ac:dyDescent="0.35">
      <c r="F951" s="20">
        <v>312975</v>
      </c>
      <c r="G951" s="21" t="s">
        <v>1551</v>
      </c>
      <c r="H951" s="22">
        <v>0</v>
      </c>
    </row>
    <row r="952" spans="6:8" ht="15.5" x14ac:dyDescent="0.35">
      <c r="F952" s="20">
        <v>90041270</v>
      </c>
      <c r="G952" s="21" t="s">
        <v>1552</v>
      </c>
      <c r="H952" s="22">
        <v>0</v>
      </c>
    </row>
    <row r="953" spans="6:8" ht="15.5" x14ac:dyDescent="0.35">
      <c r="F953" s="20">
        <v>306654</v>
      </c>
      <c r="G953" s="21" t="s">
        <v>1553</v>
      </c>
      <c r="H953" s="22">
        <v>0</v>
      </c>
    </row>
    <row r="954" spans="6:8" ht="15.5" x14ac:dyDescent="0.35">
      <c r="F954" s="20">
        <v>315035</v>
      </c>
      <c r="G954" s="21" t="s">
        <v>1554</v>
      </c>
      <c r="H954" s="22">
        <v>0</v>
      </c>
    </row>
    <row r="955" spans="6:8" ht="15.5" x14ac:dyDescent="0.35">
      <c r="F955" s="20">
        <v>308638</v>
      </c>
      <c r="G955" s="21" t="s">
        <v>1555</v>
      </c>
      <c r="H955" s="22">
        <v>0</v>
      </c>
    </row>
    <row r="956" spans="6:8" ht="15.5" x14ac:dyDescent="0.35">
      <c r="F956" s="20">
        <v>90038360</v>
      </c>
      <c r="G956" s="21" t="s">
        <v>1556</v>
      </c>
      <c r="H956" s="22">
        <v>0</v>
      </c>
    </row>
    <row r="957" spans="6:8" ht="15.5" x14ac:dyDescent="0.35">
      <c r="F957" s="20">
        <v>315255</v>
      </c>
      <c r="G957" s="21" t="s">
        <v>1557</v>
      </c>
      <c r="H957" s="22">
        <v>0</v>
      </c>
    </row>
    <row r="958" spans="6:8" ht="15.5" x14ac:dyDescent="0.35">
      <c r="F958" s="20">
        <v>313730</v>
      </c>
      <c r="G958" s="21" t="s">
        <v>1558</v>
      </c>
      <c r="H958" s="22">
        <v>0</v>
      </c>
    </row>
    <row r="959" spans="6:8" ht="15.5" x14ac:dyDescent="0.35">
      <c r="F959" s="20">
        <v>316025</v>
      </c>
      <c r="G959" s="21" t="s">
        <v>1559</v>
      </c>
      <c r="H959" s="22">
        <v>0</v>
      </c>
    </row>
    <row r="960" spans="6:8" ht="15.5" x14ac:dyDescent="0.35">
      <c r="F960" s="20">
        <v>90012459</v>
      </c>
      <c r="G960" s="21" t="s">
        <v>1560</v>
      </c>
      <c r="H960" s="22">
        <v>0</v>
      </c>
    </row>
    <row r="961" spans="6:8" ht="15.5" x14ac:dyDescent="0.35">
      <c r="F961" s="20">
        <v>313757</v>
      </c>
      <c r="G961" s="21" t="s">
        <v>1561</v>
      </c>
      <c r="H961" s="22">
        <v>0</v>
      </c>
    </row>
    <row r="962" spans="6:8" ht="15.5" x14ac:dyDescent="0.35">
      <c r="F962" s="20">
        <v>314118</v>
      </c>
      <c r="G962" s="21" t="s">
        <v>1562</v>
      </c>
      <c r="H962" s="22">
        <v>0</v>
      </c>
    </row>
    <row r="963" spans="6:8" ht="15.5" x14ac:dyDescent="0.35">
      <c r="F963" s="20">
        <v>309429</v>
      </c>
      <c r="G963" s="21" t="s">
        <v>1563</v>
      </c>
      <c r="H963" s="22">
        <v>0</v>
      </c>
    </row>
    <row r="964" spans="6:8" ht="15.5" x14ac:dyDescent="0.35">
      <c r="F964" s="20">
        <v>315421</v>
      </c>
      <c r="G964" s="21" t="s">
        <v>1564</v>
      </c>
      <c r="H964" s="22">
        <v>0</v>
      </c>
    </row>
    <row r="965" spans="6:8" ht="15.5" x14ac:dyDescent="0.35">
      <c r="F965" s="20">
        <v>315265</v>
      </c>
      <c r="G965" s="21" t="s">
        <v>1565</v>
      </c>
      <c r="H965" s="22">
        <v>0</v>
      </c>
    </row>
    <row r="966" spans="6:8" ht="15.5" x14ac:dyDescent="0.35">
      <c r="F966" s="20">
        <v>90047632</v>
      </c>
      <c r="G966" s="21" t="s">
        <v>1566</v>
      </c>
      <c r="H966" s="22">
        <v>0</v>
      </c>
    </row>
    <row r="967" spans="6:8" ht="15.5" x14ac:dyDescent="0.35">
      <c r="F967" s="20">
        <v>301514</v>
      </c>
      <c r="G967" s="21" t="s">
        <v>1567</v>
      </c>
      <c r="H967" s="22">
        <v>0</v>
      </c>
    </row>
    <row r="968" spans="6:8" ht="15.5" x14ac:dyDescent="0.35">
      <c r="F968" s="20">
        <v>90018835</v>
      </c>
      <c r="G968" s="21" t="s">
        <v>1568</v>
      </c>
      <c r="H968" s="22">
        <v>0</v>
      </c>
    </row>
    <row r="969" spans="6:8" ht="15.5" x14ac:dyDescent="0.35">
      <c r="F969" s="20">
        <v>315273</v>
      </c>
      <c r="G969" s="21" t="s">
        <v>1569</v>
      </c>
      <c r="H969" s="22">
        <v>0</v>
      </c>
    </row>
    <row r="970" spans="6:8" ht="15.5" x14ac:dyDescent="0.35">
      <c r="F970" s="20">
        <v>309950</v>
      </c>
      <c r="G970" s="21" t="s">
        <v>1570</v>
      </c>
      <c r="H970" s="22">
        <v>0</v>
      </c>
    </row>
    <row r="971" spans="6:8" ht="15.5" x14ac:dyDescent="0.35">
      <c r="F971" s="20">
        <v>315349</v>
      </c>
      <c r="G971" s="21" t="s">
        <v>1571</v>
      </c>
      <c r="H971" s="22">
        <v>0</v>
      </c>
    </row>
    <row r="972" spans="6:8" ht="15.5" x14ac:dyDescent="0.35">
      <c r="F972" s="20">
        <v>306248</v>
      </c>
      <c r="G972" s="21" t="s">
        <v>1572</v>
      </c>
      <c r="H972" s="22">
        <v>0</v>
      </c>
    </row>
    <row r="973" spans="6:8" ht="15.5" x14ac:dyDescent="0.35">
      <c r="F973" s="20">
        <v>310719</v>
      </c>
      <c r="G973" s="21" t="s">
        <v>1573</v>
      </c>
      <c r="H973" s="22">
        <v>0</v>
      </c>
    </row>
    <row r="974" spans="6:8" ht="15.5" x14ac:dyDescent="0.35">
      <c r="F974" s="20">
        <v>90039872</v>
      </c>
      <c r="G974" s="21" t="s">
        <v>1574</v>
      </c>
      <c r="H974" s="22">
        <v>0</v>
      </c>
    </row>
    <row r="975" spans="6:8" ht="15.5" x14ac:dyDescent="0.35">
      <c r="F975" s="20">
        <v>309945</v>
      </c>
      <c r="G975" s="21" t="s">
        <v>1575</v>
      </c>
      <c r="H975" s="22">
        <v>0</v>
      </c>
    </row>
    <row r="976" spans="6:8" ht="15.5" x14ac:dyDescent="0.35">
      <c r="F976" s="20">
        <v>314619</v>
      </c>
      <c r="G976" s="21" t="s">
        <v>1576</v>
      </c>
      <c r="H976" s="22">
        <v>0</v>
      </c>
    </row>
    <row r="977" spans="6:8" ht="15.5" x14ac:dyDescent="0.35">
      <c r="F977" s="20">
        <v>311200</v>
      </c>
      <c r="G977" s="21" t="s">
        <v>1577</v>
      </c>
      <c r="H977" s="22">
        <v>0</v>
      </c>
    </row>
    <row r="978" spans="6:8" ht="15.5" x14ac:dyDescent="0.35">
      <c r="F978" s="20">
        <v>90009509</v>
      </c>
      <c r="G978" s="21" t="s">
        <v>1578</v>
      </c>
      <c r="H978" s="22">
        <v>0</v>
      </c>
    </row>
    <row r="979" spans="6:8" ht="15.5" x14ac:dyDescent="0.35">
      <c r="F979" s="20">
        <v>315263</v>
      </c>
      <c r="G979" s="21" t="s">
        <v>1579</v>
      </c>
      <c r="H979" s="22">
        <v>0</v>
      </c>
    </row>
    <row r="980" spans="6:8" ht="15.5" x14ac:dyDescent="0.35">
      <c r="F980" s="20">
        <v>312140</v>
      </c>
      <c r="G980" s="21" t="s">
        <v>1580</v>
      </c>
      <c r="H980" s="22">
        <v>0</v>
      </c>
    </row>
    <row r="981" spans="6:8" ht="15.5" x14ac:dyDescent="0.35">
      <c r="F981" s="20">
        <v>304949</v>
      </c>
      <c r="G981" s="21" t="s">
        <v>1581</v>
      </c>
      <c r="H981" s="22">
        <v>0</v>
      </c>
    </row>
    <row r="982" spans="6:8" ht="15.5" x14ac:dyDescent="0.35">
      <c r="F982" s="20">
        <v>314189</v>
      </c>
      <c r="G982" s="21" t="s">
        <v>1582</v>
      </c>
      <c r="H982" s="22">
        <v>0</v>
      </c>
    </row>
    <row r="983" spans="6:8" ht="15.5" x14ac:dyDescent="0.35">
      <c r="F983" s="20">
        <v>304943</v>
      </c>
      <c r="G983" s="21" t="s">
        <v>1583</v>
      </c>
      <c r="H983" s="22">
        <v>0</v>
      </c>
    </row>
    <row r="984" spans="6:8" ht="15.5" x14ac:dyDescent="0.35">
      <c r="F984" s="20">
        <v>314566</v>
      </c>
      <c r="G984" s="21" t="s">
        <v>1584</v>
      </c>
      <c r="H984" s="22">
        <v>0</v>
      </c>
    </row>
    <row r="985" spans="6:8" ht="15.5" x14ac:dyDescent="0.35">
      <c r="F985" s="20">
        <v>314569</v>
      </c>
      <c r="G985" s="21" t="s">
        <v>1585</v>
      </c>
      <c r="H985" s="22">
        <v>0</v>
      </c>
    </row>
    <row r="986" spans="6:8" ht="15.5" x14ac:dyDescent="0.35">
      <c r="F986" s="20">
        <v>316320</v>
      </c>
      <c r="G986" s="21" t="s">
        <v>1586</v>
      </c>
      <c r="H986" s="22">
        <v>0</v>
      </c>
    </row>
    <row r="987" spans="6:8" ht="15.5" x14ac:dyDescent="0.35">
      <c r="F987" s="20">
        <v>309122</v>
      </c>
      <c r="G987" s="21" t="s">
        <v>1587</v>
      </c>
      <c r="H987" s="22">
        <v>0</v>
      </c>
    </row>
    <row r="988" spans="6:8" ht="15.5" x14ac:dyDescent="0.35">
      <c r="F988" s="20">
        <v>90024339</v>
      </c>
      <c r="G988" s="21" t="s">
        <v>1588</v>
      </c>
      <c r="H988" s="22">
        <v>0</v>
      </c>
    </row>
    <row r="989" spans="6:8" ht="15.5" x14ac:dyDescent="0.35">
      <c r="F989" s="20">
        <v>310114</v>
      </c>
      <c r="G989" s="21" t="s">
        <v>1589</v>
      </c>
      <c r="H989" s="22">
        <v>0</v>
      </c>
    </row>
    <row r="990" spans="6:8" ht="15.5" x14ac:dyDescent="0.35">
      <c r="F990" s="20">
        <v>315699</v>
      </c>
      <c r="G990" s="21" t="s">
        <v>1590</v>
      </c>
      <c r="H990" s="22">
        <v>0</v>
      </c>
    </row>
    <row r="991" spans="6:8" ht="15.5" x14ac:dyDescent="0.35">
      <c r="F991" s="20">
        <v>90046225</v>
      </c>
      <c r="G991" s="21" t="s">
        <v>1591</v>
      </c>
      <c r="H991" s="22">
        <v>0</v>
      </c>
    </row>
    <row r="992" spans="6:8" ht="15.5" x14ac:dyDescent="0.35">
      <c r="F992" s="20">
        <v>315411</v>
      </c>
      <c r="G992" s="21" t="s">
        <v>1592</v>
      </c>
      <c r="H992" s="22">
        <v>0</v>
      </c>
    </row>
    <row r="993" spans="6:8" ht="15.5" x14ac:dyDescent="0.35">
      <c r="F993" s="20">
        <v>313242</v>
      </c>
      <c r="G993" s="21" t="s">
        <v>1593</v>
      </c>
      <c r="H993" s="22">
        <v>0</v>
      </c>
    </row>
    <row r="994" spans="6:8" ht="15.5" x14ac:dyDescent="0.35">
      <c r="F994" s="20">
        <v>313710</v>
      </c>
      <c r="G994" s="21" t="s">
        <v>1594</v>
      </c>
      <c r="H994" s="22">
        <v>0</v>
      </c>
    </row>
    <row r="995" spans="6:8" ht="15.5" x14ac:dyDescent="0.35">
      <c r="F995" s="20">
        <v>314795</v>
      </c>
      <c r="G995" s="21" t="s">
        <v>1595</v>
      </c>
      <c r="H995" s="22">
        <v>0</v>
      </c>
    </row>
    <row r="996" spans="6:8" ht="15.5" x14ac:dyDescent="0.35">
      <c r="F996" s="20">
        <v>314863</v>
      </c>
      <c r="G996" s="21" t="s">
        <v>1596</v>
      </c>
      <c r="H996" s="22">
        <v>0</v>
      </c>
    </row>
    <row r="997" spans="6:8" ht="15.5" x14ac:dyDescent="0.35">
      <c r="F997" s="20">
        <v>313780</v>
      </c>
      <c r="G997" s="21" t="s">
        <v>1597</v>
      </c>
      <c r="H997" s="22">
        <v>0</v>
      </c>
    </row>
    <row r="998" spans="6:8" ht="15.5" x14ac:dyDescent="0.35">
      <c r="F998" s="20">
        <v>315412</v>
      </c>
      <c r="G998" s="21" t="s">
        <v>1598</v>
      </c>
      <c r="H998" s="22">
        <v>0</v>
      </c>
    </row>
    <row r="999" spans="6:8" ht="15.5" x14ac:dyDescent="0.35">
      <c r="F999" s="20">
        <v>311419</v>
      </c>
      <c r="G999" s="21" t="s">
        <v>1599</v>
      </c>
      <c r="H999" s="22">
        <v>0</v>
      </c>
    </row>
    <row r="1000" spans="6:8" ht="15.5" x14ac:dyDescent="0.35">
      <c r="F1000" s="20">
        <v>312961</v>
      </c>
      <c r="G1000" s="21" t="s">
        <v>1600</v>
      </c>
      <c r="H1000" s="22">
        <v>0</v>
      </c>
    </row>
    <row r="1001" spans="6:8" ht="15.5" x14ac:dyDescent="0.35">
      <c r="F1001" s="20">
        <v>90040743</v>
      </c>
      <c r="G1001" s="21" t="s">
        <v>1601</v>
      </c>
      <c r="H1001" s="22">
        <v>0</v>
      </c>
    </row>
    <row r="1002" spans="6:8" ht="15.5" x14ac:dyDescent="0.35">
      <c r="F1002" s="20">
        <v>314362</v>
      </c>
      <c r="G1002" s="21" t="s">
        <v>1602</v>
      </c>
      <c r="H1002" s="22">
        <v>0</v>
      </c>
    </row>
    <row r="1003" spans="6:8" ht="15.5" x14ac:dyDescent="0.35">
      <c r="F1003" s="20">
        <v>315569</v>
      </c>
      <c r="G1003" s="21" t="s">
        <v>1603</v>
      </c>
      <c r="H1003" s="22">
        <v>0</v>
      </c>
    </row>
    <row r="1004" spans="6:8" ht="15.5" x14ac:dyDescent="0.35">
      <c r="F1004" s="20">
        <v>315175</v>
      </c>
      <c r="G1004" s="21" t="s">
        <v>1604</v>
      </c>
      <c r="H1004" s="22">
        <v>0</v>
      </c>
    </row>
    <row r="1005" spans="6:8" ht="15.5" x14ac:dyDescent="0.35">
      <c r="F1005" s="20">
        <v>315576</v>
      </c>
      <c r="G1005" s="21" t="s">
        <v>1605</v>
      </c>
      <c r="H1005" s="22">
        <v>0</v>
      </c>
    </row>
    <row r="1006" spans="6:8" ht="15.5" x14ac:dyDescent="0.35">
      <c r="F1006" s="20">
        <v>90012232</v>
      </c>
      <c r="G1006" s="21" t="s">
        <v>1606</v>
      </c>
      <c r="H1006" s="22">
        <v>0</v>
      </c>
    </row>
    <row r="1007" spans="6:8" ht="15.5" x14ac:dyDescent="0.35">
      <c r="F1007" s="20">
        <v>315154</v>
      </c>
      <c r="G1007" s="21" t="s">
        <v>1607</v>
      </c>
      <c r="H1007" s="22">
        <v>0</v>
      </c>
    </row>
    <row r="1008" spans="6:8" ht="15.5" x14ac:dyDescent="0.35">
      <c r="F1008" s="20">
        <v>315721</v>
      </c>
      <c r="G1008" s="21" t="s">
        <v>1608</v>
      </c>
      <c r="H1008" s="22">
        <v>0</v>
      </c>
    </row>
    <row r="1009" spans="6:8" ht="15.5" x14ac:dyDescent="0.35">
      <c r="F1009" s="20">
        <v>312588</v>
      </c>
      <c r="G1009" s="21" t="s">
        <v>1609</v>
      </c>
      <c r="H1009" s="22">
        <v>0</v>
      </c>
    </row>
    <row r="1010" spans="6:8" ht="15.5" x14ac:dyDescent="0.35">
      <c r="F1010" s="20">
        <v>309925</v>
      </c>
      <c r="G1010" s="21" t="s">
        <v>1610</v>
      </c>
      <c r="H1010" s="22">
        <v>0</v>
      </c>
    </row>
    <row r="1011" spans="6:8" ht="15.5" x14ac:dyDescent="0.35">
      <c r="F1011" s="20">
        <v>306393</v>
      </c>
      <c r="G1011" s="21" t="s">
        <v>1611</v>
      </c>
      <c r="H1011" s="22">
        <v>0</v>
      </c>
    </row>
    <row r="1012" spans="6:8" ht="15.5" x14ac:dyDescent="0.35">
      <c r="F1012" s="20">
        <v>312114</v>
      </c>
      <c r="G1012" s="21" t="s">
        <v>1612</v>
      </c>
      <c r="H1012" s="22">
        <v>0</v>
      </c>
    </row>
    <row r="1013" spans="6:8" ht="15.5" x14ac:dyDescent="0.35">
      <c r="F1013" s="20">
        <v>310241</v>
      </c>
      <c r="G1013" s="21" t="s">
        <v>1613</v>
      </c>
      <c r="H1013" s="22">
        <v>0</v>
      </c>
    </row>
    <row r="1014" spans="6:8" ht="15.5" x14ac:dyDescent="0.35">
      <c r="F1014" s="20">
        <v>314629</v>
      </c>
      <c r="G1014" s="21" t="s">
        <v>1614</v>
      </c>
      <c r="H1014" s="22">
        <v>0</v>
      </c>
    </row>
    <row r="1015" spans="6:8" ht="15.5" x14ac:dyDescent="0.35">
      <c r="F1015" s="20">
        <v>90039431</v>
      </c>
      <c r="G1015" s="21" t="s">
        <v>1615</v>
      </c>
      <c r="H1015" s="22">
        <v>0</v>
      </c>
    </row>
    <row r="1016" spans="6:8" ht="15.5" x14ac:dyDescent="0.35">
      <c r="F1016" s="20">
        <v>310694</v>
      </c>
      <c r="G1016" s="21" t="s">
        <v>1616</v>
      </c>
      <c r="H1016" s="22">
        <v>0</v>
      </c>
    </row>
    <row r="1017" spans="6:8" ht="15.5" x14ac:dyDescent="0.35">
      <c r="F1017" s="20">
        <v>309956</v>
      </c>
      <c r="G1017" s="21" t="s">
        <v>1617</v>
      </c>
      <c r="H1017" s="22">
        <v>0</v>
      </c>
    </row>
    <row r="1018" spans="6:8" ht="15.5" x14ac:dyDescent="0.35">
      <c r="F1018" s="20">
        <v>315300</v>
      </c>
      <c r="G1018" s="21" t="s">
        <v>1618</v>
      </c>
      <c r="H1018" s="22">
        <v>0</v>
      </c>
    </row>
    <row r="1019" spans="6:8" ht="15.5" x14ac:dyDescent="0.35">
      <c r="F1019" s="20">
        <v>90040350</v>
      </c>
      <c r="G1019" s="21" t="s">
        <v>1619</v>
      </c>
      <c r="H1019" s="22">
        <v>0</v>
      </c>
    </row>
    <row r="1020" spans="6:8" ht="15.5" x14ac:dyDescent="0.35">
      <c r="F1020" s="20">
        <v>90038942</v>
      </c>
      <c r="G1020" s="21" t="s">
        <v>1620</v>
      </c>
      <c r="H1020" s="22">
        <v>0</v>
      </c>
    </row>
    <row r="1021" spans="6:8" ht="15.5" x14ac:dyDescent="0.35">
      <c r="F1021" s="20">
        <v>314029</v>
      </c>
      <c r="G1021" s="21" t="s">
        <v>1621</v>
      </c>
      <c r="H1021" s="22">
        <v>0</v>
      </c>
    </row>
    <row r="1022" spans="6:8" ht="15.5" x14ac:dyDescent="0.35">
      <c r="F1022" s="20">
        <v>313510</v>
      </c>
      <c r="G1022" s="21" t="s">
        <v>1622</v>
      </c>
      <c r="H1022" s="22">
        <v>0</v>
      </c>
    </row>
    <row r="1023" spans="6:8" ht="15.5" x14ac:dyDescent="0.35">
      <c r="F1023" s="20">
        <v>308951</v>
      </c>
      <c r="G1023" s="21" t="s">
        <v>1623</v>
      </c>
      <c r="H1023" s="22">
        <v>0</v>
      </c>
    </row>
    <row r="1024" spans="6:8" ht="15.5" x14ac:dyDescent="0.35">
      <c r="F1024" s="20">
        <v>301847</v>
      </c>
      <c r="G1024" s="21" t="s">
        <v>1624</v>
      </c>
      <c r="H1024" s="22">
        <v>0</v>
      </c>
    </row>
    <row r="1025" spans="6:8" ht="15.5" x14ac:dyDescent="0.35">
      <c r="F1025" s="20">
        <v>314009</v>
      </c>
      <c r="G1025" s="21" t="s">
        <v>1625</v>
      </c>
      <c r="H1025" s="22">
        <v>0</v>
      </c>
    </row>
    <row r="1026" spans="6:8" ht="15.5" x14ac:dyDescent="0.35">
      <c r="F1026" s="20">
        <v>316218</v>
      </c>
      <c r="G1026" s="21" t="s">
        <v>1626</v>
      </c>
      <c r="H1026" s="22">
        <v>0</v>
      </c>
    </row>
    <row r="1027" spans="6:8" ht="15.5" x14ac:dyDescent="0.35">
      <c r="F1027" s="20">
        <v>303959</v>
      </c>
      <c r="G1027" s="21" t="s">
        <v>1627</v>
      </c>
      <c r="H1027" s="22">
        <v>0</v>
      </c>
    </row>
    <row r="1028" spans="6:8" ht="15.5" x14ac:dyDescent="0.35">
      <c r="F1028" s="20">
        <v>308028</v>
      </c>
      <c r="G1028" s="21" t="s">
        <v>1628</v>
      </c>
      <c r="H1028" s="22">
        <v>0</v>
      </c>
    </row>
    <row r="1029" spans="6:8" ht="15.5" x14ac:dyDescent="0.35">
      <c r="F1029" s="20">
        <v>90024419</v>
      </c>
      <c r="G1029" s="21" t="s">
        <v>1629</v>
      </c>
      <c r="H1029" s="22">
        <v>0</v>
      </c>
    </row>
    <row r="1030" spans="6:8" ht="15.5" x14ac:dyDescent="0.35">
      <c r="F1030" s="20">
        <v>302479</v>
      </c>
      <c r="G1030" s="21" t="s">
        <v>1630</v>
      </c>
      <c r="H1030" s="22">
        <v>0</v>
      </c>
    </row>
    <row r="1031" spans="6:8" ht="15.5" x14ac:dyDescent="0.35">
      <c r="F1031" s="20">
        <v>90019689</v>
      </c>
      <c r="G1031" s="21" t="s">
        <v>1631</v>
      </c>
      <c r="H1031" s="22">
        <v>0</v>
      </c>
    </row>
    <row r="1032" spans="6:8" ht="15.5" x14ac:dyDescent="0.35">
      <c r="F1032" s="20">
        <v>90040078</v>
      </c>
      <c r="G1032" s="21" t="s">
        <v>1632</v>
      </c>
      <c r="H1032" s="22">
        <v>0</v>
      </c>
    </row>
    <row r="1033" spans="6:8" ht="15.5" x14ac:dyDescent="0.35">
      <c r="F1033" s="20">
        <v>313041</v>
      </c>
      <c r="G1033" s="21" t="s">
        <v>1633</v>
      </c>
      <c r="H1033" s="22">
        <v>0</v>
      </c>
    </row>
    <row r="1034" spans="6:8" ht="15.5" x14ac:dyDescent="0.35">
      <c r="F1034" s="20">
        <v>313729</v>
      </c>
      <c r="G1034" s="21" t="s">
        <v>1634</v>
      </c>
      <c r="H1034" s="22">
        <v>0</v>
      </c>
    </row>
    <row r="1035" spans="6:8" ht="15.5" x14ac:dyDescent="0.35">
      <c r="F1035" s="20">
        <v>314858</v>
      </c>
      <c r="G1035" s="21" t="s">
        <v>1635</v>
      </c>
      <c r="H1035" s="22">
        <v>0</v>
      </c>
    </row>
    <row r="1036" spans="6:8" ht="15.5" x14ac:dyDescent="0.35">
      <c r="F1036" s="20">
        <v>307713</v>
      </c>
      <c r="G1036" s="21" t="s">
        <v>1636</v>
      </c>
      <c r="H1036" s="22">
        <v>0</v>
      </c>
    </row>
    <row r="1037" spans="6:8" ht="15.5" x14ac:dyDescent="0.35">
      <c r="F1037" s="20">
        <v>315304</v>
      </c>
      <c r="G1037" s="21" t="s">
        <v>1637</v>
      </c>
      <c r="H1037" s="22">
        <v>0</v>
      </c>
    </row>
    <row r="1038" spans="6:8" ht="15.5" x14ac:dyDescent="0.35">
      <c r="F1038" s="20">
        <v>314305</v>
      </c>
      <c r="G1038" s="21" t="s">
        <v>1638</v>
      </c>
      <c r="H1038" s="22">
        <v>0</v>
      </c>
    </row>
    <row r="1039" spans="6:8" ht="15.5" x14ac:dyDescent="0.35">
      <c r="F1039" s="20">
        <v>90016061</v>
      </c>
      <c r="G1039" s="21" t="s">
        <v>1639</v>
      </c>
      <c r="H1039" s="22">
        <v>0</v>
      </c>
    </row>
    <row r="1040" spans="6:8" ht="15.5" x14ac:dyDescent="0.35">
      <c r="F1040" s="20">
        <v>314630</v>
      </c>
      <c r="G1040" s="21" t="s">
        <v>1640</v>
      </c>
      <c r="H1040" s="22">
        <v>0</v>
      </c>
    </row>
    <row r="1041" spans="6:8" ht="15.5" x14ac:dyDescent="0.35">
      <c r="F1041" s="20">
        <v>90034942</v>
      </c>
      <c r="G1041" s="21" t="s">
        <v>1641</v>
      </c>
      <c r="H1041" s="22">
        <v>0</v>
      </c>
    </row>
    <row r="1042" spans="6:8" ht="15.5" x14ac:dyDescent="0.35">
      <c r="F1042" s="20">
        <v>312139</v>
      </c>
      <c r="G1042" s="21" t="s">
        <v>1642</v>
      </c>
      <c r="H1042" s="22">
        <v>0</v>
      </c>
    </row>
    <row r="1043" spans="6:8" ht="15.5" x14ac:dyDescent="0.35">
      <c r="F1043" s="20">
        <v>310725</v>
      </c>
      <c r="G1043" s="21" t="s">
        <v>1643</v>
      </c>
      <c r="H1043" s="22">
        <v>0</v>
      </c>
    </row>
    <row r="1044" spans="6:8" ht="15.5" x14ac:dyDescent="0.35">
      <c r="F1044" s="20">
        <v>309034</v>
      </c>
      <c r="G1044" s="21" t="s">
        <v>1644</v>
      </c>
      <c r="H1044" s="22">
        <v>0</v>
      </c>
    </row>
    <row r="1045" spans="6:8" ht="15.5" x14ac:dyDescent="0.35">
      <c r="F1045" s="20">
        <v>314794</v>
      </c>
      <c r="G1045" s="21" t="s">
        <v>1645</v>
      </c>
      <c r="H1045" s="22">
        <v>0</v>
      </c>
    </row>
    <row r="1046" spans="6:8" ht="15.5" x14ac:dyDescent="0.35">
      <c r="F1046" s="20">
        <v>315218</v>
      </c>
      <c r="G1046" s="21" t="s">
        <v>1646</v>
      </c>
      <c r="H1046" s="22">
        <v>0</v>
      </c>
    </row>
    <row r="1047" spans="6:8" ht="15.5" x14ac:dyDescent="0.35">
      <c r="F1047" s="20">
        <v>313049</v>
      </c>
      <c r="G1047" s="21" t="s">
        <v>1647</v>
      </c>
      <c r="H1047" s="22">
        <v>0</v>
      </c>
    </row>
    <row r="1048" spans="6:8" ht="15.5" x14ac:dyDescent="0.35">
      <c r="F1048" s="20">
        <v>315050</v>
      </c>
      <c r="G1048" s="21" t="s">
        <v>1648</v>
      </c>
      <c r="H1048" s="22">
        <v>0</v>
      </c>
    </row>
    <row r="1049" spans="6:8" ht="15.5" x14ac:dyDescent="0.35">
      <c r="F1049" s="20">
        <v>315913</v>
      </c>
      <c r="G1049" s="21" t="s">
        <v>1649</v>
      </c>
      <c r="H1049" s="22">
        <v>0</v>
      </c>
    </row>
    <row r="1050" spans="6:8" ht="15.5" x14ac:dyDescent="0.35">
      <c r="F1050" s="20">
        <v>314170</v>
      </c>
      <c r="G1050" s="21" t="s">
        <v>1650</v>
      </c>
      <c r="H1050" s="22">
        <v>0</v>
      </c>
    </row>
    <row r="1051" spans="6:8" ht="15.5" x14ac:dyDescent="0.35">
      <c r="F1051" s="20">
        <v>315164</v>
      </c>
      <c r="G1051" s="21" t="s">
        <v>1651</v>
      </c>
      <c r="H1051" s="22">
        <v>0</v>
      </c>
    </row>
    <row r="1052" spans="6:8" ht="15.5" x14ac:dyDescent="0.35">
      <c r="F1052" s="20">
        <v>312162</v>
      </c>
      <c r="G1052" s="21" t="s">
        <v>1652</v>
      </c>
      <c r="H1052" s="22">
        <v>0</v>
      </c>
    </row>
    <row r="1053" spans="6:8" ht="15.5" x14ac:dyDescent="0.35">
      <c r="F1053" s="20">
        <v>314439</v>
      </c>
      <c r="G1053" s="21" t="s">
        <v>1653</v>
      </c>
      <c r="H1053" s="22">
        <v>0</v>
      </c>
    </row>
    <row r="1054" spans="6:8" ht="15.5" x14ac:dyDescent="0.35">
      <c r="F1054" s="20">
        <v>312377</v>
      </c>
      <c r="G1054" s="21" t="s">
        <v>1654</v>
      </c>
      <c r="H1054" s="22">
        <v>0</v>
      </c>
    </row>
    <row r="1055" spans="6:8" ht="15.5" x14ac:dyDescent="0.35">
      <c r="F1055" s="20">
        <v>315495</v>
      </c>
      <c r="G1055" s="21" t="s">
        <v>1655</v>
      </c>
      <c r="H1055" s="22">
        <v>0</v>
      </c>
    </row>
    <row r="1056" spans="6:8" ht="15.5" x14ac:dyDescent="0.35">
      <c r="F1056" s="20">
        <v>302285</v>
      </c>
      <c r="G1056" s="21" t="s">
        <v>1656</v>
      </c>
      <c r="H1056" s="22">
        <v>0</v>
      </c>
    </row>
    <row r="1057" spans="6:8" ht="15.5" x14ac:dyDescent="0.35">
      <c r="F1057" s="20">
        <v>309528</v>
      </c>
      <c r="G1057" s="21" t="s">
        <v>1657</v>
      </c>
      <c r="H1057" s="22">
        <v>0</v>
      </c>
    </row>
    <row r="1058" spans="6:8" ht="15.5" x14ac:dyDescent="0.35">
      <c r="F1058" s="20">
        <v>310612</v>
      </c>
      <c r="G1058" s="21" t="s">
        <v>1658</v>
      </c>
      <c r="H1058" s="22">
        <v>0</v>
      </c>
    </row>
    <row r="1059" spans="6:8" ht="15.5" x14ac:dyDescent="0.35">
      <c r="F1059" s="20">
        <v>90040151</v>
      </c>
      <c r="G1059" s="21" t="s">
        <v>1659</v>
      </c>
      <c r="H1059" s="22">
        <v>0</v>
      </c>
    </row>
    <row r="1060" spans="6:8" ht="15.5" x14ac:dyDescent="0.35">
      <c r="F1060" s="20">
        <v>313576</v>
      </c>
      <c r="G1060" s="21" t="s">
        <v>1660</v>
      </c>
      <c r="H1060" s="22">
        <v>0</v>
      </c>
    </row>
    <row r="1061" spans="6:8" ht="15.5" x14ac:dyDescent="0.35">
      <c r="F1061" s="20">
        <v>90046423</v>
      </c>
      <c r="G1061" s="21" t="s">
        <v>1661</v>
      </c>
      <c r="H1061" s="22">
        <v>0</v>
      </c>
    </row>
    <row r="1062" spans="6:8" ht="15.5" x14ac:dyDescent="0.35">
      <c r="F1062" s="20">
        <v>301649</v>
      </c>
      <c r="G1062" s="21" t="s">
        <v>1662</v>
      </c>
      <c r="H1062" s="22">
        <v>0</v>
      </c>
    </row>
    <row r="1063" spans="6:8" ht="15.5" x14ac:dyDescent="0.35">
      <c r="F1063" s="20">
        <v>315080</v>
      </c>
      <c r="G1063" s="21" t="s">
        <v>1663</v>
      </c>
      <c r="H1063" s="22">
        <v>0</v>
      </c>
    </row>
    <row r="1064" spans="6:8" ht="15.5" x14ac:dyDescent="0.35">
      <c r="F1064" s="20">
        <v>90016106</v>
      </c>
      <c r="G1064" s="21" t="s">
        <v>1664</v>
      </c>
      <c r="H1064" s="22">
        <v>0</v>
      </c>
    </row>
    <row r="1065" spans="6:8" ht="15.5" x14ac:dyDescent="0.35">
      <c r="F1065" s="20">
        <v>311962</v>
      </c>
      <c r="G1065" s="21" t="s">
        <v>1665</v>
      </c>
      <c r="H1065" s="22">
        <v>0</v>
      </c>
    </row>
    <row r="1066" spans="6:8" ht="15.5" x14ac:dyDescent="0.35">
      <c r="F1066" s="20">
        <v>315657</v>
      </c>
      <c r="G1066" s="21" t="s">
        <v>1666</v>
      </c>
      <c r="H1066" s="22">
        <v>0</v>
      </c>
    </row>
    <row r="1067" spans="6:8" ht="15.5" x14ac:dyDescent="0.35">
      <c r="F1067" s="20">
        <v>306404</v>
      </c>
      <c r="G1067" s="21" t="s">
        <v>1667</v>
      </c>
      <c r="H1067" s="22">
        <v>0</v>
      </c>
    </row>
    <row r="1068" spans="6:8" ht="15.5" x14ac:dyDescent="0.35">
      <c r="F1068" s="20">
        <v>313743</v>
      </c>
      <c r="G1068" s="21" t="s">
        <v>1668</v>
      </c>
      <c r="H1068" s="22">
        <v>0</v>
      </c>
    </row>
    <row r="1069" spans="6:8" ht="15.5" x14ac:dyDescent="0.35">
      <c r="F1069" s="20">
        <v>310888</v>
      </c>
      <c r="G1069" s="21" t="s">
        <v>1669</v>
      </c>
      <c r="H1069" s="22">
        <v>0</v>
      </c>
    </row>
    <row r="1070" spans="6:8" ht="15.5" x14ac:dyDescent="0.35">
      <c r="F1070" s="20">
        <v>302261</v>
      </c>
      <c r="G1070" s="21" t="s">
        <v>1670</v>
      </c>
      <c r="H1070" s="22">
        <v>0</v>
      </c>
    </row>
    <row r="1071" spans="6:8" ht="15.5" x14ac:dyDescent="0.35">
      <c r="F1071" s="20">
        <v>304392</v>
      </c>
      <c r="G1071" s="21" t="s">
        <v>1671</v>
      </c>
      <c r="H1071" s="22">
        <v>0</v>
      </c>
    </row>
    <row r="1072" spans="6:8" ht="15.5" x14ac:dyDescent="0.35">
      <c r="F1072" s="20">
        <v>313703</v>
      </c>
      <c r="G1072" s="21" t="s">
        <v>1672</v>
      </c>
      <c r="H1072" s="22">
        <v>0</v>
      </c>
    </row>
    <row r="1073" spans="6:8" ht="15.5" x14ac:dyDescent="0.35">
      <c r="F1073" s="20">
        <v>310432</v>
      </c>
      <c r="G1073" s="21" t="s">
        <v>1673</v>
      </c>
      <c r="H1073" s="22">
        <v>0</v>
      </c>
    </row>
    <row r="1074" spans="6:8" ht="15.5" x14ac:dyDescent="0.35">
      <c r="F1074" s="20">
        <v>90040711</v>
      </c>
      <c r="G1074" s="21" t="s">
        <v>1674</v>
      </c>
      <c r="H1074" s="22">
        <v>0</v>
      </c>
    </row>
    <row r="1075" spans="6:8" ht="15.5" x14ac:dyDescent="0.35">
      <c r="F1075" s="20">
        <v>309389</v>
      </c>
      <c r="G1075" s="21" t="s">
        <v>1675</v>
      </c>
      <c r="H1075" s="22">
        <v>0</v>
      </c>
    </row>
    <row r="1076" spans="6:8" ht="15.5" x14ac:dyDescent="0.35">
      <c r="F1076" s="20">
        <v>303674</v>
      </c>
      <c r="G1076" s="21" t="s">
        <v>1676</v>
      </c>
      <c r="H1076" s="22">
        <v>0</v>
      </c>
    </row>
    <row r="1077" spans="6:8" ht="15.5" x14ac:dyDescent="0.35">
      <c r="F1077" s="20">
        <v>301644</v>
      </c>
      <c r="G1077" s="21" t="s">
        <v>1677</v>
      </c>
      <c r="H1077" s="22">
        <v>0</v>
      </c>
    </row>
    <row r="1078" spans="6:8" ht="15.5" x14ac:dyDescent="0.35">
      <c r="F1078" s="20">
        <v>307030</v>
      </c>
      <c r="G1078" s="21" t="s">
        <v>1678</v>
      </c>
      <c r="H1078" s="22">
        <v>0</v>
      </c>
    </row>
    <row r="1079" spans="6:8" ht="15.5" x14ac:dyDescent="0.35">
      <c r="F1079" s="20">
        <v>312398</v>
      </c>
      <c r="G1079" s="21" t="s">
        <v>1679</v>
      </c>
      <c r="H1079" s="22">
        <v>0</v>
      </c>
    </row>
    <row r="1080" spans="6:8" ht="15.5" x14ac:dyDescent="0.35">
      <c r="F1080" s="20">
        <v>301199</v>
      </c>
      <c r="G1080" s="21" t="s">
        <v>1680</v>
      </c>
      <c r="H1080" s="22">
        <v>0</v>
      </c>
    </row>
    <row r="1081" spans="6:8" ht="15.5" x14ac:dyDescent="0.35">
      <c r="F1081" s="20">
        <v>90028655</v>
      </c>
      <c r="G1081" s="21" t="s">
        <v>1681</v>
      </c>
      <c r="H1081" s="22">
        <v>0</v>
      </c>
    </row>
    <row r="1082" spans="6:8" ht="15.5" x14ac:dyDescent="0.35">
      <c r="F1082" s="20">
        <v>304317</v>
      </c>
      <c r="G1082" s="21" t="s">
        <v>1682</v>
      </c>
      <c r="H1082" s="22">
        <v>0</v>
      </c>
    </row>
    <row r="1083" spans="6:8" ht="15.5" x14ac:dyDescent="0.35">
      <c r="F1083" s="20">
        <v>313692</v>
      </c>
      <c r="G1083" s="21" t="s">
        <v>1683</v>
      </c>
      <c r="H1083" s="22">
        <v>0</v>
      </c>
    </row>
    <row r="1084" spans="6:8" ht="15.5" x14ac:dyDescent="0.35">
      <c r="F1084" s="20">
        <v>311286</v>
      </c>
      <c r="G1084" s="21" t="s">
        <v>1684</v>
      </c>
      <c r="H1084" s="22">
        <v>0</v>
      </c>
    </row>
    <row r="1085" spans="6:8" ht="15.5" x14ac:dyDescent="0.35">
      <c r="F1085" s="20">
        <v>311133</v>
      </c>
      <c r="G1085" s="21" t="s">
        <v>1685</v>
      </c>
      <c r="H1085" s="22">
        <v>0</v>
      </c>
    </row>
    <row r="1086" spans="6:8" ht="15.5" x14ac:dyDescent="0.35">
      <c r="F1086" s="20">
        <v>90034570</v>
      </c>
      <c r="G1086" s="21" t="s">
        <v>1686</v>
      </c>
      <c r="H1086" s="22">
        <v>0</v>
      </c>
    </row>
    <row r="1087" spans="6:8" ht="15.5" x14ac:dyDescent="0.35">
      <c r="F1087" s="20">
        <v>313304</v>
      </c>
      <c r="G1087" s="21" t="s">
        <v>1687</v>
      </c>
      <c r="H1087" s="22">
        <v>0</v>
      </c>
    </row>
    <row r="1088" spans="6:8" ht="15.5" x14ac:dyDescent="0.35">
      <c r="F1088" s="20">
        <v>315148</v>
      </c>
      <c r="G1088" s="21" t="s">
        <v>1688</v>
      </c>
      <c r="H1088" s="22">
        <v>0</v>
      </c>
    </row>
    <row r="1089" spans="6:8" ht="15.5" x14ac:dyDescent="0.35">
      <c r="F1089" s="20">
        <v>311997</v>
      </c>
      <c r="G1089" s="21" t="s">
        <v>1689</v>
      </c>
      <c r="H1089" s="22">
        <v>0</v>
      </c>
    </row>
    <row r="1090" spans="6:8" ht="15.5" x14ac:dyDescent="0.35">
      <c r="F1090" s="20">
        <v>313128</v>
      </c>
      <c r="G1090" s="21" t="s">
        <v>1690</v>
      </c>
      <c r="H1090" s="22">
        <v>0</v>
      </c>
    </row>
    <row r="1091" spans="6:8" ht="15.5" x14ac:dyDescent="0.35">
      <c r="F1091" s="20">
        <v>315706</v>
      </c>
      <c r="G1091" s="21" t="s">
        <v>1691</v>
      </c>
      <c r="H1091" s="22">
        <v>0</v>
      </c>
    </row>
    <row r="1092" spans="6:8" ht="15.5" x14ac:dyDescent="0.35">
      <c r="F1092" s="20">
        <v>306578</v>
      </c>
      <c r="G1092" s="21" t="s">
        <v>1692</v>
      </c>
      <c r="H1092" s="22">
        <v>0</v>
      </c>
    </row>
    <row r="1093" spans="6:8" ht="15.5" x14ac:dyDescent="0.35">
      <c r="F1093" s="20">
        <v>311524</v>
      </c>
      <c r="G1093" s="21" t="s">
        <v>1693</v>
      </c>
      <c r="H1093" s="22">
        <v>0</v>
      </c>
    </row>
    <row r="1094" spans="6:8" ht="15.5" x14ac:dyDescent="0.35">
      <c r="F1094" s="20">
        <v>314232</v>
      </c>
      <c r="G1094" s="21" t="s">
        <v>1694</v>
      </c>
      <c r="H1094" s="22">
        <v>0</v>
      </c>
    </row>
    <row r="1095" spans="6:8" ht="15.5" x14ac:dyDescent="0.35">
      <c r="F1095" s="20">
        <v>312920</v>
      </c>
      <c r="G1095" s="21" t="s">
        <v>1695</v>
      </c>
      <c r="H1095" s="22">
        <v>0</v>
      </c>
    </row>
    <row r="1096" spans="6:8" ht="15.5" x14ac:dyDescent="0.35">
      <c r="F1096" s="20">
        <v>316360</v>
      </c>
      <c r="G1096" s="21" t="s">
        <v>1696</v>
      </c>
      <c r="H1096" s="22">
        <v>0</v>
      </c>
    </row>
    <row r="1097" spans="6:8" ht="15.5" x14ac:dyDescent="0.35">
      <c r="F1097" s="20">
        <v>314676</v>
      </c>
      <c r="G1097" s="21" t="s">
        <v>1697</v>
      </c>
      <c r="H1097" s="22">
        <v>0</v>
      </c>
    </row>
    <row r="1098" spans="6:8" ht="15.5" x14ac:dyDescent="0.35">
      <c r="F1098" s="20">
        <v>314336</v>
      </c>
      <c r="G1098" s="21" t="s">
        <v>1698</v>
      </c>
      <c r="H1098" s="22">
        <v>0</v>
      </c>
    </row>
    <row r="1099" spans="6:8" ht="15.5" x14ac:dyDescent="0.35">
      <c r="F1099" s="20">
        <v>314680</v>
      </c>
      <c r="G1099" s="21" t="s">
        <v>1699</v>
      </c>
      <c r="H1099" s="22">
        <v>0</v>
      </c>
    </row>
    <row r="1100" spans="6:8" ht="15.5" x14ac:dyDescent="0.35">
      <c r="F1100" s="20">
        <v>315186</v>
      </c>
      <c r="G1100" s="21" t="s">
        <v>1700</v>
      </c>
      <c r="H1100" s="22">
        <v>0</v>
      </c>
    </row>
    <row r="1101" spans="6:8" ht="15.5" x14ac:dyDescent="0.35">
      <c r="F1101" s="20">
        <v>311913</v>
      </c>
      <c r="G1101" s="21" t="s">
        <v>1701</v>
      </c>
      <c r="H1101" s="22">
        <v>0</v>
      </c>
    </row>
    <row r="1102" spans="6:8" ht="15.5" x14ac:dyDescent="0.35">
      <c r="F1102" s="20">
        <v>315302</v>
      </c>
      <c r="G1102" s="21" t="s">
        <v>1702</v>
      </c>
      <c r="H1102" s="22">
        <v>0</v>
      </c>
    </row>
    <row r="1103" spans="6:8" ht="15.5" x14ac:dyDescent="0.35">
      <c r="F1103" s="20">
        <v>314983</v>
      </c>
      <c r="G1103" s="21" t="s">
        <v>1703</v>
      </c>
      <c r="H1103" s="22">
        <v>0</v>
      </c>
    </row>
    <row r="1104" spans="6:8" ht="15.5" x14ac:dyDescent="0.35">
      <c r="F1104" s="20">
        <v>313569</v>
      </c>
      <c r="G1104" s="21" t="s">
        <v>1704</v>
      </c>
      <c r="H1104" s="22">
        <v>0</v>
      </c>
    </row>
    <row r="1105" spans="6:8" ht="15.5" x14ac:dyDescent="0.35">
      <c r="F1105" s="20">
        <v>315034</v>
      </c>
      <c r="G1105" s="21" t="s">
        <v>1705</v>
      </c>
      <c r="H1105" s="22">
        <v>0</v>
      </c>
    </row>
    <row r="1106" spans="6:8" ht="15.5" x14ac:dyDescent="0.35">
      <c r="F1106" s="20">
        <v>315352</v>
      </c>
      <c r="G1106" s="21" t="s">
        <v>1706</v>
      </c>
      <c r="H1106" s="22">
        <v>0</v>
      </c>
    </row>
    <row r="1107" spans="6:8" ht="15.5" x14ac:dyDescent="0.35">
      <c r="F1107" s="20">
        <v>316334</v>
      </c>
      <c r="G1107" s="21" t="s">
        <v>1707</v>
      </c>
      <c r="H1107" s="22">
        <v>0</v>
      </c>
    </row>
    <row r="1108" spans="6:8" ht="15.5" x14ac:dyDescent="0.35">
      <c r="F1108" s="20">
        <v>100717</v>
      </c>
      <c r="G1108" s="21" t="s">
        <v>1708</v>
      </c>
      <c r="H1108" s="22">
        <v>0</v>
      </c>
    </row>
    <row r="1109" spans="6:8" ht="15.5" x14ac:dyDescent="0.35">
      <c r="F1109" s="20">
        <v>315744</v>
      </c>
      <c r="G1109" s="21" t="s">
        <v>1709</v>
      </c>
      <c r="H1109" s="22">
        <v>0</v>
      </c>
    </row>
    <row r="1110" spans="6:8" ht="15.5" x14ac:dyDescent="0.35">
      <c r="F1110" s="20">
        <v>313656</v>
      </c>
      <c r="G1110" s="21" t="s">
        <v>1710</v>
      </c>
      <c r="H1110" s="22">
        <v>0</v>
      </c>
    </row>
    <row r="1111" spans="6:8" ht="15.5" x14ac:dyDescent="0.35">
      <c r="F1111" s="20">
        <v>315765</v>
      </c>
      <c r="G1111" s="21" t="s">
        <v>1711</v>
      </c>
      <c r="H1111" s="22">
        <v>0</v>
      </c>
    </row>
    <row r="1112" spans="6:8" ht="15.5" x14ac:dyDescent="0.35">
      <c r="F1112" s="20">
        <v>312255</v>
      </c>
      <c r="G1112" s="21" t="s">
        <v>1712</v>
      </c>
      <c r="H1112" s="22">
        <v>0</v>
      </c>
    </row>
    <row r="1113" spans="6:8" ht="15.5" x14ac:dyDescent="0.35">
      <c r="F1113" s="20">
        <v>314780</v>
      </c>
      <c r="G1113" s="21" t="s">
        <v>1713</v>
      </c>
      <c r="H1113" s="22">
        <v>0</v>
      </c>
    </row>
    <row r="1114" spans="6:8" ht="15.5" x14ac:dyDescent="0.35">
      <c r="F1114" s="20">
        <v>315687</v>
      </c>
      <c r="G1114" s="21" t="s">
        <v>1714</v>
      </c>
      <c r="H1114" s="22">
        <v>0</v>
      </c>
    </row>
    <row r="1115" spans="6:8" ht="15.5" x14ac:dyDescent="0.35">
      <c r="F1115" s="20">
        <v>314760</v>
      </c>
      <c r="G1115" s="21" t="s">
        <v>1715</v>
      </c>
      <c r="H1115" s="22">
        <v>0</v>
      </c>
    </row>
    <row r="1116" spans="6:8" ht="15.5" x14ac:dyDescent="0.35">
      <c r="F1116" s="20">
        <v>301265</v>
      </c>
      <c r="G1116" s="21" t="s">
        <v>1716</v>
      </c>
      <c r="H1116" s="22">
        <v>0</v>
      </c>
    </row>
    <row r="1117" spans="6:8" ht="15.5" x14ac:dyDescent="0.35">
      <c r="F1117" s="20">
        <v>314552</v>
      </c>
      <c r="G1117" s="21" t="s">
        <v>1717</v>
      </c>
      <c r="H1117" s="22">
        <v>0</v>
      </c>
    </row>
    <row r="1118" spans="6:8" ht="15.5" x14ac:dyDescent="0.35">
      <c r="F1118" s="20">
        <v>301608</v>
      </c>
      <c r="G1118" s="21" t="s">
        <v>1718</v>
      </c>
      <c r="H1118" s="22">
        <v>0</v>
      </c>
    </row>
    <row r="1119" spans="6:8" ht="15.5" x14ac:dyDescent="0.35">
      <c r="F1119" s="20">
        <v>315691</v>
      </c>
      <c r="G1119" s="21" t="s">
        <v>1719</v>
      </c>
      <c r="H1119" s="22">
        <v>0</v>
      </c>
    </row>
    <row r="1120" spans="6:8" ht="15.5" x14ac:dyDescent="0.35">
      <c r="F1120" s="20">
        <v>314866</v>
      </c>
      <c r="G1120" s="21" t="s">
        <v>1720</v>
      </c>
      <c r="H1120" s="22">
        <v>0</v>
      </c>
    </row>
    <row r="1121" spans="6:8" ht="15.5" x14ac:dyDescent="0.35">
      <c r="F1121" s="20">
        <v>90040241</v>
      </c>
      <c r="G1121" s="21" t="s">
        <v>1721</v>
      </c>
      <c r="H1121" s="22">
        <v>0</v>
      </c>
    </row>
    <row r="1122" spans="6:8" ht="15.5" x14ac:dyDescent="0.35">
      <c r="F1122" s="20">
        <v>314935</v>
      </c>
      <c r="G1122" s="21" t="s">
        <v>1722</v>
      </c>
      <c r="H1122" s="22">
        <v>0</v>
      </c>
    </row>
    <row r="1123" spans="6:8" ht="15.5" x14ac:dyDescent="0.35">
      <c r="F1123" s="20">
        <v>314500</v>
      </c>
      <c r="G1123" s="21" t="s">
        <v>1723</v>
      </c>
      <c r="H1123" s="22">
        <v>0</v>
      </c>
    </row>
    <row r="1124" spans="6:8" ht="15.5" x14ac:dyDescent="0.35">
      <c r="F1124" s="20">
        <v>90040278</v>
      </c>
      <c r="G1124" s="21" t="s">
        <v>1724</v>
      </c>
      <c r="H1124" s="22">
        <v>0</v>
      </c>
    </row>
    <row r="1125" spans="6:8" ht="15.5" x14ac:dyDescent="0.35">
      <c r="F1125" s="20">
        <v>315998</v>
      </c>
      <c r="G1125" s="21" t="s">
        <v>1725</v>
      </c>
      <c r="H1125" s="22">
        <v>0</v>
      </c>
    </row>
    <row r="1126" spans="6:8" ht="15.5" x14ac:dyDescent="0.35">
      <c r="F1126" s="20">
        <v>313086</v>
      </c>
      <c r="G1126" s="21" t="s">
        <v>1726</v>
      </c>
      <c r="H1126" s="22">
        <v>0</v>
      </c>
    </row>
    <row r="1127" spans="6:8" ht="15.5" x14ac:dyDescent="0.35">
      <c r="F1127" s="20">
        <v>314146</v>
      </c>
      <c r="G1127" s="21" t="s">
        <v>1727</v>
      </c>
      <c r="H1127" s="22">
        <v>0</v>
      </c>
    </row>
    <row r="1128" spans="6:8" ht="15.5" x14ac:dyDescent="0.35">
      <c r="F1128" s="20">
        <v>315130</v>
      </c>
      <c r="G1128" s="21" t="s">
        <v>1728</v>
      </c>
      <c r="H1128" s="22">
        <v>0</v>
      </c>
    </row>
    <row r="1129" spans="6:8" ht="15.5" x14ac:dyDescent="0.35">
      <c r="F1129" s="20">
        <v>315546</v>
      </c>
      <c r="G1129" s="21" t="s">
        <v>1729</v>
      </c>
      <c r="H1129" s="22">
        <v>0</v>
      </c>
    </row>
    <row r="1130" spans="6:8" ht="15.5" x14ac:dyDescent="0.35">
      <c r="F1130" s="20">
        <v>315590</v>
      </c>
      <c r="G1130" s="21" t="s">
        <v>1730</v>
      </c>
      <c r="H1130" s="22">
        <v>0</v>
      </c>
    </row>
    <row r="1131" spans="6:8" ht="15.5" x14ac:dyDescent="0.35">
      <c r="F1131" s="20">
        <v>314261</v>
      </c>
      <c r="G1131" s="21" t="s">
        <v>1731</v>
      </c>
      <c r="H1131" s="22">
        <v>0</v>
      </c>
    </row>
    <row r="1132" spans="6:8" ht="15.5" x14ac:dyDescent="0.35">
      <c r="F1132" s="20">
        <v>313187</v>
      </c>
      <c r="G1132" s="21" t="s">
        <v>1732</v>
      </c>
      <c r="H1132" s="22">
        <v>0</v>
      </c>
    </row>
    <row r="1133" spans="6:8" ht="15.5" x14ac:dyDescent="0.35">
      <c r="F1133" s="20">
        <v>311082</v>
      </c>
      <c r="G1133" s="21" t="s">
        <v>1733</v>
      </c>
      <c r="H1133" s="22">
        <v>0</v>
      </c>
    </row>
    <row r="1134" spans="6:8" ht="15.5" x14ac:dyDescent="0.35">
      <c r="F1134" s="20">
        <v>90041269</v>
      </c>
      <c r="G1134" s="21" t="s">
        <v>1734</v>
      </c>
      <c r="H1134" s="22">
        <v>0</v>
      </c>
    </row>
    <row r="1135" spans="6:8" ht="15.5" x14ac:dyDescent="0.35">
      <c r="F1135" s="20">
        <v>308525</v>
      </c>
      <c r="G1135" s="21" t="s">
        <v>1735</v>
      </c>
      <c r="H1135" s="22">
        <v>0</v>
      </c>
    </row>
    <row r="1136" spans="6:8" ht="15.5" x14ac:dyDescent="0.35">
      <c r="F1136" s="20">
        <v>308189</v>
      </c>
      <c r="G1136" s="21" t="s">
        <v>1736</v>
      </c>
      <c r="H1136" s="22">
        <v>0</v>
      </c>
    </row>
    <row r="1137" spans="6:12" ht="15.5" x14ac:dyDescent="0.35">
      <c r="F1137" s="20">
        <v>90039956</v>
      </c>
      <c r="G1137" s="21" t="s">
        <v>1737</v>
      </c>
      <c r="H1137" s="22">
        <v>0</v>
      </c>
    </row>
    <row r="1138" spans="6:12" ht="15.5" x14ac:dyDescent="0.35">
      <c r="F1138" s="20">
        <v>90009257</v>
      </c>
      <c r="G1138" s="21" t="s">
        <v>1738</v>
      </c>
      <c r="H1138" s="22">
        <v>0</v>
      </c>
    </row>
    <row r="1139" spans="6:12" ht="15.5" x14ac:dyDescent="0.35">
      <c r="F1139" s="20">
        <v>90018829</v>
      </c>
      <c r="G1139" s="21" t="s">
        <v>1739</v>
      </c>
      <c r="H1139" s="22">
        <v>0</v>
      </c>
      <c r="K1139" s="28"/>
      <c r="L1139" s="28"/>
    </row>
    <row r="1140" spans="6:12" ht="15.5" x14ac:dyDescent="0.35">
      <c r="F1140" s="20">
        <v>312758</v>
      </c>
      <c r="G1140" s="21" t="s">
        <v>1740</v>
      </c>
      <c r="H1140" s="22">
        <v>0</v>
      </c>
    </row>
    <row r="1141" spans="6:12" ht="15.5" x14ac:dyDescent="0.35">
      <c r="F1141" s="20">
        <v>301462</v>
      </c>
      <c r="G1141" s="21" t="s">
        <v>1741</v>
      </c>
      <c r="H1141" s="22">
        <v>0</v>
      </c>
    </row>
    <row r="1142" spans="6:12" ht="15.5" x14ac:dyDescent="0.35">
      <c r="F1142" s="20">
        <v>310027</v>
      </c>
      <c r="G1142" s="21" t="s">
        <v>1742</v>
      </c>
      <c r="H1142" s="22">
        <v>0</v>
      </c>
    </row>
    <row r="1143" spans="6:12" ht="15.5" x14ac:dyDescent="0.35">
      <c r="F1143" s="20">
        <v>313663</v>
      </c>
      <c r="G1143" s="21" t="s">
        <v>1743</v>
      </c>
      <c r="H1143" s="22">
        <v>0</v>
      </c>
    </row>
    <row r="1144" spans="6:12" ht="15.5" x14ac:dyDescent="0.35">
      <c r="F1144" s="20">
        <v>316225</v>
      </c>
      <c r="G1144" s="21" t="s">
        <v>1744</v>
      </c>
      <c r="H1144" s="22">
        <v>0</v>
      </c>
    </row>
    <row r="1145" spans="6:12" ht="15.5" x14ac:dyDescent="0.35">
      <c r="F1145" s="20">
        <v>314697</v>
      </c>
      <c r="G1145" s="21" t="s">
        <v>1745</v>
      </c>
      <c r="H1145" s="22">
        <v>0</v>
      </c>
    </row>
    <row r="1146" spans="6:12" ht="15.5" x14ac:dyDescent="0.35">
      <c r="F1146" s="20">
        <v>315595</v>
      </c>
      <c r="G1146" s="21" t="s">
        <v>1746</v>
      </c>
      <c r="H1146" s="22">
        <v>0</v>
      </c>
    </row>
    <row r="1147" spans="6:12" ht="15.5" x14ac:dyDescent="0.35">
      <c r="F1147" s="20">
        <v>314526</v>
      </c>
      <c r="G1147" s="21" t="s">
        <v>1747</v>
      </c>
      <c r="H1147" s="22">
        <v>0</v>
      </c>
    </row>
    <row r="1148" spans="6:12" ht="15.5" x14ac:dyDescent="0.35">
      <c r="F1148" s="20">
        <v>314952</v>
      </c>
      <c r="G1148" s="21" t="s">
        <v>1748</v>
      </c>
      <c r="H1148" s="22">
        <v>0</v>
      </c>
    </row>
    <row r="1149" spans="6:12" ht="15.5" x14ac:dyDescent="0.35">
      <c r="F1149" s="20">
        <v>315467</v>
      </c>
      <c r="G1149" s="21" t="s">
        <v>1749</v>
      </c>
      <c r="H1149" s="22">
        <v>0</v>
      </c>
    </row>
    <row r="1150" spans="6:12" ht="15.5" x14ac:dyDescent="0.35">
      <c r="F1150" s="20">
        <v>314066</v>
      </c>
      <c r="G1150" s="21" t="s">
        <v>1750</v>
      </c>
      <c r="H1150" s="22">
        <v>0</v>
      </c>
    </row>
    <row r="1151" spans="6:12" ht="15.5" x14ac:dyDescent="0.35">
      <c r="F1151" s="20">
        <v>314639</v>
      </c>
      <c r="G1151" s="21" t="s">
        <v>1751</v>
      </c>
      <c r="H1151" s="22">
        <v>0</v>
      </c>
    </row>
    <row r="1152" spans="6:12" ht="15.5" x14ac:dyDescent="0.35">
      <c r="F1152" s="20">
        <v>311320</v>
      </c>
      <c r="G1152" s="21" t="s">
        <v>1752</v>
      </c>
      <c r="H1152" s="22">
        <v>0</v>
      </c>
    </row>
    <row r="1153" spans="6:8" ht="15.5" x14ac:dyDescent="0.35">
      <c r="F1153" s="20">
        <v>304531</v>
      </c>
      <c r="G1153" s="21" t="s">
        <v>1753</v>
      </c>
      <c r="H1153" s="22">
        <v>0</v>
      </c>
    </row>
    <row r="1154" spans="6:8" ht="15.5" x14ac:dyDescent="0.35">
      <c r="F1154" s="20">
        <v>313884</v>
      </c>
      <c r="G1154" s="21" t="s">
        <v>1754</v>
      </c>
      <c r="H1154" s="22">
        <v>0</v>
      </c>
    </row>
    <row r="1155" spans="6:8" ht="15.5" x14ac:dyDescent="0.35">
      <c r="F1155" s="20">
        <v>90024235</v>
      </c>
      <c r="G1155" s="21" t="s">
        <v>1755</v>
      </c>
      <c r="H1155" s="22">
        <v>0</v>
      </c>
    </row>
    <row r="1156" spans="6:8" ht="15.5" x14ac:dyDescent="0.35">
      <c r="F1156" s="20">
        <v>315383</v>
      </c>
      <c r="G1156" s="21" t="s">
        <v>1756</v>
      </c>
      <c r="H1156" s="22">
        <v>0</v>
      </c>
    </row>
    <row r="1157" spans="6:8" ht="15.5" x14ac:dyDescent="0.35">
      <c r="F1157" s="20">
        <v>307598</v>
      </c>
      <c r="G1157" s="21" t="s">
        <v>1757</v>
      </c>
      <c r="H1157" s="22">
        <v>0</v>
      </c>
    </row>
    <row r="1158" spans="6:8" ht="15.5" x14ac:dyDescent="0.35">
      <c r="F1158" s="20">
        <v>312743</v>
      </c>
      <c r="G1158" s="21" t="s">
        <v>1758</v>
      </c>
      <c r="H1158" s="22">
        <v>0</v>
      </c>
    </row>
    <row r="1159" spans="6:8" ht="15.5" x14ac:dyDescent="0.35">
      <c r="F1159" s="20">
        <v>90024878</v>
      </c>
      <c r="G1159" s="21" t="s">
        <v>1759</v>
      </c>
      <c r="H1159" s="22">
        <v>0</v>
      </c>
    </row>
    <row r="1160" spans="6:8" ht="15.5" x14ac:dyDescent="0.35">
      <c r="F1160" s="20">
        <v>90024495</v>
      </c>
      <c r="G1160" s="21" t="s">
        <v>1760</v>
      </c>
      <c r="H1160" s="22">
        <v>0</v>
      </c>
    </row>
    <row r="1161" spans="6:8" ht="15.5" x14ac:dyDescent="0.35">
      <c r="F1161" s="20">
        <v>90023918</v>
      </c>
      <c r="G1161" s="21" t="s">
        <v>1761</v>
      </c>
      <c r="H1161" s="22">
        <v>0</v>
      </c>
    </row>
    <row r="1162" spans="6:8" ht="15.5" x14ac:dyDescent="0.35">
      <c r="F1162" s="20">
        <v>315665</v>
      </c>
      <c r="G1162" s="21" t="s">
        <v>1762</v>
      </c>
      <c r="H1162" s="22">
        <v>0</v>
      </c>
    </row>
    <row r="1163" spans="6:8" ht="15.5" x14ac:dyDescent="0.35">
      <c r="F1163" s="20">
        <v>313435</v>
      </c>
      <c r="G1163" s="21" t="s">
        <v>1763</v>
      </c>
      <c r="H1163" s="22">
        <v>0</v>
      </c>
    </row>
    <row r="1164" spans="6:8" ht="15.5" x14ac:dyDescent="0.35">
      <c r="F1164" s="20">
        <v>310987</v>
      </c>
      <c r="G1164" s="21" t="s">
        <v>1764</v>
      </c>
      <c r="H1164" s="22">
        <v>0</v>
      </c>
    </row>
    <row r="1165" spans="6:8" ht="15.5" x14ac:dyDescent="0.35">
      <c r="F1165" s="20">
        <v>90023523</v>
      </c>
      <c r="G1165" s="21" t="s">
        <v>1765</v>
      </c>
      <c r="H1165" s="22">
        <v>0</v>
      </c>
    </row>
    <row r="1166" spans="6:8" ht="15.5" x14ac:dyDescent="0.35">
      <c r="F1166" s="20">
        <v>315307</v>
      </c>
      <c r="G1166" s="21" t="s">
        <v>1766</v>
      </c>
      <c r="H1166" s="22">
        <v>0</v>
      </c>
    </row>
    <row r="1167" spans="6:8" ht="15.5" x14ac:dyDescent="0.35">
      <c r="F1167" s="20">
        <v>90015631</v>
      </c>
      <c r="G1167" s="21" t="s">
        <v>1767</v>
      </c>
      <c r="H1167" s="22">
        <v>0</v>
      </c>
    </row>
    <row r="1168" spans="6:8" ht="15.5" x14ac:dyDescent="0.35">
      <c r="F1168" s="20">
        <v>313167</v>
      </c>
      <c r="G1168" s="21" t="s">
        <v>1768</v>
      </c>
      <c r="H1168" s="22">
        <v>0</v>
      </c>
    </row>
    <row r="1169" spans="6:8" ht="15.5" x14ac:dyDescent="0.35">
      <c r="F1169" s="20">
        <v>314783</v>
      </c>
      <c r="G1169" s="21" t="s">
        <v>1769</v>
      </c>
      <c r="H1169" s="22">
        <v>0</v>
      </c>
    </row>
    <row r="1170" spans="6:8" ht="15.5" x14ac:dyDescent="0.35">
      <c r="F1170" s="20">
        <v>302981</v>
      </c>
      <c r="G1170" s="21" t="s">
        <v>1770</v>
      </c>
      <c r="H1170" s="22">
        <v>0</v>
      </c>
    </row>
    <row r="1171" spans="6:8" ht="15.5" x14ac:dyDescent="0.35">
      <c r="F1171" s="20">
        <v>309592</v>
      </c>
      <c r="G1171" s="21" t="s">
        <v>1771</v>
      </c>
      <c r="H1171" s="22">
        <v>0</v>
      </c>
    </row>
    <row r="1172" spans="6:8" ht="15.5" x14ac:dyDescent="0.35">
      <c r="F1172" s="20">
        <v>308871</v>
      </c>
      <c r="G1172" s="21" t="s">
        <v>1772</v>
      </c>
      <c r="H1172" s="22">
        <v>0</v>
      </c>
    </row>
    <row r="1173" spans="6:8" ht="15.5" x14ac:dyDescent="0.35">
      <c r="F1173" s="20">
        <v>314838</v>
      </c>
      <c r="G1173" s="21" t="s">
        <v>1773</v>
      </c>
      <c r="H1173" s="22">
        <v>0</v>
      </c>
    </row>
    <row r="1174" spans="6:8" ht="15.5" x14ac:dyDescent="0.35">
      <c r="F1174" s="20">
        <v>310744</v>
      </c>
      <c r="G1174" s="21" t="s">
        <v>1774</v>
      </c>
      <c r="H1174" s="22">
        <v>0</v>
      </c>
    </row>
    <row r="1175" spans="6:8" ht="15.5" x14ac:dyDescent="0.35">
      <c r="F1175" s="20">
        <v>312022</v>
      </c>
      <c r="G1175" s="21" t="s">
        <v>1775</v>
      </c>
      <c r="H1175" s="22">
        <v>0</v>
      </c>
    </row>
    <row r="1176" spans="6:8" ht="15.5" x14ac:dyDescent="0.35">
      <c r="F1176" s="20">
        <v>311998</v>
      </c>
      <c r="G1176" s="21" t="s">
        <v>1776</v>
      </c>
      <c r="H1176" s="22">
        <v>0</v>
      </c>
    </row>
    <row r="1177" spans="6:8" ht="15.5" x14ac:dyDescent="0.35">
      <c r="F1177" s="20">
        <v>314393</v>
      </c>
      <c r="G1177" s="21" t="s">
        <v>1777</v>
      </c>
      <c r="H1177" s="22">
        <v>0</v>
      </c>
    </row>
    <row r="1178" spans="6:8" ht="15.5" x14ac:dyDescent="0.35">
      <c r="F1178" s="20">
        <v>312144</v>
      </c>
      <c r="G1178" s="21" t="s">
        <v>1778</v>
      </c>
      <c r="H1178" s="22">
        <v>0</v>
      </c>
    </row>
    <row r="1179" spans="6:8" ht="15.5" x14ac:dyDescent="0.35">
      <c r="F1179" s="20">
        <v>90048446</v>
      </c>
      <c r="G1179" s="21" t="s">
        <v>1779</v>
      </c>
      <c r="H1179" s="22">
        <v>0</v>
      </c>
    </row>
    <row r="1180" spans="6:8" ht="15.5" x14ac:dyDescent="0.35">
      <c r="F1180" s="20">
        <v>310751</v>
      </c>
      <c r="G1180" s="21" t="s">
        <v>1780</v>
      </c>
      <c r="H1180" s="22">
        <v>0</v>
      </c>
    </row>
    <row r="1181" spans="6:8" ht="15.5" x14ac:dyDescent="0.35">
      <c r="F1181" s="20">
        <v>311804</v>
      </c>
      <c r="G1181" s="21" t="s">
        <v>1781</v>
      </c>
      <c r="H1181" s="22">
        <v>0</v>
      </c>
    </row>
    <row r="1182" spans="6:8" ht="15.5" x14ac:dyDescent="0.35">
      <c r="F1182" s="20">
        <v>315962</v>
      </c>
      <c r="G1182" s="21" t="s">
        <v>1782</v>
      </c>
      <c r="H1182" s="22">
        <v>0</v>
      </c>
    </row>
    <row r="1183" spans="6:8" ht="15.5" x14ac:dyDescent="0.35">
      <c r="F1183" s="20">
        <v>90035015</v>
      </c>
      <c r="G1183" s="21" t="s">
        <v>1783</v>
      </c>
      <c r="H1183" s="22">
        <v>0</v>
      </c>
    </row>
    <row r="1184" spans="6:8" ht="15.5" x14ac:dyDescent="0.35">
      <c r="F1184" s="20">
        <v>315185</v>
      </c>
      <c r="G1184" s="21" t="s">
        <v>1784</v>
      </c>
      <c r="H1184" s="22">
        <v>0</v>
      </c>
    </row>
    <row r="1185" spans="6:8" ht="15.5" x14ac:dyDescent="0.35">
      <c r="F1185" s="20">
        <v>312983</v>
      </c>
      <c r="G1185" s="21" t="s">
        <v>1785</v>
      </c>
      <c r="H1185" s="22">
        <v>0</v>
      </c>
    </row>
    <row r="1186" spans="6:8" ht="15.5" x14ac:dyDescent="0.35">
      <c r="F1186" s="20">
        <v>315149</v>
      </c>
      <c r="G1186" s="21" t="s">
        <v>1786</v>
      </c>
      <c r="H1186" s="22">
        <v>0</v>
      </c>
    </row>
    <row r="1187" spans="6:8" ht="15.5" x14ac:dyDescent="0.35">
      <c r="F1187" s="20">
        <v>310822</v>
      </c>
      <c r="G1187" s="21" t="s">
        <v>1787</v>
      </c>
      <c r="H1187" s="22">
        <v>0</v>
      </c>
    </row>
    <row r="1188" spans="6:8" ht="15.5" x14ac:dyDescent="0.35">
      <c r="F1188" s="20">
        <v>313611</v>
      </c>
      <c r="G1188" s="21" t="s">
        <v>1788</v>
      </c>
      <c r="H1188" s="22">
        <v>0</v>
      </c>
    </row>
    <row r="1189" spans="6:8" ht="15.5" x14ac:dyDescent="0.35">
      <c r="F1189" s="20">
        <v>314306</v>
      </c>
      <c r="G1189" s="21" t="s">
        <v>1789</v>
      </c>
      <c r="H1189" s="22">
        <v>0</v>
      </c>
    </row>
    <row r="1190" spans="6:8" ht="15.5" x14ac:dyDescent="0.35">
      <c r="F1190" s="20">
        <v>312876</v>
      </c>
      <c r="G1190" s="21" t="s">
        <v>1790</v>
      </c>
      <c r="H1190" s="22">
        <v>0</v>
      </c>
    </row>
    <row r="1191" spans="6:8" ht="15.5" x14ac:dyDescent="0.35">
      <c r="F1191" s="20">
        <v>90040426</v>
      </c>
      <c r="G1191" s="21" t="s">
        <v>1791</v>
      </c>
      <c r="H1191" s="22">
        <v>0</v>
      </c>
    </row>
    <row r="1192" spans="6:8" ht="15.5" x14ac:dyDescent="0.35">
      <c r="F1192" s="20">
        <v>311421</v>
      </c>
      <c r="G1192" s="21" t="s">
        <v>1792</v>
      </c>
      <c r="H1192" s="22">
        <v>0</v>
      </c>
    </row>
    <row r="1193" spans="6:8" ht="15.5" x14ac:dyDescent="0.35">
      <c r="F1193" s="20">
        <v>312270</v>
      </c>
      <c r="G1193" s="21" t="s">
        <v>1793</v>
      </c>
      <c r="H1193" s="22">
        <v>0</v>
      </c>
    </row>
    <row r="1194" spans="6:8" ht="15.5" x14ac:dyDescent="0.35">
      <c r="F1194" s="20">
        <v>315065</v>
      </c>
      <c r="G1194" s="21" t="s">
        <v>1794</v>
      </c>
      <c r="H1194" s="22">
        <v>0</v>
      </c>
    </row>
    <row r="1195" spans="6:8" ht="15.5" x14ac:dyDescent="0.35">
      <c r="F1195" s="20">
        <v>313387</v>
      </c>
      <c r="G1195" s="21" t="s">
        <v>1795</v>
      </c>
      <c r="H1195" s="22">
        <v>0</v>
      </c>
    </row>
    <row r="1196" spans="6:8" ht="15.5" x14ac:dyDescent="0.35">
      <c r="F1196" s="20">
        <v>315843</v>
      </c>
      <c r="G1196" s="21" t="s">
        <v>1796</v>
      </c>
      <c r="H1196" s="22">
        <v>0</v>
      </c>
    </row>
    <row r="1197" spans="6:8" ht="15.5" x14ac:dyDescent="0.35">
      <c r="F1197" s="20">
        <v>312117</v>
      </c>
      <c r="G1197" s="21" t="s">
        <v>1797</v>
      </c>
      <c r="H1197" s="22">
        <v>0</v>
      </c>
    </row>
    <row r="1198" spans="6:8" ht="15.5" x14ac:dyDescent="0.35">
      <c r="F1198" s="20">
        <v>310238</v>
      </c>
      <c r="G1198" s="21" t="s">
        <v>1798</v>
      </c>
      <c r="H1198" s="22">
        <v>0</v>
      </c>
    </row>
    <row r="1199" spans="6:8" ht="15.5" x14ac:dyDescent="0.35">
      <c r="F1199" s="20">
        <v>90025711</v>
      </c>
      <c r="G1199" s="21" t="s">
        <v>1799</v>
      </c>
      <c r="H1199" s="22">
        <v>0</v>
      </c>
    </row>
    <row r="1200" spans="6:8" ht="15.5" x14ac:dyDescent="0.35">
      <c r="F1200" s="20">
        <v>312732</v>
      </c>
      <c r="G1200" s="21" t="s">
        <v>1800</v>
      </c>
      <c r="H1200" s="22">
        <v>0</v>
      </c>
    </row>
    <row r="1201" spans="6:8" ht="15.5" x14ac:dyDescent="0.35">
      <c r="F1201" s="20">
        <v>314962</v>
      </c>
      <c r="G1201" s="21" t="s">
        <v>1801</v>
      </c>
      <c r="H1201" s="22">
        <v>0</v>
      </c>
    </row>
    <row r="1202" spans="6:8" ht="15.5" x14ac:dyDescent="0.35">
      <c r="F1202" s="20">
        <v>90034453</v>
      </c>
      <c r="G1202" s="21" t="s">
        <v>1802</v>
      </c>
      <c r="H1202" s="22">
        <v>0</v>
      </c>
    </row>
    <row r="1203" spans="6:8" ht="15.5" x14ac:dyDescent="0.35">
      <c r="F1203" s="20">
        <v>316188</v>
      </c>
      <c r="G1203" s="21" t="s">
        <v>1803</v>
      </c>
      <c r="H1203" s="22">
        <v>0</v>
      </c>
    </row>
    <row r="1204" spans="6:8" ht="15.5" x14ac:dyDescent="0.35">
      <c r="F1204" s="20">
        <v>314100</v>
      </c>
      <c r="G1204" s="21" t="s">
        <v>1804</v>
      </c>
      <c r="H1204" s="22">
        <v>0</v>
      </c>
    </row>
    <row r="1205" spans="6:8" ht="15.5" x14ac:dyDescent="0.35">
      <c r="F1205" s="20">
        <v>311601</v>
      </c>
      <c r="G1205" s="21" t="s">
        <v>1805</v>
      </c>
      <c r="H1205" s="22">
        <v>0</v>
      </c>
    </row>
    <row r="1206" spans="6:8" ht="15.5" x14ac:dyDescent="0.35">
      <c r="F1206" s="20">
        <v>314620</v>
      </c>
      <c r="G1206" s="21" t="s">
        <v>1806</v>
      </c>
      <c r="H1206" s="22">
        <v>0</v>
      </c>
    </row>
    <row r="1207" spans="6:8" ht="15.5" x14ac:dyDescent="0.35">
      <c r="F1207" s="20">
        <v>302841</v>
      </c>
      <c r="G1207" s="21" t="s">
        <v>1807</v>
      </c>
      <c r="H1207" s="22">
        <v>0</v>
      </c>
    </row>
    <row r="1208" spans="6:8" ht="15.5" x14ac:dyDescent="0.35">
      <c r="F1208" s="20">
        <v>311298</v>
      </c>
      <c r="G1208" s="21" t="s">
        <v>1808</v>
      </c>
      <c r="H1208" s="22">
        <v>0</v>
      </c>
    </row>
    <row r="1209" spans="6:8" ht="15.5" x14ac:dyDescent="0.35">
      <c r="F1209" s="20">
        <v>306420</v>
      </c>
      <c r="G1209" s="21" t="s">
        <v>1809</v>
      </c>
      <c r="H1209" s="22">
        <v>0</v>
      </c>
    </row>
    <row r="1210" spans="6:8" ht="15.5" x14ac:dyDescent="0.35">
      <c r="F1210" s="20">
        <v>90039498</v>
      </c>
      <c r="G1210" s="21" t="s">
        <v>1810</v>
      </c>
      <c r="H1210" s="22">
        <v>0</v>
      </c>
    </row>
    <row r="1211" spans="6:8" ht="15.5" x14ac:dyDescent="0.35">
      <c r="F1211" s="20">
        <v>313826</v>
      </c>
      <c r="G1211" s="21" t="s">
        <v>1811</v>
      </c>
      <c r="H1211" s="22">
        <v>0</v>
      </c>
    </row>
    <row r="1212" spans="6:8" ht="15.5" x14ac:dyDescent="0.35">
      <c r="F1212" s="20">
        <v>314641</v>
      </c>
      <c r="G1212" s="21" t="s">
        <v>1812</v>
      </c>
      <c r="H1212" s="22">
        <v>0</v>
      </c>
    </row>
    <row r="1213" spans="6:8" ht="15.5" x14ac:dyDescent="0.35">
      <c r="F1213" s="20">
        <v>314554</v>
      </c>
      <c r="G1213" s="21" t="s">
        <v>1813</v>
      </c>
      <c r="H1213" s="22">
        <v>0</v>
      </c>
    </row>
    <row r="1214" spans="6:8" ht="15.5" x14ac:dyDescent="0.35">
      <c r="F1214" s="20">
        <v>314360</v>
      </c>
      <c r="G1214" s="21" t="s">
        <v>1814</v>
      </c>
      <c r="H1214" s="22">
        <v>0</v>
      </c>
    </row>
    <row r="1215" spans="6:8" ht="15.5" x14ac:dyDescent="0.35">
      <c r="F1215" s="20">
        <v>309115</v>
      </c>
      <c r="G1215" s="21" t="s">
        <v>1815</v>
      </c>
      <c r="H1215" s="22">
        <v>0</v>
      </c>
    </row>
    <row r="1216" spans="6:8" ht="15.5" x14ac:dyDescent="0.35">
      <c r="F1216" s="20">
        <v>314978</v>
      </c>
      <c r="G1216" s="21" t="s">
        <v>1816</v>
      </c>
      <c r="H1216" s="22">
        <v>0</v>
      </c>
    </row>
    <row r="1217" spans="6:8" ht="15.5" x14ac:dyDescent="0.35">
      <c r="F1217" s="20">
        <v>90049325</v>
      </c>
      <c r="G1217" s="21" t="s">
        <v>1817</v>
      </c>
      <c r="H1217" s="22">
        <v>0</v>
      </c>
    </row>
    <row r="1218" spans="6:8" ht="15.5" x14ac:dyDescent="0.35">
      <c r="F1218" s="20">
        <v>311171</v>
      </c>
      <c r="G1218" s="21" t="s">
        <v>1818</v>
      </c>
      <c r="H1218" s="22">
        <v>0</v>
      </c>
    </row>
    <row r="1219" spans="6:8" ht="15.5" x14ac:dyDescent="0.35">
      <c r="F1219" s="20">
        <v>311987</v>
      </c>
      <c r="G1219" s="21" t="s">
        <v>1819</v>
      </c>
      <c r="H1219" s="22">
        <v>0</v>
      </c>
    </row>
    <row r="1220" spans="6:8" ht="15.5" x14ac:dyDescent="0.35">
      <c r="F1220" s="20">
        <v>315817</v>
      </c>
      <c r="G1220" s="21" t="s">
        <v>1820</v>
      </c>
      <c r="H1220" s="22">
        <v>0</v>
      </c>
    </row>
    <row r="1221" spans="6:8" ht="15.5" x14ac:dyDescent="0.35">
      <c r="F1221" s="20">
        <v>314797</v>
      </c>
      <c r="G1221" s="21" t="s">
        <v>1821</v>
      </c>
      <c r="H1221" s="22">
        <v>0</v>
      </c>
    </row>
    <row r="1222" spans="6:8" ht="15.5" x14ac:dyDescent="0.35">
      <c r="F1222" s="20">
        <v>313539</v>
      </c>
      <c r="G1222" s="21" t="s">
        <v>1822</v>
      </c>
      <c r="H1222" s="22">
        <v>0</v>
      </c>
    </row>
    <row r="1223" spans="6:8" ht="15.5" x14ac:dyDescent="0.35">
      <c r="F1223" s="20">
        <v>315116</v>
      </c>
      <c r="G1223" s="21" t="s">
        <v>1823</v>
      </c>
      <c r="H1223" s="22">
        <v>0</v>
      </c>
    </row>
    <row r="1224" spans="6:8" ht="15.5" x14ac:dyDescent="0.35">
      <c r="F1224" s="20">
        <v>314644</v>
      </c>
      <c r="G1224" s="21" t="s">
        <v>1824</v>
      </c>
      <c r="H1224" s="22">
        <v>0</v>
      </c>
    </row>
    <row r="1225" spans="6:8" ht="15.5" x14ac:dyDescent="0.35">
      <c r="F1225" s="20">
        <v>311012</v>
      </c>
      <c r="G1225" s="21" t="s">
        <v>1825</v>
      </c>
      <c r="H1225" s="22">
        <v>0</v>
      </c>
    </row>
    <row r="1226" spans="6:8" ht="15.5" x14ac:dyDescent="0.35">
      <c r="F1226" s="20">
        <v>314790</v>
      </c>
      <c r="G1226" s="21" t="s">
        <v>1826</v>
      </c>
      <c r="H1226" s="22">
        <v>0</v>
      </c>
    </row>
    <row r="1227" spans="6:8" ht="15.5" x14ac:dyDescent="0.35">
      <c r="F1227" s="20">
        <v>314082</v>
      </c>
      <c r="G1227" s="21" t="s">
        <v>1827</v>
      </c>
      <c r="H1227" s="22">
        <v>0</v>
      </c>
    </row>
    <row r="1228" spans="6:8" ht="15.5" x14ac:dyDescent="0.35">
      <c r="F1228" s="20">
        <v>314368</v>
      </c>
      <c r="G1228" s="21" t="s">
        <v>1828</v>
      </c>
      <c r="H1228" s="22">
        <v>0</v>
      </c>
    </row>
    <row r="1229" spans="6:8" ht="15.5" x14ac:dyDescent="0.35">
      <c r="F1229" s="20">
        <v>314339</v>
      </c>
      <c r="G1229" s="21" t="s">
        <v>1829</v>
      </c>
      <c r="H1229" s="22">
        <v>0</v>
      </c>
    </row>
    <row r="1230" spans="6:8" ht="15.5" x14ac:dyDescent="0.35">
      <c r="F1230" s="20">
        <v>313157</v>
      </c>
      <c r="G1230" s="21" t="s">
        <v>1830</v>
      </c>
      <c r="H1230" s="22">
        <v>0</v>
      </c>
    </row>
    <row r="1231" spans="6:8" ht="15.5" x14ac:dyDescent="0.35">
      <c r="F1231" s="20">
        <v>90028954</v>
      </c>
      <c r="G1231" s="21" t="s">
        <v>1831</v>
      </c>
      <c r="H1231" s="22">
        <v>0</v>
      </c>
    </row>
    <row r="1232" spans="6:8" ht="15.5" x14ac:dyDescent="0.35">
      <c r="F1232" s="20">
        <v>315777</v>
      </c>
      <c r="G1232" s="21" t="s">
        <v>1832</v>
      </c>
      <c r="H1232" s="22">
        <v>0</v>
      </c>
    </row>
    <row r="1233" spans="6:8" ht="15.5" x14ac:dyDescent="0.35">
      <c r="F1233" s="20">
        <v>315896</v>
      </c>
      <c r="G1233" s="21" t="s">
        <v>1833</v>
      </c>
      <c r="H1233" s="22">
        <v>0</v>
      </c>
    </row>
    <row r="1234" spans="6:8" ht="15.5" x14ac:dyDescent="0.35">
      <c r="F1234" s="20">
        <v>315492</v>
      </c>
      <c r="G1234" s="21" t="s">
        <v>1834</v>
      </c>
      <c r="H1234" s="22">
        <v>0</v>
      </c>
    </row>
    <row r="1235" spans="6:8" ht="15.5" x14ac:dyDescent="0.35">
      <c r="F1235" s="20">
        <v>315156</v>
      </c>
      <c r="G1235" s="21" t="s">
        <v>1835</v>
      </c>
      <c r="H1235" s="22">
        <v>0</v>
      </c>
    </row>
    <row r="1236" spans="6:8" ht="15.5" x14ac:dyDescent="0.35">
      <c r="F1236" s="20">
        <v>315451</v>
      </c>
      <c r="G1236" s="21" t="s">
        <v>1836</v>
      </c>
      <c r="H1236" s="22">
        <v>0</v>
      </c>
    </row>
    <row r="1237" spans="6:8" ht="15.5" x14ac:dyDescent="0.35">
      <c r="F1237" s="20">
        <v>90040461</v>
      </c>
      <c r="G1237" s="21" t="s">
        <v>1837</v>
      </c>
      <c r="H1237" s="22">
        <v>0</v>
      </c>
    </row>
    <row r="1238" spans="6:8" ht="15.5" x14ac:dyDescent="0.35">
      <c r="F1238" s="20">
        <v>90033814</v>
      </c>
      <c r="G1238" s="21" t="s">
        <v>1838</v>
      </c>
      <c r="H1238" s="22">
        <v>0</v>
      </c>
    </row>
    <row r="1239" spans="6:8" ht="15.5" x14ac:dyDescent="0.35">
      <c r="F1239" s="20">
        <v>313003</v>
      </c>
      <c r="G1239" s="21" t="s">
        <v>1839</v>
      </c>
      <c r="H1239" s="22">
        <v>0</v>
      </c>
    </row>
    <row r="1240" spans="6:8" ht="15.5" x14ac:dyDescent="0.35">
      <c r="F1240" s="20">
        <v>309852</v>
      </c>
      <c r="G1240" s="21" t="s">
        <v>1840</v>
      </c>
      <c r="H1240" s="22">
        <v>0</v>
      </c>
    </row>
    <row r="1241" spans="6:8" ht="15.5" x14ac:dyDescent="0.35">
      <c r="F1241" s="20">
        <v>314846</v>
      </c>
      <c r="G1241" s="21" t="s">
        <v>1841</v>
      </c>
      <c r="H1241" s="22">
        <v>0</v>
      </c>
    </row>
    <row r="1242" spans="6:8" ht="15.5" x14ac:dyDescent="0.35">
      <c r="F1242" s="20">
        <v>310126</v>
      </c>
      <c r="G1242" s="21" t="s">
        <v>1842</v>
      </c>
      <c r="H1242" s="22">
        <v>0</v>
      </c>
    </row>
    <row r="1243" spans="6:8" ht="15.5" x14ac:dyDescent="0.35">
      <c r="F1243" s="20">
        <v>314228</v>
      </c>
      <c r="G1243" s="21" t="s">
        <v>1843</v>
      </c>
      <c r="H1243" s="22">
        <v>0</v>
      </c>
    </row>
    <row r="1244" spans="6:8" ht="15.5" x14ac:dyDescent="0.35">
      <c r="F1244" s="20">
        <v>311075</v>
      </c>
      <c r="G1244" s="21" t="s">
        <v>1844</v>
      </c>
      <c r="H1244" s="22">
        <v>0</v>
      </c>
    </row>
    <row r="1245" spans="6:8" ht="15.5" x14ac:dyDescent="0.35">
      <c r="F1245" s="20">
        <v>311299</v>
      </c>
      <c r="G1245" s="21" t="s">
        <v>1845</v>
      </c>
      <c r="H1245" s="22">
        <v>0</v>
      </c>
    </row>
    <row r="1246" spans="6:8" ht="15.5" x14ac:dyDescent="0.35">
      <c r="F1246" s="20">
        <v>312709</v>
      </c>
      <c r="G1246" s="21" t="s">
        <v>1846</v>
      </c>
      <c r="H1246" s="22">
        <v>0</v>
      </c>
    </row>
    <row r="1247" spans="6:8" ht="15.5" x14ac:dyDescent="0.35">
      <c r="F1247" s="20">
        <v>305955</v>
      </c>
      <c r="G1247" s="21" t="s">
        <v>1847</v>
      </c>
      <c r="H1247" s="22">
        <v>0</v>
      </c>
    </row>
    <row r="1248" spans="6:8" ht="15.5" x14ac:dyDescent="0.35">
      <c r="F1248" s="20">
        <v>309695</v>
      </c>
      <c r="G1248" s="21" t="s">
        <v>1848</v>
      </c>
      <c r="H1248" s="22">
        <v>0</v>
      </c>
    </row>
    <row r="1249" spans="6:8" ht="15.5" x14ac:dyDescent="0.35">
      <c r="F1249" s="20">
        <v>310641</v>
      </c>
      <c r="G1249" s="21" t="s">
        <v>1849</v>
      </c>
      <c r="H1249" s="22">
        <v>0</v>
      </c>
    </row>
    <row r="1250" spans="6:8" ht="15.5" x14ac:dyDescent="0.35">
      <c r="F1250" s="20">
        <v>300150</v>
      </c>
      <c r="G1250" s="21" t="s">
        <v>1850</v>
      </c>
      <c r="H1250" s="22">
        <v>0</v>
      </c>
    </row>
    <row r="1251" spans="6:8" ht="15.5" x14ac:dyDescent="0.35">
      <c r="F1251" s="20">
        <v>90033656</v>
      </c>
      <c r="G1251" s="21" t="s">
        <v>1851</v>
      </c>
      <c r="H1251" s="22">
        <v>0</v>
      </c>
    </row>
    <row r="1252" spans="6:8" ht="15.5" x14ac:dyDescent="0.35">
      <c r="F1252" s="20">
        <v>314761</v>
      </c>
      <c r="G1252" s="21" t="s">
        <v>1852</v>
      </c>
      <c r="H1252" s="22">
        <v>0</v>
      </c>
    </row>
    <row r="1253" spans="6:8" ht="15.5" x14ac:dyDescent="0.35">
      <c r="F1253" s="20">
        <v>315114</v>
      </c>
      <c r="G1253" s="21" t="s">
        <v>1853</v>
      </c>
      <c r="H1253" s="22">
        <v>0</v>
      </c>
    </row>
    <row r="1254" spans="6:8" ht="15.5" x14ac:dyDescent="0.35">
      <c r="F1254" s="20">
        <v>314436</v>
      </c>
      <c r="G1254" s="21" t="s">
        <v>1854</v>
      </c>
      <c r="H1254" s="22">
        <v>0</v>
      </c>
    </row>
    <row r="1255" spans="6:8" ht="15.5" x14ac:dyDescent="0.35">
      <c r="F1255" s="20">
        <v>300590</v>
      </c>
      <c r="G1255" s="21" t="s">
        <v>1855</v>
      </c>
      <c r="H1255" s="22">
        <v>0</v>
      </c>
    </row>
    <row r="1256" spans="6:8" ht="15.5" x14ac:dyDescent="0.35">
      <c r="F1256" s="20">
        <v>312369</v>
      </c>
      <c r="G1256" s="21" t="s">
        <v>1856</v>
      </c>
      <c r="H1256" s="22">
        <v>0</v>
      </c>
    </row>
    <row r="1257" spans="6:8" ht="15.5" x14ac:dyDescent="0.35">
      <c r="F1257" s="20">
        <v>90039661</v>
      </c>
      <c r="G1257" s="21" t="s">
        <v>1857</v>
      </c>
      <c r="H1257" s="22">
        <v>0</v>
      </c>
    </row>
    <row r="1258" spans="6:8" ht="15.5" x14ac:dyDescent="0.35">
      <c r="F1258" s="20">
        <v>315173</v>
      </c>
      <c r="G1258" s="21" t="s">
        <v>1858</v>
      </c>
      <c r="H1258" s="22">
        <v>0</v>
      </c>
    </row>
    <row r="1259" spans="6:8" ht="15.5" x14ac:dyDescent="0.35">
      <c r="F1259" s="20">
        <v>315067</v>
      </c>
      <c r="G1259" s="21" t="s">
        <v>1859</v>
      </c>
      <c r="H1259" s="22">
        <v>0</v>
      </c>
    </row>
    <row r="1260" spans="6:8" ht="15.5" x14ac:dyDescent="0.35">
      <c r="F1260" s="20">
        <v>316285</v>
      </c>
      <c r="G1260" s="21" t="s">
        <v>1860</v>
      </c>
      <c r="H1260" s="22">
        <v>0</v>
      </c>
    </row>
    <row r="1261" spans="6:8" ht="15.5" x14ac:dyDescent="0.35">
      <c r="F1261" s="20">
        <v>315784</v>
      </c>
      <c r="G1261" s="21" t="s">
        <v>1861</v>
      </c>
      <c r="H1261" s="22">
        <v>0</v>
      </c>
    </row>
    <row r="1262" spans="6:8" ht="15.5" x14ac:dyDescent="0.35">
      <c r="F1262" s="20">
        <v>309498</v>
      </c>
      <c r="G1262" s="21" t="s">
        <v>1862</v>
      </c>
      <c r="H1262" s="22">
        <v>0</v>
      </c>
    </row>
    <row r="1263" spans="6:8" ht="15.5" x14ac:dyDescent="0.35">
      <c r="F1263" s="20">
        <v>313405</v>
      </c>
      <c r="G1263" s="21" t="s">
        <v>1863</v>
      </c>
      <c r="H1263" s="22">
        <v>0</v>
      </c>
    </row>
    <row r="1264" spans="6:8" ht="15.5" x14ac:dyDescent="0.35">
      <c r="F1264" s="20">
        <v>90039186</v>
      </c>
      <c r="G1264" s="21" t="s">
        <v>1864</v>
      </c>
      <c r="H1264" s="22">
        <v>0</v>
      </c>
    </row>
    <row r="1265" spans="6:8" ht="15.5" x14ac:dyDescent="0.35">
      <c r="F1265" s="20">
        <v>315268</v>
      </c>
      <c r="G1265" s="21" t="s">
        <v>1865</v>
      </c>
      <c r="H1265" s="22">
        <v>0</v>
      </c>
    </row>
    <row r="1266" spans="6:8" ht="15.5" x14ac:dyDescent="0.35">
      <c r="F1266" s="20">
        <v>312319</v>
      </c>
      <c r="G1266" s="21" t="s">
        <v>1866</v>
      </c>
      <c r="H1266" s="22">
        <v>0</v>
      </c>
    </row>
    <row r="1267" spans="6:8" ht="15.5" x14ac:dyDescent="0.35">
      <c r="F1267" s="20">
        <v>313114</v>
      </c>
      <c r="G1267" s="21" t="s">
        <v>1867</v>
      </c>
      <c r="H1267" s="22">
        <v>0</v>
      </c>
    </row>
    <row r="1268" spans="6:8" ht="15.5" x14ac:dyDescent="0.35">
      <c r="F1268" s="20">
        <v>314171</v>
      </c>
      <c r="G1268" s="21" t="s">
        <v>1868</v>
      </c>
      <c r="H1268" s="22">
        <v>0</v>
      </c>
    </row>
    <row r="1269" spans="6:8" ht="15.5" x14ac:dyDescent="0.35">
      <c r="F1269" s="20">
        <v>90012193</v>
      </c>
      <c r="G1269" s="21" t="s">
        <v>1869</v>
      </c>
      <c r="H1269" s="22">
        <v>0</v>
      </c>
    </row>
    <row r="1270" spans="6:8" ht="15.5" x14ac:dyDescent="0.35">
      <c r="F1270" s="20">
        <v>315039</v>
      </c>
      <c r="G1270" s="21" t="s">
        <v>1870</v>
      </c>
      <c r="H1270" s="22">
        <v>0</v>
      </c>
    </row>
    <row r="1271" spans="6:8" ht="15.5" x14ac:dyDescent="0.35">
      <c r="F1271" s="20">
        <v>90041208</v>
      </c>
      <c r="G1271" s="21" t="s">
        <v>1871</v>
      </c>
      <c r="H1271" s="22">
        <v>0</v>
      </c>
    </row>
    <row r="1272" spans="6:8" ht="15.5" x14ac:dyDescent="0.35">
      <c r="F1272" s="20">
        <v>90034730</v>
      </c>
      <c r="G1272" s="21" t="s">
        <v>1872</v>
      </c>
      <c r="H1272" s="22">
        <v>0</v>
      </c>
    </row>
    <row r="1273" spans="6:8" ht="15.5" x14ac:dyDescent="0.35">
      <c r="F1273" s="20">
        <v>313983</v>
      </c>
      <c r="G1273" s="21" t="s">
        <v>1873</v>
      </c>
      <c r="H1273" s="22">
        <v>0</v>
      </c>
    </row>
    <row r="1274" spans="6:8" ht="15.5" x14ac:dyDescent="0.35">
      <c r="F1274" s="20">
        <v>90033458</v>
      </c>
      <c r="G1274" s="21" t="s">
        <v>1874</v>
      </c>
      <c r="H1274" s="22">
        <v>0</v>
      </c>
    </row>
    <row r="1275" spans="6:8" ht="15.5" x14ac:dyDescent="0.35">
      <c r="F1275" s="20">
        <v>310674</v>
      </c>
      <c r="G1275" s="21" t="s">
        <v>1875</v>
      </c>
      <c r="H1275" s="22">
        <v>0</v>
      </c>
    </row>
    <row r="1276" spans="6:8" ht="15.5" x14ac:dyDescent="0.35">
      <c r="F1276" s="20">
        <v>314911</v>
      </c>
      <c r="G1276" s="21" t="s">
        <v>1876</v>
      </c>
      <c r="H1276" s="22">
        <v>0</v>
      </c>
    </row>
    <row r="1277" spans="6:8" ht="15.5" x14ac:dyDescent="0.35">
      <c r="F1277" s="20">
        <v>305979</v>
      </c>
      <c r="G1277" s="21" t="s">
        <v>1877</v>
      </c>
      <c r="H1277" s="22">
        <v>0</v>
      </c>
    </row>
    <row r="1278" spans="6:8" ht="15.5" x14ac:dyDescent="0.35">
      <c r="F1278" s="20">
        <v>313612</v>
      </c>
      <c r="G1278" s="21" t="s">
        <v>1878</v>
      </c>
      <c r="H1278" s="22">
        <v>0</v>
      </c>
    </row>
    <row r="1279" spans="6:8" ht="15.5" x14ac:dyDescent="0.35">
      <c r="F1279" s="20">
        <v>314216</v>
      </c>
      <c r="G1279" s="21" t="s">
        <v>1879</v>
      </c>
      <c r="H1279" s="22">
        <v>0</v>
      </c>
    </row>
    <row r="1280" spans="6:8" ht="15.5" x14ac:dyDescent="0.35">
      <c r="F1280" s="20">
        <v>314504</v>
      </c>
      <c r="G1280" s="21" t="s">
        <v>1880</v>
      </c>
      <c r="H1280" s="22">
        <v>0</v>
      </c>
    </row>
    <row r="1281" spans="6:8" ht="15.5" x14ac:dyDescent="0.35">
      <c r="F1281" s="20">
        <v>315390</v>
      </c>
      <c r="G1281" s="21" t="s">
        <v>1881</v>
      </c>
      <c r="H1281" s="22">
        <v>0</v>
      </c>
    </row>
    <row r="1282" spans="6:8" ht="15.5" x14ac:dyDescent="0.35">
      <c r="F1282" s="20">
        <v>310673</v>
      </c>
      <c r="G1282" s="21" t="s">
        <v>1882</v>
      </c>
      <c r="H1282" s="22">
        <v>0</v>
      </c>
    </row>
    <row r="1283" spans="6:8" ht="15.5" x14ac:dyDescent="0.35">
      <c r="F1283" s="20">
        <v>314301</v>
      </c>
      <c r="G1283" s="21" t="s">
        <v>1883</v>
      </c>
      <c r="H1283" s="22">
        <v>0</v>
      </c>
    </row>
    <row r="1284" spans="6:8" ht="15.5" x14ac:dyDescent="0.35">
      <c r="F1284" s="20">
        <v>308982</v>
      </c>
      <c r="G1284" s="21" t="s">
        <v>1884</v>
      </c>
      <c r="H1284" s="22">
        <v>0</v>
      </c>
    </row>
    <row r="1285" spans="6:8" ht="15.5" x14ac:dyDescent="0.35">
      <c r="F1285" s="20">
        <v>314898</v>
      </c>
      <c r="G1285" s="21" t="s">
        <v>1885</v>
      </c>
      <c r="H1285" s="22">
        <v>0</v>
      </c>
    </row>
    <row r="1286" spans="6:8" ht="15.5" x14ac:dyDescent="0.35">
      <c r="F1286" s="20">
        <v>315939</v>
      </c>
      <c r="G1286" s="21" t="s">
        <v>1886</v>
      </c>
      <c r="H1286" s="22">
        <v>0</v>
      </c>
    </row>
    <row r="1287" spans="6:8" ht="15.5" x14ac:dyDescent="0.35">
      <c r="F1287" s="20">
        <v>314510</v>
      </c>
      <c r="G1287" s="21" t="s">
        <v>1887</v>
      </c>
      <c r="H1287" s="22">
        <v>0</v>
      </c>
    </row>
    <row r="1288" spans="6:8" ht="15.5" x14ac:dyDescent="0.35">
      <c r="F1288" s="20">
        <v>315692</v>
      </c>
      <c r="G1288" s="21" t="s">
        <v>1888</v>
      </c>
      <c r="H1288" s="22">
        <v>0</v>
      </c>
    </row>
    <row r="1289" spans="6:8" ht="15.5" x14ac:dyDescent="0.35">
      <c r="F1289" s="20">
        <v>90039941</v>
      </c>
      <c r="G1289" s="21" t="s">
        <v>1889</v>
      </c>
      <c r="H1289" s="22">
        <v>0</v>
      </c>
    </row>
    <row r="1290" spans="6:8" ht="15.5" x14ac:dyDescent="0.35">
      <c r="F1290" s="20">
        <v>308558</v>
      </c>
      <c r="G1290" s="21" t="s">
        <v>1890</v>
      </c>
      <c r="H1290" s="22">
        <v>0</v>
      </c>
    </row>
    <row r="1291" spans="6:8" ht="15.5" x14ac:dyDescent="0.35">
      <c r="F1291" s="20">
        <v>315261</v>
      </c>
      <c r="G1291" s="21" t="s">
        <v>1891</v>
      </c>
      <c r="H1291" s="22">
        <v>0</v>
      </c>
    </row>
    <row r="1292" spans="6:8" ht="15.5" x14ac:dyDescent="0.35">
      <c r="F1292" s="20">
        <v>316177</v>
      </c>
      <c r="G1292" s="21" t="s">
        <v>1892</v>
      </c>
      <c r="H1292" s="22">
        <v>0</v>
      </c>
    </row>
    <row r="1293" spans="6:8" ht="15.5" x14ac:dyDescent="0.35">
      <c r="F1293" s="20">
        <v>90049488</v>
      </c>
      <c r="G1293" s="21" t="s">
        <v>1893</v>
      </c>
      <c r="H1293" s="22">
        <v>0</v>
      </c>
    </row>
    <row r="1294" spans="6:8" ht="15.5" x14ac:dyDescent="0.35">
      <c r="F1294" s="20">
        <v>313766</v>
      </c>
      <c r="G1294" s="21" t="s">
        <v>1894</v>
      </c>
      <c r="H1294" s="22">
        <v>0</v>
      </c>
    </row>
    <row r="1295" spans="6:8" ht="15.5" x14ac:dyDescent="0.35">
      <c r="F1295" s="20">
        <v>314907</v>
      </c>
      <c r="G1295" s="21" t="s">
        <v>1895</v>
      </c>
      <c r="H1295" s="22">
        <v>0</v>
      </c>
    </row>
    <row r="1296" spans="6:8" ht="15.5" x14ac:dyDescent="0.35">
      <c r="F1296" s="20">
        <v>314842</v>
      </c>
      <c r="G1296" s="21" t="s">
        <v>1896</v>
      </c>
      <c r="H1296" s="22">
        <v>0</v>
      </c>
    </row>
    <row r="1297" spans="6:8" ht="15.5" x14ac:dyDescent="0.35">
      <c r="F1297" s="20">
        <v>313008</v>
      </c>
      <c r="G1297" s="21" t="s">
        <v>1897</v>
      </c>
      <c r="H1297" s="22">
        <v>0</v>
      </c>
    </row>
    <row r="1298" spans="6:8" ht="15.5" x14ac:dyDescent="0.35">
      <c r="F1298" s="20">
        <v>315415</v>
      </c>
      <c r="G1298" s="21" t="s">
        <v>1898</v>
      </c>
      <c r="H1298" s="22">
        <v>0</v>
      </c>
    </row>
    <row r="1299" spans="6:8" ht="15.5" x14ac:dyDescent="0.35">
      <c r="F1299" s="20">
        <v>90040627</v>
      </c>
      <c r="G1299" s="21" t="s">
        <v>1899</v>
      </c>
      <c r="H1299" s="22">
        <v>0</v>
      </c>
    </row>
    <row r="1300" spans="6:8" ht="15.5" x14ac:dyDescent="0.35">
      <c r="F1300" s="20">
        <v>90025190</v>
      </c>
      <c r="G1300" s="21" t="s">
        <v>1900</v>
      </c>
      <c r="H1300" s="22">
        <v>0</v>
      </c>
    </row>
    <row r="1301" spans="6:8" ht="15.5" x14ac:dyDescent="0.35">
      <c r="F1301" s="20">
        <v>305181</v>
      </c>
      <c r="G1301" s="21" t="s">
        <v>1901</v>
      </c>
      <c r="H1301" s="22">
        <v>0</v>
      </c>
    </row>
    <row r="1302" spans="6:8" ht="15.5" x14ac:dyDescent="0.35">
      <c r="F1302" s="20">
        <v>306915</v>
      </c>
      <c r="G1302" s="21" t="s">
        <v>1902</v>
      </c>
      <c r="H1302" s="22">
        <v>0</v>
      </c>
    </row>
    <row r="1303" spans="6:8" ht="15.5" x14ac:dyDescent="0.35">
      <c r="F1303" s="20">
        <v>313642</v>
      </c>
      <c r="G1303" s="21" t="s">
        <v>1903</v>
      </c>
      <c r="H1303" s="22">
        <v>0</v>
      </c>
    </row>
    <row r="1304" spans="6:8" ht="15.5" x14ac:dyDescent="0.35">
      <c r="F1304" s="20">
        <v>314746</v>
      </c>
      <c r="G1304" s="21" t="s">
        <v>1904</v>
      </c>
      <c r="H1304" s="22">
        <v>0</v>
      </c>
    </row>
    <row r="1305" spans="6:8" ht="15.5" x14ac:dyDescent="0.35">
      <c r="F1305" s="20">
        <v>309765</v>
      </c>
      <c r="G1305" s="21" t="s">
        <v>1905</v>
      </c>
      <c r="H1305" s="22">
        <v>0</v>
      </c>
    </row>
    <row r="1306" spans="6:8" ht="15.5" x14ac:dyDescent="0.35">
      <c r="F1306" s="20">
        <v>314262</v>
      </c>
      <c r="G1306" s="21" t="s">
        <v>1906</v>
      </c>
      <c r="H1306" s="22">
        <v>0</v>
      </c>
    </row>
    <row r="1307" spans="6:8" ht="15.5" x14ac:dyDescent="0.35">
      <c r="F1307" s="20">
        <v>316190</v>
      </c>
      <c r="G1307" s="21" t="s">
        <v>1907</v>
      </c>
      <c r="H1307" s="22">
        <v>0</v>
      </c>
    </row>
    <row r="1308" spans="6:8" ht="15.5" x14ac:dyDescent="0.35">
      <c r="F1308" s="20">
        <v>315073</v>
      </c>
      <c r="G1308" s="21" t="s">
        <v>1908</v>
      </c>
      <c r="H1308" s="22">
        <v>0</v>
      </c>
    </row>
    <row r="1309" spans="6:8" ht="15.5" x14ac:dyDescent="0.35">
      <c r="F1309" s="20">
        <v>315487</v>
      </c>
      <c r="G1309" s="21" t="s">
        <v>1909</v>
      </c>
      <c r="H1309" s="22">
        <v>0</v>
      </c>
    </row>
    <row r="1310" spans="6:8" ht="15.5" x14ac:dyDescent="0.35">
      <c r="F1310" s="20">
        <v>304892</v>
      </c>
      <c r="G1310" s="21" t="s">
        <v>1910</v>
      </c>
      <c r="H1310" s="22">
        <v>0</v>
      </c>
    </row>
    <row r="1311" spans="6:8" ht="15.5" x14ac:dyDescent="0.35">
      <c r="F1311" s="20">
        <v>313023</v>
      </c>
      <c r="G1311" s="21" t="s">
        <v>1911</v>
      </c>
      <c r="H1311" s="22">
        <v>0</v>
      </c>
    </row>
    <row r="1312" spans="6:8" ht="15.5" x14ac:dyDescent="0.35">
      <c r="F1312" s="20">
        <v>312573</v>
      </c>
      <c r="G1312" s="21" t="s">
        <v>1912</v>
      </c>
      <c r="H1312" s="22">
        <v>0</v>
      </c>
    </row>
    <row r="1313" spans="6:8" ht="15.5" x14ac:dyDescent="0.35">
      <c r="F1313" s="20">
        <v>313233</v>
      </c>
      <c r="G1313" s="21" t="s">
        <v>1913</v>
      </c>
      <c r="H1313" s="22">
        <v>0</v>
      </c>
    </row>
    <row r="1314" spans="6:8" ht="15.5" x14ac:dyDescent="0.35">
      <c r="F1314" s="20">
        <v>314013</v>
      </c>
      <c r="G1314" s="21" t="s">
        <v>1914</v>
      </c>
      <c r="H1314" s="22">
        <v>0</v>
      </c>
    </row>
    <row r="1315" spans="6:8" ht="15.5" x14ac:dyDescent="0.35">
      <c r="F1315" s="20">
        <v>313996</v>
      </c>
      <c r="G1315" s="21" t="s">
        <v>1915</v>
      </c>
      <c r="H1315" s="22">
        <v>0</v>
      </c>
    </row>
    <row r="1316" spans="6:8" ht="15.5" x14ac:dyDescent="0.35">
      <c r="F1316" s="20">
        <v>90028739</v>
      </c>
      <c r="G1316" s="21" t="s">
        <v>1916</v>
      </c>
      <c r="H1316" s="22">
        <v>0</v>
      </c>
    </row>
    <row r="1317" spans="6:8" ht="15.5" x14ac:dyDescent="0.35">
      <c r="F1317" s="20">
        <v>311802</v>
      </c>
      <c r="G1317" s="21" t="s">
        <v>1917</v>
      </c>
      <c r="H1317" s="22">
        <v>0</v>
      </c>
    </row>
    <row r="1318" spans="6:8" ht="15.5" x14ac:dyDescent="0.35">
      <c r="F1318" s="20">
        <v>314614</v>
      </c>
      <c r="G1318" s="21" t="s">
        <v>1918</v>
      </c>
      <c r="H1318" s="22">
        <v>0</v>
      </c>
    </row>
    <row r="1319" spans="6:8" ht="15.5" x14ac:dyDescent="0.35">
      <c r="F1319" s="20">
        <v>90040333</v>
      </c>
      <c r="G1319" s="21" t="s">
        <v>1919</v>
      </c>
      <c r="H1319" s="22">
        <v>0</v>
      </c>
    </row>
    <row r="1320" spans="6:8" ht="15.5" x14ac:dyDescent="0.35">
      <c r="F1320" s="20">
        <v>90040767</v>
      </c>
      <c r="G1320" s="21" t="s">
        <v>1920</v>
      </c>
      <c r="H1320" s="22">
        <v>0</v>
      </c>
    </row>
    <row r="1321" spans="6:8" ht="15.5" x14ac:dyDescent="0.35">
      <c r="F1321" s="20">
        <v>314729</v>
      </c>
      <c r="G1321" s="21" t="s">
        <v>1921</v>
      </c>
      <c r="H1321" s="22">
        <v>0</v>
      </c>
    </row>
    <row r="1322" spans="6:8" ht="15.5" x14ac:dyDescent="0.35">
      <c r="F1322" s="20">
        <v>315641</v>
      </c>
      <c r="G1322" s="21" t="s">
        <v>1922</v>
      </c>
      <c r="H1322" s="22">
        <v>0</v>
      </c>
    </row>
    <row r="1323" spans="6:8" ht="15.5" x14ac:dyDescent="0.35">
      <c r="F1323" s="20">
        <v>315496</v>
      </c>
      <c r="G1323" s="21" t="s">
        <v>1923</v>
      </c>
      <c r="H1323" s="22">
        <v>0</v>
      </c>
    </row>
    <row r="1324" spans="6:8" ht="15.5" x14ac:dyDescent="0.35">
      <c r="F1324" s="20">
        <v>90034559</v>
      </c>
      <c r="G1324" s="21" t="s">
        <v>1924</v>
      </c>
      <c r="H1324" s="22">
        <v>0</v>
      </c>
    </row>
    <row r="1325" spans="6:8" ht="15.5" x14ac:dyDescent="0.35">
      <c r="F1325" s="20">
        <v>90028184</v>
      </c>
      <c r="G1325" s="21" t="s">
        <v>1925</v>
      </c>
      <c r="H1325" s="22">
        <v>0</v>
      </c>
    </row>
    <row r="1326" spans="6:8" ht="15.5" x14ac:dyDescent="0.35">
      <c r="F1326" s="20">
        <v>90032911</v>
      </c>
      <c r="G1326" s="21" t="s">
        <v>1926</v>
      </c>
      <c r="H1326" s="22">
        <v>0</v>
      </c>
    </row>
    <row r="1327" spans="6:8" ht="15.5" x14ac:dyDescent="0.35">
      <c r="F1327" s="20">
        <v>310302</v>
      </c>
      <c r="G1327" s="21" t="s">
        <v>1927</v>
      </c>
      <c r="H1327" s="22">
        <v>0</v>
      </c>
    </row>
    <row r="1328" spans="6:8" ht="15.5" x14ac:dyDescent="0.35">
      <c r="F1328" s="20">
        <v>90033870</v>
      </c>
      <c r="G1328" s="21" t="s">
        <v>1928</v>
      </c>
      <c r="H1328" s="22">
        <v>0</v>
      </c>
    </row>
    <row r="1329" spans="6:8" ht="15.5" x14ac:dyDescent="0.35">
      <c r="F1329" s="20">
        <v>308875</v>
      </c>
      <c r="G1329" s="21" t="s">
        <v>1929</v>
      </c>
      <c r="H1329" s="22">
        <v>0</v>
      </c>
    </row>
    <row r="1330" spans="6:8" ht="15.5" x14ac:dyDescent="0.35">
      <c r="F1330" s="20">
        <v>90034560</v>
      </c>
      <c r="G1330" s="21" t="s">
        <v>1930</v>
      </c>
      <c r="H1330" s="22">
        <v>0</v>
      </c>
    </row>
    <row r="1331" spans="6:8" ht="15.5" x14ac:dyDescent="0.35">
      <c r="F1331" s="20">
        <v>313361</v>
      </c>
      <c r="G1331" s="21" t="s">
        <v>1931</v>
      </c>
      <c r="H1331" s="22">
        <v>0</v>
      </c>
    </row>
    <row r="1332" spans="6:8" ht="15.5" x14ac:dyDescent="0.35">
      <c r="F1332" s="20">
        <v>309870</v>
      </c>
      <c r="G1332" s="21" t="s">
        <v>1932</v>
      </c>
      <c r="H1332" s="22">
        <v>0</v>
      </c>
    </row>
    <row r="1333" spans="6:8" ht="15.5" x14ac:dyDescent="0.35">
      <c r="F1333" s="20">
        <v>316122</v>
      </c>
      <c r="G1333" s="21" t="s">
        <v>1933</v>
      </c>
      <c r="H1333" s="22">
        <v>0</v>
      </c>
    </row>
    <row r="1334" spans="6:8" ht="15.5" x14ac:dyDescent="0.35">
      <c r="F1334" s="20">
        <v>311407</v>
      </c>
      <c r="G1334" s="21" t="s">
        <v>1934</v>
      </c>
      <c r="H1334" s="22">
        <v>0</v>
      </c>
    </row>
    <row r="1335" spans="6:8" ht="15.5" x14ac:dyDescent="0.35">
      <c r="F1335" s="20">
        <v>315066</v>
      </c>
      <c r="G1335" s="21" t="s">
        <v>1935</v>
      </c>
      <c r="H1335" s="22">
        <v>0</v>
      </c>
    </row>
    <row r="1336" spans="6:8" ht="15.5" x14ac:dyDescent="0.35">
      <c r="F1336" s="20">
        <v>314433</v>
      </c>
      <c r="G1336" s="21" t="s">
        <v>1936</v>
      </c>
      <c r="H1336" s="22">
        <v>0</v>
      </c>
    </row>
    <row r="1337" spans="6:8" ht="15.5" x14ac:dyDescent="0.35">
      <c r="F1337" s="20">
        <v>90046186</v>
      </c>
      <c r="G1337" s="21" t="s">
        <v>1937</v>
      </c>
      <c r="H1337" s="22">
        <v>0</v>
      </c>
    </row>
    <row r="1338" spans="6:8" ht="15.5" x14ac:dyDescent="0.35">
      <c r="F1338" s="20">
        <v>315560</v>
      </c>
      <c r="G1338" s="21" t="s">
        <v>1938</v>
      </c>
      <c r="H1338" s="22">
        <v>0</v>
      </c>
    </row>
    <row r="1339" spans="6:8" ht="15.5" x14ac:dyDescent="0.35">
      <c r="F1339" s="20">
        <v>314268</v>
      </c>
      <c r="G1339" s="21" t="s">
        <v>1939</v>
      </c>
      <c r="H1339" s="22">
        <v>0</v>
      </c>
    </row>
    <row r="1340" spans="6:8" ht="15.5" x14ac:dyDescent="0.35">
      <c r="F1340" s="20">
        <v>309110</v>
      </c>
      <c r="G1340" s="21" t="s">
        <v>1940</v>
      </c>
      <c r="H1340" s="22">
        <v>0</v>
      </c>
    </row>
    <row r="1341" spans="6:8" ht="15.5" x14ac:dyDescent="0.35">
      <c r="F1341" s="20">
        <v>309102</v>
      </c>
      <c r="G1341" s="21" t="s">
        <v>1941</v>
      </c>
      <c r="H1341" s="22">
        <v>0</v>
      </c>
    </row>
    <row r="1342" spans="6:8" ht="15.5" x14ac:dyDescent="0.35">
      <c r="F1342" s="20">
        <v>313034</v>
      </c>
      <c r="G1342" s="21" t="s">
        <v>1942</v>
      </c>
      <c r="H1342" s="22">
        <v>0</v>
      </c>
    </row>
    <row r="1343" spans="6:8" ht="15.5" x14ac:dyDescent="0.35">
      <c r="F1343" s="20">
        <v>315925</v>
      </c>
      <c r="G1343" s="21" t="s">
        <v>1943</v>
      </c>
      <c r="H1343" s="22">
        <v>0</v>
      </c>
    </row>
    <row r="1344" spans="6:8" ht="15.5" x14ac:dyDescent="0.35">
      <c r="F1344" s="20">
        <v>314989</v>
      </c>
      <c r="G1344" s="21" t="s">
        <v>1944</v>
      </c>
      <c r="H1344" s="22">
        <v>0</v>
      </c>
    </row>
    <row r="1345" spans="6:8" ht="15.5" x14ac:dyDescent="0.35">
      <c r="F1345" s="20">
        <v>90045911</v>
      </c>
      <c r="G1345" s="21" t="s">
        <v>1945</v>
      </c>
      <c r="H1345" s="22">
        <v>0</v>
      </c>
    </row>
    <row r="1346" spans="6:8" ht="15.5" x14ac:dyDescent="0.35">
      <c r="F1346" s="20">
        <v>315812</v>
      </c>
      <c r="G1346" s="21" t="s">
        <v>1946</v>
      </c>
      <c r="H1346" s="22">
        <v>0</v>
      </c>
    </row>
    <row r="1347" spans="6:8" ht="15.5" x14ac:dyDescent="0.35">
      <c r="F1347" s="20">
        <v>308461</v>
      </c>
      <c r="G1347" s="21" t="s">
        <v>1947</v>
      </c>
      <c r="H1347" s="22">
        <v>0</v>
      </c>
    </row>
    <row r="1348" spans="6:8" ht="15.5" x14ac:dyDescent="0.35">
      <c r="F1348" s="20">
        <v>315155</v>
      </c>
      <c r="G1348" s="21" t="s">
        <v>1948</v>
      </c>
      <c r="H1348" s="22">
        <v>0</v>
      </c>
    </row>
    <row r="1349" spans="6:8" ht="15.5" x14ac:dyDescent="0.35">
      <c r="F1349" s="20">
        <v>90040296</v>
      </c>
      <c r="G1349" s="21" t="s">
        <v>1949</v>
      </c>
      <c r="H1349" s="22">
        <v>0</v>
      </c>
    </row>
    <row r="1350" spans="6:8" ht="15.5" x14ac:dyDescent="0.35">
      <c r="F1350" s="20">
        <v>315011</v>
      </c>
      <c r="G1350" s="21" t="s">
        <v>1950</v>
      </c>
      <c r="H1350" s="22">
        <v>0</v>
      </c>
    </row>
    <row r="1351" spans="6:8" ht="15.5" x14ac:dyDescent="0.35">
      <c r="F1351" s="20">
        <v>313389</v>
      </c>
      <c r="G1351" s="21" t="s">
        <v>1951</v>
      </c>
      <c r="H1351" s="22">
        <v>0</v>
      </c>
    </row>
    <row r="1352" spans="6:8" ht="15.5" x14ac:dyDescent="0.35">
      <c r="F1352" s="20">
        <v>90039317</v>
      </c>
      <c r="G1352" s="21" t="s">
        <v>1952</v>
      </c>
      <c r="H1352" s="22">
        <v>0</v>
      </c>
    </row>
    <row r="1353" spans="6:8" ht="15.5" x14ac:dyDescent="0.35">
      <c r="F1353" s="20">
        <v>314490</v>
      </c>
      <c r="G1353" s="21" t="s">
        <v>1953</v>
      </c>
      <c r="H1353" s="22">
        <v>0</v>
      </c>
    </row>
    <row r="1354" spans="6:8" ht="15.5" x14ac:dyDescent="0.35">
      <c r="F1354" s="20">
        <v>316250</v>
      </c>
      <c r="G1354" s="21" t="s">
        <v>1954</v>
      </c>
      <c r="H1354" s="22">
        <v>0</v>
      </c>
    </row>
    <row r="1355" spans="6:8" ht="15.5" x14ac:dyDescent="0.35">
      <c r="F1355" s="20">
        <v>301059</v>
      </c>
      <c r="G1355" s="21" t="s">
        <v>1955</v>
      </c>
      <c r="H1355" s="22">
        <v>0</v>
      </c>
    </row>
    <row r="1356" spans="6:8" ht="15.5" x14ac:dyDescent="0.35">
      <c r="F1356" s="20">
        <v>314492</v>
      </c>
      <c r="G1356" s="21" t="s">
        <v>1956</v>
      </c>
      <c r="H1356" s="22">
        <v>0</v>
      </c>
    </row>
    <row r="1357" spans="6:8" ht="15.5" x14ac:dyDescent="0.35">
      <c r="F1357" s="20">
        <v>311662</v>
      </c>
      <c r="G1357" s="21" t="s">
        <v>1957</v>
      </c>
      <c r="H1357" s="22">
        <v>0</v>
      </c>
    </row>
    <row r="1358" spans="6:8" ht="15.5" x14ac:dyDescent="0.35">
      <c r="F1358" s="20">
        <v>308405</v>
      </c>
      <c r="G1358" s="21" t="s">
        <v>1958</v>
      </c>
      <c r="H1358" s="22">
        <v>0</v>
      </c>
    </row>
    <row r="1359" spans="6:8" ht="15.5" x14ac:dyDescent="0.35">
      <c r="F1359" s="20">
        <v>315983</v>
      </c>
      <c r="G1359" s="21" t="s">
        <v>1959</v>
      </c>
      <c r="H1359" s="22">
        <v>0</v>
      </c>
    </row>
    <row r="1360" spans="6:8" ht="15.5" x14ac:dyDescent="0.35">
      <c r="F1360" s="20">
        <v>316359</v>
      </c>
      <c r="G1360" s="21" t="s">
        <v>1960</v>
      </c>
      <c r="H1360" s="22">
        <v>0</v>
      </c>
    </row>
    <row r="1361" spans="6:8" ht="15.5" x14ac:dyDescent="0.35">
      <c r="F1361" s="20">
        <v>316423</v>
      </c>
      <c r="G1361" s="21" t="s">
        <v>1961</v>
      </c>
      <c r="H1361" s="22">
        <v>0</v>
      </c>
    </row>
    <row r="1362" spans="6:8" ht="15.5" x14ac:dyDescent="0.35">
      <c r="F1362" s="20">
        <v>314452</v>
      </c>
      <c r="G1362" s="21" t="s">
        <v>1962</v>
      </c>
      <c r="H1362" s="22">
        <v>0</v>
      </c>
    </row>
    <row r="1363" spans="6:8" ht="15.5" x14ac:dyDescent="0.35">
      <c r="F1363" s="20">
        <v>316056</v>
      </c>
      <c r="G1363" s="21" t="s">
        <v>1963</v>
      </c>
      <c r="H1363" s="22">
        <v>0</v>
      </c>
    </row>
    <row r="1364" spans="6:8" ht="15.5" x14ac:dyDescent="0.35">
      <c r="F1364" s="20">
        <v>313594</v>
      </c>
      <c r="G1364" s="21" t="s">
        <v>1964</v>
      </c>
      <c r="H1364" s="22">
        <v>0</v>
      </c>
    </row>
    <row r="1365" spans="6:8" ht="15.5" x14ac:dyDescent="0.35">
      <c r="F1365" s="20">
        <v>307279</v>
      </c>
      <c r="G1365" s="21" t="s">
        <v>1965</v>
      </c>
      <c r="H1365" s="22">
        <v>0</v>
      </c>
    </row>
    <row r="1366" spans="6:8" ht="15.5" x14ac:dyDescent="0.35">
      <c r="F1366" s="20">
        <v>90029257</v>
      </c>
      <c r="G1366" s="21" t="s">
        <v>1966</v>
      </c>
      <c r="H1366" s="22">
        <v>0</v>
      </c>
    </row>
    <row r="1367" spans="6:8" ht="15.5" x14ac:dyDescent="0.35">
      <c r="F1367" s="20">
        <v>315455</v>
      </c>
      <c r="G1367" s="21" t="s">
        <v>1967</v>
      </c>
      <c r="H1367" s="22">
        <v>0</v>
      </c>
    </row>
    <row r="1368" spans="6:8" ht="15.5" x14ac:dyDescent="0.35">
      <c r="F1368" s="20">
        <v>90039013</v>
      </c>
      <c r="G1368" s="21" t="s">
        <v>1968</v>
      </c>
      <c r="H1368" s="22">
        <v>0</v>
      </c>
    </row>
    <row r="1369" spans="6:8" ht="15.5" x14ac:dyDescent="0.35">
      <c r="F1369" s="20">
        <v>312318</v>
      </c>
      <c r="G1369" s="21" t="s">
        <v>1969</v>
      </c>
      <c r="H1369" s="22">
        <v>0</v>
      </c>
    </row>
    <row r="1370" spans="6:8" ht="15.5" x14ac:dyDescent="0.35">
      <c r="F1370" s="20">
        <v>314669</v>
      </c>
      <c r="G1370" s="21" t="s">
        <v>1970</v>
      </c>
      <c r="H1370" s="22">
        <v>0</v>
      </c>
    </row>
    <row r="1371" spans="6:8" ht="15.5" x14ac:dyDescent="0.35">
      <c r="F1371" s="20">
        <v>315231</v>
      </c>
      <c r="G1371" s="21" t="s">
        <v>1971</v>
      </c>
      <c r="H1371" s="22">
        <v>0</v>
      </c>
    </row>
    <row r="1372" spans="6:8" ht="15.5" x14ac:dyDescent="0.35">
      <c r="F1372" s="20">
        <v>311223</v>
      </c>
      <c r="G1372" s="21" t="s">
        <v>1972</v>
      </c>
      <c r="H1372" s="22">
        <v>0</v>
      </c>
    </row>
    <row r="1373" spans="6:8" ht="15.5" x14ac:dyDescent="0.35">
      <c r="F1373" s="20">
        <v>313343</v>
      </c>
      <c r="G1373" s="21" t="s">
        <v>1973</v>
      </c>
      <c r="H1373" s="22">
        <v>0</v>
      </c>
    </row>
    <row r="1374" spans="6:8" ht="15.5" x14ac:dyDescent="0.35">
      <c r="F1374" s="20">
        <v>90046476</v>
      </c>
      <c r="G1374" s="21" t="s">
        <v>1974</v>
      </c>
      <c r="H1374" s="22">
        <v>0</v>
      </c>
    </row>
    <row r="1375" spans="6:8" ht="15.5" x14ac:dyDescent="0.35">
      <c r="F1375" s="20">
        <v>300401</v>
      </c>
      <c r="G1375" s="21" t="s">
        <v>1975</v>
      </c>
      <c r="H1375" s="22">
        <v>0</v>
      </c>
    </row>
    <row r="1376" spans="6:8" ht="15.5" x14ac:dyDescent="0.35">
      <c r="F1376" s="20">
        <v>314039</v>
      </c>
      <c r="G1376" s="21" t="s">
        <v>1976</v>
      </c>
      <c r="H1376" s="22">
        <v>0</v>
      </c>
    </row>
    <row r="1377" spans="6:8" ht="15.5" x14ac:dyDescent="0.35">
      <c r="F1377" s="20">
        <v>312848</v>
      </c>
      <c r="G1377" s="21" t="s">
        <v>1977</v>
      </c>
      <c r="H1377" s="22">
        <v>0</v>
      </c>
    </row>
    <row r="1378" spans="6:8" ht="15.5" x14ac:dyDescent="0.35">
      <c r="F1378" s="20">
        <v>315598</v>
      </c>
      <c r="G1378" s="21" t="s">
        <v>1978</v>
      </c>
      <c r="H1378" s="22">
        <v>0</v>
      </c>
    </row>
    <row r="1379" spans="6:8" ht="15.5" x14ac:dyDescent="0.35">
      <c r="F1379" s="20">
        <v>313617</v>
      </c>
      <c r="G1379" s="21" t="s">
        <v>1979</v>
      </c>
      <c r="H1379" s="22">
        <v>0</v>
      </c>
    </row>
    <row r="1380" spans="6:8" ht="15.5" x14ac:dyDescent="0.35">
      <c r="F1380" s="20">
        <v>314961</v>
      </c>
      <c r="G1380" s="21" t="s">
        <v>1980</v>
      </c>
      <c r="H1380" s="22">
        <v>0</v>
      </c>
    </row>
    <row r="1381" spans="6:8" ht="15.5" x14ac:dyDescent="0.35">
      <c r="F1381" s="20">
        <v>314663</v>
      </c>
      <c r="G1381" s="21" t="s">
        <v>1981</v>
      </c>
      <c r="H1381" s="22">
        <v>0</v>
      </c>
    </row>
    <row r="1382" spans="6:8" ht="15.5" x14ac:dyDescent="0.35">
      <c r="F1382" s="20">
        <v>300919</v>
      </c>
      <c r="G1382" s="21" t="s">
        <v>1982</v>
      </c>
      <c r="H1382" s="22">
        <v>0</v>
      </c>
    </row>
    <row r="1383" spans="6:8" ht="15.5" x14ac:dyDescent="0.35">
      <c r="F1383" s="20">
        <v>312615</v>
      </c>
      <c r="G1383" s="21" t="s">
        <v>1983</v>
      </c>
      <c r="H1383" s="22">
        <v>0</v>
      </c>
    </row>
    <row r="1384" spans="6:8" ht="15.5" x14ac:dyDescent="0.35">
      <c r="F1384" s="20">
        <v>316278</v>
      </c>
      <c r="G1384" s="21" t="s">
        <v>1984</v>
      </c>
      <c r="H1384" s="22">
        <v>0</v>
      </c>
    </row>
    <row r="1385" spans="6:8" ht="15.5" x14ac:dyDescent="0.35">
      <c r="F1385" s="20">
        <v>313044</v>
      </c>
      <c r="G1385" s="21" t="s">
        <v>1985</v>
      </c>
      <c r="H1385" s="22">
        <v>0</v>
      </c>
    </row>
    <row r="1386" spans="6:8" ht="15.5" x14ac:dyDescent="0.35">
      <c r="F1386" s="20">
        <v>315586</v>
      </c>
      <c r="G1386" s="21" t="s">
        <v>1986</v>
      </c>
      <c r="H1386" s="22">
        <v>0</v>
      </c>
    </row>
    <row r="1387" spans="6:8" ht="15.5" x14ac:dyDescent="0.35">
      <c r="F1387" s="20">
        <v>313262</v>
      </c>
      <c r="G1387" s="21" t="s">
        <v>1987</v>
      </c>
      <c r="H1387" s="22">
        <v>0</v>
      </c>
    </row>
    <row r="1388" spans="6:8" ht="15.5" x14ac:dyDescent="0.35">
      <c r="F1388" s="20">
        <v>314756</v>
      </c>
      <c r="G1388" s="21" t="s">
        <v>1988</v>
      </c>
      <c r="H1388" s="22">
        <v>0</v>
      </c>
    </row>
    <row r="1389" spans="6:8" ht="15.5" x14ac:dyDescent="0.35">
      <c r="F1389" s="20">
        <v>314665</v>
      </c>
      <c r="G1389" s="21" t="s">
        <v>1989</v>
      </c>
      <c r="H1389" s="22">
        <v>0</v>
      </c>
    </row>
    <row r="1390" spans="6:8" ht="15.5" x14ac:dyDescent="0.35">
      <c r="F1390" s="20">
        <v>313540</v>
      </c>
      <c r="G1390" s="21" t="s">
        <v>1990</v>
      </c>
      <c r="H1390" s="22">
        <v>0</v>
      </c>
    </row>
    <row r="1391" spans="6:8" ht="15.5" x14ac:dyDescent="0.35">
      <c r="F1391" s="20">
        <v>312858</v>
      </c>
      <c r="G1391" s="21" t="s">
        <v>1991</v>
      </c>
      <c r="H1391" s="22">
        <v>0</v>
      </c>
    </row>
    <row r="1392" spans="6:8" ht="15.5" x14ac:dyDescent="0.35">
      <c r="F1392" s="20">
        <v>314906</v>
      </c>
      <c r="G1392" s="21" t="s">
        <v>1992</v>
      </c>
      <c r="H1392" s="22">
        <v>0</v>
      </c>
    </row>
    <row r="1393" spans="6:8" ht="15.5" x14ac:dyDescent="0.35">
      <c r="F1393" s="20">
        <v>312485</v>
      </c>
      <c r="G1393" s="21" t="s">
        <v>1993</v>
      </c>
      <c r="H1393" s="22">
        <v>0</v>
      </c>
    </row>
    <row r="1394" spans="6:8" ht="15.5" x14ac:dyDescent="0.35">
      <c r="F1394" s="20">
        <v>316120</v>
      </c>
      <c r="G1394" s="21" t="s">
        <v>1994</v>
      </c>
      <c r="H1394" s="22">
        <v>0</v>
      </c>
    </row>
    <row r="1395" spans="6:8" ht="15.5" x14ac:dyDescent="0.35">
      <c r="F1395" s="20">
        <v>315275</v>
      </c>
      <c r="G1395" s="21" t="s">
        <v>1995</v>
      </c>
      <c r="H1395" s="22">
        <v>0</v>
      </c>
    </row>
    <row r="1396" spans="6:8" ht="15.5" x14ac:dyDescent="0.35">
      <c r="F1396" s="20">
        <v>314557</v>
      </c>
      <c r="G1396" s="21" t="s">
        <v>1996</v>
      </c>
      <c r="H1396" s="22">
        <v>0</v>
      </c>
    </row>
    <row r="1397" spans="6:8" ht="15.5" x14ac:dyDescent="0.35">
      <c r="F1397" s="20">
        <v>315575</v>
      </c>
      <c r="G1397" s="21" t="s">
        <v>1997</v>
      </c>
      <c r="H1397" s="22">
        <v>0</v>
      </c>
    </row>
    <row r="1398" spans="6:8" ht="15.5" x14ac:dyDescent="0.35">
      <c r="F1398" s="20">
        <v>313604</v>
      </c>
      <c r="G1398" s="21" t="s">
        <v>1998</v>
      </c>
      <c r="H1398" s="22">
        <v>0</v>
      </c>
    </row>
    <row r="1399" spans="6:8" ht="15.5" x14ac:dyDescent="0.35">
      <c r="F1399" s="20">
        <v>315600</v>
      </c>
      <c r="G1399" s="21" t="s">
        <v>1999</v>
      </c>
      <c r="H1399" s="22">
        <v>0</v>
      </c>
    </row>
    <row r="1400" spans="6:8" ht="15.5" x14ac:dyDescent="0.35">
      <c r="F1400" s="20">
        <v>316092</v>
      </c>
      <c r="G1400" s="21" t="s">
        <v>2000</v>
      </c>
      <c r="H1400" s="22">
        <v>0</v>
      </c>
    </row>
    <row r="1401" spans="6:8" ht="15.5" x14ac:dyDescent="0.35">
      <c r="F1401" s="20">
        <v>306242</v>
      </c>
      <c r="G1401" s="21" t="s">
        <v>2001</v>
      </c>
      <c r="H1401" s="22">
        <v>0</v>
      </c>
    </row>
    <row r="1402" spans="6:8" ht="15.5" x14ac:dyDescent="0.35">
      <c r="F1402" s="20">
        <v>310693</v>
      </c>
      <c r="G1402" s="21" t="s">
        <v>2002</v>
      </c>
      <c r="H1402" s="22">
        <v>0</v>
      </c>
    </row>
    <row r="1403" spans="6:8" ht="15.5" x14ac:dyDescent="0.35">
      <c r="F1403" s="20">
        <v>302559</v>
      </c>
      <c r="G1403" s="21" t="s">
        <v>2003</v>
      </c>
      <c r="H1403" s="22">
        <v>0</v>
      </c>
    </row>
    <row r="1404" spans="6:8" ht="15.5" x14ac:dyDescent="0.35">
      <c r="F1404" s="20">
        <v>90048808</v>
      </c>
      <c r="G1404" s="21" t="s">
        <v>2004</v>
      </c>
      <c r="H1404" s="22">
        <v>0</v>
      </c>
    </row>
    <row r="1405" spans="6:8" ht="15.5" x14ac:dyDescent="0.35">
      <c r="F1405" s="20">
        <v>314740</v>
      </c>
      <c r="G1405" s="21" t="s">
        <v>2005</v>
      </c>
      <c r="H1405" s="22">
        <v>0</v>
      </c>
    </row>
    <row r="1406" spans="6:8" ht="15.5" x14ac:dyDescent="0.35">
      <c r="F1406" s="20">
        <v>308266</v>
      </c>
      <c r="G1406" s="21" t="s">
        <v>2006</v>
      </c>
      <c r="H1406" s="22">
        <v>0</v>
      </c>
    </row>
    <row r="1407" spans="6:8" ht="15.5" x14ac:dyDescent="0.35">
      <c r="F1407" s="20">
        <v>90035163</v>
      </c>
      <c r="G1407" s="21" t="s">
        <v>2007</v>
      </c>
      <c r="H1407" s="22">
        <v>0</v>
      </c>
    </row>
    <row r="1408" spans="6:8" ht="15.5" x14ac:dyDescent="0.35">
      <c r="F1408" s="20">
        <v>311388</v>
      </c>
      <c r="G1408" s="21" t="s">
        <v>2008</v>
      </c>
      <c r="H1408" s="22">
        <v>0</v>
      </c>
    </row>
    <row r="1409" spans="6:8" ht="15.5" x14ac:dyDescent="0.35">
      <c r="F1409" s="20">
        <v>304232</v>
      </c>
      <c r="G1409" s="21" t="s">
        <v>2009</v>
      </c>
      <c r="H1409" s="22">
        <v>0</v>
      </c>
    </row>
    <row r="1410" spans="6:8" ht="15.5" x14ac:dyDescent="0.35">
      <c r="F1410" s="20">
        <v>315192</v>
      </c>
      <c r="G1410" s="21" t="s">
        <v>2010</v>
      </c>
      <c r="H1410" s="22">
        <v>0</v>
      </c>
    </row>
    <row r="1411" spans="6:8" ht="15.5" x14ac:dyDescent="0.35">
      <c r="F1411" s="20">
        <v>313493</v>
      </c>
      <c r="G1411" s="21" t="s">
        <v>2011</v>
      </c>
      <c r="H1411" s="22">
        <v>0</v>
      </c>
    </row>
    <row r="1412" spans="6:8" ht="15.5" x14ac:dyDescent="0.35">
      <c r="F1412" s="20">
        <v>90038605</v>
      </c>
      <c r="G1412" s="21" t="s">
        <v>2012</v>
      </c>
      <c r="H1412" s="22">
        <v>0</v>
      </c>
    </row>
    <row r="1413" spans="6:8" ht="15.5" x14ac:dyDescent="0.35">
      <c r="F1413" s="20">
        <v>90028292</v>
      </c>
      <c r="G1413" s="21" t="s">
        <v>2013</v>
      </c>
      <c r="H1413" s="22">
        <v>0</v>
      </c>
    </row>
    <row r="1414" spans="6:8" ht="15.5" x14ac:dyDescent="0.35">
      <c r="F1414" s="20">
        <v>314194</v>
      </c>
      <c r="G1414" s="21" t="s">
        <v>2014</v>
      </c>
      <c r="H1414" s="22">
        <v>0</v>
      </c>
    </row>
    <row r="1415" spans="6:8" ht="15.5" x14ac:dyDescent="0.35">
      <c r="F1415" s="20">
        <v>90016466</v>
      </c>
      <c r="G1415" s="21" t="s">
        <v>2015</v>
      </c>
      <c r="H1415" s="22">
        <v>0</v>
      </c>
    </row>
    <row r="1416" spans="6:8" ht="15.5" x14ac:dyDescent="0.35">
      <c r="F1416" s="20">
        <v>308411</v>
      </c>
      <c r="G1416" s="21" t="s">
        <v>2016</v>
      </c>
      <c r="H1416" s="22">
        <v>0</v>
      </c>
    </row>
    <row r="1417" spans="6:8" ht="15.5" x14ac:dyDescent="0.35">
      <c r="F1417" s="20">
        <v>315697</v>
      </c>
      <c r="G1417" s="21" t="s">
        <v>2017</v>
      </c>
      <c r="H1417" s="22">
        <v>0</v>
      </c>
    </row>
    <row r="1418" spans="6:8" ht="15.5" x14ac:dyDescent="0.35">
      <c r="F1418" s="20">
        <v>313225</v>
      </c>
      <c r="G1418" s="21" t="s">
        <v>2018</v>
      </c>
      <c r="H1418" s="22">
        <v>0</v>
      </c>
    </row>
    <row r="1419" spans="6:8" ht="15.5" x14ac:dyDescent="0.35">
      <c r="F1419" s="20">
        <v>311553</v>
      </c>
      <c r="G1419" s="21" t="s">
        <v>2019</v>
      </c>
      <c r="H1419" s="22">
        <v>0</v>
      </c>
    </row>
    <row r="1420" spans="6:8" ht="15.5" x14ac:dyDescent="0.35">
      <c r="F1420" s="20">
        <v>302674</v>
      </c>
      <c r="G1420" s="21" t="s">
        <v>2020</v>
      </c>
      <c r="H1420" s="22">
        <v>0</v>
      </c>
    </row>
    <row r="1421" spans="6:8" ht="15.5" x14ac:dyDescent="0.35">
      <c r="F1421" s="20">
        <v>312029</v>
      </c>
      <c r="G1421" s="21" t="s">
        <v>2021</v>
      </c>
      <c r="H1421" s="22">
        <v>0</v>
      </c>
    </row>
    <row r="1422" spans="6:8" ht="15.5" x14ac:dyDescent="0.35">
      <c r="F1422" s="20">
        <v>311573</v>
      </c>
      <c r="G1422" s="21" t="s">
        <v>2022</v>
      </c>
      <c r="H1422" s="22">
        <v>0</v>
      </c>
    </row>
    <row r="1423" spans="6:8" ht="15.5" x14ac:dyDescent="0.35">
      <c r="F1423" s="20">
        <v>315966</v>
      </c>
      <c r="G1423" s="21" t="s">
        <v>2023</v>
      </c>
      <c r="H1423" s="22">
        <v>0</v>
      </c>
    </row>
    <row r="1424" spans="6:8" ht="15.5" x14ac:dyDescent="0.35">
      <c r="F1424" s="20">
        <v>313240</v>
      </c>
      <c r="G1424" s="21" t="s">
        <v>2024</v>
      </c>
      <c r="H1424" s="22">
        <v>0</v>
      </c>
    </row>
    <row r="1425" spans="6:8" ht="15.5" x14ac:dyDescent="0.35">
      <c r="F1425" s="20">
        <v>90040102</v>
      </c>
      <c r="G1425" s="21" t="s">
        <v>2025</v>
      </c>
      <c r="H1425" s="22">
        <v>0</v>
      </c>
    </row>
    <row r="1426" spans="6:8" ht="15.5" x14ac:dyDescent="0.35">
      <c r="F1426" s="20">
        <v>314954</v>
      </c>
      <c r="G1426" s="21" t="s">
        <v>2026</v>
      </c>
      <c r="H1426" s="22">
        <v>0</v>
      </c>
    </row>
    <row r="1427" spans="6:8" ht="15.5" x14ac:dyDescent="0.35">
      <c r="F1427" s="20">
        <v>305618</v>
      </c>
      <c r="G1427" s="21" t="s">
        <v>2027</v>
      </c>
      <c r="H1427" s="22">
        <v>0</v>
      </c>
    </row>
    <row r="1428" spans="6:8" ht="15.5" x14ac:dyDescent="0.35">
      <c r="F1428" s="20">
        <v>308561</v>
      </c>
      <c r="G1428" s="21" t="s">
        <v>2028</v>
      </c>
      <c r="H1428" s="22">
        <v>0</v>
      </c>
    </row>
    <row r="1429" spans="6:8" ht="15.5" x14ac:dyDescent="0.35">
      <c r="F1429" s="20">
        <v>313722</v>
      </c>
      <c r="G1429" s="21" t="s">
        <v>2029</v>
      </c>
      <c r="H1429" s="22">
        <v>0</v>
      </c>
    </row>
    <row r="1430" spans="6:8" ht="15.5" x14ac:dyDescent="0.35">
      <c r="F1430" s="20">
        <v>315110</v>
      </c>
      <c r="G1430" s="21" t="s">
        <v>2030</v>
      </c>
      <c r="H1430" s="22">
        <v>0</v>
      </c>
    </row>
    <row r="1431" spans="6:8" ht="15.5" x14ac:dyDescent="0.35">
      <c r="F1431" s="20">
        <v>315306</v>
      </c>
      <c r="G1431" s="21" t="s">
        <v>2031</v>
      </c>
      <c r="H1431" s="22">
        <v>0</v>
      </c>
    </row>
    <row r="1432" spans="6:8" ht="15.5" x14ac:dyDescent="0.35">
      <c r="F1432" s="20">
        <v>311616</v>
      </c>
      <c r="G1432" s="21" t="s">
        <v>2032</v>
      </c>
      <c r="H1432" s="22">
        <v>0</v>
      </c>
    </row>
    <row r="1433" spans="6:8" ht="15.5" x14ac:dyDescent="0.35">
      <c r="F1433" s="20">
        <v>316198</v>
      </c>
      <c r="G1433" s="21" t="s">
        <v>2033</v>
      </c>
      <c r="H1433" s="22">
        <v>0</v>
      </c>
    </row>
    <row r="1434" spans="6:8" ht="15.5" x14ac:dyDescent="0.35">
      <c r="F1434" s="20">
        <v>316312</v>
      </c>
      <c r="G1434" s="21" t="s">
        <v>2034</v>
      </c>
      <c r="H1434" s="22">
        <v>0</v>
      </c>
    </row>
    <row r="1435" spans="6:8" ht="15.5" x14ac:dyDescent="0.35">
      <c r="F1435" s="20">
        <v>309014</v>
      </c>
      <c r="G1435" s="21" t="s">
        <v>2035</v>
      </c>
      <c r="H1435" s="22">
        <v>0</v>
      </c>
    </row>
    <row r="1436" spans="6:8" ht="15.5" x14ac:dyDescent="0.35">
      <c r="F1436" s="20">
        <v>314217</v>
      </c>
      <c r="G1436" s="21" t="s">
        <v>2036</v>
      </c>
      <c r="H1436" s="22">
        <v>0</v>
      </c>
    </row>
    <row r="1437" spans="6:8" ht="15.5" x14ac:dyDescent="0.35">
      <c r="F1437" s="20">
        <v>315274</v>
      </c>
      <c r="G1437" s="21" t="s">
        <v>2037</v>
      </c>
      <c r="H1437" s="22">
        <v>0</v>
      </c>
    </row>
    <row r="1438" spans="6:8" ht="15.5" x14ac:dyDescent="0.35">
      <c r="F1438" s="20">
        <v>308426</v>
      </c>
      <c r="G1438" s="21" t="s">
        <v>2038</v>
      </c>
      <c r="H1438" s="22">
        <v>0</v>
      </c>
    </row>
    <row r="1439" spans="6:8" ht="15.5" x14ac:dyDescent="0.35">
      <c r="F1439" s="20">
        <v>311722</v>
      </c>
      <c r="G1439" s="21" t="s">
        <v>2039</v>
      </c>
      <c r="H1439" s="22">
        <v>0</v>
      </c>
    </row>
    <row r="1440" spans="6:8" ht="15.5" x14ac:dyDescent="0.35">
      <c r="F1440" s="20">
        <v>308244</v>
      </c>
      <c r="G1440" s="21" t="s">
        <v>2040</v>
      </c>
      <c r="H1440" s="22">
        <v>0</v>
      </c>
    </row>
    <row r="1441" spans="6:8" ht="15.5" x14ac:dyDescent="0.35">
      <c r="F1441" s="20">
        <v>313022</v>
      </c>
      <c r="G1441" s="21" t="s">
        <v>2041</v>
      </c>
      <c r="H1441" s="22">
        <v>0</v>
      </c>
    </row>
    <row r="1442" spans="6:8" ht="15.5" x14ac:dyDescent="0.35">
      <c r="F1442" s="20">
        <v>312215</v>
      </c>
      <c r="G1442" s="21" t="s">
        <v>2042</v>
      </c>
      <c r="H1442" s="22">
        <v>0</v>
      </c>
    </row>
    <row r="1443" spans="6:8" ht="15.5" x14ac:dyDescent="0.35">
      <c r="F1443" s="20">
        <v>301583</v>
      </c>
      <c r="G1443" s="21" t="s">
        <v>2043</v>
      </c>
      <c r="H1443" s="22">
        <v>0</v>
      </c>
    </row>
    <row r="1444" spans="6:8" ht="15.5" x14ac:dyDescent="0.35">
      <c r="F1444" s="20">
        <v>315147</v>
      </c>
      <c r="G1444" s="21" t="s">
        <v>2044</v>
      </c>
      <c r="H1444" s="22">
        <v>0</v>
      </c>
    </row>
    <row r="1445" spans="6:8" ht="15.5" x14ac:dyDescent="0.35">
      <c r="F1445" s="20">
        <v>313918</v>
      </c>
      <c r="G1445" s="21" t="s">
        <v>2045</v>
      </c>
      <c r="H1445" s="22">
        <v>0</v>
      </c>
    </row>
    <row r="1446" spans="6:8" ht="15.5" x14ac:dyDescent="0.35">
      <c r="F1446" s="20">
        <v>90009403</v>
      </c>
      <c r="G1446" s="21" t="s">
        <v>2046</v>
      </c>
      <c r="H1446" s="22">
        <v>0</v>
      </c>
    </row>
    <row r="1447" spans="6:8" ht="15.5" x14ac:dyDescent="0.35">
      <c r="F1447" s="20">
        <v>316098</v>
      </c>
      <c r="G1447" s="21" t="s">
        <v>2047</v>
      </c>
      <c r="H1447" s="22">
        <v>0</v>
      </c>
    </row>
    <row r="1448" spans="6:8" ht="15.5" x14ac:dyDescent="0.35">
      <c r="F1448" s="20">
        <v>315772</v>
      </c>
      <c r="G1448" s="21" t="s">
        <v>2048</v>
      </c>
      <c r="H1448" s="22">
        <v>0</v>
      </c>
    </row>
    <row r="1449" spans="6:8" ht="15.5" x14ac:dyDescent="0.35">
      <c r="F1449" s="20">
        <v>312403</v>
      </c>
      <c r="G1449" s="21" t="s">
        <v>2049</v>
      </c>
      <c r="H1449" s="22">
        <v>0</v>
      </c>
    </row>
    <row r="1450" spans="6:8" ht="15.5" x14ac:dyDescent="0.35">
      <c r="F1450" s="20">
        <v>304664</v>
      </c>
      <c r="G1450" s="21" t="s">
        <v>2050</v>
      </c>
      <c r="H1450" s="22">
        <v>0</v>
      </c>
    </row>
    <row r="1451" spans="6:8" ht="15.5" x14ac:dyDescent="0.35">
      <c r="F1451" s="20">
        <v>90048506</v>
      </c>
      <c r="G1451" s="21" t="s">
        <v>2051</v>
      </c>
      <c r="H1451" s="22">
        <v>0</v>
      </c>
    </row>
    <row r="1452" spans="6:8" ht="15.5" x14ac:dyDescent="0.35">
      <c r="F1452" s="20">
        <v>90029106</v>
      </c>
      <c r="G1452" s="21" t="s">
        <v>2052</v>
      </c>
      <c r="H1452" s="22">
        <v>0</v>
      </c>
    </row>
    <row r="1453" spans="6:8" ht="15.5" x14ac:dyDescent="0.35">
      <c r="F1453" s="20">
        <v>315490</v>
      </c>
      <c r="G1453" s="21" t="s">
        <v>2053</v>
      </c>
      <c r="H1453" s="22">
        <v>0</v>
      </c>
    </row>
    <row r="1454" spans="6:8" ht="15.5" x14ac:dyDescent="0.35">
      <c r="F1454" s="20">
        <v>315862</v>
      </c>
      <c r="G1454" s="21" t="s">
        <v>2054</v>
      </c>
      <c r="H1454" s="22">
        <v>0</v>
      </c>
    </row>
    <row r="1455" spans="6:8" ht="15.5" x14ac:dyDescent="0.35">
      <c r="F1455" s="20">
        <v>314673</v>
      </c>
      <c r="G1455" s="21" t="s">
        <v>2055</v>
      </c>
      <c r="H1455" s="22">
        <v>0</v>
      </c>
    </row>
    <row r="1456" spans="6:8" ht="15.5" x14ac:dyDescent="0.35">
      <c r="F1456" s="20">
        <v>313079</v>
      </c>
      <c r="G1456" s="21" t="s">
        <v>2056</v>
      </c>
      <c r="H1456" s="22">
        <v>0</v>
      </c>
    </row>
    <row r="1457" spans="6:8" ht="15.5" x14ac:dyDescent="0.35">
      <c r="F1457" s="20">
        <v>314464</v>
      </c>
      <c r="G1457" s="21" t="s">
        <v>2057</v>
      </c>
      <c r="H1457" s="22">
        <v>0</v>
      </c>
    </row>
    <row r="1458" spans="6:8" ht="15.5" x14ac:dyDescent="0.35">
      <c r="F1458" s="20">
        <v>314206</v>
      </c>
      <c r="G1458" s="21" t="s">
        <v>2058</v>
      </c>
      <c r="H1458" s="22">
        <v>0</v>
      </c>
    </row>
    <row r="1459" spans="6:8" ht="15.5" x14ac:dyDescent="0.35">
      <c r="F1459" s="20">
        <v>301374</v>
      </c>
      <c r="G1459" s="21" t="s">
        <v>2059</v>
      </c>
      <c r="H1459" s="22">
        <v>0</v>
      </c>
    </row>
    <row r="1460" spans="6:8" ht="15.5" x14ac:dyDescent="0.35">
      <c r="F1460" s="20">
        <v>314831</v>
      </c>
      <c r="G1460" s="21" t="s">
        <v>2060</v>
      </c>
      <c r="H1460" s="22">
        <v>0</v>
      </c>
    </row>
    <row r="1461" spans="6:8" ht="15.5" x14ac:dyDescent="0.35">
      <c r="F1461" s="20">
        <v>309789</v>
      </c>
      <c r="G1461" s="21" t="s">
        <v>2061</v>
      </c>
      <c r="H1461" s="22">
        <v>0</v>
      </c>
    </row>
    <row r="1462" spans="6:8" ht="15.5" x14ac:dyDescent="0.35">
      <c r="F1462" s="20">
        <v>90013944</v>
      </c>
      <c r="G1462" s="21" t="s">
        <v>2062</v>
      </c>
      <c r="H1462" s="22">
        <v>0</v>
      </c>
    </row>
    <row r="1463" spans="6:8" ht="15.5" x14ac:dyDescent="0.35">
      <c r="F1463" s="20">
        <v>316291</v>
      </c>
      <c r="G1463" s="21" t="s">
        <v>2063</v>
      </c>
      <c r="H1463" s="22">
        <v>0</v>
      </c>
    </row>
    <row r="1464" spans="6:8" ht="15.5" x14ac:dyDescent="0.35">
      <c r="F1464" s="20">
        <v>309957</v>
      </c>
      <c r="G1464" s="21" t="s">
        <v>2064</v>
      </c>
      <c r="H1464" s="22">
        <v>0</v>
      </c>
    </row>
    <row r="1465" spans="6:8" ht="15.5" x14ac:dyDescent="0.35">
      <c r="F1465" s="20">
        <v>310487</v>
      </c>
      <c r="G1465" s="21" t="s">
        <v>2065</v>
      </c>
      <c r="H1465" s="22">
        <v>0</v>
      </c>
    </row>
    <row r="1466" spans="6:8" ht="15.5" x14ac:dyDescent="0.35">
      <c r="F1466" s="20">
        <v>314444</v>
      </c>
      <c r="G1466" s="21" t="s">
        <v>2066</v>
      </c>
      <c r="H1466" s="22">
        <v>0</v>
      </c>
    </row>
    <row r="1467" spans="6:8" ht="15.5" x14ac:dyDescent="0.35">
      <c r="F1467" s="20">
        <v>305608</v>
      </c>
      <c r="G1467" s="21" t="s">
        <v>2067</v>
      </c>
      <c r="H1467" s="22">
        <v>0</v>
      </c>
    </row>
    <row r="1468" spans="6:8" ht="15.5" x14ac:dyDescent="0.35">
      <c r="F1468" s="20">
        <v>312982</v>
      </c>
      <c r="G1468" s="21" t="s">
        <v>2068</v>
      </c>
      <c r="H1468" s="22">
        <v>0</v>
      </c>
    </row>
    <row r="1469" spans="6:8" ht="15.5" x14ac:dyDescent="0.35">
      <c r="F1469" s="20">
        <v>90040566</v>
      </c>
      <c r="G1469" s="21" t="s">
        <v>2069</v>
      </c>
      <c r="H1469" s="22">
        <v>0</v>
      </c>
    </row>
    <row r="1470" spans="6:8" ht="15.5" x14ac:dyDescent="0.35">
      <c r="F1470" s="20">
        <v>314044</v>
      </c>
      <c r="G1470" s="21" t="s">
        <v>2070</v>
      </c>
      <c r="H1470" s="22">
        <v>0</v>
      </c>
    </row>
    <row r="1471" spans="6:8" ht="15.5" x14ac:dyDescent="0.35">
      <c r="F1471" s="20">
        <v>90012196</v>
      </c>
      <c r="G1471" s="21" t="s">
        <v>2071</v>
      </c>
      <c r="H1471" s="22">
        <v>0</v>
      </c>
    </row>
    <row r="1472" spans="6:8" ht="15.5" x14ac:dyDescent="0.35">
      <c r="F1472" s="20">
        <v>311039</v>
      </c>
      <c r="G1472" s="21" t="s">
        <v>2072</v>
      </c>
      <c r="H1472" s="22">
        <v>0</v>
      </c>
    </row>
    <row r="1473" spans="6:8" ht="15.5" x14ac:dyDescent="0.35">
      <c r="F1473" s="20">
        <v>90040298</v>
      </c>
      <c r="G1473" s="21" t="s">
        <v>2073</v>
      </c>
      <c r="H1473" s="22">
        <v>0</v>
      </c>
    </row>
    <row r="1474" spans="6:8" ht="15.5" x14ac:dyDescent="0.35">
      <c r="F1474" s="20">
        <v>309255</v>
      </c>
      <c r="G1474" s="21" t="s">
        <v>2074</v>
      </c>
      <c r="H1474" s="22">
        <v>0</v>
      </c>
    </row>
    <row r="1475" spans="6:8" ht="15.5" x14ac:dyDescent="0.35">
      <c r="F1475" s="20">
        <v>308909</v>
      </c>
      <c r="G1475" s="21" t="s">
        <v>2075</v>
      </c>
      <c r="H1475" s="22">
        <v>0</v>
      </c>
    </row>
    <row r="1476" spans="6:8" ht="15.5" x14ac:dyDescent="0.35">
      <c r="F1476" s="20">
        <v>90045960</v>
      </c>
      <c r="G1476" s="21" t="s">
        <v>2076</v>
      </c>
      <c r="H1476" s="22">
        <v>0</v>
      </c>
    </row>
    <row r="1477" spans="6:8" ht="15.5" x14ac:dyDescent="0.35">
      <c r="F1477" s="20">
        <v>90046220</v>
      </c>
      <c r="G1477" s="21" t="s">
        <v>2077</v>
      </c>
      <c r="H1477" s="22">
        <v>0</v>
      </c>
    </row>
    <row r="1478" spans="6:8" ht="15.5" x14ac:dyDescent="0.35">
      <c r="F1478" s="20">
        <v>314344</v>
      </c>
      <c r="G1478" s="21" t="s">
        <v>2078</v>
      </c>
      <c r="H1478" s="22">
        <v>0</v>
      </c>
    </row>
    <row r="1479" spans="6:8" ht="15.5" x14ac:dyDescent="0.35">
      <c r="F1479" s="20">
        <v>316124</v>
      </c>
      <c r="G1479" s="21" t="s">
        <v>2079</v>
      </c>
      <c r="H1479" s="22">
        <v>0</v>
      </c>
    </row>
    <row r="1480" spans="6:8" ht="15.5" x14ac:dyDescent="0.35">
      <c r="F1480" s="20">
        <v>308761</v>
      </c>
      <c r="G1480" s="21" t="s">
        <v>2080</v>
      </c>
      <c r="H1480" s="22">
        <v>0</v>
      </c>
    </row>
    <row r="1481" spans="6:8" ht="15.5" x14ac:dyDescent="0.35">
      <c r="F1481" s="20">
        <v>311930</v>
      </c>
      <c r="G1481" s="21" t="s">
        <v>2081</v>
      </c>
      <c r="H1481" s="22">
        <v>0</v>
      </c>
    </row>
    <row r="1482" spans="6:8" ht="15.5" x14ac:dyDescent="0.35">
      <c r="F1482" s="20">
        <v>314987</v>
      </c>
      <c r="G1482" s="21" t="s">
        <v>2082</v>
      </c>
      <c r="H1482" s="22">
        <v>0</v>
      </c>
    </row>
    <row r="1483" spans="6:8" ht="15.5" x14ac:dyDescent="0.35">
      <c r="F1483" s="20">
        <v>313018</v>
      </c>
      <c r="G1483" s="21" t="s">
        <v>2083</v>
      </c>
      <c r="H1483" s="22">
        <v>0</v>
      </c>
    </row>
    <row r="1484" spans="6:8" ht="15.5" x14ac:dyDescent="0.35">
      <c r="F1484" s="20">
        <v>312838</v>
      </c>
      <c r="G1484" s="21" t="s">
        <v>2084</v>
      </c>
      <c r="H1484" s="22">
        <v>0</v>
      </c>
    </row>
    <row r="1485" spans="6:8" ht="15.5" x14ac:dyDescent="0.35">
      <c r="F1485" s="20">
        <v>315314</v>
      </c>
      <c r="G1485" s="21" t="s">
        <v>2085</v>
      </c>
      <c r="H1485" s="22">
        <v>0</v>
      </c>
    </row>
    <row r="1486" spans="6:8" ht="15.5" x14ac:dyDescent="0.35">
      <c r="F1486" s="20">
        <v>305303</v>
      </c>
      <c r="G1486" s="21" t="s">
        <v>2086</v>
      </c>
      <c r="H1486" s="22">
        <v>0</v>
      </c>
    </row>
    <row r="1487" spans="6:8" ht="15.5" x14ac:dyDescent="0.35">
      <c r="F1487" s="20">
        <v>90009513</v>
      </c>
      <c r="G1487" s="21" t="s">
        <v>2087</v>
      </c>
      <c r="H1487" s="22">
        <v>0</v>
      </c>
    </row>
    <row r="1488" spans="6:8" ht="15.5" x14ac:dyDescent="0.35">
      <c r="F1488" s="20">
        <v>310764</v>
      </c>
      <c r="G1488" s="21" t="s">
        <v>2088</v>
      </c>
      <c r="H1488" s="22">
        <v>0</v>
      </c>
    </row>
    <row r="1489" spans="6:8" ht="15.5" x14ac:dyDescent="0.35">
      <c r="F1489" s="20">
        <v>312313</v>
      </c>
      <c r="G1489" s="21" t="s">
        <v>2089</v>
      </c>
      <c r="H1489" s="22">
        <v>0</v>
      </c>
    </row>
    <row r="1490" spans="6:8" ht="15.5" x14ac:dyDescent="0.35">
      <c r="F1490" s="20">
        <v>90046797</v>
      </c>
      <c r="G1490" s="21" t="s">
        <v>2090</v>
      </c>
      <c r="H1490" s="22">
        <v>0</v>
      </c>
    </row>
    <row r="1491" spans="6:8" ht="15.5" x14ac:dyDescent="0.35">
      <c r="F1491" s="20">
        <v>90048444</v>
      </c>
      <c r="G1491" s="21" t="s">
        <v>2091</v>
      </c>
      <c r="H1491" s="22">
        <v>0</v>
      </c>
    </row>
    <row r="1492" spans="6:8" ht="15.5" x14ac:dyDescent="0.35">
      <c r="F1492" s="20">
        <v>312966</v>
      </c>
      <c r="G1492" s="21" t="s">
        <v>2092</v>
      </c>
      <c r="H1492" s="22">
        <v>0</v>
      </c>
    </row>
    <row r="1493" spans="6:8" ht="15.5" x14ac:dyDescent="0.35">
      <c r="F1493" s="20">
        <v>314949</v>
      </c>
      <c r="G1493" s="21" t="s">
        <v>2093</v>
      </c>
      <c r="H1493" s="22">
        <v>0</v>
      </c>
    </row>
    <row r="1494" spans="6:8" ht="15.5" x14ac:dyDescent="0.35">
      <c r="F1494" s="20">
        <v>316192</v>
      </c>
      <c r="G1494" s="21" t="s">
        <v>2094</v>
      </c>
      <c r="H1494" s="22">
        <v>0</v>
      </c>
    </row>
    <row r="1495" spans="6:8" ht="15.5" x14ac:dyDescent="0.35">
      <c r="F1495" s="20">
        <v>307014</v>
      </c>
      <c r="G1495" s="21" t="s">
        <v>2095</v>
      </c>
      <c r="H1495" s="22">
        <v>0</v>
      </c>
    </row>
    <row r="1496" spans="6:8" ht="15.5" x14ac:dyDescent="0.35">
      <c r="F1496" s="20">
        <v>316427</v>
      </c>
      <c r="G1496" s="21" t="s">
        <v>2096</v>
      </c>
      <c r="H1496" s="22">
        <v>0</v>
      </c>
    </row>
    <row r="1497" spans="6:8" ht="15.5" x14ac:dyDescent="0.35">
      <c r="F1497" s="20">
        <v>90040677</v>
      </c>
      <c r="G1497" s="21" t="s">
        <v>2097</v>
      </c>
      <c r="H1497" s="22">
        <v>0</v>
      </c>
    </row>
    <row r="1498" spans="6:8" ht="15.5" x14ac:dyDescent="0.35">
      <c r="F1498" s="20">
        <v>315750</v>
      </c>
      <c r="G1498" s="21" t="s">
        <v>2098</v>
      </c>
      <c r="H1498" s="22">
        <v>0</v>
      </c>
    </row>
    <row r="1499" spans="6:8" ht="15.5" x14ac:dyDescent="0.35">
      <c r="F1499" s="20">
        <v>90012192</v>
      </c>
      <c r="G1499" s="21" t="s">
        <v>2099</v>
      </c>
      <c r="H1499" s="22">
        <v>0</v>
      </c>
    </row>
    <row r="1500" spans="6:8" ht="15.5" x14ac:dyDescent="0.35">
      <c r="F1500" s="20">
        <v>315062</v>
      </c>
      <c r="G1500" s="21" t="s">
        <v>2100</v>
      </c>
      <c r="H1500" s="22">
        <v>0</v>
      </c>
    </row>
    <row r="1501" spans="6:8" ht="15.5" x14ac:dyDescent="0.35">
      <c r="F1501" s="20">
        <v>313013</v>
      </c>
      <c r="G1501" s="21" t="s">
        <v>2101</v>
      </c>
      <c r="H1501" s="22">
        <v>0</v>
      </c>
    </row>
    <row r="1502" spans="6:8" ht="15.5" x14ac:dyDescent="0.35">
      <c r="F1502" s="20">
        <v>315177</v>
      </c>
      <c r="G1502" s="21" t="s">
        <v>2102</v>
      </c>
      <c r="H1502" s="22">
        <v>0</v>
      </c>
    </row>
    <row r="1503" spans="6:8" ht="15.5" x14ac:dyDescent="0.35">
      <c r="F1503" s="20">
        <v>314165</v>
      </c>
      <c r="G1503" s="21" t="s">
        <v>2103</v>
      </c>
      <c r="H1503" s="22">
        <v>0</v>
      </c>
    </row>
    <row r="1504" spans="6:8" ht="15.5" x14ac:dyDescent="0.35">
      <c r="F1504" s="20">
        <v>315986</v>
      </c>
      <c r="G1504" s="21" t="s">
        <v>2104</v>
      </c>
      <c r="H1504" s="22">
        <v>0</v>
      </c>
    </row>
    <row r="1505" spans="6:8" ht="15.5" x14ac:dyDescent="0.35">
      <c r="F1505" s="20">
        <v>314804</v>
      </c>
      <c r="G1505" s="21" t="s">
        <v>2105</v>
      </c>
      <c r="H1505" s="22">
        <v>0</v>
      </c>
    </row>
    <row r="1506" spans="6:8" ht="15.5" x14ac:dyDescent="0.35">
      <c r="F1506" s="20">
        <v>313433</v>
      </c>
      <c r="G1506" s="21" t="s">
        <v>2106</v>
      </c>
      <c r="H1506" s="22">
        <v>0</v>
      </c>
    </row>
    <row r="1507" spans="6:8" ht="15.5" x14ac:dyDescent="0.35">
      <c r="F1507" s="20">
        <v>90020251</v>
      </c>
      <c r="G1507" s="21" t="s">
        <v>2107</v>
      </c>
      <c r="H1507" s="22">
        <v>0</v>
      </c>
    </row>
    <row r="1508" spans="6:8" ht="15.5" x14ac:dyDescent="0.35">
      <c r="F1508" s="20">
        <v>314991</v>
      </c>
      <c r="G1508" s="21" t="s">
        <v>2108</v>
      </c>
      <c r="H1508" s="22">
        <v>0</v>
      </c>
    </row>
    <row r="1509" spans="6:8" ht="15.5" x14ac:dyDescent="0.35">
      <c r="F1509" s="20">
        <v>314026</v>
      </c>
      <c r="G1509" s="21" t="s">
        <v>2109</v>
      </c>
      <c r="H1509" s="22">
        <v>0</v>
      </c>
    </row>
    <row r="1510" spans="6:8" ht="15.5" x14ac:dyDescent="0.35">
      <c r="F1510" s="20">
        <v>315246</v>
      </c>
      <c r="G1510" s="21" t="s">
        <v>2110</v>
      </c>
      <c r="H1510" s="22">
        <v>0</v>
      </c>
    </row>
    <row r="1511" spans="6:8" ht="15.5" x14ac:dyDescent="0.35">
      <c r="F1511" s="20">
        <v>312218</v>
      </c>
      <c r="G1511" s="21" t="s">
        <v>2111</v>
      </c>
      <c r="H1511" s="22">
        <v>0</v>
      </c>
    </row>
    <row r="1512" spans="6:8" ht="15.5" x14ac:dyDescent="0.35">
      <c r="F1512" s="20">
        <v>316292</v>
      </c>
      <c r="G1512" s="21" t="s">
        <v>2112</v>
      </c>
      <c r="H1512" s="22">
        <v>0</v>
      </c>
    </row>
    <row r="1513" spans="6:8" ht="15.5" x14ac:dyDescent="0.35">
      <c r="F1513" s="20">
        <v>311369</v>
      </c>
      <c r="G1513" s="21" t="s">
        <v>2113</v>
      </c>
      <c r="H1513" s="22">
        <v>0</v>
      </c>
    </row>
    <row r="1514" spans="6:8" ht="15.5" x14ac:dyDescent="0.35">
      <c r="F1514" s="20">
        <v>314627</v>
      </c>
      <c r="G1514" s="21" t="s">
        <v>2114</v>
      </c>
      <c r="H1514" s="22">
        <v>0</v>
      </c>
    </row>
    <row r="1515" spans="6:8" ht="15.5" x14ac:dyDescent="0.35">
      <c r="F1515" s="20">
        <v>316157</v>
      </c>
      <c r="G1515" s="21" t="s">
        <v>2115</v>
      </c>
      <c r="H1515" s="22">
        <v>0</v>
      </c>
    </row>
    <row r="1516" spans="6:8" ht="15.5" x14ac:dyDescent="0.35">
      <c r="F1516" s="20">
        <v>311228</v>
      </c>
      <c r="G1516" s="21" t="s">
        <v>2116</v>
      </c>
      <c r="H1516" s="22">
        <v>0</v>
      </c>
    </row>
    <row r="1517" spans="6:8" ht="15.5" x14ac:dyDescent="0.35">
      <c r="F1517" s="20">
        <v>90034293</v>
      </c>
      <c r="G1517" s="21" t="s">
        <v>2117</v>
      </c>
      <c r="H1517" s="22">
        <v>0</v>
      </c>
    </row>
    <row r="1518" spans="6:8" ht="15.5" x14ac:dyDescent="0.35">
      <c r="F1518" s="20">
        <v>90051228</v>
      </c>
      <c r="G1518" s="21" t="s">
        <v>2118</v>
      </c>
      <c r="H1518" s="22">
        <v>0</v>
      </c>
    </row>
    <row r="1519" spans="6:8" ht="15.5" x14ac:dyDescent="0.35">
      <c r="F1519" s="20">
        <v>90045671</v>
      </c>
      <c r="G1519" s="21" t="s">
        <v>2119</v>
      </c>
      <c r="H1519" s="22">
        <v>0</v>
      </c>
    </row>
    <row r="1520" spans="6:8" ht="15.5" x14ac:dyDescent="0.35">
      <c r="F1520" s="20">
        <v>309148</v>
      </c>
      <c r="G1520" s="21" t="s">
        <v>2120</v>
      </c>
      <c r="H1520" s="22">
        <v>0</v>
      </c>
    </row>
    <row r="1521" spans="6:8" ht="15.5" x14ac:dyDescent="0.35">
      <c r="F1521" s="20">
        <v>90033850</v>
      </c>
      <c r="G1521" s="21" t="s">
        <v>2121</v>
      </c>
      <c r="H1521" s="22">
        <v>0</v>
      </c>
    </row>
    <row r="1522" spans="6:8" ht="15.5" x14ac:dyDescent="0.35">
      <c r="F1522" s="20">
        <v>303626</v>
      </c>
      <c r="G1522" s="21" t="s">
        <v>2122</v>
      </c>
      <c r="H1522" s="22">
        <v>0</v>
      </c>
    </row>
    <row r="1523" spans="6:8" ht="15.5" x14ac:dyDescent="0.35">
      <c r="F1523" s="20">
        <v>311643</v>
      </c>
      <c r="G1523" s="21" t="s">
        <v>2123</v>
      </c>
      <c r="H1523" s="22">
        <v>0</v>
      </c>
    </row>
    <row r="1524" spans="6:8" ht="15.5" x14ac:dyDescent="0.35">
      <c r="F1524" s="20">
        <v>311034</v>
      </c>
      <c r="G1524" s="21" t="s">
        <v>2124</v>
      </c>
      <c r="H1524" s="22">
        <v>0</v>
      </c>
    </row>
    <row r="1525" spans="6:8" ht="15.5" x14ac:dyDescent="0.35">
      <c r="F1525" s="20">
        <v>314011</v>
      </c>
      <c r="G1525" s="21" t="s">
        <v>2125</v>
      </c>
      <c r="H1525" s="22">
        <v>0</v>
      </c>
    </row>
    <row r="1526" spans="6:8" ht="15.5" x14ac:dyDescent="0.35">
      <c r="F1526" s="20">
        <v>307812</v>
      </c>
      <c r="G1526" s="21" t="s">
        <v>2126</v>
      </c>
      <c r="H1526" s="22">
        <v>0</v>
      </c>
    </row>
    <row r="1527" spans="6:8" ht="15.5" x14ac:dyDescent="0.35">
      <c r="F1527" s="20">
        <v>314743</v>
      </c>
      <c r="G1527" s="21" t="s">
        <v>2127</v>
      </c>
      <c r="H1527" s="22">
        <v>0</v>
      </c>
    </row>
    <row r="1528" spans="6:8" ht="15.5" x14ac:dyDescent="0.35">
      <c r="F1528" s="20">
        <v>316011</v>
      </c>
      <c r="G1528" s="21" t="s">
        <v>2128</v>
      </c>
      <c r="H1528" s="22">
        <v>0</v>
      </c>
    </row>
    <row r="1529" spans="6:8" ht="15.5" x14ac:dyDescent="0.35">
      <c r="F1529" s="20">
        <v>311639</v>
      </c>
      <c r="G1529" s="21" t="s">
        <v>2129</v>
      </c>
      <c r="H1529" s="22">
        <v>0</v>
      </c>
    </row>
    <row r="1530" spans="6:8" ht="15.5" x14ac:dyDescent="0.35">
      <c r="F1530" s="20">
        <v>310538</v>
      </c>
      <c r="G1530" s="21" t="s">
        <v>2130</v>
      </c>
      <c r="H1530" s="22">
        <v>0</v>
      </c>
    </row>
    <row r="1531" spans="6:8" ht="15.5" x14ac:dyDescent="0.35">
      <c r="F1531" s="20">
        <v>311932</v>
      </c>
      <c r="G1531" s="21" t="s">
        <v>2131</v>
      </c>
      <c r="H1531" s="22">
        <v>0</v>
      </c>
    </row>
    <row r="1532" spans="6:8" ht="15.5" x14ac:dyDescent="0.35">
      <c r="F1532" s="20">
        <v>308269</v>
      </c>
      <c r="G1532" s="21" t="s">
        <v>2132</v>
      </c>
      <c r="H1532" s="22">
        <v>0</v>
      </c>
    </row>
    <row r="1533" spans="6:8" ht="15.5" x14ac:dyDescent="0.35">
      <c r="F1533" s="20">
        <v>314355</v>
      </c>
      <c r="G1533" s="21" t="s">
        <v>2133</v>
      </c>
      <c r="H1533" s="22">
        <v>0</v>
      </c>
    </row>
    <row r="1534" spans="6:8" ht="15.5" x14ac:dyDescent="0.35">
      <c r="F1534" s="20">
        <v>313566</v>
      </c>
      <c r="G1534" s="21" t="s">
        <v>2134</v>
      </c>
      <c r="H1534" s="22">
        <v>0</v>
      </c>
    </row>
    <row r="1535" spans="6:8" ht="15.5" x14ac:dyDescent="0.35">
      <c r="F1535" s="20">
        <v>316054</v>
      </c>
      <c r="G1535" s="21" t="s">
        <v>2135</v>
      </c>
      <c r="H1535" s="22">
        <v>0</v>
      </c>
    </row>
    <row r="1536" spans="6:8" ht="15.5" x14ac:dyDescent="0.35">
      <c r="F1536" s="20">
        <v>313520</v>
      </c>
      <c r="G1536" s="21" t="s">
        <v>2136</v>
      </c>
      <c r="H1536" s="22">
        <v>0</v>
      </c>
    </row>
    <row r="1537" spans="6:8" ht="15.5" x14ac:dyDescent="0.35">
      <c r="F1537" s="20">
        <v>312178</v>
      </c>
      <c r="G1537" s="21" t="s">
        <v>2137</v>
      </c>
      <c r="H1537" s="22">
        <v>0</v>
      </c>
    </row>
    <row r="1538" spans="6:8" ht="15.5" x14ac:dyDescent="0.35">
      <c r="F1538" s="20">
        <v>90012312</v>
      </c>
      <c r="G1538" s="21" t="s">
        <v>2138</v>
      </c>
      <c r="H1538" s="22">
        <v>0</v>
      </c>
    </row>
    <row r="1539" spans="6:8" ht="15.5" x14ac:dyDescent="0.35">
      <c r="F1539" s="20">
        <v>305666</v>
      </c>
      <c r="G1539" s="21" t="s">
        <v>2139</v>
      </c>
      <c r="H1539" s="22">
        <v>0</v>
      </c>
    </row>
    <row r="1540" spans="6:8" ht="15.5" x14ac:dyDescent="0.35">
      <c r="F1540" s="20">
        <v>314754</v>
      </c>
      <c r="G1540" s="21" t="s">
        <v>2140</v>
      </c>
      <c r="H1540" s="22">
        <v>0</v>
      </c>
    </row>
    <row r="1541" spans="6:8" ht="15.5" x14ac:dyDescent="0.35">
      <c r="F1541" s="20">
        <v>314051</v>
      </c>
      <c r="G1541" s="21" t="s">
        <v>2141</v>
      </c>
      <c r="H1541" s="22">
        <v>0</v>
      </c>
    </row>
    <row r="1542" spans="6:8" ht="15.5" x14ac:dyDescent="0.35">
      <c r="F1542" s="20">
        <v>313302</v>
      </c>
      <c r="G1542" s="21" t="s">
        <v>2142</v>
      </c>
      <c r="H1542" s="22">
        <v>0</v>
      </c>
    </row>
    <row r="1543" spans="6:8" ht="15.5" x14ac:dyDescent="0.35">
      <c r="F1543" s="20">
        <v>314218</v>
      </c>
      <c r="G1543" s="21" t="s">
        <v>2143</v>
      </c>
      <c r="H1543" s="22">
        <v>0</v>
      </c>
    </row>
    <row r="1544" spans="6:8" ht="15.5" x14ac:dyDescent="0.35">
      <c r="F1544" s="20">
        <v>305285</v>
      </c>
      <c r="G1544" s="21" t="s">
        <v>2144</v>
      </c>
      <c r="H1544" s="22">
        <v>0</v>
      </c>
    </row>
    <row r="1545" spans="6:8" ht="15.5" x14ac:dyDescent="0.35">
      <c r="F1545" s="20">
        <v>309753</v>
      </c>
      <c r="G1545" s="21" t="s">
        <v>2145</v>
      </c>
      <c r="H1545" s="22">
        <v>0</v>
      </c>
    </row>
    <row r="1546" spans="6:8" ht="15.5" x14ac:dyDescent="0.35">
      <c r="F1546" s="20">
        <v>312174</v>
      </c>
      <c r="G1546" s="21" t="s">
        <v>2146</v>
      </c>
      <c r="H1546" s="22">
        <v>0</v>
      </c>
    </row>
    <row r="1547" spans="6:8" ht="15.5" x14ac:dyDescent="0.35">
      <c r="F1547" s="20">
        <v>310926</v>
      </c>
      <c r="G1547" s="21" t="s">
        <v>2147</v>
      </c>
      <c r="H1547" s="22">
        <v>0</v>
      </c>
    </row>
    <row r="1548" spans="6:8" ht="15.5" x14ac:dyDescent="0.35">
      <c r="F1548" s="20">
        <v>315095</v>
      </c>
      <c r="G1548" s="21" t="s">
        <v>2148</v>
      </c>
      <c r="H1548" s="22">
        <v>0</v>
      </c>
    </row>
    <row r="1549" spans="6:8" ht="15.5" x14ac:dyDescent="0.35">
      <c r="F1549" s="20">
        <v>313601</v>
      </c>
      <c r="G1549" s="21" t="s">
        <v>2149</v>
      </c>
      <c r="H1549" s="22">
        <v>0</v>
      </c>
    </row>
    <row r="1550" spans="6:8" ht="15.5" x14ac:dyDescent="0.35">
      <c r="F1550" s="20">
        <v>90041204</v>
      </c>
      <c r="G1550" s="21" t="s">
        <v>2150</v>
      </c>
      <c r="H1550" s="22">
        <v>0</v>
      </c>
    </row>
    <row r="1551" spans="6:8" ht="15.5" x14ac:dyDescent="0.35">
      <c r="F1551" s="20">
        <v>315640</v>
      </c>
      <c r="G1551" s="21" t="s">
        <v>2151</v>
      </c>
      <c r="H1551" s="22">
        <v>0</v>
      </c>
    </row>
    <row r="1552" spans="6:8" ht="15.5" x14ac:dyDescent="0.35">
      <c r="F1552" s="20">
        <v>90040594</v>
      </c>
      <c r="G1552" s="21" t="s">
        <v>2152</v>
      </c>
      <c r="H1552" s="22">
        <v>0</v>
      </c>
    </row>
    <row r="1553" spans="6:8" ht="15.5" x14ac:dyDescent="0.35">
      <c r="F1553" s="20">
        <v>310820</v>
      </c>
      <c r="G1553" s="21" t="s">
        <v>2153</v>
      </c>
      <c r="H1553" s="22">
        <v>0</v>
      </c>
    </row>
    <row r="1554" spans="6:8" ht="15.5" x14ac:dyDescent="0.35">
      <c r="F1554" s="20">
        <v>315345</v>
      </c>
      <c r="G1554" s="21" t="s">
        <v>2154</v>
      </c>
      <c r="H1554" s="22">
        <v>0</v>
      </c>
    </row>
    <row r="1555" spans="6:8" ht="15.5" x14ac:dyDescent="0.35">
      <c r="F1555" s="20">
        <v>315369</v>
      </c>
      <c r="G1555" s="21" t="s">
        <v>2155</v>
      </c>
      <c r="H1555" s="22">
        <v>0</v>
      </c>
    </row>
    <row r="1556" spans="6:8" ht="15.5" x14ac:dyDescent="0.35">
      <c r="F1556" s="20">
        <v>314417</v>
      </c>
      <c r="G1556" s="21" t="s">
        <v>2156</v>
      </c>
      <c r="H1556" s="22">
        <v>0</v>
      </c>
    </row>
    <row r="1557" spans="6:8" ht="15.5" x14ac:dyDescent="0.35">
      <c r="F1557" s="20">
        <v>90034151</v>
      </c>
      <c r="G1557" s="21" t="s">
        <v>2157</v>
      </c>
      <c r="H1557" s="22">
        <v>0</v>
      </c>
    </row>
    <row r="1558" spans="6:8" ht="15.5" x14ac:dyDescent="0.35">
      <c r="F1558" s="20">
        <v>313583</v>
      </c>
      <c r="G1558" s="21" t="s">
        <v>2158</v>
      </c>
      <c r="H1558" s="22">
        <v>0</v>
      </c>
    </row>
    <row r="1559" spans="6:8" ht="15.5" x14ac:dyDescent="0.35">
      <c r="F1559" s="20">
        <v>311096</v>
      </c>
      <c r="G1559" s="21" t="s">
        <v>2159</v>
      </c>
      <c r="H1559" s="22">
        <v>0</v>
      </c>
    </row>
    <row r="1560" spans="6:8" ht="15.5" x14ac:dyDescent="0.35">
      <c r="F1560" s="20">
        <v>90028606</v>
      </c>
      <c r="G1560" s="21" t="s">
        <v>2160</v>
      </c>
      <c r="H1560" s="22">
        <v>0</v>
      </c>
    </row>
    <row r="1561" spans="6:8" ht="15.5" x14ac:dyDescent="0.35">
      <c r="F1561" s="20">
        <v>315400</v>
      </c>
      <c r="G1561" s="21" t="s">
        <v>2161</v>
      </c>
      <c r="H1561" s="22">
        <v>0</v>
      </c>
    </row>
    <row r="1562" spans="6:8" ht="15.5" x14ac:dyDescent="0.35">
      <c r="F1562" s="20">
        <v>312722</v>
      </c>
      <c r="G1562" s="21" t="s">
        <v>2162</v>
      </c>
      <c r="H1562" s="22">
        <v>0</v>
      </c>
    </row>
    <row r="1563" spans="6:8" ht="15.5" x14ac:dyDescent="0.35">
      <c r="F1563" s="20">
        <v>314274</v>
      </c>
      <c r="G1563" s="21" t="s">
        <v>2163</v>
      </c>
      <c r="H1563" s="22">
        <v>0</v>
      </c>
    </row>
    <row r="1564" spans="6:8" ht="15.5" x14ac:dyDescent="0.35">
      <c r="F1564" s="20">
        <v>309643</v>
      </c>
      <c r="G1564" s="21" t="s">
        <v>2164</v>
      </c>
      <c r="H1564" s="22">
        <v>0</v>
      </c>
    </row>
    <row r="1565" spans="6:8" ht="15.5" x14ac:dyDescent="0.35">
      <c r="F1565" s="20">
        <v>312253</v>
      </c>
      <c r="G1565" s="21" t="s">
        <v>2165</v>
      </c>
      <c r="H1565" s="22">
        <v>0</v>
      </c>
    </row>
    <row r="1566" spans="6:8" ht="15.5" x14ac:dyDescent="0.35">
      <c r="F1566" s="20">
        <v>315183</v>
      </c>
      <c r="G1566" s="21" t="s">
        <v>2166</v>
      </c>
      <c r="H1566" s="22">
        <v>0</v>
      </c>
    </row>
    <row r="1567" spans="6:8" ht="15.5" x14ac:dyDescent="0.35">
      <c r="F1567" s="20">
        <v>90009270</v>
      </c>
      <c r="G1567" s="21" t="s">
        <v>2167</v>
      </c>
      <c r="H1567" s="22">
        <v>0</v>
      </c>
    </row>
    <row r="1568" spans="6:8" ht="15.5" x14ac:dyDescent="0.35">
      <c r="F1568" s="20">
        <v>315144</v>
      </c>
      <c r="G1568" s="21" t="s">
        <v>2168</v>
      </c>
      <c r="H1568" s="22">
        <v>0</v>
      </c>
    </row>
    <row r="1569" spans="6:8" ht="15.5" x14ac:dyDescent="0.35">
      <c r="F1569" s="20">
        <v>314220</v>
      </c>
      <c r="G1569" s="21" t="s">
        <v>2169</v>
      </c>
      <c r="H1569" s="22">
        <v>0</v>
      </c>
    </row>
    <row r="1570" spans="6:8" ht="15.5" x14ac:dyDescent="0.35">
      <c r="F1570" s="20">
        <v>303284</v>
      </c>
      <c r="G1570" s="21" t="s">
        <v>2170</v>
      </c>
      <c r="H1570" s="22">
        <v>0</v>
      </c>
    </row>
    <row r="1571" spans="6:8" ht="15.5" x14ac:dyDescent="0.35">
      <c r="F1571" s="20">
        <v>304200</v>
      </c>
      <c r="G1571" s="21" t="s">
        <v>2171</v>
      </c>
      <c r="H1571" s="22">
        <v>0</v>
      </c>
    </row>
    <row r="1572" spans="6:8" ht="15.5" x14ac:dyDescent="0.35">
      <c r="F1572" s="20">
        <v>310692</v>
      </c>
      <c r="G1572" s="21" t="s">
        <v>2172</v>
      </c>
      <c r="H1572" s="22">
        <v>0</v>
      </c>
    </row>
    <row r="1573" spans="6:8" ht="15.5" x14ac:dyDescent="0.35">
      <c r="F1573" s="20">
        <v>303971</v>
      </c>
      <c r="G1573" s="21" t="s">
        <v>2173</v>
      </c>
      <c r="H1573" s="22">
        <v>0</v>
      </c>
    </row>
    <row r="1574" spans="6:8" ht="15.5" x14ac:dyDescent="0.35">
      <c r="F1574" s="20">
        <v>312969</v>
      </c>
      <c r="G1574" s="21" t="s">
        <v>2174</v>
      </c>
      <c r="H1574" s="22">
        <v>0</v>
      </c>
    </row>
    <row r="1575" spans="6:8" ht="15.5" x14ac:dyDescent="0.35">
      <c r="F1575" s="20">
        <v>315278</v>
      </c>
      <c r="G1575" s="21" t="s">
        <v>2175</v>
      </c>
      <c r="H1575" s="22">
        <v>0</v>
      </c>
    </row>
    <row r="1576" spans="6:8" ht="15.5" x14ac:dyDescent="0.35">
      <c r="F1576" s="20">
        <v>306895</v>
      </c>
      <c r="G1576" s="21" t="s">
        <v>2176</v>
      </c>
      <c r="H1576" s="22">
        <v>0</v>
      </c>
    </row>
    <row r="1577" spans="6:8" ht="15.5" x14ac:dyDescent="0.35">
      <c r="F1577" s="20">
        <v>315841</v>
      </c>
      <c r="G1577" s="21" t="s">
        <v>2177</v>
      </c>
      <c r="H1577" s="22">
        <v>0</v>
      </c>
    </row>
    <row r="1578" spans="6:8" ht="15.5" x14ac:dyDescent="0.35">
      <c r="F1578" s="20">
        <v>315257</v>
      </c>
      <c r="G1578" s="21" t="s">
        <v>2178</v>
      </c>
      <c r="H1578" s="22">
        <v>0</v>
      </c>
    </row>
    <row r="1579" spans="6:8" ht="15.5" x14ac:dyDescent="0.35">
      <c r="F1579" s="20">
        <v>310605</v>
      </c>
      <c r="G1579" s="21" t="s">
        <v>2179</v>
      </c>
      <c r="H1579" s="22">
        <v>0</v>
      </c>
    </row>
    <row r="1580" spans="6:8" ht="15.5" x14ac:dyDescent="0.35">
      <c r="F1580" s="20">
        <v>307367</v>
      </c>
      <c r="G1580" s="21" t="s">
        <v>2180</v>
      </c>
      <c r="H1580" s="22">
        <v>0</v>
      </c>
    </row>
    <row r="1581" spans="6:8" ht="15.5" x14ac:dyDescent="0.35">
      <c r="F1581" s="20">
        <v>314870</v>
      </c>
      <c r="G1581" s="21" t="s">
        <v>2181</v>
      </c>
      <c r="H1581" s="22">
        <v>0</v>
      </c>
    </row>
    <row r="1582" spans="6:8" ht="15.5" x14ac:dyDescent="0.35">
      <c r="F1582" s="20">
        <v>316113</v>
      </c>
      <c r="G1582" s="21" t="s">
        <v>2182</v>
      </c>
      <c r="H1582" s="22">
        <v>0</v>
      </c>
    </row>
    <row r="1583" spans="6:8" ht="15.5" x14ac:dyDescent="0.35">
      <c r="F1583" s="20">
        <v>314382</v>
      </c>
      <c r="G1583" s="21" t="s">
        <v>2183</v>
      </c>
      <c r="H1583" s="22">
        <v>0</v>
      </c>
    </row>
    <row r="1584" spans="6:8" ht="15.5" x14ac:dyDescent="0.35">
      <c r="F1584" s="20">
        <v>310067</v>
      </c>
      <c r="G1584" s="21" t="s">
        <v>2184</v>
      </c>
      <c r="H1584" s="22">
        <v>0</v>
      </c>
    </row>
    <row r="1585" spans="6:8" ht="15.5" x14ac:dyDescent="0.35">
      <c r="F1585" s="20">
        <v>90012428</v>
      </c>
      <c r="G1585" s="21" t="s">
        <v>2185</v>
      </c>
      <c r="H1585" s="22">
        <v>0</v>
      </c>
    </row>
    <row r="1586" spans="6:8" ht="15.5" x14ac:dyDescent="0.35">
      <c r="F1586" s="20">
        <v>90038829</v>
      </c>
      <c r="G1586" s="21" t="s">
        <v>2186</v>
      </c>
      <c r="H1586" s="22">
        <v>0</v>
      </c>
    </row>
    <row r="1587" spans="6:8" ht="15.5" x14ac:dyDescent="0.35">
      <c r="F1587" s="20">
        <v>307352</v>
      </c>
      <c r="G1587" s="21" t="s">
        <v>2187</v>
      </c>
      <c r="H1587" s="22">
        <v>0</v>
      </c>
    </row>
    <row r="1588" spans="6:8" ht="15.5" x14ac:dyDescent="0.35">
      <c r="F1588" s="20">
        <v>312944</v>
      </c>
      <c r="G1588" s="21" t="s">
        <v>2188</v>
      </c>
      <c r="H1588" s="22">
        <v>0</v>
      </c>
    </row>
    <row r="1589" spans="6:8" ht="15.5" x14ac:dyDescent="0.35">
      <c r="F1589" s="20">
        <v>310143</v>
      </c>
      <c r="G1589" s="21" t="s">
        <v>2189</v>
      </c>
      <c r="H1589" s="22">
        <v>0</v>
      </c>
    </row>
    <row r="1590" spans="6:8" ht="15.5" x14ac:dyDescent="0.35">
      <c r="F1590" s="20">
        <v>312833</v>
      </c>
      <c r="G1590" s="21" t="s">
        <v>2190</v>
      </c>
      <c r="H1590" s="22">
        <v>0</v>
      </c>
    </row>
    <row r="1591" spans="6:8" ht="15.5" x14ac:dyDescent="0.35">
      <c r="F1591" s="20">
        <v>90048221</v>
      </c>
      <c r="G1591" s="21" t="s">
        <v>2191</v>
      </c>
      <c r="H1591" s="22">
        <v>0</v>
      </c>
    </row>
    <row r="1592" spans="6:8" ht="15.5" x14ac:dyDescent="0.35">
      <c r="F1592" s="20">
        <v>90034859</v>
      </c>
      <c r="G1592" s="21" t="s">
        <v>2192</v>
      </c>
      <c r="H1592" s="22">
        <v>0</v>
      </c>
    </row>
    <row r="1593" spans="6:8" ht="15.5" x14ac:dyDescent="0.35">
      <c r="F1593" s="20">
        <v>900344859</v>
      </c>
      <c r="G1593" s="21" t="s">
        <v>2193</v>
      </c>
      <c r="H1593" s="22">
        <v>0</v>
      </c>
    </row>
    <row r="1594" spans="6:8" ht="15.5" x14ac:dyDescent="0.35">
      <c r="F1594" s="20">
        <v>315132</v>
      </c>
      <c r="G1594" s="21" t="s">
        <v>2194</v>
      </c>
      <c r="H1594" s="22">
        <v>0</v>
      </c>
    </row>
    <row r="1595" spans="6:8" ht="15.5" x14ac:dyDescent="0.35">
      <c r="F1595" s="20">
        <v>309366</v>
      </c>
      <c r="G1595" s="21" t="s">
        <v>2195</v>
      </c>
      <c r="H1595" s="22">
        <v>0</v>
      </c>
    </row>
    <row r="1596" spans="6:8" ht="15.5" x14ac:dyDescent="0.35">
      <c r="F1596" s="20">
        <v>314328</v>
      </c>
      <c r="G1596" s="21" t="s">
        <v>2196</v>
      </c>
      <c r="H1596" s="22">
        <v>0</v>
      </c>
    </row>
    <row r="1597" spans="6:8" ht="15.5" x14ac:dyDescent="0.35">
      <c r="F1597" s="20">
        <v>90028127</v>
      </c>
      <c r="G1597" s="21" t="s">
        <v>2197</v>
      </c>
      <c r="H1597" s="22">
        <v>0</v>
      </c>
    </row>
    <row r="1598" spans="6:8" ht="15.5" x14ac:dyDescent="0.35">
      <c r="F1598" s="20">
        <v>315317</v>
      </c>
      <c r="G1598" s="21" t="s">
        <v>2198</v>
      </c>
      <c r="H1598" s="22">
        <v>0</v>
      </c>
    </row>
    <row r="1599" spans="6:8" ht="15.5" x14ac:dyDescent="0.35">
      <c r="F1599" s="20">
        <v>313889</v>
      </c>
      <c r="G1599" s="21" t="s">
        <v>2199</v>
      </c>
      <c r="H1599" s="22">
        <v>0</v>
      </c>
    </row>
    <row r="1600" spans="6:8" ht="15.5" x14ac:dyDescent="0.35">
      <c r="F1600" s="20">
        <v>304926</v>
      </c>
      <c r="G1600" s="21" t="s">
        <v>2200</v>
      </c>
      <c r="H1600" s="22">
        <v>0</v>
      </c>
    </row>
    <row r="1601" spans="6:8" ht="15.5" x14ac:dyDescent="0.35">
      <c r="F1601" s="20">
        <v>310261</v>
      </c>
      <c r="G1601" s="21" t="s">
        <v>2201</v>
      </c>
      <c r="H1601" s="22">
        <v>0</v>
      </c>
    </row>
    <row r="1602" spans="6:8" ht="15.5" x14ac:dyDescent="0.35">
      <c r="F1602" s="20">
        <v>313031</v>
      </c>
      <c r="G1602" s="21" t="s">
        <v>2202</v>
      </c>
      <c r="H1602" s="22">
        <v>0</v>
      </c>
    </row>
    <row r="1603" spans="6:8" ht="15.5" x14ac:dyDescent="0.35">
      <c r="F1603" s="20">
        <v>311985</v>
      </c>
      <c r="G1603" s="21" t="s">
        <v>2203</v>
      </c>
      <c r="H1603" s="22">
        <v>0</v>
      </c>
    </row>
    <row r="1604" spans="6:8" ht="15.5" x14ac:dyDescent="0.35">
      <c r="F1604" s="20">
        <v>307718</v>
      </c>
      <c r="G1604" s="21" t="s">
        <v>2204</v>
      </c>
      <c r="H1604" s="22">
        <v>0</v>
      </c>
    </row>
    <row r="1605" spans="6:8" ht="15.5" x14ac:dyDescent="0.35">
      <c r="F1605" s="20">
        <v>90041342</v>
      </c>
      <c r="G1605" s="21" t="s">
        <v>2205</v>
      </c>
      <c r="H1605" s="22">
        <v>0</v>
      </c>
    </row>
    <row r="1606" spans="6:8" ht="15.5" x14ac:dyDescent="0.35">
      <c r="F1606" s="20">
        <v>307269</v>
      </c>
      <c r="G1606" s="21" t="s">
        <v>2206</v>
      </c>
      <c r="H1606" s="22">
        <v>0</v>
      </c>
    </row>
    <row r="1607" spans="6:8" ht="15.5" x14ac:dyDescent="0.35">
      <c r="F1607" s="20">
        <v>315599</v>
      </c>
      <c r="G1607" s="21" t="s">
        <v>2207</v>
      </c>
      <c r="H1607" s="22">
        <v>0</v>
      </c>
    </row>
    <row r="1608" spans="6:8" ht="15.5" x14ac:dyDescent="0.35">
      <c r="F1608" s="20">
        <v>102070</v>
      </c>
      <c r="G1608" s="21" t="s">
        <v>2208</v>
      </c>
      <c r="H1608" s="22">
        <v>0</v>
      </c>
    </row>
    <row r="1609" spans="6:8" ht="15.5" x14ac:dyDescent="0.35">
      <c r="F1609" s="20">
        <v>315322</v>
      </c>
      <c r="G1609" s="21" t="s">
        <v>2209</v>
      </c>
      <c r="H1609" s="22">
        <v>0</v>
      </c>
    </row>
    <row r="1610" spans="6:8" ht="15.5" x14ac:dyDescent="0.35">
      <c r="F1610" s="20">
        <v>90009437</v>
      </c>
      <c r="G1610" s="21" t="s">
        <v>2210</v>
      </c>
      <c r="H1610" s="22">
        <v>0</v>
      </c>
    </row>
    <row r="1611" spans="6:8" ht="15.5" x14ac:dyDescent="0.35">
      <c r="F1611" s="20">
        <v>315617</v>
      </c>
      <c r="G1611" s="21" t="s">
        <v>2211</v>
      </c>
      <c r="H1611" s="22">
        <v>0</v>
      </c>
    </row>
    <row r="1612" spans="6:8" ht="15.5" x14ac:dyDescent="0.35">
      <c r="F1612" s="20">
        <v>313739</v>
      </c>
      <c r="G1612" s="21" t="s">
        <v>2212</v>
      </c>
      <c r="H1612" s="22">
        <v>0</v>
      </c>
    </row>
    <row r="1613" spans="6:8" ht="15.5" x14ac:dyDescent="0.35">
      <c r="F1613" s="20">
        <v>313030</v>
      </c>
      <c r="G1613" s="21" t="s">
        <v>2213</v>
      </c>
      <c r="H1613" s="22">
        <v>0</v>
      </c>
    </row>
    <row r="1614" spans="6:8" ht="15.5" x14ac:dyDescent="0.35">
      <c r="F1614" s="20">
        <v>316020</v>
      </c>
      <c r="G1614" s="21" t="s">
        <v>2213</v>
      </c>
      <c r="H1614" s="22">
        <v>0</v>
      </c>
    </row>
    <row r="1615" spans="6:8" ht="15.5" x14ac:dyDescent="0.35">
      <c r="F1615" s="20">
        <v>314628</v>
      </c>
      <c r="G1615" s="21" t="s">
        <v>2214</v>
      </c>
      <c r="H1615" s="22">
        <v>0</v>
      </c>
    </row>
    <row r="1616" spans="6:8" ht="15.5" x14ac:dyDescent="0.35">
      <c r="F1616" s="20">
        <v>316208</v>
      </c>
      <c r="G1616" s="21" t="s">
        <v>2215</v>
      </c>
      <c r="H1616" s="22">
        <v>0</v>
      </c>
    </row>
    <row r="1617" spans="6:8" ht="15.5" x14ac:dyDescent="0.35">
      <c r="F1617" s="20">
        <v>90034379</v>
      </c>
      <c r="G1617" s="21" t="s">
        <v>2216</v>
      </c>
      <c r="H1617" s="22">
        <v>0</v>
      </c>
    </row>
    <row r="1618" spans="6:8" ht="15.5" x14ac:dyDescent="0.35">
      <c r="F1618" s="20">
        <v>315184</v>
      </c>
      <c r="G1618" s="21" t="s">
        <v>2217</v>
      </c>
      <c r="H1618" s="22">
        <v>0</v>
      </c>
    </row>
    <row r="1619" spans="6:8" ht="15.5" x14ac:dyDescent="0.35">
      <c r="F1619" s="20">
        <v>314652</v>
      </c>
      <c r="G1619" s="21" t="s">
        <v>2218</v>
      </c>
      <c r="H1619" s="22">
        <v>0</v>
      </c>
    </row>
    <row r="1620" spans="6:8" ht="15.5" x14ac:dyDescent="0.35">
      <c r="F1620" s="20">
        <v>315074</v>
      </c>
      <c r="G1620" s="21" t="s">
        <v>2219</v>
      </c>
      <c r="H1620" s="22">
        <v>0</v>
      </c>
    </row>
    <row r="1621" spans="6:8" ht="15.5" x14ac:dyDescent="0.35">
      <c r="F1621" s="20">
        <v>90039328</v>
      </c>
      <c r="G1621" s="21" t="s">
        <v>2220</v>
      </c>
      <c r="H1621" s="22">
        <v>0</v>
      </c>
    </row>
    <row r="1622" spans="6:8" ht="15.5" x14ac:dyDescent="0.35">
      <c r="F1622" s="20">
        <v>310347</v>
      </c>
      <c r="G1622" s="21" t="s">
        <v>2221</v>
      </c>
      <c r="H1622" s="22">
        <v>0</v>
      </c>
    </row>
    <row r="1623" spans="6:8" ht="15.5" x14ac:dyDescent="0.35">
      <c r="F1623" s="20">
        <v>309786</v>
      </c>
      <c r="G1623" s="21" t="s">
        <v>2222</v>
      </c>
      <c r="H1623" s="22">
        <v>0</v>
      </c>
    </row>
    <row r="1624" spans="6:8" ht="15.5" x14ac:dyDescent="0.35">
      <c r="F1624" s="20">
        <v>313802</v>
      </c>
      <c r="G1624" s="21" t="s">
        <v>2223</v>
      </c>
      <c r="H1624" s="22">
        <v>0</v>
      </c>
    </row>
    <row r="1625" spans="6:8" ht="15.5" x14ac:dyDescent="0.35">
      <c r="F1625" s="20">
        <v>303594</v>
      </c>
      <c r="G1625" s="21" t="s">
        <v>2224</v>
      </c>
      <c r="H1625" s="22">
        <v>0</v>
      </c>
    </row>
    <row r="1626" spans="6:8" ht="15.5" x14ac:dyDescent="0.35">
      <c r="F1626" s="20">
        <v>311440</v>
      </c>
      <c r="G1626" s="21" t="s">
        <v>2225</v>
      </c>
      <c r="H1626" s="22">
        <v>0</v>
      </c>
    </row>
    <row r="1627" spans="6:8" ht="15.5" x14ac:dyDescent="0.35">
      <c r="F1627" s="20">
        <v>303552</v>
      </c>
      <c r="G1627" s="21" t="s">
        <v>2226</v>
      </c>
      <c r="H1627" s="22">
        <v>0</v>
      </c>
    </row>
    <row r="1628" spans="6:8" ht="15.5" x14ac:dyDescent="0.35">
      <c r="F1628" s="20">
        <v>310148</v>
      </c>
      <c r="G1628" s="21" t="s">
        <v>2227</v>
      </c>
      <c r="H1628" s="22">
        <v>0</v>
      </c>
    </row>
    <row r="1629" spans="6:8" ht="15.5" x14ac:dyDescent="0.35">
      <c r="F1629" s="20">
        <v>300280</v>
      </c>
      <c r="G1629" s="21" t="s">
        <v>2228</v>
      </c>
      <c r="H1629" s="22">
        <v>0</v>
      </c>
    </row>
    <row r="1630" spans="6:8" ht="15.5" x14ac:dyDescent="0.35">
      <c r="F1630" s="20">
        <v>306962</v>
      </c>
      <c r="G1630" s="21" t="s">
        <v>2229</v>
      </c>
      <c r="H1630" s="22">
        <v>0</v>
      </c>
    </row>
    <row r="1631" spans="6:8" ht="15.5" x14ac:dyDescent="0.35">
      <c r="F1631" s="20">
        <v>314279</v>
      </c>
      <c r="G1631" s="21" t="s">
        <v>2230</v>
      </c>
      <c r="H1631" s="22">
        <v>0</v>
      </c>
    </row>
    <row r="1632" spans="6:8" ht="15.5" x14ac:dyDescent="0.35">
      <c r="F1632" s="20">
        <v>305064</v>
      </c>
      <c r="G1632" s="21" t="s">
        <v>2231</v>
      </c>
      <c r="H1632" s="22">
        <v>0</v>
      </c>
    </row>
    <row r="1633" spans="6:8" ht="15.5" x14ac:dyDescent="0.35">
      <c r="F1633" s="20">
        <v>90035281</v>
      </c>
      <c r="G1633" s="21" t="s">
        <v>2232</v>
      </c>
      <c r="H1633" s="22">
        <v>0</v>
      </c>
    </row>
    <row r="1634" spans="6:8" ht="15.5" x14ac:dyDescent="0.35">
      <c r="F1634" s="20">
        <v>305035</v>
      </c>
      <c r="G1634" s="21" t="s">
        <v>2233</v>
      </c>
      <c r="H1634" s="22">
        <v>0</v>
      </c>
    </row>
    <row r="1635" spans="6:8" ht="15.5" x14ac:dyDescent="0.35">
      <c r="F1635" s="20">
        <v>314899</v>
      </c>
      <c r="G1635" s="21" t="s">
        <v>2234</v>
      </c>
      <c r="H1635" s="22">
        <v>0</v>
      </c>
    </row>
    <row r="1636" spans="6:8" ht="15.5" x14ac:dyDescent="0.35">
      <c r="F1636" s="20">
        <v>314728</v>
      </c>
      <c r="G1636" s="21" t="s">
        <v>2235</v>
      </c>
      <c r="H1636" s="22">
        <v>0</v>
      </c>
    </row>
    <row r="1637" spans="6:8" ht="15.5" x14ac:dyDescent="0.35">
      <c r="F1637" s="20">
        <v>313768</v>
      </c>
      <c r="G1637" s="21" t="s">
        <v>2236</v>
      </c>
      <c r="H1637" s="22">
        <v>0</v>
      </c>
    </row>
    <row r="1638" spans="6:8" ht="15.5" x14ac:dyDescent="0.35">
      <c r="F1638" s="20">
        <v>309495</v>
      </c>
      <c r="G1638" s="21" t="s">
        <v>2237</v>
      </c>
      <c r="H1638" s="22">
        <v>0</v>
      </c>
    </row>
    <row r="1639" spans="6:8" ht="15.5" x14ac:dyDescent="0.35">
      <c r="F1639" s="20">
        <v>315498</v>
      </c>
      <c r="G1639" s="21" t="s">
        <v>2238</v>
      </c>
      <c r="H1639" s="22">
        <v>0</v>
      </c>
    </row>
    <row r="1640" spans="6:8" ht="15.5" x14ac:dyDescent="0.35">
      <c r="F1640" s="20">
        <v>315573</v>
      </c>
      <c r="G1640" s="21" t="s">
        <v>2239</v>
      </c>
      <c r="H1640" s="22">
        <v>0</v>
      </c>
    </row>
    <row r="1641" spans="6:8" ht="15.5" x14ac:dyDescent="0.35">
      <c r="F1641" s="20">
        <v>316385</v>
      </c>
      <c r="G1641" s="21" t="s">
        <v>2240</v>
      </c>
      <c r="H1641" s="22">
        <v>0</v>
      </c>
    </row>
    <row r="1642" spans="6:8" ht="15.5" x14ac:dyDescent="0.35">
      <c r="F1642" s="20">
        <v>90045667</v>
      </c>
      <c r="G1642" s="21" t="s">
        <v>2241</v>
      </c>
      <c r="H1642" s="22">
        <v>0</v>
      </c>
    </row>
    <row r="1643" spans="6:8" ht="15.5" x14ac:dyDescent="0.35">
      <c r="F1643" s="20">
        <v>316257</v>
      </c>
      <c r="G1643" s="21" t="s">
        <v>2242</v>
      </c>
      <c r="H1643" s="22">
        <v>0</v>
      </c>
    </row>
    <row r="1644" spans="6:8" ht="15.5" x14ac:dyDescent="0.35">
      <c r="F1644" s="20">
        <v>315357</v>
      </c>
      <c r="G1644" s="21" t="s">
        <v>2243</v>
      </c>
      <c r="H1644" s="22">
        <v>0</v>
      </c>
    </row>
    <row r="1645" spans="6:8" ht="15.5" x14ac:dyDescent="0.35">
      <c r="F1645" s="20">
        <v>314091</v>
      </c>
      <c r="G1645" s="21" t="s">
        <v>2244</v>
      </c>
      <c r="H1645" s="22">
        <v>0</v>
      </c>
    </row>
    <row r="1646" spans="6:8" ht="15.5" x14ac:dyDescent="0.35">
      <c r="F1646" s="20">
        <v>315961</v>
      </c>
      <c r="G1646" s="21" t="s">
        <v>2245</v>
      </c>
      <c r="H1646" s="22">
        <v>0</v>
      </c>
    </row>
    <row r="1647" spans="6:8" ht="15.5" x14ac:dyDescent="0.35">
      <c r="F1647" s="20">
        <v>310198</v>
      </c>
      <c r="G1647" s="21" t="s">
        <v>2246</v>
      </c>
      <c r="H1647" s="22">
        <v>0</v>
      </c>
    </row>
    <row r="1648" spans="6:8" ht="15.5" x14ac:dyDescent="0.35">
      <c r="F1648" s="20">
        <v>90034703</v>
      </c>
      <c r="G1648" s="21" t="s">
        <v>2247</v>
      </c>
      <c r="H1648" s="22">
        <v>0</v>
      </c>
    </row>
    <row r="1649" spans="6:8" ht="15.5" x14ac:dyDescent="0.35">
      <c r="F1649" s="20">
        <v>309262</v>
      </c>
      <c r="G1649" s="21" t="s">
        <v>2248</v>
      </c>
      <c r="H1649" s="22">
        <v>0</v>
      </c>
    </row>
    <row r="1650" spans="6:8" ht="15.5" x14ac:dyDescent="0.35">
      <c r="F1650" s="20">
        <v>315486</v>
      </c>
      <c r="G1650" s="21" t="s">
        <v>2249</v>
      </c>
      <c r="H1650" s="22">
        <v>0</v>
      </c>
    </row>
    <row r="1651" spans="6:8" ht="15.5" x14ac:dyDescent="0.35">
      <c r="F1651" s="20">
        <v>303704</v>
      </c>
      <c r="G1651" s="21" t="s">
        <v>2250</v>
      </c>
      <c r="H1651" s="22">
        <v>0</v>
      </c>
    </row>
    <row r="1652" spans="6:8" ht="15.5" x14ac:dyDescent="0.35">
      <c r="F1652" s="20">
        <v>309417</v>
      </c>
      <c r="G1652" s="21" t="s">
        <v>2251</v>
      </c>
      <c r="H1652" s="22">
        <v>0</v>
      </c>
    </row>
    <row r="1653" spans="6:8" ht="15.5" x14ac:dyDescent="0.35">
      <c r="F1653" s="20">
        <v>315992</v>
      </c>
      <c r="G1653" s="21" t="s">
        <v>2252</v>
      </c>
      <c r="H1653" s="22">
        <v>0</v>
      </c>
    </row>
    <row r="1654" spans="6:8" ht="15.5" x14ac:dyDescent="0.35">
      <c r="F1654" s="20">
        <v>311492</v>
      </c>
      <c r="G1654" s="21" t="s">
        <v>2253</v>
      </c>
      <c r="H1654" s="22">
        <v>0</v>
      </c>
    </row>
    <row r="1655" spans="6:8" ht="15.5" x14ac:dyDescent="0.35">
      <c r="F1655" s="20">
        <v>90034375</v>
      </c>
      <c r="G1655" s="21" t="s">
        <v>2254</v>
      </c>
      <c r="H1655" s="22">
        <v>0</v>
      </c>
    </row>
    <row r="1656" spans="6:8" ht="15.5" x14ac:dyDescent="0.35">
      <c r="F1656" s="20">
        <v>315403</v>
      </c>
      <c r="G1656" s="21" t="s">
        <v>2255</v>
      </c>
      <c r="H1656" s="22">
        <v>0</v>
      </c>
    </row>
    <row r="1657" spans="6:8" ht="15.5" x14ac:dyDescent="0.35">
      <c r="F1657" s="20">
        <v>312792</v>
      </c>
      <c r="G1657" s="21" t="s">
        <v>2256</v>
      </c>
      <c r="H1657" s="22">
        <v>0</v>
      </c>
    </row>
    <row r="1658" spans="6:8" ht="15.5" x14ac:dyDescent="0.35">
      <c r="F1658" s="20">
        <v>314774</v>
      </c>
      <c r="G1658" s="21" t="s">
        <v>2257</v>
      </c>
      <c r="H1658" s="22">
        <v>0</v>
      </c>
    </row>
    <row r="1659" spans="6:8" ht="15.5" x14ac:dyDescent="0.35">
      <c r="F1659" s="20">
        <v>310872</v>
      </c>
      <c r="G1659" s="21" t="s">
        <v>2258</v>
      </c>
      <c r="H1659" s="22">
        <v>0</v>
      </c>
    </row>
    <row r="1660" spans="6:8" ht="15.5" x14ac:dyDescent="0.35">
      <c r="F1660" s="20">
        <v>312765</v>
      </c>
      <c r="G1660" s="21" t="s">
        <v>2259</v>
      </c>
      <c r="H1660" s="22">
        <v>0</v>
      </c>
    </row>
    <row r="1661" spans="6:8" ht="15.5" x14ac:dyDescent="0.35">
      <c r="F1661" s="20">
        <v>314299</v>
      </c>
      <c r="G1661" s="21" t="s">
        <v>2260</v>
      </c>
      <c r="H1661" s="22">
        <v>0</v>
      </c>
    </row>
    <row r="1662" spans="6:8" ht="15.5" x14ac:dyDescent="0.35">
      <c r="F1662" s="20">
        <v>303967</v>
      </c>
      <c r="G1662" s="21" t="s">
        <v>2261</v>
      </c>
      <c r="H1662" s="22">
        <v>0</v>
      </c>
    </row>
    <row r="1663" spans="6:8" ht="15.5" x14ac:dyDescent="0.35">
      <c r="F1663" s="20">
        <v>311367</v>
      </c>
      <c r="G1663" s="21" t="s">
        <v>2262</v>
      </c>
      <c r="H1663" s="22">
        <v>0</v>
      </c>
    </row>
    <row r="1664" spans="6:8" ht="15.5" x14ac:dyDescent="0.35">
      <c r="F1664" s="20">
        <v>90012315</v>
      </c>
      <c r="G1664" s="21" t="s">
        <v>2263</v>
      </c>
      <c r="H1664" s="22">
        <v>0</v>
      </c>
    </row>
    <row r="1665" spans="6:8" ht="15.5" x14ac:dyDescent="0.35">
      <c r="F1665" s="20">
        <v>310502</v>
      </c>
      <c r="G1665" s="21" t="s">
        <v>2264</v>
      </c>
      <c r="H1665" s="22">
        <v>0</v>
      </c>
    </row>
    <row r="1666" spans="6:8" ht="15.5" x14ac:dyDescent="0.35">
      <c r="F1666" s="20">
        <v>315124</v>
      </c>
      <c r="G1666" s="21" t="s">
        <v>2265</v>
      </c>
      <c r="H1666" s="22">
        <v>0</v>
      </c>
    </row>
    <row r="1667" spans="6:8" ht="15.5" x14ac:dyDescent="0.35">
      <c r="F1667" s="20">
        <v>316379</v>
      </c>
      <c r="G1667" s="21" t="s">
        <v>2266</v>
      </c>
      <c r="H1667" s="22">
        <v>0</v>
      </c>
    </row>
    <row r="1668" spans="6:8" ht="15.5" x14ac:dyDescent="0.35">
      <c r="F1668" s="20">
        <v>312039</v>
      </c>
      <c r="G1668" s="21" t="s">
        <v>2267</v>
      </c>
      <c r="H1668" s="22">
        <v>0</v>
      </c>
    </row>
    <row r="1669" spans="6:8" ht="15.5" x14ac:dyDescent="0.35">
      <c r="F1669" s="20">
        <v>313529</v>
      </c>
      <c r="G1669" s="21" t="s">
        <v>2268</v>
      </c>
      <c r="H1669" s="22">
        <v>0</v>
      </c>
    </row>
    <row r="1670" spans="6:8" ht="15.5" x14ac:dyDescent="0.35">
      <c r="F1670" s="20">
        <v>300644</v>
      </c>
      <c r="G1670" s="21" t="s">
        <v>2269</v>
      </c>
      <c r="H1670" s="22">
        <v>0</v>
      </c>
    </row>
    <row r="1671" spans="6:8" ht="15.5" x14ac:dyDescent="0.35">
      <c r="F1671" s="20">
        <v>314022</v>
      </c>
      <c r="G1671" s="21" t="s">
        <v>2270</v>
      </c>
      <c r="H1671" s="22">
        <v>0</v>
      </c>
    </row>
    <row r="1672" spans="6:8" ht="15.5" x14ac:dyDescent="0.35">
      <c r="F1672" s="20">
        <v>316293</v>
      </c>
      <c r="G1672" s="21" t="s">
        <v>2271</v>
      </c>
      <c r="H1672" s="22">
        <v>0</v>
      </c>
    </row>
    <row r="1673" spans="6:8" ht="15.5" x14ac:dyDescent="0.35">
      <c r="F1673" s="20">
        <v>309348</v>
      </c>
      <c r="G1673" s="21" t="s">
        <v>2272</v>
      </c>
      <c r="H1673" s="22">
        <v>0</v>
      </c>
    </row>
    <row r="1674" spans="6:8" ht="15.5" x14ac:dyDescent="0.35">
      <c r="F1674" s="20">
        <v>309747</v>
      </c>
      <c r="G1674" s="21" t="s">
        <v>2273</v>
      </c>
      <c r="H1674" s="22">
        <v>0</v>
      </c>
    </row>
    <row r="1675" spans="6:8" ht="15.5" x14ac:dyDescent="0.35">
      <c r="F1675" s="20">
        <v>315328</v>
      </c>
      <c r="G1675" s="21" t="s">
        <v>2274</v>
      </c>
      <c r="H1675" s="22">
        <v>0</v>
      </c>
    </row>
    <row r="1676" spans="6:8" ht="15.5" x14ac:dyDescent="0.35">
      <c r="F1676" s="20">
        <v>315489</v>
      </c>
      <c r="G1676" s="21" t="s">
        <v>2275</v>
      </c>
      <c r="H1676" s="22">
        <v>0</v>
      </c>
    </row>
    <row r="1677" spans="6:8" ht="15.5" x14ac:dyDescent="0.35">
      <c r="F1677" s="20">
        <v>313595</v>
      </c>
      <c r="G1677" s="21" t="s">
        <v>2276</v>
      </c>
      <c r="H1677" s="22">
        <v>0</v>
      </c>
    </row>
    <row r="1678" spans="6:8" ht="15.5" x14ac:dyDescent="0.35">
      <c r="F1678" s="20">
        <v>311207</v>
      </c>
      <c r="G1678" s="21" t="s">
        <v>2277</v>
      </c>
      <c r="H1678" s="22">
        <v>0</v>
      </c>
    </row>
    <row r="1679" spans="6:8" ht="15.5" x14ac:dyDescent="0.35">
      <c r="F1679" s="20">
        <v>304473</v>
      </c>
      <c r="G1679" s="21" t="s">
        <v>2278</v>
      </c>
      <c r="H1679" s="22">
        <v>0</v>
      </c>
    </row>
    <row r="1680" spans="6:8" ht="15.5" x14ac:dyDescent="0.35">
      <c r="F1680" s="20">
        <v>308754</v>
      </c>
      <c r="G1680" s="21" t="s">
        <v>2279</v>
      </c>
      <c r="H1680" s="22">
        <v>0</v>
      </c>
    </row>
    <row r="1681" spans="6:8" ht="15.5" x14ac:dyDescent="0.35">
      <c r="F1681" s="20">
        <v>314440</v>
      </c>
      <c r="G1681" s="21" t="s">
        <v>2280</v>
      </c>
      <c r="H1681" s="22">
        <v>0</v>
      </c>
    </row>
    <row r="1682" spans="6:8" ht="15.5" x14ac:dyDescent="0.35">
      <c r="F1682" s="20">
        <v>314083</v>
      </c>
      <c r="G1682" s="21" t="s">
        <v>2281</v>
      </c>
      <c r="H1682" s="22">
        <v>0</v>
      </c>
    </row>
    <row r="1683" spans="6:8" ht="15.5" x14ac:dyDescent="0.35">
      <c r="F1683" s="20">
        <v>313825</v>
      </c>
      <c r="G1683" s="21" t="s">
        <v>2282</v>
      </c>
      <c r="H1683" s="22">
        <v>0</v>
      </c>
    </row>
    <row r="1684" spans="6:8" ht="15.5" x14ac:dyDescent="0.35">
      <c r="F1684" s="20">
        <v>316488</v>
      </c>
      <c r="G1684" s="21" t="s">
        <v>2283</v>
      </c>
      <c r="H1684" s="22">
        <v>0</v>
      </c>
    </row>
    <row r="1685" spans="6:8" ht="15.5" x14ac:dyDescent="0.35">
      <c r="F1685" s="20">
        <v>314202</v>
      </c>
      <c r="G1685" s="21" t="s">
        <v>2284</v>
      </c>
      <c r="H1685" s="22">
        <v>0</v>
      </c>
    </row>
    <row r="1686" spans="6:8" ht="15.5" x14ac:dyDescent="0.35">
      <c r="F1686" s="20">
        <v>302484</v>
      </c>
      <c r="G1686" s="21" t="s">
        <v>2285</v>
      </c>
      <c r="H1686" s="22">
        <v>0</v>
      </c>
    </row>
    <row r="1687" spans="6:8" ht="15.5" x14ac:dyDescent="0.35">
      <c r="F1687" s="20">
        <v>314752</v>
      </c>
      <c r="G1687" s="21" t="s">
        <v>2286</v>
      </c>
      <c r="H1687" s="22">
        <v>0</v>
      </c>
    </row>
    <row r="1688" spans="6:8" ht="15.5" x14ac:dyDescent="0.35">
      <c r="F1688" s="20">
        <v>90028638</v>
      </c>
      <c r="G1688" s="21" t="s">
        <v>2287</v>
      </c>
      <c r="H1688" s="22">
        <v>0</v>
      </c>
    </row>
    <row r="1689" spans="6:8" ht="15.5" x14ac:dyDescent="0.35">
      <c r="F1689" s="20">
        <v>308614</v>
      </c>
      <c r="G1689" s="21" t="s">
        <v>2288</v>
      </c>
      <c r="H1689" s="22">
        <v>0</v>
      </c>
    </row>
    <row r="1690" spans="6:8" ht="15.5" x14ac:dyDescent="0.35">
      <c r="F1690" s="20">
        <v>315222</v>
      </c>
      <c r="G1690" s="21" t="s">
        <v>2289</v>
      </c>
      <c r="H1690" s="22">
        <v>0</v>
      </c>
    </row>
    <row r="1691" spans="6:8" ht="15.5" x14ac:dyDescent="0.35">
      <c r="F1691" s="20">
        <v>315771</v>
      </c>
      <c r="G1691" s="21" t="s">
        <v>2290</v>
      </c>
      <c r="H1691" s="22">
        <v>0</v>
      </c>
    </row>
    <row r="1692" spans="6:8" ht="15.5" x14ac:dyDescent="0.35">
      <c r="F1692" s="20">
        <v>306213</v>
      </c>
      <c r="G1692" s="21" t="s">
        <v>2291</v>
      </c>
      <c r="H1692" s="22">
        <v>0</v>
      </c>
    </row>
    <row r="1693" spans="6:8" ht="15.5" x14ac:dyDescent="0.35">
      <c r="F1693" s="20">
        <v>315363</v>
      </c>
      <c r="G1693" s="21" t="s">
        <v>2292</v>
      </c>
      <c r="H1693" s="22">
        <v>0</v>
      </c>
    </row>
    <row r="1694" spans="6:8" ht="15.5" x14ac:dyDescent="0.35">
      <c r="F1694" s="20">
        <v>314162</v>
      </c>
      <c r="G1694" s="21" t="s">
        <v>2293</v>
      </c>
      <c r="H1694" s="22">
        <v>0</v>
      </c>
    </row>
    <row r="1695" spans="6:8" ht="15.5" x14ac:dyDescent="0.35">
      <c r="F1695" s="20">
        <v>311975</v>
      </c>
      <c r="G1695" s="21" t="s">
        <v>2294</v>
      </c>
      <c r="H1695" s="22">
        <v>0</v>
      </c>
    </row>
    <row r="1696" spans="6:8" ht="15.5" x14ac:dyDescent="0.35">
      <c r="F1696" s="20">
        <v>315897</v>
      </c>
      <c r="G1696" s="21" t="s">
        <v>2295</v>
      </c>
      <c r="H1696" s="22">
        <v>0</v>
      </c>
    </row>
    <row r="1697" spans="6:8" ht="15.5" x14ac:dyDescent="0.35">
      <c r="F1697" s="20">
        <v>300922</v>
      </c>
      <c r="G1697" s="21" t="s">
        <v>2296</v>
      </c>
      <c r="H1697" s="22">
        <v>0</v>
      </c>
    </row>
    <row r="1698" spans="6:8" ht="15.5" x14ac:dyDescent="0.35">
      <c r="F1698" s="20">
        <v>308519</v>
      </c>
      <c r="G1698" s="21" t="s">
        <v>2297</v>
      </c>
      <c r="H1698" s="22">
        <v>0</v>
      </c>
    </row>
    <row r="1699" spans="6:8" ht="15.5" x14ac:dyDescent="0.35">
      <c r="F1699" s="20">
        <v>314812</v>
      </c>
      <c r="G1699" s="21" t="s">
        <v>2298</v>
      </c>
      <c r="H1699" s="22">
        <v>0</v>
      </c>
    </row>
    <row r="1700" spans="6:8" ht="15.5" x14ac:dyDescent="0.35">
      <c r="F1700" s="20">
        <v>313834</v>
      </c>
      <c r="G1700" s="21" t="s">
        <v>2299</v>
      </c>
      <c r="H1700" s="22">
        <v>0</v>
      </c>
    </row>
    <row r="1701" spans="6:8" ht="15.5" x14ac:dyDescent="0.35">
      <c r="F1701" s="20">
        <v>90045743</v>
      </c>
      <c r="G1701" s="21" t="s">
        <v>2300</v>
      </c>
      <c r="H1701" s="22">
        <v>0</v>
      </c>
    </row>
    <row r="1702" spans="6:8" ht="15.5" x14ac:dyDescent="0.35">
      <c r="F1702" s="20">
        <v>304509</v>
      </c>
      <c r="G1702" s="21" t="s">
        <v>2301</v>
      </c>
      <c r="H1702" s="22">
        <v>0</v>
      </c>
    </row>
    <row r="1703" spans="6:8" ht="15.5" x14ac:dyDescent="0.35">
      <c r="F1703" s="20">
        <v>313479</v>
      </c>
      <c r="G1703" s="21" t="s">
        <v>2302</v>
      </c>
      <c r="H1703" s="22">
        <v>0</v>
      </c>
    </row>
    <row r="1704" spans="6:8" ht="15.5" x14ac:dyDescent="0.35">
      <c r="F1704" s="20">
        <v>316263</v>
      </c>
      <c r="G1704" s="21" t="s">
        <v>2303</v>
      </c>
      <c r="H1704" s="22">
        <v>0</v>
      </c>
    </row>
    <row r="1705" spans="6:8" ht="15.5" x14ac:dyDescent="0.35">
      <c r="F1705" s="20">
        <v>307904</v>
      </c>
      <c r="G1705" s="21" t="s">
        <v>2304</v>
      </c>
      <c r="H1705" s="22">
        <v>0</v>
      </c>
    </row>
    <row r="1706" spans="6:8" ht="15.5" x14ac:dyDescent="0.35">
      <c r="F1706" s="20">
        <v>312303</v>
      </c>
      <c r="G1706" s="21" t="s">
        <v>2305</v>
      </c>
      <c r="H1706" s="22">
        <v>0</v>
      </c>
    </row>
    <row r="1707" spans="6:8" ht="15.5" x14ac:dyDescent="0.35">
      <c r="F1707" s="20">
        <v>314124</v>
      </c>
      <c r="G1707" s="21" t="s">
        <v>2306</v>
      </c>
      <c r="H1707" s="22">
        <v>0</v>
      </c>
    </row>
    <row r="1708" spans="6:8" ht="15.5" x14ac:dyDescent="0.35">
      <c r="F1708" s="20">
        <v>315187</v>
      </c>
      <c r="G1708" s="21" t="s">
        <v>2307</v>
      </c>
      <c r="H1708" s="22">
        <v>0</v>
      </c>
    </row>
    <row r="1709" spans="6:8" ht="15.5" x14ac:dyDescent="0.35">
      <c r="F1709" s="20">
        <v>315361</v>
      </c>
      <c r="G1709" s="21" t="s">
        <v>2308</v>
      </c>
      <c r="H1709" s="22">
        <v>0</v>
      </c>
    </row>
    <row r="1710" spans="6:8" ht="15.5" x14ac:dyDescent="0.35">
      <c r="F1710" s="20">
        <v>314527</v>
      </c>
      <c r="G1710" s="21" t="s">
        <v>2309</v>
      </c>
      <c r="H1710" s="22">
        <v>0</v>
      </c>
    </row>
    <row r="1711" spans="6:8" ht="15.5" x14ac:dyDescent="0.35">
      <c r="F1711" s="20">
        <v>306713</v>
      </c>
      <c r="G1711" s="21" t="s">
        <v>2310</v>
      </c>
      <c r="H1711" s="22">
        <v>0</v>
      </c>
    </row>
    <row r="1712" spans="6:8" ht="15.5" x14ac:dyDescent="0.35">
      <c r="F1712" s="20">
        <v>315342</v>
      </c>
      <c r="G1712" s="21" t="s">
        <v>2311</v>
      </c>
      <c r="H1712" s="22">
        <v>0</v>
      </c>
    </row>
    <row r="1713" spans="6:8" ht="15.5" x14ac:dyDescent="0.35">
      <c r="F1713" s="20">
        <v>312257</v>
      </c>
      <c r="G1713" s="21" t="s">
        <v>2312</v>
      </c>
      <c r="H1713" s="22">
        <v>0</v>
      </c>
    </row>
    <row r="1714" spans="6:8" ht="15.5" x14ac:dyDescent="0.35">
      <c r="F1714" s="20">
        <v>314043</v>
      </c>
      <c r="G1714" s="21" t="s">
        <v>2313</v>
      </c>
      <c r="H1714" s="22">
        <v>0</v>
      </c>
    </row>
    <row r="1715" spans="6:8" ht="15.5" x14ac:dyDescent="0.35">
      <c r="F1715" s="20">
        <v>90028232</v>
      </c>
      <c r="G1715" s="21" t="s">
        <v>2314</v>
      </c>
      <c r="H1715" s="22">
        <v>0</v>
      </c>
    </row>
    <row r="1716" spans="6:8" ht="15.5" x14ac:dyDescent="0.35">
      <c r="F1716" s="20">
        <v>307113</v>
      </c>
      <c r="G1716" s="21" t="s">
        <v>2315</v>
      </c>
      <c r="H1716" s="22">
        <v>0</v>
      </c>
    </row>
    <row r="1717" spans="6:8" ht="15.5" x14ac:dyDescent="0.35">
      <c r="F1717" s="20">
        <v>303961</v>
      </c>
      <c r="G1717" s="21" t="s">
        <v>2316</v>
      </c>
      <c r="H1717" s="22">
        <v>0</v>
      </c>
    </row>
    <row r="1718" spans="6:8" ht="15.5" x14ac:dyDescent="0.35">
      <c r="F1718" s="20">
        <v>315299</v>
      </c>
      <c r="G1718" s="21" t="s">
        <v>2317</v>
      </c>
      <c r="H1718" s="22">
        <v>0</v>
      </c>
    </row>
    <row r="1719" spans="6:8" ht="15.5" x14ac:dyDescent="0.35">
      <c r="F1719" s="20">
        <v>308796</v>
      </c>
      <c r="G1719" s="21" t="s">
        <v>2318</v>
      </c>
      <c r="H1719" s="22">
        <v>0</v>
      </c>
    </row>
    <row r="1720" spans="6:8" ht="15.5" x14ac:dyDescent="0.35">
      <c r="F1720" s="20">
        <v>307862</v>
      </c>
      <c r="G1720" s="21" t="s">
        <v>2319</v>
      </c>
      <c r="H1720" s="22">
        <v>0</v>
      </c>
    </row>
    <row r="1721" spans="6:8" ht="15.5" x14ac:dyDescent="0.35">
      <c r="F1721" s="20">
        <v>314103</v>
      </c>
      <c r="G1721" s="21" t="s">
        <v>2320</v>
      </c>
      <c r="H1721" s="22">
        <v>0</v>
      </c>
    </row>
    <row r="1722" spans="6:8" ht="15.5" x14ac:dyDescent="0.35">
      <c r="F1722" s="20">
        <v>310734</v>
      </c>
      <c r="G1722" s="21" t="s">
        <v>2321</v>
      </c>
      <c r="H1722" s="22">
        <v>0</v>
      </c>
    </row>
    <row r="1723" spans="6:8" ht="15.5" x14ac:dyDescent="0.35">
      <c r="F1723" s="20">
        <v>309761</v>
      </c>
      <c r="G1723" s="21" t="s">
        <v>2322</v>
      </c>
      <c r="H1723" s="22">
        <v>0</v>
      </c>
    </row>
    <row r="1724" spans="6:8" ht="15.5" x14ac:dyDescent="0.35">
      <c r="F1724" s="20">
        <v>90014269</v>
      </c>
      <c r="G1724" s="21" t="s">
        <v>2323</v>
      </c>
      <c r="H1724" s="22">
        <v>0</v>
      </c>
    </row>
    <row r="1725" spans="6:8" ht="15.5" x14ac:dyDescent="0.35">
      <c r="F1725" s="20">
        <v>313396</v>
      </c>
      <c r="G1725" s="21" t="s">
        <v>2324</v>
      </c>
      <c r="H1725" s="22">
        <v>0</v>
      </c>
    </row>
    <row r="1726" spans="6:8" ht="15.5" x14ac:dyDescent="0.35">
      <c r="F1726" s="20">
        <v>90023803</v>
      </c>
      <c r="G1726" s="21" t="s">
        <v>2325</v>
      </c>
      <c r="H1726" s="22">
        <v>0</v>
      </c>
    </row>
    <row r="1727" spans="6:8" ht="15.5" x14ac:dyDescent="0.35">
      <c r="F1727" s="20">
        <v>90039514</v>
      </c>
      <c r="G1727" s="21" t="s">
        <v>2326</v>
      </c>
      <c r="H1727" s="22">
        <v>0</v>
      </c>
    </row>
    <row r="1728" spans="6:8" ht="15.5" x14ac:dyDescent="0.35">
      <c r="F1728" s="20">
        <v>310867</v>
      </c>
      <c r="G1728" s="21" t="s">
        <v>2327</v>
      </c>
      <c r="H1728" s="22">
        <v>0</v>
      </c>
    </row>
    <row r="1729" spans="6:8" ht="15.5" x14ac:dyDescent="0.35">
      <c r="F1729" s="20">
        <v>315760</v>
      </c>
      <c r="G1729" s="21" t="s">
        <v>2328</v>
      </c>
      <c r="H1729" s="22">
        <v>0</v>
      </c>
    </row>
    <row r="1730" spans="6:8" ht="15.5" x14ac:dyDescent="0.35">
      <c r="F1730" s="20">
        <v>310796</v>
      </c>
      <c r="G1730" s="21" t="s">
        <v>2329</v>
      </c>
      <c r="H1730" s="22">
        <v>0</v>
      </c>
    </row>
    <row r="1731" spans="6:8" ht="15.5" x14ac:dyDescent="0.35">
      <c r="F1731" s="20">
        <v>314563</v>
      </c>
      <c r="G1731" s="21" t="s">
        <v>2330</v>
      </c>
      <c r="H1731" s="22">
        <v>0</v>
      </c>
    </row>
    <row r="1732" spans="6:8" ht="15.5" x14ac:dyDescent="0.35">
      <c r="F1732" s="20">
        <v>304658</v>
      </c>
      <c r="G1732" s="21" t="s">
        <v>2331</v>
      </c>
      <c r="H1732" s="22">
        <v>0</v>
      </c>
    </row>
    <row r="1733" spans="6:8" ht="15.5" x14ac:dyDescent="0.35">
      <c r="F1733" s="20">
        <v>315181</v>
      </c>
      <c r="G1733" s="21" t="s">
        <v>2332</v>
      </c>
      <c r="H1733" s="22">
        <v>0</v>
      </c>
    </row>
    <row r="1734" spans="6:8" ht="15.5" x14ac:dyDescent="0.35">
      <c r="F1734" s="20">
        <v>311615</v>
      </c>
      <c r="G1734" s="21" t="s">
        <v>2333</v>
      </c>
      <c r="H1734" s="22">
        <v>0</v>
      </c>
    </row>
    <row r="1735" spans="6:8" ht="15.5" x14ac:dyDescent="0.35">
      <c r="F1735" s="20">
        <v>312044</v>
      </c>
      <c r="G1735" s="21" t="s">
        <v>2334</v>
      </c>
      <c r="H1735" s="22">
        <v>0</v>
      </c>
    </row>
    <row r="1736" spans="6:8" ht="15.5" x14ac:dyDescent="0.35">
      <c r="F1736" s="20">
        <v>313342</v>
      </c>
      <c r="G1736" s="21" t="s">
        <v>2335</v>
      </c>
      <c r="H1736" s="22">
        <v>0</v>
      </c>
    </row>
    <row r="1737" spans="6:8" ht="15.5" x14ac:dyDescent="0.35">
      <c r="F1737" s="20">
        <v>315810</v>
      </c>
      <c r="G1737" s="21" t="s">
        <v>2336</v>
      </c>
      <c r="H1737" s="22">
        <v>0</v>
      </c>
    </row>
    <row r="1738" spans="6:8" ht="15.5" x14ac:dyDescent="0.35">
      <c r="F1738" s="20">
        <v>312481</v>
      </c>
      <c r="G1738" s="21" t="s">
        <v>2337</v>
      </c>
      <c r="H1738" s="22">
        <v>0</v>
      </c>
    </row>
    <row r="1739" spans="6:8" ht="15.5" x14ac:dyDescent="0.35">
      <c r="F1739" s="20">
        <v>307582</v>
      </c>
      <c r="G1739" s="21" t="s">
        <v>2338</v>
      </c>
      <c r="H1739" s="22">
        <v>0</v>
      </c>
    </row>
    <row r="1740" spans="6:8" ht="15.5" x14ac:dyDescent="0.35">
      <c r="F1740" s="20">
        <v>316125</v>
      </c>
      <c r="G1740" s="21" t="s">
        <v>2339</v>
      </c>
      <c r="H1740" s="22">
        <v>0</v>
      </c>
    </row>
    <row r="1741" spans="6:8" ht="15.5" x14ac:dyDescent="0.35">
      <c r="F1741" s="20">
        <v>90024373</v>
      </c>
      <c r="G1741" s="21" t="s">
        <v>2340</v>
      </c>
      <c r="H1741" s="22">
        <v>0</v>
      </c>
    </row>
    <row r="1742" spans="6:8" ht="15.5" x14ac:dyDescent="0.35">
      <c r="F1742" s="20">
        <v>301669</v>
      </c>
      <c r="G1742" s="21" t="s">
        <v>2341</v>
      </c>
      <c r="H1742" s="22">
        <v>0</v>
      </c>
    </row>
    <row r="1743" spans="6:8" ht="15.5" x14ac:dyDescent="0.35">
      <c r="F1743" s="20">
        <v>309811</v>
      </c>
      <c r="G1743" s="21" t="s">
        <v>2342</v>
      </c>
      <c r="H1743" s="22">
        <v>0</v>
      </c>
    </row>
    <row r="1744" spans="6:8" ht="15.5" x14ac:dyDescent="0.35">
      <c r="F1744" s="20">
        <v>314136</v>
      </c>
      <c r="G1744" s="21" t="s">
        <v>2343</v>
      </c>
      <c r="H1744" s="22">
        <v>0</v>
      </c>
    </row>
    <row r="1745" spans="6:8" ht="15.5" x14ac:dyDescent="0.35">
      <c r="F1745" s="20">
        <v>315946</v>
      </c>
      <c r="G1745" s="21" t="s">
        <v>2344</v>
      </c>
      <c r="H1745" s="22">
        <v>0</v>
      </c>
    </row>
    <row r="1746" spans="6:8" ht="15.5" x14ac:dyDescent="0.35">
      <c r="F1746" s="20">
        <v>314358</v>
      </c>
      <c r="G1746" s="21" t="s">
        <v>2345</v>
      </c>
      <c r="H1746" s="22">
        <v>0</v>
      </c>
    </row>
    <row r="1747" spans="6:8" ht="15.5" x14ac:dyDescent="0.35">
      <c r="F1747" s="20">
        <v>315094</v>
      </c>
      <c r="G1747" s="21" t="s">
        <v>2346</v>
      </c>
      <c r="H1747" s="22">
        <v>0</v>
      </c>
    </row>
    <row r="1748" spans="6:8" ht="15.5" x14ac:dyDescent="0.35">
      <c r="F1748" s="20">
        <v>312835</v>
      </c>
      <c r="G1748" s="21" t="s">
        <v>2347</v>
      </c>
      <c r="H1748" s="22">
        <v>0</v>
      </c>
    </row>
    <row r="1749" spans="6:8" ht="15.5" x14ac:dyDescent="0.35">
      <c r="F1749" s="20">
        <v>90024021</v>
      </c>
      <c r="G1749" s="21" t="s">
        <v>2348</v>
      </c>
      <c r="H1749" s="22">
        <v>0</v>
      </c>
    </row>
    <row r="1750" spans="6:8" ht="15.5" x14ac:dyDescent="0.35">
      <c r="F1750" s="20">
        <v>90040633</v>
      </c>
      <c r="G1750" s="21" t="s">
        <v>2349</v>
      </c>
      <c r="H1750" s="22">
        <v>0</v>
      </c>
    </row>
    <row r="1751" spans="6:8" ht="15.5" x14ac:dyDescent="0.35">
      <c r="F1751" s="20">
        <v>314608</v>
      </c>
      <c r="G1751" s="21" t="s">
        <v>2350</v>
      </c>
      <c r="H1751" s="22">
        <v>0</v>
      </c>
    </row>
    <row r="1752" spans="6:8" ht="15.5" x14ac:dyDescent="0.35">
      <c r="F1752" s="20">
        <v>314041</v>
      </c>
      <c r="G1752" s="21" t="s">
        <v>2351</v>
      </c>
      <c r="H1752" s="22">
        <v>0</v>
      </c>
    </row>
    <row r="1753" spans="6:8" ht="15.5" x14ac:dyDescent="0.35">
      <c r="F1753" s="20">
        <v>90050230</v>
      </c>
      <c r="G1753" s="21" t="s">
        <v>2352</v>
      </c>
      <c r="H1753" s="22">
        <v>0</v>
      </c>
    </row>
    <row r="1754" spans="6:8" ht="15.5" x14ac:dyDescent="0.35">
      <c r="F1754" s="20">
        <v>90039148</v>
      </c>
      <c r="G1754" s="21" t="s">
        <v>2353</v>
      </c>
      <c r="H1754" s="22">
        <v>0</v>
      </c>
    </row>
    <row r="1755" spans="6:8" ht="15.5" x14ac:dyDescent="0.35">
      <c r="F1755" s="20">
        <v>313680</v>
      </c>
      <c r="G1755" s="21" t="s">
        <v>2354</v>
      </c>
      <c r="H1755" s="22">
        <v>0</v>
      </c>
    </row>
    <row r="1756" spans="6:8" ht="15.5" x14ac:dyDescent="0.35">
      <c r="F1756" s="20">
        <v>308478</v>
      </c>
      <c r="G1756" s="21" t="s">
        <v>2355</v>
      </c>
      <c r="H1756" s="22">
        <v>0</v>
      </c>
    </row>
    <row r="1757" spans="6:8" ht="15.5" x14ac:dyDescent="0.35">
      <c r="F1757" s="20">
        <v>90034745</v>
      </c>
      <c r="G1757" s="21" t="s">
        <v>2356</v>
      </c>
      <c r="H1757" s="22">
        <v>0</v>
      </c>
    </row>
    <row r="1758" spans="6:8" ht="15.5" x14ac:dyDescent="0.35">
      <c r="F1758" s="20">
        <v>316256</v>
      </c>
      <c r="G1758" s="21" t="s">
        <v>2357</v>
      </c>
      <c r="H1758" s="22">
        <v>0</v>
      </c>
    </row>
    <row r="1759" spans="6:8" ht="15.5" x14ac:dyDescent="0.35">
      <c r="F1759" s="20">
        <v>315216</v>
      </c>
      <c r="G1759" s="21" t="s">
        <v>2358</v>
      </c>
      <c r="H1759" s="22">
        <v>0</v>
      </c>
    </row>
    <row r="1760" spans="6:8" ht="15.5" x14ac:dyDescent="0.35">
      <c r="F1760" s="20">
        <v>312919</v>
      </c>
      <c r="G1760" s="21" t="s">
        <v>2359</v>
      </c>
      <c r="H1760" s="22">
        <v>0</v>
      </c>
    </row>
    <row r="1761" spans="6:8" ht="15.5" x14ac:dyDescent="0.35">
      <c r="F1761" s="20">
        <v>90012221</v>
      </c>
      <c r="G1761" s="21" t="s">
        <v>2360</v>
      </c>
      <c r="H1761" s="22">
        <v>0</v>
      </c>
    </row>
    <row r="1762" spans="6:8" ht="15.5" x14ac:dyDescent="0.35">
      <c r="F1762" s="20">
        <v>306192</v>
      </c>
      <c r="G1762" s="21" t="s">
        <v>2361</v>
      </c>
      <c r="H1762" s="22">
        <v>0</v>
      </c>
    </row>
    <row r="1763" spans="6:8" ht="15.5" x14ac:dyDescent="0.35">
      <c r="F1763" s="20">
        <v>311597</v>
      </c>
      <c r="G1763" s="21" t="s">
        <v>2362</v>
      </c>
      <c r="H1763" s="22">
        <v>0</v>
      </c>
    </row>
    <row r="1764" spans="6:8" ht="15.5" x14ac:dyDescent="0.35">
      <c r="F1764" s="20">
        <v>315916</v>
      </c>
      <c r="G1764" s="21" t="s">
        <v>2363</v>
      </c>
      <c r="H1764" s="22">
        <v>0</v>
      </c>
    </row>
    <row r="1765" spans="6:8" ht="15.5" x14ac:dyDescent="0.35">
      <c r="F1765" s="20">
        <v>315488</v>
      </c>
      <c r="G1765" s="21" t="s">
        <v>2364</v>
      </c>
      <c r="H1765" s="22">
        <v>0</v>
      </c>
    </row>
    <row r="1766" spans="6:8" ht="15.5" x14ac:dyDescent="0.35">
      <c r="F1766" s="20">
        <v>315464</v>
      </c>
      <c r="G1766" s="21" t="s">
        <v>2365</v>
      </c>
      <c r="H1766" s="22">
        <v>0</v>
      </c>
    </row>
    <row r="1767" spans="6:8" ht="15.5" x14ac:dyDescent="0.35">
      <c r="F1767" s="20">
        <v>315414</v>
      </c>
      <c r="G1767" s="21" t="s">
        <v>2366</v>
      </c>
      <c r="H1767" s="22">
        <v>0</v>
      </c>
    </row>
    <row r="1768" spans="6:8" ht="15.5" x14ac:dyDescent="0.35">
      <c r="F1768" s="20">
        <v>308315</v>
      </c>
      <c r="G1768" s="21" t="s">
        <v>2367</v>
      </c>
      <c r="H1768" s="22">
        <v>0</v>
      </c>
    </row>
    <row r="1769" spans="6:8" ht="15.5" x14ac:dyDescent="0.35">
      <c r="F1769" s="20">
        <v>306330</v>
      </c>
      <c r="G1769" s="21" t="s">
        <v>2368</v>
      </c>
      <c r="H1769" s="22">
        <v>0</v>
      </c>
    </row>
    <row r="1770" spans="6:8" ht="15.5" x14ac:dyDescent="0.35">
      <c r="F1770" s="20">
        <v>316023</v>
      </c>
      <c r="G1770" s="21" t="s">
        <v>2369</v>
      </c>
      <c r="H1770" s="22">
        <v>0</v>
      </c>
    </row>
    <row r="1771" spans="6:8" ht="15.5" x14ac:dyDescent="0.35">
      <c r="F1771" s="20">
        <v>90046433</v>
      </c>
      <c r="G1771" s="21" t="s">
        <v>2370</v>
      </c>
      <c r="H1771" s="22">
        <v>0</v>
      </c>
    </row>
    <row r="1772" spans="6:8" ht="15.5" x14ac:dyDescent="0.35">
      <c r="F1772" s="20">
        <v>90024787</v>
      </c>
      <c r="G1772" s="21" t="s">
        <v>2371</v>
      </c>
      <c r="H1772" s="22">
        <v>0</v>
      </c>
    </row>
    <row r="1773" spans="6:8" ht="15.5" x14ac:dyDescent="0.35">
      <c r="F1773" s="20">
        <v>315046</v>
      </c>
      <c r="G1773" s="21" t="s">
        <v>2372</v>
      </c>
      <c r="H1773" s="22">
        <v>0</v>
      </c>
    </row>
    <row r="1774" spans="6:8" ht="15.5" x14ac:dyDescent="0.35">
      <c r="F1774" s="20">
        <v>314383</v>
      </c>
      <c r="G1774" s="21" t="s">
        <v>2373</v>
      </c>
      <c r="H1774" s="22">
        <v>0</v>
      </c>
    </row>
    <row r="1775" spans="6:8" ht="15.5" x14ac:dyDescent="0.35">
      <c r="F1775" s="20">
        <v>90050463</v>
      </c>
      <c r="G1775" s="21" t="s">
        <v>2374</v>
      </c>
      <c r="H1775" s="22">
        <v>0</v>
      </c>
    </row>
    <row r="1776" spans="6:8" ht="15.5" x14ac:dyDescent="0.35">
      <c r="F1776" s="20">
        <v>314419</v>
      </c>
      <c r="G1776" s="21" t="s">
        <v>2375</v>
      </c>
      <c r="H1776" s="22">
        <v>0</v>
      </c>
    </row>
    <row r="1777" spans="6:8" ht="15.5" x14ac:dyDescent="0.35">
      <c r="F1777" s="20">
        <v>315833</v>
      </c>
      <c r="G1777" s="21" t="s">
        <v>2376</v>
      </c>
      <c r="H1777" s="22">
        <v>0</v>
      </c>
    </row>
    <row r="1778" spans="6:8" ht="15.5" x14ac:dyDescent="0.35">
      <c r="F1778" s="20">
        <v>316193</v>
      </c>
      <c r="G1778" s="21" t="s">
        <v>2377</v>
      </c>
      <c r="H1778" s="22">
        <v>0</v>
      </c>
    </row>
    <row r="1779" spans="6:8" ht="15.5" x14ac:dyDescent="0.35">
      <c r="F1779" s="20">
        <v>90050627</v>
      </c>
      <c r="G1779" s="21" t="s">
        <v>2378</v>
      </c>
      <c r="H1779" s="22">
        <v>0</v>
      </c>
    </row>
    <row r="1780" spans="6:8" ht="15.5" x14ac:dyDescent="0.35">
      <c r="F1780" s="20">
        <v>90028367</v>
      </c>
      <c r="G1780" s="21" t="s">
        <v>2379</v>
      </c>
      <c r="H1780" s="22">
        <v>0</v>
      </c>
    </row>
    <row r="1781" spans="6:8" ht="15.5" x14ac:dyDescent="0.35">
      <c r="F1781" s="20">
        <v>90023915</v>
      </c>
      <c r="G1781" s="21" t="s">
        <v>2380</v>
      </c>
      <c r="H1781" s="22">
        <v>0</v>
      </c>
    </row>
    <row r="1782" spans="6:8" ht="15.5" x14ac:dyDescent="0.35">
      <c r="F1782" s="20">
        <v>309455</v>
      </c>
      <c r="G1782" s="21" t="s">
        <v>2381</v>
      </c>
      <c r="H1782" s="22">
        <v>0</v>
      </c>
    </row>
    <row r="1783" spans="6:8" ht="15.5" x14ac:dyDescent="0.35">
      <c r="F1783" s="20">
        <v>316237</v>
      </c>
      <c r="G1783" s="21" t="s">
        <v>2382</v>
      </c>
      <c r="H1783" s="22">
        <v>0</v>
      </c>
    </row>
    <row r="1784" spans="6:8" ht="15.5" x14ac:dyDescent="0.35">
      <c r="F1784" s="20">
        <v>310240</v>
      </c>
      <c r="G1784" s="21" t="s">
        <v>2383</v>
      </c>
      <c r="H1784" s="22">
        <v>0</v>
      </c>
    </row>
    <row r="1785" spans="6:8" ht="15.5" x14ac:dyDescent="0.35">
      <c r="F1785" s="20">
        <v>309792</v>
      </c>
      <c r="G1785" s="21" t="s">
        <v>2384</v>
      </c>
      <c r="H1785" s="22">
        <v>0</v>
      </c>
    </row>
    <row r="1786" spans="6:8" ht="15.5" x14ac:dyDescent="0.35">
      <c r="F1786" s="20">
        <v>311583</v>
      </c>
      <c r="G1786" s="21" t="s">
        <v>2385</v>
      </c>
      <c r="H1786" s="22">
        <v>0</v>
      </c>
    </row>
    <row r="1787" spans="6:8" ht="15.5" x14ac:dyDescent="0.35">
      <c r="F1787" s="20">
        <v>315128</v>
      </c>
      <c r="G1787" s="21" t="s">
        <v>2386</v>
      </c>
      <c r="H1787" s="22">
        <v>0</v>
      </c>
    </row>
    <row r="1788" spans="6:8" ht="15.5" x14ac:dyDescent="0.35">
      <c r="F1788" s="20">
        <v>315944</v>
      </c>
      <c r="G1788" s="21" t="s">
        <v>2387</v>
      </c>
      <c r="H1788" s="22">
        <v>0</v>
      </c>
    </row>
    <row r="1789" spans="6:8" ht="15.5" x14ac:dyDescent="0.35">
      <c r="F1789" s="20">
        <v>309571</v>
      </c>
      <c r="G1789" s="21" t="s">
        <v>2388</v>
      </c>
      <c r="H1789" s="22">
        <v>0</v>
      </c>
    </row>
    <row r="1790" spans="6:8" ht="15.5" x14ac:dyDescent="0.35">
      <c r="F1790" s="20">
        <v>314990</v>
      </c>
      <c r="G1790" s="21" t="s">
        <v>2389</v>
      </c>
      <c r="H1790" s="22">
        <v>0</v>
      </c>
    </row>
    <row r="1791" spans="6:8" ht="15.5" x14ac:dyDescent="0.35">
      <c r="F1791" s="20">
        <v>90019623</v>
      </c>
      <c r="G1791" s="21" t="s">
        <v>2390</v>
      </c>
      <c r="H1791" s="22">
        <v>0</v>
      </c>
    </row>
    <row r="1792" spans="6:8" ht="15.5" x14ac:dyDescent="0.35">
      <c r="F1792" s="20">
        <v>90049041</v>
      </c>
      <c r="G1792" s="21" t="s">
        <v>2391</v>
      </c>
      <c r="H1792" s="22">
        <v>0</v>
      </c>
    </row>
    <row r="1793" spans="6:8" ht="15.5" x14ac:dyDescent="0.35">
      <c r="F1793" s="20">
        <v>311233</v>
      </c>
      <c r="G1793" s="21" t="s">
        <v>2392</v>
      </c>
      <c r="H1793" s="22">
        <v>0</v>
      </c>
    </row>
    <row r="1794" spans="6:8" ht="15.5" x14ac:dyDescent="0.35">
      <c r="F1794" s="20">
        <v>305630</v>
      </c>
      <c r="G1794" s="21" t="s">
        <v>2393</v>
      </c>
      <c r="H1794" s="22">
        <v>0</v>
      </c>
    </row>
    <row r="1795" spans="6:8" ht="15.5" x14ac:dyDescent="0.35">
      <c r="F1795" s="20">
        <v>315848</v>
      </c>
      <c r="G1795" s="21" t="s">
        <v>2394</v>
      </c>
      <c r="H1795" s="22">
        <v>0</v>
      </c>
    </row>
    <row r="1796" spans="6:8" ht="15.5" x14ac:dyDescent="0.35">
      <c r="F1796" s="20">
        <v>315325</v>
      </c>
      <c r="G1796" s="21" t="s">
        <v>2395</v>
      </c>
      <c r="H1796" s="22">
        <v>0</v>
      </c>
    </row>
    <row r="1797" spans="6:8" ht="15.5" x14ac:dyDescent="0.35">
      <c r="F1797" s="20">
        <v>316306</v>
      </c>
      <c r="G1797" s="21" t="s">
        <v>2396</v>
      </c>
      <c r="H1797" s="22">
        <v>0</v>
      </c>
    </row>
    <row r="1798" spans="6:8" ht="15.5" x14ac:dyDescent="0.35">
      <c r="F1798" s="20">
        <v>313196</v>
      </c>
      <c r="G1798" s="21" t="s">
        <v>2397</v>
      </c>
      <c r="H1798" s="22">
        <v>0</v>
      </c>
    </row>
    <row r="1799" spans="6:8" ht="15.5" x14ac:dyDescent="0.35">
      <c r="F1799" s="20">
        <v>315310</v>
      </c>
      <c r="G1799" s="21" t="s">
        <v>2398</v>
      </c>
      <c r="H1799" s="22">
        <v>0</v>
      </c>
    </row>
    <row r="1800" spans="6:8" ht="15.5" x14ac:dyDescent="0.35">
      <c r="F1800" s="20">
        <v>314265</v>
      </c>
      <c r="G1800" s="21" t="s">
        <v>2399</v>
      </c>
      <c r="H1800" s="22">
        <v>0</v>
      </c>
    </row>
    <row r="1801" spans="6:8" ht="15.5" x14ac:dyDescent="0.35">
      <c r="F1801" s="20">
        <v>313724</v>
      </c>
      <c r="G1801" s="21" t="s">
        <v>2400</v>
      </c>
      <c r="H1801" s="22">
        <v>0</v>
      </c>
    </row>
    <row r="1802" spans="6:8" ht="15.5" x14ac:dyDescent="0.35">
      <c r="F1802" s="20">
        <v>315406</v>
      </c>
      <c r="G1802" s="21" t="s">
        <v>2401</v>
      </c>
      <c r="H1802" s="22">
        <v>0</v>
      </c>
    </row>
    <row r="1803" spans="6:8" ht="15.5" x14ac:dyDescent="0.35">
      <c r="F1803" s="20">
        <v>307198</v>
      </c>
      <c r="G1803" s="21" t="s">
        <v>2402</v>
      </c>
      <c r="H1803" s="22">
        <v>0</v>
      </c>
    </row>
    <row r="1804" spans="6:8" ht="15.5" x14ac:dyDescent="0.35">
      <c r="F1804" s="20">
        <v>315252</v>
      </c>
      <c r="G1804" s="21" t="s">
        <v>2403</v>
      </c>
      <c r="H1804" s="22">
        <v>0</v>
      </c>
    </row>
    <row r="1805" spans="6:8" ht="15.5" x14ac:dyDescent="0.35">
      <c r="F1805" s="20">
        <v>313732</v>
      </c>
      <c r="G1805" s="21" t="s">
        <v>2404</v>
      </c>
      <c r="H1805" s="22">
        <v>0</v>
      </c>
    </row>
    <row r="1806" spans="6:8" ht="15.5" x14ac:dyDescent="0.35">
      <c r="F1806" s="20">
        <v>314027</v>
      </c>
      <c r="G1806" s="21" t="s">
        <v>2405</v>
      </c>
      <c r="H1806" s="22">
        <v>0</v>
      </c>
    </row>
    <row r="1807" spans="6:8" ht="15.5" x14ac:dyDescent="0.35">
      <c r="F1807" s="20">
        <v>90009508</v>
      </c>
      <c r="G1807" s="21" t="s">
        <v>2406</v>
      </c>
      <c r="H1807" s="22">
        <v>0</v>
      </c>
    </row>
    <row r="1808" spans="6:8" ht="15.5" x14ac:dyDescent="0.35">
      <c r="F1808" s="20">
        <v>301129</v>
      </c>
      <c r="G1808" s="21" t="s">
        <v>2407</v>
      </c>
      <c r="H1808" s="22">
        <v>0</v>
      </c>
    </row>
    <row r="1809" spans="6:8" ht="15.5" x14ac:dyDescent="0.35">
      <c r="F1809" s="20">
        <v>90040610</v>
      </c>
      <c r="G1809" s="21" t="s">
        <v>2408</v>
      </c>
      <c r="H1809" s="22">
        <v>0</v>
      </c>
    </row>
    <row r="1810" spans="6:8" ht="15.5" x14ac:dyDescent="0.35">
      <c r="F1810" s="20">
        <v>311474</v>
      </c>
      <c r="G1810" s="21" t="s">
        <v>2409</v>
      </c>
      <c r="H1810" s="22">
        <v>0</v>
      </c>
    </row>
    <row r="1811" spans="6:8" ht="15.5" x14ac:dyDescent="0.35">
      <c r="F1811" s="20">
        <v>300296</v>
      </c>
      <c r="G1811" s="21" t="s">
        <v>2410</v>
      </c>
      <c r="H1811" s="22">
        <v>0</v>
      </c>
    </row>
    <row r="1812" spans="6:8" ht="15.5" x14ac:dyDescent="0.35">
      <c r="F1812" s="20">
        <v>90012077</v>
      </c>
      <c r="G1812" s="21" t="s">
        <v>2411</v>
      </c>
      <c r="H1812" s="22">
        <v>0</v>
      </c>
    </row>
    <row r="1813" spans="6:8" ht="15.5" x14ac:dyDescent="0.35">
      <c r="F1813" s="20">
        <v>312356</v>
      </c>
      <c r="G1813" s="21" t="s">
        <v>2412</v>
      </c>
      <c r="H1813" s="22">
        <v>0</v>
      </c>
    </row>
    <row r="1814" spans="6:8" ht="15.5" x14ac:dyDescent="0.35">
      <c r="F1814" s="20">
        <v>313800</v>
      </c>
      <c r="G1814" s="21" t="s">
        <v>2413</v>
      </c>
      <c r="H1814" s="22">
        <v>0</v>
      </c>
    </row>
    <row r="1815" spans="6:8" ht="15.5" x14ac:dyDescent="0.35">
      <c r="F1815" s="20">
        <v>311569</v>
      </c>
      <c r="G1815" s="21" t="s">
        <v>2414</v>
      </c>
      <c r="H1815" s="22">
        <v>0</v>
      </c>
    </row>
    <row r="1816" spans="6:8" ht="15.5" x14ac:dyDescent="0.35">
      <c r="F1816" s="20">
        <v>313095</v>
      </c>
      <c r="G1816" s="21" t="s">
        <v>2415</v>
      </c>
      <c r="H1816" s="22">
        <v>0</v>
      </c>
    </row>
    <row r="1817" spans="6:8" ht="15.5" x14ac:dyDescent="0.35">
      <c r="F1817" s="20">
        <v>300191</v>
      </c>
      <c r="G1817" s="21" t="s">
        <v>2416</v>
      </c>
      <c r="H1817" s="22">
        <v>0</v>
      </c>
    </row>
    <row r="1818" spans="6:8" ht="15.5" x14ac:dyDescent="0.35">
      <c r="F1818" s="20">
        <v>314226</v>
      </c>
      <c r="G1818" s="21" t="s">
        <v>2417</v>
      </c>
      <c r="H1818" s="22">
        <v>0</v>
      </c>
    </row>
    <row r="1819" spans="6:8" ht="15.5" x14ac:dyDescent="0.35">
      <c r="F1819" s="20">
        <v>90020674</v>
      </c>
      <c r="G1819" s="21" t="s">
        <v>2418</v>
      </c>
      <c r="H1819" s="22">
        <v>0</v>
      </c>
    </row>
    <row r="1820" spans="6:8" ht="15.5" x14ac:dyDescent="0.35">
      <c r="F1820" s="20">
        <v>315362</v>
      </c>
      <c r="G1820" s="21" t="s">
        <v>2419</v>
      </c>
      <c r="H1820" s="22">
        <v>0</v>
      </c>
    </row>
    <row r="1821" spans="6:8" ht="15.5" x14ac:dyDescent="0.35">
      <c r="F1821" s="20">
        <v>306697</v>
      </c>
      <c r="G1821" s="21" t="s">
        <v>2420</v>
      </c>
      <c r="H1821" s="22">
        <v>0</v>
      </c>
    </row>
    <row r="1822" spans="6:8" ht="15.5" x14ac:dyDescent="0.35">
      <c r="F1822" s="20">
        <v>302866</v>
      </c>
      <c r="G1822" s="21" t="s">
        <v>2421</v>
      </c>
      <c r="H1822" s="22">
        <v>0</v>
      </c>
    </row>
    <row r="1823" spans="6:8" ht="15.5" x14ac:dyDescent="0.35">
      <c r="F1823" s="20">
        <v>309515</v>
      </c>
      <c r="G1823" s="21" t="s">
        <v>2422</v>
      </c>
      <c r="H1823" s="22">
        <v>0</v>
      </c>
    </row>
    <row r="1824" spans="6:8" ht="15.5" x14ac:dyDescent="0.35">
      <c r="F1824" s="20">
        <v>314180</v>
      </c>
      <c r="G1824" s="21" t="s">
        <v>2423</v>
      </c>
      <c r="H1824" s="22">
        <v>0</v>
      </c>
    </row>
    <row r="1825" spans="6:10" ht="15.5" x14ac:dyDescent="0.35">
      <c r="F1825" s="20">
        <v>314734</v>
      </c>
      <c r="G1825" s="21" t="s">
        <v>2424</v>
      </c>
      <c r="H1825" s="22">
        <v>0</v>
      </c>
    </row>
    <row r="1826" spans="6:10" ht="15.5" x14ac:dyDescent="0.35">
      <c r="F1826" s="20">
        <v>309750</v>
      </c>
      <c r="G1826" s="21" t="s">
        <v>2425</v>
      </c>
      <c r="H1826" s="22">
        <v>0</v>
      </c>
    </row>
    <row r="1827" spans="6:10" ht="15.5" x14ac:dyDescent="0.35">
      <c r="F1827" s="20">
        <v>311686</v>
      </c>
      <c r="G1827" s="21" t="s">
        <v>2426</v>
      </c>
      <c r="H1827" s="22">
        <v>0</v>
      </c>
    </row>
    <row r="1828" spans="6:10" ht="15.5" x14ac:dyDescent="0.35">
      <c r="F1828" s="20">
        <v>315351</v>
      </c>
      <c r="G1828" s="21" t="s">
        <v>2427</v>
      </c>
      <c r="H1828" s="22">
        <v>0</v>
      </c>
      <c r="I1828" s="29"/>
      <c r="J1828" s="29"/>
    </row>
    <row r="1829" spans="6:10" ht="15.5" x14ac:dyDescent="0.35">
      <c r="F1829" s="20">
        <v>90034563</v>
      </c>
      <c r="G1829" s="21" t="s">
        <v>2428</v>
      </c>
      <c r="H1829" s="22">
        <v>0</v>
      </c>
      <c r="I1829" s="29"/>
      <c r="J1829" s="29"/>
    </row>
    <row r="1830" spans="6:10" ht="15.5" x14ac:dyDescent="0.35">
      <c r="F1830" s="20">
        <v>90029079</v>
      </c>
      <c r="G1830" s="21" t="s">
        <v>2429</v>
      </c>
      <c r="H1830" s="22">
        <v>0</v>
      </c>
    </row>
    <row r="1831" spans="6:10" ht="15.5" x14ac:dyDescent="0.35">
      <c r="F1831" s="20">
        <v>311755</v>
      </c>
      <c r="G1831" s="21" t="s">
        <v>2430</v>
      </c>
      <c r="H1831" s="22">
        <v>0</v>
      </c>
    </row>
    <row r="1832" spans="6:10" ht="15.5" x14ac:dyDescent="0.35">
      <c r="F1832" s="20">
        <v>313660</v>
      </c>
      <c r="G1832" s="21" t="s">
        <v>2431</v>
      </c>
      <c r="H1832" s="22">
        <v>0</v>
      </c>
    </row>
    <row r="1833" spans="6:10" ht="15.5" x14ac:dyDescent="0.35">
      <c r="F1833" s="20">
        <v>314169</v>
      </c>
      <c r="G1833" s="21" t="s">
        <v>2432</v>
      </c>
      <c r="H1833" s="22">
        <v>0</v>
      </c>
    </row>
    <row r="1834" spans="6:10" ht="15.5" x14ac:dyDescent="0.35">
      <c r="F1834" s="20">
        <v>314341</v>
      </c>
      <c r="G1834" s="21" t="s">
        <v>2433</v>
      </c>
      <c r="H1834" s="22">
        <v>0</v>
      </c>
    </row>
    <row r="1835" spans="6:10" ht="15.5" x14ac:dyDescent="0.35">
      <c r="F1835" s="20">
        <v>90040424</v>
      </c>
      <c r="G1835" s="21" t="s">
        <v>2434</v>
      </c>
      <c r="H1835" s="22">
        <v>0</v>
      </c>
    </row>
    <row r="1836" spans="6:10" ht="15.5" x14ac:dyDescent="0.35">
      <c r="F1836" s="20">
        <v>314050</v>
      </c>
      <c r="G1836" s="21" t="s">
        <v>2435</v>
      </c>
      <c r="H1836" s="22">
        <v>0</v>
      </c>
    </row>
    <row r="1837" spans="6:10" ht="15.5" x14ac:dyDescent="0.35">
      <c r="F1837" s="20">
        <v>90034450</v>
      </c>
      <c r="G1837" s="21" t="s">
        <v>2436</v>
      </c>
      <c r="H1837" s="22">
        <v>0</v>
      </c>
    </row>
    <row r="1838" spans="6:10" ht="15.5" x14ac:dyDescent="0.35">
      <c r="F1838" s="20">
        <v>311273</v>
      </c>
      <c r="G1838" s="21" t="s">
        <v>2437</v>
      </c>
      <c r="H1838" s="22">
        <v>0</v>
      </c>
    </row>
    <row r="1839" spans="6:10" ht="15.5" x14ac:dyDescent="0.35">
      <c r="F1839" s="20">
        <v>90028724</v>
      </c>
      <c r="G1839" s="21" t="s">
        <v>2438</v>
      </c>
      <c r="H1839" s="22">
        <v>0</v>
      </c>
    </row>
    <row r="1840" spans="6:10" ht="15.5" x14ac:dyDescent="0.35">
      <c r="F1840" s="20">
        <v>312576</v>
      </c>
      <c r="G1840" s="21" t="s">
        <v>2439</v>
      </c>
      <c r="H1840" s="22">
        <v>0</v>
      </c>
    </row>
    <row r="1841" spans="6:8" ht="15.5" x14ac:dyDescent="0.35">
      <c r="F1841" s="20">
        <v>90024370</v>
      </c>
      <c r="G1841" s="21" t="s">
        <v>2440</v>
      </c>
      <c r="H1841" s="22">
        <v>0</v>
      </c>
    </row>
    <row r="1842" spans="6:8" ht="15.5" x14ac:dyDescent="0.35">
      <c r="F1842" s="20">
        <v>314530</v>
      </c>
      <c r="G1842" s="21" t="s">
        <v>2441</v>
      </c>
      <c r="H1842" s="22">
        <v>0</v>
      </c>
    </row>
    <row r="1843" spans="6:8" ht="15.5" x14ac:dyDescent="0.35">
      <c r="F1843" s="20">
        <v>90034868</v>
      </c>
      <c r="G1843" s="21" t="s">
        <v>2442</v>
      </c>
      <c r="H1843" s="22">
        <v>0</v>
      </c>
    </row>
    <row r="1844" spans="6:8" ht="15.5" x14ac:dyDescent="0.35">
      <c r="F1844" s="20">
        <v>315099</v>
      </c>
      <c r="G1844" s="21" t="s">
        <v>2443</v>
      </c>
      <c r="H1844" s="22">
        <v>0</v>
      </c>
    </row>
    <row r="1845" spans="6:8" ht="15.5" x14ac:dyDescent="0.35">
      <c r="F1845" s="20">
        <v>311405</v>
      </c>
      <c r="G1845" s="21" t="s">
        <v>2444</v>
      </c>
      <c r="H1845" s="22">
        <v>0</v>
      </c>
    </row>
    <row r="1846" spans="6:8" ht="15.5" x14ac:dyDescent="0.35">
      <c r="F1846" s="20">
        <v>314803</v>
      </c>
      <c r="G1846" s="21" t="s">
        <v>2445</v>
      </c>
      <c r="H1846" s="22">
        <v>0</v>
      </c>
    </row>
    <row r="1847" spans="6:8" ht="15.5" x14ac:dyDescent="0.35">
      <c r="F1847" s="20">
        <v>315370</v>
      </c>
      <c r="G1847" s="21" t="s">
        <v>2446</v>
      </c>
      <c r="H1847" s="22">
        <v>0</v>
      </c>
    </row>
    <row r="1848" spans="6:8" ht="15.5" x14ac:dyDescent="0.35">
      <c r="F1848" s="20">
        <v>90014281</v>
      </c>
      <c r="G1848" s="21" t="s">
        <v>2447</v>
      </c>
      <c r="H1848" s="22">
        <v>0</v>
      </c>
    </row>
    <row r="1849" spans="6:8" ht="15.5" x14ac:dyDescent="0.35">
      <c r="F1849" s="20">
        <v>315366</v>
      </c>
      <c r="G1849" s="21" t="s">
        <v>2448</v>
      </c>
      <c r="H1849" s="22">
        <v>0</v>
      </c>
    </row>
    <row r="1850" spans="6:8" ht="15.5" x14ac:dyDescent="0.35">
      <c r="F1850" s="20">
        <v>314762</v>
      </c>
      <c r="G1850" s="21" t="s">
        <v>2449</v>
      </c>
      <c r="H1850" s="22">
        <v>0</v>
      </c>
    </row>
    <row r="1851" spans="6:8" ht="15.5" x14ac:dyDescent="0.35">
      <c r="F1851" s="20">
        <v>306487</v>
      </c>
      <c r="G1851" s="21" t="s">
        <v>2450</v>
      </c>
      <c r="H1851" s="22">
        <v>0</v>
      </c>
    </row>
    <row r="1852" spans="6:8" ht="15.5" x14ac:dyDescent="0.35">
      <c r="F1852" s="20">
        <v>315445</v>
      </c>
      <c r="G1852" s="21" t="s">
        <v>2451</v>
      </c>
      <c r="H1852" s="22">
        <v>0</v>
      </c>
    </row>
    <row r="1853" spans="6:8" ht="15.5" x14ac:dyDescent="0.35">
      <c r="F1853" s="20">
        <v>312708</v>
      </c>
      <c r="G1853" s="21" t="s">
        <v>2452</v>
      </c>
      <c r="H1853" s="22">
        <v>0</v>
      </c>
    </row>
    <row r="1854" spans="6:8" ht="15.5" x14ac:dyDescent="0.35">
      <c r="F1854" s="20">
        <v>313661</v>
      </c>
      <c r="G1854" s="21" t="s">
        <v>2453</v>
      </c>
      <c r="H1854" s="22">
        <v>0</v>
      </c>
    </row>
    <row r="1855" spans="6:8" ht="15.5" x14ac:dyDescent="0.35">
      <c r="F1855" s="20">
        <v>313107</v>
      </c>
      <c r="G1855" s="21" t="s">
        <v>2454</v>
      </c>
      <c r="H1855" s="22">
        <v>0</v>
      </c>
    </row>
    <row r="1856" spans="6:8" ht="15.5" x14ac:dyDescent="0.35">
      <c r="F1856" s="20">
        <v>311902</v>
      </c>
      <c r="G1856" s="21" t="s">
        <v>2455</v>
      </c>
      <c r="H1856" s="22">
        <v>0</v>
      </c>
    </row>
    <row r="1857" spans="6:8" ht="15.5" x14ac:dyDescent="0.35">
      <c r="F1857" s="20">
        <v>314302</v>
      </c>
      <c r="G1857" s="21" t="s">
        <v>2456</v>
      </c>
      <c r="H1857" s="22">
        <v>0</v>
      </c>
    </row>
    <row r="1858" spans="6:8" ht="15.5" x14ac:dyDescent="0.35">
      <c r="F1858" s="20">
        <v>314737</v>
      </c>
      <c r="G1858" s="21" t="s">
        <v>2457</v>
      </c>
      <c r="H1858" s="22">
        <v>0</v>
      </c>
    </row>
    <row r="1859" spans="6:8" ht="15.5" x14ac:dyDescent="0.35">
      <c r="F1859" s="20">
        <v>313251</v>
      </c>
      <c r="G1859" s="21" t="s">
        <v>2458</v>
      </c>
      <c r="H1859" s="22">
        <v>0</v>
      </c>
    </row>
    <row r="1860" spans="6:8" ht="15.5" x14ac:dyDescent="0.35">
      <c r="F1860" s="20">
        <v>90024489</v>
      </c>
      <c r="G1860" s="21" t="s">
        <v>2459</v>
      </c>
      <c r="H1860" s="22">
        <v>0</v>
      </c>
    </row>
    <row r="1861" spans="6:8" ht="15.5" x14ac:dyDescent="0.35">
      <c r="F1861" s="20">
        <v>102171</v>
      </c>
      <c r="G1861" s="21" t="s">
        <v>2460</v>
      </c>
      <c r="H1861" s="22">
        <v>0</v>
      </c>
    </row>
    <row r="1862" spans="6:8" ht="15.5" x14ac:dyDescent="0.35">
      <c r="F1862" s="20">
        <v>309842</v>
      </c>
      <c r="G1862" s="21" t="s">
        <v>2461</v>
      </c>
      <c r="H1862" s="22">
        <v>0</v>
      </c>
    </row>
    <row r="1863" spans="6:8" ht="15.5" x14ac:dyDescent="0.35">
      <c r="F1863" s="20">
        <v>312996</v>
      </c>
      <c r="G1863" s="21" t="s">
        <v>2462</v>
      </c>
      <c r="H1863" s="22">
        <v>0</v>
      </c>
    </row>
    <row r="1864" spans="6:8" ht="15.5" x14ac:dyDescent="0.35">
      <c r="F1864" s="20">
        <v>310203</v>
      </c>
      <c r="G1864" s="21" t="s">
        <v>2463</v>
      </c>
      <c r="H1864" s="22">
        <v>0</v>
      </c>
    </row>
    <row r="1865" spans="6:8" ht="15.5" x14ac:dyDescent="0.35">
      <c r="F1865" s="20">
        <v>316083</v>
      </c>
      <c r="G1865" s="21" t="s">
        <v>2464</v>
      </c>
      <c r="H1865" s="22">
        <v>0</v>
      </c>
    </row>
    <row r="1866" spans="6:8" ht="15.5" x14ac:dyDescent="0.35">
      <c r="F1866" s="20">
        <v>90039140</v>
      </c>
      <c r="G1866" s="21" t="s">
        <v>2465</v>
      </c>
      <c r="H1866" s="22">
        <v>0</v>
      </c>
    </row>
    <row r="1867" spans="6:8" ht="15.5" x14ac:dyDescent="0.35">
      <c r="F1867" s="20">
        <v>90033335</v>
      </c>
      <c r="G1867" s="21" t="s">
        <v>2466</v>
      </c>
      <c r="H1867" s="22">
        <v>0</v>
      </c>
    </row>
    <row r="1868" spans="6:8" ht="15.5" x14ac:dyDescent="0.35">
      <c r="F1868" s="20">
        <v>314966</v>
      </c>
      <c r="G1868" s="21" t="s">
        <v>2467</v>
      </c>
      <c r="H1868" s="22">
        <v>0</v>
      </c>
    </row>
    <row r="1869" spans="6:8" ht="15.5" x14ac:dyDescent="0.35">
      <c r="F1869" s="20">
        <v>314089</v>
      </c>
      <c r="G1869" s="21" t="s">
        <v>2468</v>
      </c>
      <c r="H1869" s="22">
        <v>0</v>
      </c>
    </row>
    <row r="1870" spans="6:8" ht="15.5" x14ac:dyDescent="0.35">
      <c r="F1870" s="20">
        <v>312489</v>
      </c>
      <c r="G1870" s="21" t="s">
        <v>2469</v>
      </c>
      <c r="H1870" s="22">
        <v>0</v>
      </c>
    </row>
    <row r="1871" spans="6:8" ht="15.5" x14ac:dyDescent="0.35">
      <c r="F1871" s="20">
        <v>314054</v>
      </c>
      <c r="G1871" s="21" t="s">
        <v>2470</v>
      </c>
      <c r="H1871" s="22">
        <v>0</v>
      </c>
    </row>
    <row r="1872" spans="6:8" ht="15.5" x14ac:dyDescent="0.35">
      <c r="F1872" s="20">
        <v>315505</v>
      </c>
      <c r="G1872" s="21" t="s">
        <v>2471</v>
      </c>
      <c r="H1872" s="22">
        <v>0</v>
      </c>
    </row>
    <row r="1873" spans="6:8" ht="15.5" x14ac:dyDescent="0.35">
      <c r="F1873" s="20">
        <v>315368</v>
      </c>
      <c r="G1873" s="21" t="s">
        <v>2472</v>
      </c>
      <c r="H1873" s="22">
        <v>0</v>
      </c>
    </row>
    <row r="1874" spans="6:8" ht="15.5" x14ac:dyDescent="0.35">
      <c r="F1874" s="20">
        <v>314811</v>
      </c>
      <c r="G1874" s="21" t="s">
        <v>2473</v>
      </c>
      <c r="H1874" s="22">
        <v>0</v>
      </c>
    </row>
    <row r="1875" spans="6:8" ht="15.5" x14ac:dyDescent="0.35">
      <c r="F1875" s="20">
        <v>310727</v>
      </c>
      <c r="G1875" s="21" t="s">
        <v>2474</v>
      </c>
      <c r="H1875" s="22">
        <v>0</v>
      </c>
    </row>
    <row r="1876" spans="6:8" ht="15.5" x14ac:dyDescent="0.35">
      <c r="F1876" s="20">
        <v>315341</v>
      </c>
      <c r="G1876" s="21" t="s">
        <v>2475</v>
      </c>
      <c r="H1876" s="22">
        <v>0</v>
      </c>
    </row>
    <row r="1877" spans="6:8" ht="15.5" x14ac:dyDescent="0.35">
      <c r="F1877" s="20">
        <v>316000</v>
      </c>
      <c r="G1877" s="21" t="s">
        <v>2476</v>
      </c>
      <c r="H1877" s="22">
        <v>0</v>
      </c>
    </row>
    <row r="1878" spans="6:8" ht="15.5" x14ac:dyDescent="0.35">
      <c r="F1878" s="20">
        <v>312564</v>
      </c>
      <c r="G1878" s="21" t="s">
        <v>2477</v>
      </c>
      <c r="H1878" s="22">
        <v>0</v>
      </c>
    </row>
    <row r="1879" spans="6:8" ht="15.5" x14ac:dyDescent="0.35">
      <c r="F1879" s="20">
        <v>90040172</v>
      </c>
      <c r="G1879" s="21" t="s">
        <v>2478</v>
      </c>
      <c r="H1879" s="22">
        <v>0</v>
      </c>
    </row>
    <row r="1880" spans="6:8" ht="15.5" x14ac:dyDescent="0.35">
      <c r="F1880" s="20">
        <v>311604</v>
      </c>
      <c r="G1880" s="21" t="s">
        <v>2479</v>
      </c>
      <c r="H1880" s="22">
        <v>0</v>
      </c>
    </row>
    <row r="1881" spans="6:8" ht="15.5" x14ac:dyDescent="0.35">
      <c r="F1881" s="20">
        <v>310466</v>
      </c>
      <c r="G1881" s="21" t="s">
        <v>2480</v>
      </c>
      <c r="H1881" s="22">
        <v>0</v>
      </c>
    </row>
    <row r="1882" spans="6:8" ht="15.5" x14ac:dyDescent="0.35">
      <c r="F1882" s="20">
        <v>90035084</v>
      </c>
      <c r="G1882" s="21" t="s">
        <v>2481</v>
      </c>
      <c r="H1882" s="22">
        <v>0</v>
      </c>
    </row>
    <row r="1883" spans="6:8" ht="15.5" x14ac:dyDescent="0.35">
      <c r="F1883" s="20">
        <v>314611</v>
      </c>
      <c r="G1883" s="21" t="s">
        <v>2482</v>
      </c>
      <c r="H1883" s="22">
        <v>0</v>
      </c>
    </row>
    <row r="1884" spans="6:8" ht="15.5" x14ac:dyDescent="0.35">
      <c r="F1884" s="20">
        <v>312359</v>
      </c>
      <c r="G1884" s="21" t="s">
        <v>2483</v>
      </c>
      <c r="H1884" s="22">
        <v>0</v>
      </c>
    </row>
    <row r="1885" spans="6:8" ht="15.5" x14ac:dyDescent="0.35">
      <c r="F1885" s="20">
        <v>312109</v>
      </c>
      <c r="G1885" s="21" t="s">
        <v>2484</v>
      </c>
      <c r="H1885" s="22">
        <v>0</v>
      </c>
    </row>
    <row r="1886" spans="6:8" ht="15.5" x14ac:dyDescent="0.35">
      <c r="F1886" s="20">
        <v>315103</v>
      </c>
      <c r="G1886" s="21" t="s">
        <v>2485</v>
      </c>
      <c r="H1886" s="22">
        <v>0</v>
      </c>
    </row>
    <row r="1887" spans="6:8" ht="15.5" x14ac:dyDescent="0.35">
      <c r="F1887" s="20">
        <v>90018946</v>
      </c>
      <c r="G1887" s="21" t="s">
        <v>2486</v>
      </c>
      <c r="H1887" s="22">
        <v>0</v>
      </c>
    </row>
    <row r="1888" spans="6:8" ht="15.5" x14ac:dyDescent="0.35">
      <c r="F1888" s="20">
        <v>313203</v>
      </c>
      <c r="G1888" s="21" t="s">
        <v>2487</v>
      </c>
      <c r="H1888" s="22">
        <v>0</v>
      </c>
    </row>
    <row r="1889" spans="6:8" ht="15.5" x14ac:dyDescent="0.35">
      <c r="F1889" s="20">
        <v>315481</v>
      </c>
      <c r="G1889" s="21" t="s">
        <v>2488</v>
      </c>
      <c r="H1889" s="22">
        <v>0</v>
      </c>
    </row>
    <row r="1890" spans="6:8" ht="15.5" x14ac:dyDescent="0.35">
      <c r="F1890" s="20">
        <v>306655</v>
      </c>
      <c r="G1890" s="21" t="s">
        <v>2489</v>
      </c>
      <c r="H1890" s="22">
        <v>0</v>
      </c>
    </row>
    <row r="1891" spans="6:8" ht="15.5" x14ac:dyDescent="0.35">
      <c r="F1891" s="20">
        <v>307786</v>
      </c>
      <c r="G1891" s="21" t="s">
        <v>2490</v>
      </c>
      <c r="H1891" s="22">
        <v>0</v>
      </c>
    </row>
    <row r="1892" spans="6:8" ht="15.5" x14ac:dyDescent="0.35">
      <c r="F1892" s="20">
        <v>311176</v>
      </c>
      <c r="G1892" s="21" t="s">
        <v>2491</v>
      </c>
      <c r="H1892" s="22">
        <v>0</v>
      </c>
    </row>
    <row r="1893" spans="6:8" ht="15.5" x14ac:dyDescent="0.35">
      <c r="F1893" s="20">
        <v>90033260</v>
      </c>
      <c r="G1893" s="21" t="s">
        <v>2492</v>
      </c>
      <c r="H1893" s="22">
        <v>0</v>
      </c>
    </row>
    <row r="1894" spans="6:8" ht="15.5" x14ac:dyDescent="0.35">
      <c r="F1894" s="20">
        <v>315475</v>
      </c>
      <c r="G1894" s="21" t="s">
        <v>2493</v>
      </c>
      <c r="H1894" s="22">
        <v>0</v>
      </c>
    </row>
    <row r="1895" spans="6:8" ht="15.5" x14ac:dyDescent="0.35">
      <c r="F1895" s="20">
        <v>312374</v>
      </c>
      <c r="G1895" s="21" t="s">
        <v>2494</v>
      </c>
      <c r="H1895" s="22">
        <v>0</v>
      </c>
    </row>
    <row r="1896" spans="6:8" ht="15.5" x14ac:dyDescent="0.35">
      <c r="F1896" s="20">
        <v>90045954</v>
      </c>
      <c r="G1896" s="21" t="s">
        <v>2495</v>
      </c>
      <c r="H1896" s="22">
        <v>0</v>
      </c>
    </row>
    <row r="1897" spans="6:8" ht="15.5" x14ac:dyDescent="0.35">
      <c r="F1897" s="20">
        <v>310680</v>
      </c>
      <c r="G1897" s="21" t="s">
        <v>2496</v>
      </c>
      <c r="H1897" s="22">
        <v>0</v>
      </c>
    </row>
    <row r="1898" spans="6:8" ht="15.5" x14ac:dyDescent="0.35">
      <c r="F1898" s="20">
        <v>315460</v>
      </c>
      <c r="G1898" s="21" t="s">
        <v>2497</v>
      </c>
      <c r="H1898" s="22">
        <v>0</v>
      </c>
    </row>
    <row r="1899" spans="6:8" ht="15.5" x14ac:dyDescent="0.35">
      <c r="F1899" s="20">
        <v>307409</v>
      </c>
      <c r="G1899" s="21" t="s">
        <v>2498</v>
      </c>
      <c r="H1899" s="22">
        <v>0</v>
      </c>
    </row>
    <row r="1900" spans="6:8" ht="15.5" x14ac:dyDescent="0.35">
      <c r="F1900" s="20">
        <v>90049421</v>
      </c>
      <c r="G1900" s="21" t="s">
        <v>2499</v>
      </c>
      <c r="H1900" s="22">
        <v>0</v>
      </c>
    </row>
    <row r="1901" spans="6:8" ht="15.5" x14ac:dyDescent="0.35">
      <c r="F1901" s="20">
        <v>313194</v>
      </c>
      <c r="G1901" s="21" t="s">
        <v>2500</v>
      </c>
      <c r="H1901" s="22">
        <v>0</v>
      </c>
    </row>
    <row r="1902" spans="6:8" ht="15.5" x14ac:dyDescent="0.35">
      <c r="F1902" s="20">
        <v>90040149</v>
      </c>
      <c r="G1902" s="21" t="s">
        <v>2501</v>
      </c>
      <c r="H1902" s="22">
        <v>0</v>
      </c>
    </row>
    <row r="1903" spans="6:8" ht="15.5" x14ac:dyDescent="0.35">
      <c r="F1903" s="20">
        <v>314092</v>
      </c>
      <c r="G1903" s="21" t="s">
        <v>2502</v>
      </c>
      <c r="H1903" s="22">
        <v>0</v>
      </c>
    </row>
    <row r="1904" spans="6:8" ht="15.5" x14ac:dyDescent="0.35">
      <c r="F1904" s="20">
        <v>315574</v>
      </c>
      <c r="G1904" s="21" t="s">
        <v>2503</v>
      </c>
      <c r="H1904" s="22">
        <v>0</v>
      </c>
    </row>
    <row r="1905" spans="6:8" ht="15.5" x14ac:dyDescent="0.35">
      <c r="F1905" s="20">
        <v>314207</v>
      </c>
      <c r="G1905" s="21" t="s">
        <v>2504</v>
      </c>
      <c r="H1905" s="22">
        <v>0</v>
      </c>
    </row>
    <row r="1906" spans="6:8" ht="15.5" x14ac:dyDescent="0.35">
      <c r="F1906" s="20">
        <v>90015630</v>
      </c>
      <c r="G1906" s="21" t="s">
        <v>2505</v>
      </c>
      <c r="H1906" s="22">
        <v>0</v>
      </c>
    </row>
    <row r="1907" spans="6:8" ht="15.5" x14ac:dyDescent="0.35">
      <c r="F1907" s="20">
        <v>314618</v>
      </c>
      <c r="G1907" s="21" t="s">
        <v>2506</v>
      </c>
      <c r="H1907" s="22">
        <v>0</v>
      </c>
    </row>
    <row r="1908" spans="6:8" ht="15.5" x14ac:dyDescent="0.35">
      <c r="F1908" s="20">
        <v>304166</v>
      </c>
      <c r="G1908" s="21" t="s">
        <v>2507</v>
      </c>
      <c r="H1908" s="22">
        <v>0</v>
      </c>
    </row>
    <row r="1909" spans="6:8" ht="15.5" x14ac:dyDescent="0.35">
      <c r="F1909" s="20">
        <v>309285</v>
      </c>
      <c r="G1909" s="21" t="s">
        <v>2508</v>
      </c>
      <c r="H1909" s="22">
        <v>0</v>
      </c>
    </row>
    <row r="1910" spans="6:8" ht="15.5" x14ac:dyDescent="0.35">
      <c r="F1910" s="20">
        <v>314430</v>
      </c>
      <c r="G1910" s="21" t="s">
        <v>2509</v>
      </c>
      <c r="H1910" s="22">
        <v>0</v>
      </c>
    </row>
    <row r="1911" spans="6:8" ht="15.5" x14ac:dyDescent="0.35">
      <c r="F1911" s="20">
        <v>315881</v>
      </c>
      <c r="G1911" s="21" t="s">
        <v>2510</v>
      </c>
      <c r="H1911" s="22">
        <v>0</v>
      </c>
    </row>
    <row r="1912" spans="6:8" ht="15.5" x14ac:dyDescent="0.35">
      <c r="F1912" s="20">
        <v>315042</v>
      </c>
      <c r="G1912" s="21" t="s">
        <v>2511</v>
      </c>
      <c r="H1912" s="22">
        <v>0</v>
      </c>
    </row>
    <row r="1913" spans="6:8" ht="15.5" x14ac:dyDescent="0.35">
      <c r="F1913" s="20">
        <v>314691</v>
      </c>
      <c r="G1913" s="21" t="s">
        <v>2512</v>
      </c>
      <c r="H1913" s="22">
        <v>0</v>
      </c>
    </row>
    <row r="1914" spans="6:8" ht="15.5" x14ac:dyDescent="0.35">
      <c r="F1914" s="20">
        <v>90033665</v>
      </c>
      <c r="G1914" s="21" t="s">
        <v>2513</v>
      </c>
      <c r="H1914" s="22">
        <v>0</v>
      </c>
    </row>
    <row r="1915" spans="6:8" ht="15.5" x14ac:dyDescent="0.35">
      <c r="F1915" s="20">
        <v>314857</v>
      </c>
      <c r="G1915" s="21" t="s">
        <v>2514</v>
      </c>
      <c r="H1915" s="22">
        <v>0</v>
      </c>
    </row>
    <row r="1916" spans="6:8" ht="15.5" x14ac:dyDescent="0.35">
      <c r="F1916" s="20">
        <v>314359</v>
      </c>
      <c r="G1916" s="21" t="s">
        <v>2515</v>
      </c>
      <c r="H1916" s="22">
        <v>0</v>
      </c>
    </row>
    <row r="1917" spans="6:8" ht="15.5" x14ac:dyDescent="0.35">
      <c r="F1917" s="20">
        <v>315320</v>
      </c>
      <c r="G1917" s="21" t="s">
        <v>2516</v>
      </c>
      <c r="H1917" s="22">
        <v>0</v>
      </c>
    </row>
    <row r="1918" spans="6:8" ht="15.5" x14ac:dyDescent="0.35">
      <c r="F1918" s="20">
        <v>90033072</v>
      </c>
      <c r="G1918" s="21" t="s">
        <v>2517</v>
      </c>
      <c r="H1918" s="22">
        <v>0</v>
      </c>
    </row>
    <row r="1919" spans="6:8" ht="15.5" x14ac:dyDescent="0.35">
      <c r="F1919" s="20">
        <v>90039908</v>
      </c>
      <c r="G1919" s="21" t="s">
        <v>2518</v>
      </c>
      <c r="H1919" s="22">
        <v>0</v>
      </c>
    </row>
    <row r="1920" spans="6:8" ht="15.5" x14ac:dyDescent="0.35">
      <c r="F1920" s="20">
        <v>314784</v>
      </c>
      <c r="G1920" s="21" t="s">
        <v>2519</v>
      </c>
      <c r="H1920" s="22">
        <v>0</v>
      </c>
    </row>
    <row r="1921" spans="6:8" ht="15.5" x14ac:dyDescent="0.35">
      <c r="F1921" s="20">
        <v>314747</v>
      </c>
      <c r="G1921" s="21" t="s">
        <v>2520</v>
      </c>
      <c r="H1921" s="22">
        <v>0</v>
      </c>
    </row>
    <row r="1922" spans="6:8" ht="15.5" x14ac:dyDescent="0.35">
      <c r="F1922" s="20">
        <v>307616</v>
      </c>
      <c r="G1922" s="21" t="s">
        <v>2521</v>
      </c>
    </row>
    <row r="1923" spans="6:8" ht="15.5" x14ac:dyDescent="0.35">
      <c r="F1923" s="20">
        <v>304234</v>
      </c>
      <c r="G1923" s="21" t="s">
        <v>2522</v>
      </c>
    </row>
    <row r="1924" spans="6:8" ht="15.5" x14ac:dyDescent="0.35">
      <c r="F1924" s="20">
        <v>314324</v>
      </c>
      <c r="G1924" s="21" t="s">
        <v>2523</v>
      </c>
    </row>
    <row r="1925" spans="6:8" ht="15.5" x14ac:dyDescent="0.35">
      <c r="F1925" s="20">
        <v>313516</v>
      </c>
      <c r="G1925" s="21" t="s">
        <v>2524</v>
      </c>
    </row>
    <row r="1926" spans="6:8" ht="15.5" x14ac:dyDescent="0.35">
      <c r="F1926" s="20">
        <v>313096</v>
      </c>
      <c r="G1926" s="21" t="s">
        <v>2525</v>
      </c>
    </row>
    <row r="1927" spans="6:8" ht="15.5" x14ac:dyDescent="0.35">
      <c r="F1927" s="20">
        <v>90050501</v>
      </c>
      <c r="G1927" s="21" t="s">
        <v>2526</v>
      </c>
    </row>
    <row r="1928" spans="6:8" ht="15.5" x14ac:dyDescent="0.35">
      <c r="F1928" s="20">
        <v>315251</v>
      </c>
      <c r="G1928" s="21" t="s">
        <v>2527</v>
      </c>
    </row>
    <row r="1929" spans="6:8" ht="15.5" x14ac:dyDescent="0.35">
      <c r="F1929" s="20">
        <v>90046771</v>
      </c>
      <c r="G1929" s="21" t="s">
        <v>2528</v>
      </c>
    </row>
    <row r="1930" spans="6:8" ht="15.5" x14ac:dyDescent="0.35">
      <c r="F1930" s="20">
        <v>90013833</v>
      </c>
      <c r="G1930" s="21" t="s">
        <v>2529</v>
      </c>
    </row>
    <row r="1931" spans="6:8" ht="15.5" x14ac:dyDescent="0.35">
      <c r="F1931" s="20">
        <v>313758</v>
      </c>
      <c r="G1931" s="21" t="s">
        <v>2530</v>
      </c>
    </row>
    <row r="1932" spans="6:8" ht="15.5" x14ac:dyDescent="0.35">
      <c r="F1932" s="20">
        <v>309332</v>
      </c>
      <c r="G1932" s="21" t="s">
        <v>2531</v>
      </c>
    </row>
    <row r="1933" spans="6:8" ht="15.5" x14ac:dyDescent="0.35">
      <c r="F1933" s="20">
        <v>315528</v>
      </c>
      <c r="G1933" s="21" t="s">
        <v>2532</v>
      </c>
    </row>
    <row r="1934" spans="6:8" ht="15.5" x14ac:dyDescent="0.35">
      <c r="F1934" s="20">
        <v>309903</v>
      </c>
      <c r="G1934" s="21" t="s">
        <v>2533</v>
      </c>
    </row>
    <row r="1935" spans="6:8" ht="15.5" x14ac:dyDescent="0.35">
      <c r="F1935" s="20">
        <v>90033071</v>
      </c>
      <c r="G1935" s="21" t="s">
        <v>2534</v>
      </c>
    </row>
    <row r="1936" spans="6:8" ht="15.5" x14ac:dyDescent="0.35">
      <c r="F1936" s="20">
        <v>90045956</v>
      </c>
      <c r="G1936" s="21" t="s">
        <v>2535</v>
      </c>
    </row>
    <row r="1937" spans="6:7" ht="15.5" x14ac:dyDescent="0.35">
      <c r="F1937" s="20">
        <v>315178</v>
      </c>
      <c r="G1937" s="21" t="s">
        <v>2536</v>
      </c>
    </row>
    <row r="1938" spans="6:7" ht="15.5" x14ac:dyDescent="0.35">
      <c r="F1938" s="20">
        <v>90040423</v>
      </c>
      <c r="G1938" s="21" t="s">
        <v>2537</v>
      </c>
    </row>
    <row r="1939" spans="6:7" ht="15.5" x14ac:dyDescent="0.35">
      <c r="F1939" s="20">
        <v>316151</v>
      </c>
      <c r="G1939" s="21" t="s">
        <v>2538</v>
      </c>
    </row>
    <row r="1940" spans="6:7" ht="15.5" x14ac:dyDescent="0.35">
      <c r="F1940" s="20">
        <v>301165</v>
      </c>
      <c r="G1940" s="21" t="s">
        <v>2539</v>
      </c>
    </row>
    <row r="1941" spans="6:7" ht="15.5" x14ac:dyDescent="0.35">
      <c r="F1941" s="20">
        <v>314782</v>
      </c>
      <c r="G1941" s="21" t="s">
        <v>2540</v>
      </c>
    </row>
    <row r="1942" spans="6:7" ht="15.5" x14ac:dyDescent="0.35">
      <c r="F1942" s="20">
        <v>314053</v>
      </c>
      <c r="G1942" s="21" t="s">
        <v>2541</v>
      </c>
    </row>
    <row r="1943" spans="6:7" ht="15.5" x14ac:dyDescent="0.35">
      <c r="F1943" s="20">
        <v>90045955</v>
      </c>
      <c r="G1943" s="21" t="s">
        <v>2542</v>
      </c>
    </row>
    <row r="1944" spans="6:7" ht="15.5" x14ac:dyDescent="0.35">
      <c r="F1944" s="20">
        <v>314777</v>
      </c>
      <c r="G1944" s="21" t="s">
        <v>2543</v>
      </c>
    </row>
    <row r="1945" spans="6:7" ht="15.5" x14ac:dyDescent="0.35">
      <c r="F1945" s="20">
        <v>315508</v>
      </c>
      <c r="G1945" s="21" t="s">
        <v>2544</v>
      </c>
    </row>
    <row r="1946" spans="6:7" ht="15.5" x14ac:dyDescent="0.35">
      <c r="F1946" s="20">
        <v>315107</v>
      </c>
      <c r="G1946" s="21" t="s">
        <v>2545</v>
      </c>
    </row>
    <row r="1947" spans="6:7" ht="15.5" x14ac:dyDescent="0.35">
      <c r="F1947" s="20">
        <v>304528</v>
      </c>
      <c r="G1947" s="21" t="s">
        <v>2546</v>
      </c>
    </row>
    <row r="1948" spans="6:7" ht="15.5" x14ac:dyDescent="0.35">
      <c r="F1948" s="20">
        <v>311310</v>
      </c>
      <c r="G1948" s="21" t="s">
        <v>2547</v>
      </c>
    </row>
    <row r="1949" spans="6:7" ht="15.5" x14ac:dyDescent="0.35">
      <c r="F1949" s="20">
        <v>314447</v>
      </c>
      <c r="G1949" s="21" t="s">
        <v>2548</v>
      </c>
    </row>
    <row r="1950" spans="6:7" ht="15.5" x14ac:dyDescent="0.35">
      <c r="F1950" s="20">
        <v>90027821</v>
      </c>
      <c r="G1950" s="21" t="s">
        <v>2549</v>
      </c>
    </row>
    <row r="1951" spans="6:7" ht="15.5" x14ac:dyDescent="0.35">
      <c r="F1951" s="20">
        <v>314610</v>
      </c>
      <c r="G1951" s="21" t="s">
        <v>2550</v>
      </c>
    </row>
    <row r="1952" spans="6:7" ht="15.5" x14ac:dyDescent="0.35">
      <c r="F1952" s="20">
        <v>315172</v>
      </c>
      <c r="G1952" s="21" t="s">
        <v>2551</v>
      </c>
    </row>
    <row r="1953" spans="6:7" ht="15.5" x14ac:dyDescent="0.35">
      <c r="F1953" s="20">
        <v>90045663</v>
      </c>
      <c r="G1953" s="21" t="s">
        <v>2552</v>
      </c>
    </row>
    <row r="1954" spans="6:7" ht="15.5" x14ac:dyDescent="0.35">
      <c r="F1954" s="20">
        <v>90034564</v>
      </c>
      <c r="G1954" s="21" t="s">
        <v>2553</v>
      </c>
    </row>
    <row r="1955" spans="6:7" ht="15.5" x14ac:dyDescent="0.35">
      <c r="F1955" s="20">
        <v>90040570</v>
      </c>
      <c r="G1955" s="21" t="s">
        <v>2554</v>
      </c>
    </row>
    <row r="1956" spans="6:7" ht="15.5" x14ac:dyDescent="0.35">
      <c r="F1956" s="20">
        <v>90021483</v>
      </c>
      <c r="G1956" s="21" t="s">
        <v>2555</v>
      </c>
    </row>
    <row r="1957" spans="6:7" ht="15.5" x14ac:dyDescent="0.35">
      <c r="F1957" s="20">
        <v>315661</v>
      </c>
      <c r="G1957" s="21" t="s">
        <v>2556</v>
      </c>
    </row>
    <row r="1958" spans="6:7" ht="15.5" x14ac:dyDescent="0.35">
      <c r="F1958" s="20">
        <v>302368</v>
      </c>
      <c r="G1958" s="21" t="s">
        <v>2557</v>
      </c>
    </row>
    <row r="1959" spans="6:7" ht="15.5" x14ac:dyDescent="0.35">
      <c r="F1959" s="20">
        <v>307315</v>
      </c>
      <c r="G1959" s="21" t="s">
        <v>2558</v>
      </c>
    </row>
    <row r="1960" spans="6:7" ht="15.5" x14ac:dyDescent="0.35">
      <c r="F1960" s="20">
        <v>313011</v>
      </c>
      <c r="G1960" s="21" t="s">
        <v>2559</v>
      </c>
    </row>
    <row r="1961" spans="6:7" ht="15.5" x14ac:dyDescent="0.35">
      <c r="F1961" s="20">
        <v>314904</v>
      </c>
      <c r="G1961" s="21" t="s">
        <v>2560</v>
      </c>
    </row>
    <row r="1962" spans="6:7" ht="15.5" x14ac:dyDescent="0.35">
      <c r="F1962" s="20">
        <v>90014168</v>
      </c>
      <c r="G1962" s="21" t="s">
        <v>2561</v>
      </c>
    </row>
    <row r="1963" spans="6:7" ht="15.5" x14ac:dyDescent="0.35">
      <c r="F1963" s="20">
        <v>307063</v>
      </c>
      <c r="G1963" s="21" t="s">
        <v>2562</v>
      </c>
    </row>
    <row r="1964" spans="6:7" ht="15.5" x14ac:dyDescent="0.35">
      <c r="F1964" s="20">
        <v>311165</v>
      </c>
      <c r="G1964" s="21" t="s">
        <v>2563</v>
      </c>
    </row>
    <row r="1965" spans="6:7" ht="15.5" x14ac:dyDescent="0.35">
      <c r="F1965" s="20">
        <v>316486</v>
      </c>
      <c r="G1965" s="21" t="s">
        <v>2564</v>
      </c>
    </row>
    <row r="1966" spans="6:7" ht="15.5" x14ac:dyDescent="0.35">
      <c r="F1966" s="20">
        <v>315292</v>
      </c>
      <c r="G1966" s="21" t="s">
        <v>2565</v>
      </c>
    </row>
    <row r="1967" spans="6:7" ht="15.5" x14ac:dyDescent="0.35">
      <c r="F1967" s="20">
        <v>315392</v>
      </c>
      <c r="G1967" s="21" t="s">
        <v>2566</v>
      </c>
    </row>
    <row r="1968" spans="6:7" ht="15.5" x14ac:dyDescent="0.35">
      <c r="F1968" s="20">
        <v>310954</v>
      </c>
      <c r="G1968" s="21" t="s">
        <v>2567</v>
      </c>
    </row>
    <row r="1969" spans="6:7" ht="15.5" x14ac:dyDescent="0.35">
      <c r="F1969" s="20">
        <v>313750</v>
      </c>
      <c r="G1969" s="21" t="s">
        <v>2568</v>
      </c>
    </row>
    <row r="1970" spans="6:7" ht="15.5" x14ac:dyDescent="0.35">
      <c r="F1970" s="20">
        <v>90027838</v>
      </c>
      <c r="G1970" s="21" t="s">
        <v>2569</v>
      </c>
    </row>
    <row r="1971" spans="6:7" ht="15.5" x14ac:dyDescent="0.35">
      <c r="F1971" s="20">
        <v>312482</v>
      </c>
      <c r="G1971" s="21" t="s">
        <v>2570</v>
      </c>
    </row>
    <row r="1972" spans="6:7" ht="15.5" x14ac:dyDescent="0.35">
      <c r="F1972" s="20">
        <v>315346</v>
      </c>
      <c r="G1972" s="21" t="s">
        <v>2571</v>
      </c>
    </row>
    <row r="1973" spans="6:7" ht="15.5" x14ac:dyDescent="0.35">
      <c r="F1973" s="20">
        <v>314330</v>
      </c>
      <c r="G1973" s="21" t="s">
        <v>2572</v>
      </c>
    </row>
    <row r="1974" spans="6:7" ht="15.5" x14ac:dyDescent="0.35">
      <c r="F1974" s="20">
        <v>314985</v>
      </c>
      <c r="G1974" s="21" t="s">
        <v>2573</v>
      </c>
    </row>
    <row r="1975" spans="6:7" ht="15.5" x14ac:dyDescent="0.35">
      <c r="F1975" s="20">
        <v>313823</v>
      </c>
      <c r="G1975" s="21" t="s">
        <v>2574</v>
      </c>
    </row>
    <row r="1976" spans="6:7" ht="15.5" x14ac:dyDescent="0.35">
      <c r="F1976" s="20">
        <v>309503</v>
      </c>
      <c r="G1976" s="21" t="s">
        <v>2575</v>
      </c>
    </row>
    <row r="1977" spans="6:7" ht="15.5" x14ac:dyDescent="0.35">
      <c r="F1977" s="20">
        <v>301826</v>
      </c>
      <c r="G1977" s="21" t="s">
        <v>2576</v>
      </c>
    </row>
    <row r="1978" spans="6:7" ht="15.5" x14ac:dyDescent="0.35">
      <c r="F1978" s="20">
        <v>313864</v>
      </c>
      <c r="G1978" s="21" t="s">
        <v>2577</v>
      </c>
    </row>
    <row r="1979" spans="6:7" ht="15.5" x14ac:dyDescent="0.35">
      <c r="F1979" s="20">
        <v>303878</v>
      </c>
      <c r="G1979" s="21" t="s">
        <v>2578</v>
      </c>
    </row>
    <row r="1980" spans="6:7" ht="15.5" x14ac:dyDescent="0.35">
      <c r="F1980" s="20">
        <v>315189</v>
      </c>
      <c r="G1980" s="21" t="s">
        <v>2579</v>
      </c>
    </row>
    <row r="1981" spans="6:7" ht="15.5" x14ac:dyDescent="0.35">
      <c r="F1981" s="20">
        <v>90016461</v>
      </c>
      <c r="G1981" s="21" t="s">
        <v>2580</v>
      </c>
    </row>
    <row r="1982" spans="6:7" ht="15.5" x14ac:dyDescent="0.35">
      <c r="F1982" s="20">
        <v>314919</v>
      </c>
      <c r="G1982" s="21" t="s">
        <v>2581</v>
      </c>
    </row>
    <row r="1983" spans="6:7" ht="15.5" x14ac:dyDescent="0.35">
      <c r="F1983" s="20">
        <v>313572</v>
      </c>
      <c r="G1983" s="21" t="s">
        <v>2582</v>
      </c>
    </row>
    <row r="1984" spans="6:7" ht="15.5" x14ac:dyDescent="0.35">
      <c r="F1984" s="20">
        <v>312699</v>
      </c>
      <c r="G1984" s="21" t="s">
        <v>2583</v>
      </c>
    </row>
    <row r="1985" spans="6:7" ht="15.5" x14ac:dyDescent="0.35">
      <c r="F1985" s="20">
        <v>310468</v>
      </c>
      <c r="G1985" s="21" t="s">
        <v>2584</v>
      </c>
    </row>
    <row r="1986" spans="6:7" ht="15.5" x14ac:dyDescent="0.35">
      <c r="F1986" s="20">
        <v>313796</v>
      </c>
      <c r="G1986" s="21" t="s">
        <v>2585</v>
      </c>
    </row>
    <row r="1987" spans="6:7" ht="15.5" x14ac:dyDescent="0.35">
      <c r="F1987" s="20">
        <v>313534</v>
      </c>
      <c r="G1987" s="21" t="s">
        <v>2586</v>
      </c>
    </row>
    <row r="1988" spans="6:7" ht="15.5" x14ac:dyDescent="0.35">
      <c r="F1988" s="20">
        <v>313745</v>
      </c>
      <c r="G1988" s="21" t="s">
        <v>2587</v>
      </c>
    </row>
    <row r="1989" spans="6:7" ht="15.5" x14ac:dyDescent="0.35">
      <c r="F1989" s="20">
        <v>315469</v>
      </c>
      <c r="G1989" s="21" t="s">
        <v>2588</v>
      </c>
    </row>
    <row r="1990" spans="6:7" ht="15.5" x14ac:dyDescent="0.35">
      <c r="F1990" s="20">
        <v>314555</v>
      </c>
      <c r="G1990" s="21" t="s">
        <v>2589</v>
      </c>
    </row>
    <row r="1991" spans="6:7" ht="15.5" x14ac:dyDescent="0.35">
      <c r="F1991" s="20">
        <v>90028187</v>
      </c>
      <c r="G1991" s="21" t="s">
        <v>2590</v>
      </c>
    </row>
    <row r="1992" spans="6:7" ht="15.5" x14ac:dyDescent="0.35">
      <c r="F1992" s="20">
        <v>301347</v>
      </c>
      <c r="G1992" s="21" t="s">
        <v>2591</v>
      </c>
    </row>
    <row r="1993" spans="6:7" ht="15.5" x14ac:dyDescent="0.35">
      <c r="F1993" s="20">
        <v>313439</v>
      </c>
      <c r="G1993" s="21" t="s">
        <v>2592</v>
      </c>
    </row>
    <row r="1994" spans="6:7" ht="15.5" x14ac:dyDescent="0.35">
      <c r="F1994" s="20">
        <v>315093</v>
      </c>
      <c r="G1994" s="21" t="s">
        <v>2593</v>
      </c>
    </row>
    <row r="1995" spans="6:7" ht="15.5" x14ac:dyDescent="0.35">
      <c r="F1995" s="20">
        <v>307748</v>
      </c>
      <c r="G1995" s="21" t="s">
        <v>2594</v>
      </c>
    </row>
    <row r="1996" spans="6:7" ht="15.5" x14ac:dyDescent="0.35">
      <c r="F1996" s="20">
        <v>307005</v>
      </c>
      <c r="G1996" s="21" t="s">
        <v>2595</v>
      </c>
    </row>
    <row r="1997" spans="6:7" ht="15.5" x14ac:dyDescent="0.35">
      <c r="F1997" s="20">
        <v>312288</v>
      </c>
      <c r="G1997" s="21" t="s">
        <v>2596</v>
      </c>
    </row>
    <row r="1998" spans="6:7" ht="15.5" x14ac:dyDescent="0.35">
      <c r="F1998" s="20">
        <v>313772</v>
      </c>
      <c r="G1998" s="21" t="s">
        <v>2597</v>
      </c>
    </row>
    <row r="1999" spans="6:7" ht="15.5" x14ac:dyDescent="0.35">
      <c r="F1999" s="20">
        <v>90048458</v>
      </c>
      <c r="G1999" s="21" t="s">
        <v>2598</v>
      </c>
    </row>
    <row r="2000" spans="6:7" ht="15.5" x14ac:dyDescent="0.35">
      <c r="F2000" s="20">
        <v>306649</v>
      </c>
      <c r="G2000" s="21" t="s">
        <v>2599</v>
      </c>
    </row>
    <row r="2001" spans="6:7" ht="15.5" x14ac:dyDescent="0.35">
      <c r="F2001" s="20">
        <v>201909</v>
      </c>
      <c r="G2001" s="21" t="s">
        <v>2600</v>
      </c>
    </row>
    <row r="2002" spans="6:7" ht="15.5" x14ac:dyDescent="0.35">
      <c r="F2002" s="20">
        <v>314023</v>
      </c>
      <c r="G2002" s="21" t="s">
        <v>2601</v>
      </c>
    </row>
    <row r="2003" spans="6:7" ht="15.5" x14ac:dyDescent="0.35">
      <c r="F2003" s="20">
        <v>315506</v>
      </c>
      <c r="G2003" s="21" t="s">
        <v>2602</v>
      </c>
    </row>
    <row r="2004" spans="6:7" ht="15.5" x14ac:dyDescent="0.35">
      <c r="F2004" s="20">
        <v>314227</v>
      </c>
      <c r="G2004" s="21" t="s">
        <v>2603</v>
      </c>
    </row>
    <row r="2005" spans="6:7" ht="15.5" x14ac:dyDescent="0.35">
      <c r="F2005" s="20">
        <v>313541</v>
      </c>
      <c r="G2005" s="21" t="s">
        <v>2604</v>
      </c>
    </row>
    <row r="2006" spans="6:7" ht="15.5" x14ac:dyDescent="0.35">
      <c r="F2006" s="20">
        <v>90046229</v>
      </c>
      <c r="G2006" s="21" t="s">
        <v>2605</v>
      </c>
    </row>
    <row r="2007" spans="6:7" ht="15.5" x14ac:dyDescent="0.35">
      <c r="F2007" s="20">
        <v>101866</v>
      </c>
      <c r="G2007" s="21" t="s">
        <v>2606</v>
      </c>
    </row>
    <row r="2008" spans="6:7" ht="15.5" x14ac:dyDescent="0.35">
      <c r="F2008" s="20">
        <v>310687</v>
      </c>
      <c r="G2008" s="21" t="s">
        <v>2607</v>
      </c>
    </row>
    <row r="2009" spans="6:7" ht="15.5" x14ac:dyDescent="0.35">
      <c r="F2009" s="20">
        <v>313842</v>
      </c>
      <c r="G2009" s="21" t="s">
        <v>2608</v>
      </c>
    </row>
    <row r="2010" spans="6:7" ht="15.5" x14ac:dyDescent="0.35">
      <c r="F2010" s="20">
        <v>90040813</v>
      </c>
      <c r="G2010" s="21" t="s">
        <v>2609</v>
      </c>
    </row>
    <row r="2011" spans="6:7" ht="15.5" x14ac:dyDescent="0.35">
      <c r="F2011" s="20">
        <v>313441</v>
      </c>
      <c r="G2011" s="21" t="s">
        <v>2610</v>
      </c>
    </row>
    <row r="2012" spans="6:7" ht="15.5" x14ac:dyDescent="0.35">
      <c r="F2012" s="20">
        <v>90041207</v>
      </c>
      <c r="G2012" s="21" t="s">
        <v>2611</v>
      </c>
    </row>
    <row r="2013" spans="6:7" ht="15.5" x14ac:dyDescent="0.35">
      <c r="F2013" s="20">
        <v>90025237</v>
      </c>
      <c r="G2013" s="21" t="s">
        <v>2612</v>
      </c>
    </row>
    <row r="2014" spans="6:7" ht="15.5" x14ac:dyDescent="0.35">
      <c r="F2014" s="20">
        <v>90013719</v>
      </c>
      <c r="G2014" s="21" t="s">
        <v>2613</v>
      </c>
    </row>
    <row r="2015" spans="6:7" ht="15.5" x14ac:dyDescent="0.35">
      <c r="F2015" s="20">
        <v>300268</v>
      </c>
      <c r="G2015" s="21" t="s">
        <v>2614</v>
      </c>
    </row>
    <row r="2016" spans="6:7" ht="15.5" x14ac:dyDescent="0.35">
      <c r="F2016" s="20">
        <v>313480</v>
      </c>
      <c r="G2016" s="21" t="s">
        <v>2615</v>
      </c>
    </row>
    <row r="2017" spans="6:7" ht="15.5" x14ac:dyDescent="0.35">
      <c r="F2017" s="20">
        <v>313674</v>
      </c>
      <c r="G2017" s="21" t="s">
        <v>2616</v>
      </c>
    </row>
    <row r="2018" spans="6:7" ht="15.5" x14ac:dyDescent="0.35">
      <c r="F2018" s="20">
        <v>301552</v>
      </c>
      <c r="G2018" s="21" t="s">
        <v>2617</v>
      </c>
    </row>
    <row r="2019" spans="6:7" ht="15.5" x14ac:dyDescent="0.35">
      <c r="F2019" s="20">
        <v>307706</v>
      </c>
      <c r="G2019" s="21" t="s">
        <v>2618</v>
      </c>
    </row>
    <row r="2020" spans="6:7" ht="15.5" x14ac:dyDescent="0.35">
      <c r="F2020" s="20">
        <v>90019660</v>
      </c>
      <c r="G2020" s="21" t="s">
        <v>2619</v>
      </c>
    </row>
    <row r="2021" spans="6:7" ht="15.5" x14ac:dyDescent="0.35">
      <c r="F2021" s="20">
        <v>314918</v>
      </c>
      <c r="G2021" s="21" t="s">
        <v>2620</v>
      </c>
    </row>
    <row r="2022" spans="6:7" ht="15.5" x14ac:dyDescent="0.35">
      <c r="F2022" s="20">
        <v>308910</v>
      </c>
      <c r="G2022" s="21" t="s">
        <v>2621</v>
      </c>
    </row>
    <row r="2023" spans="6:7" ht="15.5" x14ac:dyDescent="0.35">
      <c r="F2023" s="20">
        <v>302232</v>
      </c>
      <c r="G2023" s="21" t="s">
        <v>2622</v>
      </c>
    </row>
    <row r="2024" spans="6:7" ht="15.5" x14ac:dyDescent="0.35">
      <c r="F2024" s="20">
        <v>311945</v>
      </c>
      <c r="G2024" s="21" t="s">
        <v>2623</v>
      </c>
    </row>
    <row r="2025" spans="6:7" ht="15.5" x14ac:dyDescent="0.35">
      <c r="F2025" s="20">
        <v>315559</v>
      </c>
      <c r="G2025" s="21" t="s">
        <v>2624</v>
      </c>
    </row>
    <row r="2026" spans="6:7" ht="15.5" x14ac:dyDescent="0.35">
      <c r="F2026" s="20">
        <v>313346</v>
      </c>
      <c r="G2026" s="21" t="s">
        <v>2625</v>
      </c>
    </row>
    <row r="2027" spans="6:7" ht="15.5" x14ac:dyDescent="0.35">
      <c r="F2027" s="20">
        <v>90040130</v>
      </c>
      <c r="G2027" s="21" t="s">
        <v>2626</v>
      </c>
    </row>
    <row r="2028" spans="6:7" ht="15.5" x14ac:dyDescent="0.35">
      <c r="F2028" s="20">
        <v>314616</v>
      </c>
      <c r="G2028" s="21" t="s">
        <v>2627</v>
      </c>
    </row>
    <row r="2029" spans="6:7" ht="15.5" x14ac:dyDescent="0.35">
      <c r="F2029" s="20">
        <v>90034811</v>
      </c>
      <c r="G2029" s="21" t="s">
        <v>2628</v>
      </c>
    </row>
    <row r="2030" spans="6:7" ht="15.5" x14ac:dyDescent="0.35">
      <c r="F2030" s="20">
        <v>314653</v>
      </c>
      <c r="G2030" s="21" t="s">
        <v>2629</v>
      </c>
    </row>
    <row r="2031" spans="6:7" ht="15.5" x14ac:dyDescent="0.35">
      <c r="F2031" s="20">
        <v>311311</v>
      </c>
      <c r="G2031" s="21" t="s">
        <v>2630</v>
      </c>
    </row>
    <row r="2032" spans="6:7" ht="15.5" x14ac:dyDescent="0.35">
      <c r="F2032" s="20">
        <v>315438</v>
      </c>
      <c r="G2032" s="21" t="s">
        <v>2631</v>
      </c>
    </row>
    <row r="2033" spans="6:7" ht="15.5" x14ac:dyDescent="0.35">
      <c r="F2033" s="20">
        <v>315500</v>
      </c>
      <c r="G2033" s="21" t="s">
        <v>2632</v>
      </c>
    </row>
    <row r="2034" spans="6:7" ht="15.5" x14ac:dyDescent="0.35">
      <c r="F2034" s="20">
        <v>315452</v>
      </c>
      <c r="G2034" s="21" t="s">
        <v>2633</v>
      </c>
    </row>
    <row r="2035" spans="6:7" ht="15.5" x14ac:dyDescent="0.35">
      <c r="F2035" s="20">
        <v>90033871</v>
      </c>
      <c r="G2035" s="21" t="s">
        <v>2634</v>
      </c>
    </row>
    <row r="2036" spans="6:7" ht="15.5" x14ac:dyDescent="0.35">
      <c r="F2036" s="20">
        <v>90025617</v>
      </c>
      <c r="G2036" s="21" t="s">
        <v>2635</v>
      </c>
    </row>
    <row r="2037" spans="6:7" ht="15.5" x14ac:dyDescent="0.35">
      <c r="F2037" s="20">
        <v>313111</v>
      </c>
      <c r="G2037" s="21" t="s">
        <v>2636</v>
      </c>
    </row>
    <row r="2038" spans="6:7" ht="15.5" x14ac:dyDescent="0.35">
      <c r="F2038" s="20">
        <v>90040484</v>
      </c>
      <c r="G2038" s="21" t="s">
        <v>2637</v>
      </c>
    </row>
    <row r="2039" spans="6:7" ht="15.5" x14ac:dyDescent="0.35">
      <c r="F2039" s="20">
        <v>313427</v>
      </c>
      <c r="G2039" s="21" t="s">
        <v>2638</v>
      </c>
    </row>
    <row r="2040" spans="6:7" ht="15.5" x14ac:dyDescent="0.35">
      <c r="F2040" s="20">
        <v>201518</v>
      </c>
      <c r="G2040" s="21" t="s">
        <v>2639</v>
      </c>
    </row>
    <row r="2041" spans="6:7" ht="15.5" x14ac:dyDescent="0.35">
      <c r="F2041" s="20">
        <v>315266</v>
      </c>
      <c r="G2041" s="21" t="s">
        <v>2640</v>
      </c>
    </row>
    <row r="2042" spans="6:7" ht="15.5" x14ac:dyDescent="0.35">
      <c r="F2042" s="20">
        <v>309793</v>
      </c>
      <c r="G2042" s="21" t="s">
        <v>2641</v>
      </c>
    </row>
    <row r="2043" spans="6:7" ht="15.5" x14ac:dyDescent="0.35">
      <c r="F2043" s="20">
        <v>300893</v>
      </c>
      <c r="G2043" s="21" t="s">
        <v>2642</v>
      </c>
    </row>
    <row r="2044" spans="6:7" ht="15.5" x14ac:dyDescent="0.35">
      <c r="F2044" s="20">
        <v>314223</v>
      </c>
      <c r="G2044" s="21" t="s">
        <v>2643</v>
      </c>
    </row>
    <row r="2045" spans="6:7" ht="15.5" x14ac:dyDescent="0.35">
      <c r="F2045" s="20">
        <v>314959</v>
      </c>
      <c r="G2045" s="21" t="s">
        <v>2644</v>
      </c>
    </row>
    <row r="2046" spans="6:7" ht="15.5" x14ac:dyDescent="0.35">
      <c r="F2046" s="20">
        <v>302592</v>
      </c>
      <c r="G2046" s="21" t="s">
        <v>2645</v>
      </c>
    </row>
    <row r="2047" spans="6:7" ht="15.5" x14ac:dyDescent="0.35">
      <c r="F2047" s="20">
        <v>301700</v>
      </c>
      <c r="G2047" s="21" t="s">
        <v>2646</v>
      </c>
    </row>
    <row r="2048" spans="6:7" ht="15.5" x14ac:dyDescent="0.35">
      <c r="F2048" s="20">
        <v>90049609</v>
      </c>
      <c r="G2048" s="21" t="s">
        <v>2647</v>
      </c>
    </row>
    <row r="2049" spans="6:7" ht="15.5" x14ac:dyDescent="0.35">
      <c r="F2049" s="20">
        <v>312111</v>
      </c>
      <c r="G2049" s="21" t="s">
        <v>2648</v>
      </c>
    </row>
    <row r="2050" spans="6:7" ht="15.5" x14ac:dyDescent="0.35">
      <c r="F2050" s="20">
        <v>314547</v>
      </c>
      <c r="G2050" s="21" t="s">
        <v>2649</v>
      </c>
    </row>
    <row r="2051" spans="6:7" ht="15.5" x14ac:dyDescent="0.35">
      <c r="F2051" s="20">
        <v>314656</v>
      </c>
      <c r="G2051" s="21" t="s">
        <v>2650</v>
      </c>
    </row>
    <row r="2052" spans="6:7" ht="15.5" x14ac:dyDescent="0.35">
      <c r="F2052" s="20">
        <v>90040299</v>
      </c>
      <c r="G2052" s="21" t="s">
        <v>2651</v>
      </c>
    </row>
    <row r="2053" spans="6:7" ht="15.5" x14ac:dyDescent="0.35">
      <c r="F2053" s="20">
        <v>90040335</v>
      </c>
      <c r="G2053" s="21" t="s">
        <v>2652</v>
      </c>
    </row>
    <row r="2054" spans="6:7" ht="15.5" x14ac:dyDescent="0.35">
      <c r="F2054" s="20">
        <v>303538</v>
      </c>
      <c r="G2054" s="21" t="s">
        <v>2653</v>
      </c>
    </row>
    <row r="2055" spans="6:7" ht="15.5" x14ac:dyDescent="0.35">
      <c r="F2055" s="20">
        <v>314843</v>
      </c>
      <c r="G2055" s="21" t="s">
        <v>2654</v>
      </c>
    </row>
    <row r="2056" spans="6:7" ht="15.5" x14ac:dyDescent="0.35">
      <c r="F2056" s="20">
        <v>305223</v>
      </c>
      <c r="G2056" s="21" t="s">
        <v>2655</v>
      </c>
    </row>
    <row r="2057" spans="6:7" ht="15.5" x14ac:dyDescent="0.35">
      <c r="F2057" s="20">
        <v>90025664</v>
      </c>
      <c r="G2057" s="21" t="s">
        <v>2656</v>
      </c>
    </row>
    <row r="2058" spans="6:7" ht="15.5" x14ac:dyDescent="0.35">
      <c r="F2058" s="20">
        <v>311423</v>
      </c>
      <c r="G2058" s="21" t="s">
        <v>2657</v>
      </c>
    </row>
    <row r="2059" spans="6:7" ht="15.5" x14ac:dyDescent="0.35">
      <c r="F2059" s="20">
        <v>310510</v>
      </c>
      <c r="G2059" s="21" t="s">
        <v>2658</v>
      </c>
    </row>
    <row r="2060" spans="6:7" ht="15.5" x14ac:dyDescent="0.35">
      <c r="F2060" s="20">
        <v>312474</v>
      </c>
      <c r="G2060" s="21" t="s">
        <v>2659</v>
      </c>
    </row>
    <row r="2061" spans="6:7" ht="15.5" x14ac:dyDescent="0.35">
      <c r="F2061" s="20">
        <v>315157</v>
      </c>
      <c r="G2061" s="21" t="s">
        <v>2660</v>
      </c>
    </row>
    <row r="2062" spans="6:7" ht="15.5" x14ac:dyDescent="0.35">
      <c r="F2062" s="20">
        <v>312587</v>
      </c>
      <c r="G2062" s="21" t="s">
        <v>2661</v>
      </c>
    </row>
    <row r="2063" spans="6:7" ht="15.5" x14ac:dyDescent="0.35">
      <c r="F2063" s="20">
        <v>314745</v>
      </c>
      <c r="G2063" s="21" t="s">
        <v>2662</v>
      </c>
    </row>
    <row r="2064" spans="6:7" ht="15.5" x14ac:dyDescent="0.35">
      <c r="F2064" s="20">
        <v>309809</v>
      </c>
      <c r="G2064" s="21" t="s">
        <v>2663</v>
      </c>
    </row>
    <row r="2065" spans="6:7" ht="15.5" x14ac:dyDescent="0.35">
      <c r="F2065" s="20">
        <v>311261</v>
      </c>
      <c r="G2065" s="21" t="s">
        <v>2664</v>
      </c>
    </row>
    <row r="2066" spans="6:7" ht="15.5" x14ac:dyDescent="0.35">
      <c r="F2066" s="20">
        <v>315450</v>
      </c>
      <c r="G2066" s="21" t="s">
        <v>2665</v>
      </c>
    </row>
    <row r="2067" spans="6:7" ht="15.5" x14ac:dyDescent="0.35">
      <c r="F2067" s="20">
        <v>312545</v>
      </c>
      <c r="G2067" s="21" t="s">
        <v>2666</v>
      </c>
    </row>
    <row r="2068" spans="6:7" ht="15.5" x14ac:dyDescent="0.35">
      <c r="F2068" s="20">
        <v>90016528</v>
      </c>
      <c r="G2068" s="21" t="s">
        <v>2667</v>
      </c>
    </row>
    <row r="2069" spans="6:7" ht="15.5" x14ac:dyDescent="0.35">
      <c r="F2069" s="20">
        <v>314192</v>
      </c>
      <c r="G2069" s="21" t="s">
        <v>2668</v>
      </c>
    </row>
    <row r="2070" spans="6:7" ht="15.5" x14ac:dyDescent="0.35">
      <c r="F2070" s="20">
        <v>314024</v>
      </c>
      <c r="G2070" s="21" t="s">
        <v>2669</v>
      </c>
    </row>
    <row r="2071" spans="6:7" ht="15.5" x14ac:dyDescent="0.35">
      <c r="F2071" s="20">
        <v>314913</v>
      </c>
      <c r="G2071" s="21" t="s">
        <v>2670</v>
      </c>
    </row>
    <row r="2072" spans="6:7" ht="15.5" x14ac:dyDescent="0.35">
      <c r="F2072" s="20">
        <v>314631</v>
      </c>
      <c r="G2072" s="21" t="s">
        <v>2671</v>
      </c>
    </row>
    <row r="2073" spans="6:7" ht="15.5" x14ac:dyDescent="0.35">
      <c r="F2073" s="20">
        <v>309216</v>
      </c>
      <c r="G2073" s="21" t="s">
        <v>2672</v>
      </c>
    </row>
    <row r="2074" spans="6:7" ht="15.5" x14ac:dyDescent="0.35">
      <c r="F2074" s="20">
        <v>313499</v>
      </c>
      <c r="G2074" s="21" t="s">
        <v>2673</v>
      </c>
    </row>
    <row r="2075" spans="6:7" ht="15.5" x14ac:dyDescent="0.35">
      <c r="F2075" s="20">
        <v>312176</v>
      </c>
      <c r="G2075" s="21" t="s">
        <v>2674</v>
      </c>
    </row>
    <row r="2076" spans="6:7" ht="15.5" x14ac:dyDescent="0.35">
      <c r="F2076" s="20">
        <v>309178</v>
      </c>
      <c r="G2076" s="21" t="s">
        <v>2675</v>
      </c>
    </row>
    <row r="2077" spans="6:7" ht="15.5" x14ac:dyDescent="0.35">
      <c r="F2077" s="20">
        <v>313878</v>
      </c>
      <c r="G2077" s="21" t="s">
        <v>2676</v>
      </c>
    </row>
    <row r="2078" spans="6:7" ht="15.5" x14ac:dyDescent="0.35">
      <c r="F2078" s="20">
        <v>90038979</v>
      </c>
      <c r="G2078" s="21" t="s">
        <v>2677</v>
      </c>
    </row>
    <row r="2079" spans="6:7" ht="15.5" x14ac:dyDescent="0.35">
      <c r="F2079" s="20">
        <v>90032910</v>
      </c>
      <c r="G2079" s="21" t="s">
        <v>2678</v>
      </c>
    </row>
    <row r="2080" spans="6:7" ht="15.5" x14ac:dyDescent="0.35">
      <c r="F2080" s="20">
        <v>305532</v>
      </c>
      <c r="G2080" s="21" t="s">
        <v>2679</v>
      </c>
    </row>
    <row r="2081" spans="6:7" ht="15.5" x14ac:dyDescent="0.35">
      <c r="F2081" s="20">
        <v>90039021</v>
      </c>
      <c r="G2081" s="21" t="s">
        <v>2680</v>
      </c>
    </row>
    <row r="2082" spans="6:7" ht="15.5" x14ac:dyDescent="0.35">
      <c r="F2082" s="20">
        <v>312763</v>
      </c>
      <c r="G2082" s="21" t="s">
        <v>2681</v>
      </c>
    </row>
    <row r="2083" spans="6:7" ht="15.5" x14ac:dyDescent="0.35">
      <c r="F2083" s="20">
        <v>315413</v>
      </c>
      <c r="G2083" s="21" t="s">
        <v>2682</v>
      </c>
    </row>
    <row r="2084" spans="6:7" ht="15.5" x14ac:dyDescent="0.35">
      <c r="F2084" s="20">
        <v>310907</v>
      </c>
      <c r="G2084" s="21" t="s">
        <v>2683</v>
      </c>
    </row>
    <row r="2085" spans="6:7" ht="15.5" x14ac:dyDescent="0.35">
      <c r="F2085" s="20">
        <v>314818</v>
      </c>
      <c r="G2085" s="21" t="s">
        <v>2684</v>
      </c>
    </row>
    <row r="2086" spans="6:7" ht="15.5" x14ac:dyDescent="0.35">
      <c r="F2086" s="20">
        <v>301486</v>
      </c>
      <c r="G2086" s="21" t="s">
        <v>2685</v>
      </c>
    </row>
    <row r="2087" spans="6:7" ht="15.5" x14ac:dyDescent="0.35">
      <c r="F2087" s="20">
        <v>90009244</v>
      </c>
      <c r="G2087" s="21" t="s">
        <v>2686</v>
      </c>
    </row>
    <row r="2088" spans="6:7" ht="15.5" x14ac:dyDescent="0.35">
      <c r="F2088" s="20">
        <v>306850</v>
      </c>
      <c r="G2088" s="21" t="s">
        <v>2687</v>
      </c>
    </row>
    <row r="2089" spans="6:7" ht="15.5" x14ac:dyDescent="0.35">
      <c r="F2089" s="20">
        <v>315905</v>
      </c>
      <c r="G2089" s="21" t="s">
        <v>2688</v>
      </c>
    </row>
    <row r="2090" spans="6:7" ht="15.5" x14ac:dyDescent="0.35">
      <c r="F2090" s="20">
        <v>311624</v>
      </c>
      <c r="G2090" s="21" t="s">
        <v>2689</v>
      </c>
    </row>
    <row r="2091" spans="6:7" ht="15.5" x14ac:dyDescent="0.35">
      <c r="F2091" s="20">
        <v>315319</v>
      </c>
      <c r="G2091" s="21" t="s">
        <v>2690</v>
      </c>
    </row>
    <row r="2092" spans="6:7" ht="15.5" x14ac:dyDescent="0.35">
      <c r="F2092" s="20">
        <v>309912</v>
      </c>
      <c r="G2092" s="21" t="s">
        <v>2691</v>
      </c>
    </row>
    <row r="2093" spans="6:7" ht="15.5" x14ac:dyDescent="0.35">
      <c r="F2093" s="20">
        <v>90046374</v>
      </c>
      <c r="G2093" s="21" t="s">
        <v>2692</v>
      </c>
    </row>
    <row r="2094" spans="6:7" ht="15.5" x14ac:dyDescent="0.35">
      <c r="F2094" s="20">
        <v>102045</v>
      </c>
      <c r="G2094" s="21" t="s">
        <v>2693</v>
      </c>
    </row>
    <row r="2095" spans="6:7" ht="15.5" x14ac:dyDescent="0.35">
      <c r="F2095" s="20">
        <v>310375</v>
      </c>
      <c r="G2095" s="21" t="s">
        <v>2694</v>
      </c>
    </row>
    <row r="2096" spans="6:7" ht="15.5" x14ac:dyDescent="0.35">
      <c r="F2096" s="20">
        <v>313429</v>
      </c>
      <c r="G2096" s="21" t="s">
        <v>2695</v>
      </c>
    </row>
    <row r="2097" spans="6:7" ht="15.5" x14ac:dyDescent="0.35">
      <c r="F2097" s="20">
        <v>303394</v>
      </c>
      <c r="G2097" s="21" t="s">
        <v>2696</v>
      </c>
    </row>
    <row r="2098" spans="6:7" ht="15.5" x14ac:dyDescent="0.35">
      <c r="F2098" s="20">
        <v>314791</v>
      </c>
      <c r="G2098" s="21" t="s">
        <v>2697</v>
      </c>
    </row>
    <row r="2099" spans="6:7" ht="15.5" x14ac:dyDescent="0.35">
      <c r="F2099" s="20">
        <v>90013720</v>
      </c>
      <c r="G2099" s="21" t="s">
        <v>2698</v>
      </c>
    </row>
    <row r="2100" spans="6:7" ht="15.5" x14ac:dyDescent="0.35">
      <c r="F2100" s="20">
        <v>309744</v>
      </c>
      <c r="G2100" s="21" t="s">
        <v>2699</v>
      </c>
    </row>
    <row r="2101" spans="6:7" ht="15.5" x14ac:dyDescent="0.35">
      <c r="F2101" s="20">
        <v>90048443</v>
      </c>
      <c r="G2101" s="21" t="s">
        <v>2700</v>
      </c>
    </row>
    <row r="2102" spans="6:7" ht="15.5" x14ac:dyDescent="0.35">
      <c r="F2102" s="20">
        <v>315554</v>
      </c>
      <c r="G2102" s="21" t="s">
        <v>2701</v>
      </c>
    </row>
    <row r="2103" spans="6:7" ht="15.5" x14ac:dyDescent="0.35">
      <c r="F2103" s="20">
        <v>90023811</v>
      </c>
      <c r="G2103" s="21" t="s">
        <v>2702</v>
      </c>
    </row>
    <row r="2104" spans="6:7" ht="15.5" x14ac:dyDescent="0.35">
      <c r="F2104" s="20">
        <v>315037</v>
      </c>
      <c r="G2104" s="21" t="s">
        <v>2703</v>
      </c>
    </row>
    <row r="2105" spans="6:7" ht="15.5" x14ac:dyDescent="0.35">
      <c r="F2105" s="20">
        <v>307511</v>
      </c>
      <c r="G2105" s="21" t="s">
        <v>2704</v>
      </c>
    </row>
    <row r="2106" spans="6:7" ht="15.5" x14ac:dyDescent="0.35">
      <c r="F2106" s="20">
        <v>90027919</v>
      </c>
      <c r="G2106" s="21" t="s">
        <v>2705</v>
      </c>
    </row>
    <row r="2107" spans="6:7" ht="15.5" x14ac:dyDescent="0.35">
      <c r="F2107" s="20">
        <v>310763</v>
      </c>
      <c r="G2107" s="21" t="s">
        <v>2706</v>
      </c>
    </row>
    <row r="2108" spans="6:7" ht="15.5" x14ac:dyDescent="0.35">
      <c r="F2108" s="20">
        <v>309989</v>
      </c>
      <c r="G2108" s="21" t="s">
        <v>2707</v>
      </c>
    </row>
    <row r="2109" spans="6:7" ht="15.5" x14ac:dyDescent="0.35">
      <c r="F2109" s="20">
        <v>314370</v>
      </c>
      <c r="G2109" s="21" t="s">
        <v>2708</v>
      </c>
    </row>
    <row r="2110" spans="6:7" ht="15.5" x14ac:dyDescent="0.35">
      <c r="F2110" s="20">
        <v>315281</v>
      </c>
      <c r="G2110" s="21" t="s">
        <v>2709</v>
      </c>
    </row>
    <row r="2111" spans="6:7" ht="15.5" x14ac:dyDescent="0.35">
      <c r="F2111" s="20">
        <v>90012222</v>
      </c>
      <c r="G2111" s="21" t="s">
        <v>2710</v>
      </c>
    </row>
    <row r="2112" spans="6:7" ht="15.5" x14ac:dyDescent="0.35">
      <c r="F2112" s="20">
        <v>312972</v>
      </c>
      <c r="G2112" s="21" t="s">
        <v>2711</v>
      </c>
    </row>
    <row r="2113" spans="6:7" ht="15.5" x14ac:dyDescent="0.35">
      <c r="F2113" s="20">
        <v>302263</v>
      </c>
      <c r="G2113" s="21" t="s">
        <v>2712</v>
      </c>
    </row>
    <row r="2114" spans="6:7" ht="15.5" x14ac:dyDescent="0.35">
      <c r="F2114" s="20">
        <v>90024122</v>
      </c>
      <c r="G2114" s="21" t="s">
        <v>2713</v>
      </c>
    </row>
    <row r="2115" spans="6:7" ht="15.5" x14ac:dyDescent="0.35">
      <c r="F2115" s="20">
        <v>313289</v>
      </c>
      <c r="G2115" s="21" t="s">
        <v>2714</v>
      </c>
    </row>
    <row r="2116" spans="6:7" ht="15.5" x14ac:dyDescent="0.35">
      <c r="F2116" s="20">
        <v>315564</v>
      </c>
      <c r="G2116" s="21" t="s">
        <v>2715</v>
      </c>
    </row>
    <row r="2117" spans="6:7" ht="15.5" x14ac:dyDescent="0.35">
      <c r="F2117" s="20">
        <v>311341</v>
      </c>
      <c r="G2117" s="21" t="s">
        <v>2716</v>
      </c>
    </row>
    <row r="2118" spans="6:7" ht="15.5" x14ac:dyDescent="0.35">
      <c r="F2118" s="20">
        <v>308263</v>
      </c>
      <c r="G2118" s="21" t="s">
        <v>2717</v>
      </c>
    </row>
    <row r="2119" spans="6:7" ht="15.5" x14ac:dyDescent="0.35">
      <c r="F2119" s="20">
        <v>314104</v>
      </c>
      <c r="G2119" s="21" t="s">
        <v>2718</v>
      </c>
    </row>
    <row r="2120" spans="6:7" ht="15.5" x14ac:dyDescent="0.35">
      <c r="F2120" s="20">
        <v>314270</v>
      </c>
      <c r="G2120" s="21" t="s">
        <v>2719</v>
      </c>
    </row>
    <row r="2121" spans="6:7" ht="15.5" x14ac:dyDescent="0.35">
      <c r="F2121" s="20">
        <v>315507</v>
      </c>
      <c r="G2121" s="21" t="s">
        <v>2720</v>
      </c>
    </row>
    <row r="2122" spans="6:7" ht="15.5" x14ac:dyDescent="0.35">
      <c r="F2122" s="20">
        <v>314914</v>
      </c>
      <c r="G2122" s="21" t="s">
        <v>2721</v>
      </c>
    </row>
    <row r="2123" spans="6:7" ht="15.5" x14ac:dyDescent="0.35">
      <c r="F2123" s="20">
        <v>90039840</v>
      </c>
      <c r="G2123" s="21" t="s">
        <v>2722</v>
      </c>
    </row>
    <row r="2124" spans="6:7" ht="15.5" x14ac:dyDescent="0.35">
      <c r="F2124" s="20">
        <v>308805</v>
      </c>
      <c r="G2124" s="21" t="s">
        <v>2723</v>
      </c>
    </row>
    <row r="2125" spans="6:7" ht="15.5" x14ac:dyDescent="0.35">
      <c r="F2125" s="20">
        <v>314693</v>
      </c>
      <c r="G2125" s="21" t="s">
        <v>2724</v>
      </c>
    </row>
    <row r="2126" spans="6:7" ht="15.5" x14ac:dyDescent="0.35">
      <c r="F2126" s="20">
        <v>312476</v>
      </c>
      <c r="G2126" s="21" t="s">
        <v>2725</v>
      </c>
    </row>
    <row r="2127" spans="6:7" ht="15.5" x14ac:dyDescent="0.35">
      <c r="F2127" s="20">
        <v>308137</v>
      </c>
      <c r="G2127" s="21" t="s">
        <v>2726</v>
      </c>
    </row>
    <row r="2128" spans="6:7" ht="15.5" x14ac:dyDescent="0.35">
      <c r="F2128" s="20">
        <v>315115</v>
      </c>
      <c r="G2128" s="21" t="s">
        <v>2727</v>
      </c>
    </row>
    <row r="2129" spans="6:7" ht="15.5" x14ac:dyDescent="0.35">
      <c r="F2129" s="20">
        <v>312448</v>
      </c>
      <c r="G2129" s="21" t="s">
        <v>2728</v>
      </c>
    </row>
    <row r="2130" spans="6:7" ht="15.5" x14ac:dyDescent="0.35">
      <c r="F2130" s="20">
        <v>90034561</v>
      </c>
      <c r="G2130" s="21" t="s">
        <v>2729</v>
      </c>
    </row>
    <row r="2131" spans="6:7" ht="15.5" x14ac:dyDescent="0.35">
      <c r="F2131" s="20">
        <v>90034140</v>
      </c>
      <c r="G2131" s="21" t="s">
        <v>2730</v>
      </c>
    </row>
    <row r="2132" spans="6:7" ht="15.5" x14ac:dyDescent="0.35">
      <c r="F2132" s="20">
        <v>310031</v>
      </c>
      <c r="G2132" s="21" t="s">
        <v>2731</v>
      </c>
    </row>
    <row r="2133" spans="6:7" ht="15.5" x14ac:dyDescent="0.35">
      <c r="F2133" s="20">
        <v>307209</v>
      </c>
      <c r="G2133" s="21" t="s">
        <v>2732</v>
      </c>
    </row>
    <row r="2134" spans="6:7" ht="15.5" x14ac:dyDescent="0.35">
      <c r="F2134" s="20">
        <v>309656</v>
      </c>
      <c r="G2134" s="21" t="s">
        <v>2733</v>
      </c>
    </row>
    <row r="2135" spans="6:7" ht="15.5" x14ac:dyDescent="0.35">
      <c r="F2135" s="20">
        <v>309658</v>
      </c>
      <c r="G2135" s="21" t="s">
        <v>2734</v>
      </c>
    </row>
    <row r="2136" spans="6:7" ht="15.5" x14ac:dyDescent="0.35">
      <c r="F2136" s="20">
        <v>312335</v>
      </c>
      <c r="G2136" s="21" t="s">
        <v>2735</v>
      </c>
    </row>
    <row r="2137" spans="6:7" ht="15.5" x14ac:dyDescent="0.35">
      <c r="F2137" s="20">
        <v>314894</v>
      </c>
      <c r="G2137" s="21" t="s">
        <v>2736</v>
      </c>
    </row>
    <row r="2138" spans="6:7" ht="15.5" x14ac:dyDescent="0.35">
      <c r="F2138" s="20">
        <v>315122</v>
      </c>
      <c r="G2138" s="21" t="s">
        <v>2737</v>
      </c>
    </row>
    <row r="2139" spans="6:7" ht="15.5" x14ac:dyDescent="0.35">
      <c r="F2139" s="20">
        <v>90023695</v>
      </c>
      <c r="G2139" s="21" t="s">
        <v>2738</v>
      </c>
    </row>
    <row r="2140" spans="6:7" ht="15.5" x14ac:dyDescent="0.35">
      <c r="F2140" s="20">
        <v>90024507</v>
      </c>
      <c r="G2140" s="21" t="s">
        <v>2739</v>
      </c>
    </row>
    <row r="2141" spans="6:7" ht="15.5" x14ac:dyDescent="0.35">
      <c r="F2141" s="20">
        <v>313636</v>
      </c>
      <c r="G2141" s="21" t="s">
        <v>2740</v>
      </c>
    </row>
    <row r="2142" spans="6:7" ht="15.5" x14ac:dyDescent="0.35">
      <c r="F2142" s="20">
        <v>316211</v>
      </c>
      <c r="G2142" s="21" t="s">
        <v>2741</v>
      </c>
    </row>
    <row r="2143" spans="6:7" ht="15.5" x14ac:dyDescent="0.35">
      <c r="F2143" s="20">
        <v>90039124</v>
      </c>
      <c r="G2143" s="21" t="s">
        <v>2742</v>
      </c>
    </row>
    <row r="2144" spans="6:7" ht="15.5" x14ac:dyDescent="0.35">
      <c r="F2144" s="20">
        <v>90019702</v>
      </c>
      <c r="G2144" s="21" t="s">
        <v>2743</v>
      </c>
    </row>
    <row r="2145" spans="6:7" ht="15.5" x14ac:dyDescent="0.35">
      <c r="F2145" s="20">
        <v>314010</v>
      </c>
      <c r="G2145" s="21" t="s">
        <v>2744</v>
      </c>
    </row>
    <row r="2146" spans="6:7" ht="15.5" x14ac:dyDescent="0.35">
      <c r="F2146" s="20">
        <v>90035128</v>
      </c>
      <c r="G2146" s="21" t="s">
        <v>2745</v>
      </c>
    </row>
    <row r="2147" spans="6:7" ht="15.5" x14ac:dyDescent="0.35">
      <c r="F2147" s="20">
        <v>90034447</v>
      </c>
      <c r="G2147" s="21" t="s">
        <v>2746</v>
      </c>
    </row>
    <row r="2148" spans="6:7" ht="15.5" x14ac:dyDescent="0.35">
      <c r="F2148" s="20">
        <v>313530</v>
      </c>
      <c r="G2148" s="21" t="s">
        <v>2747</v>
      </c>
    </row>
    <row r="2149" spans="6:7" ht="15.5" x14ac:dyDescent="0.35">
      <c r="F2149" s="20">
        <v>90033849</v>
      </c>
      <c r="G2149" s="21" t="s">
        <v>2748</v>
      </c>
    </row>
    <row r="2150" spans="6:7" ht="15.5" x14ac:dyDescent="0.35">
      <c r="F2150" s="20">
        <v>311880</v>
      </c>
      <c r="G2150" s="21" t="s">
        <v>2749</v>
      </c>
    </row>
    <row r="2151" spans="6:7" ht="15.5" x14ac:dyDescent="0.35">
      <c r="F2151" s="20">
        <v>307373</v>
      </c>
      <c r="G2151" s="21" t="s">
        <v>2750</v>
      </c>
    </row>
    <row r="2152" spans="6:7" ht="15.5" x14ac:dyDescent="0.35">
      <c r="F2152" s="20">
        <v>90019035</v>
      </c>
      <c r="G2152" s="21" t="s">
        <v>2751</v>
      </c>
    </row>
    <row r="2153" spans="6:7" ht="15.5" x14ac:dyDescent="0.35">
      <c r="F2153" s="20">
        <v>314884</v>
      </c>
      <c r="G2153" s="21" t="s">
        <v>2752</v>
      </c>
    </row>
    <row r="2154" spans="6:7" ht="15.5" x14ac:dyDescent="0.35">
      <c r="F2154" s="20">
        <v>90029069</v>
      </c>
      <c r="G2154" s="21" t="s">
        <v>2753</v>
      </c>
    </row>
    <row r="2155" spans="6:7" ht="15.5" x14ac:dyDescent="0.35">
      <c r="F2155" s="20">
        <v>90029440</v>
      </c>
      <c r="G2155" s="21" t="s">
        <v>2754</v>
      </c>
    </row>
    <row r="2156" spans="6:7" ht="15.5" x14ac:dyDescent="0.35">
      <c r="F2156" s="20">
        <v>90041272</v>
      </c>
      <c r="G2156" s="21" t="s">
        <v>2755</v>
      </c>
    </row>
    <row r="2157" spans="6:7" ht="15.5" x14ac:dyDescent="0.35">
      <c r="F2157" s="20">
        <v>90025666</v>
      </c>
      <c r="G2157" s="21" t="s">
        <v>2756</v>
      </c>
    </row>
    <row r="2158" spans="6:7" ht="15.5" x14ac:dyDescent="0.35">
      <c r="F2158" s="20">
        <v>309035</v>
      </c>
      <c r="G2158" s="21" t="s">
        <v>2757</v>
      </c>
    </row>
    <row r="2159" spans="6:7" ht="15.5" x14ac:dyDescent="0.35">
      <c r="F2159" s="20">
        <v>308158</v>
      </c>
      <c r="G2159" s="21" t="s">
        <v>2758</v>
      </c>
    </row>
    <row r="2160" spans="6:7" ht="15.5" x14ac:dyDescent="0.35">
      <c r="F2160" s="20">
        <v>315587</v>
      </c>
      <c r="G2160" s="21" t="s">
        <v>2759</v>
      </c>
    </row>
    <row r="2161" spans="6:7" ht="15.5" x14ac:dyDescent="0.35">
      <c r="F2161" s="20">
        <v>314694</v>
      </c>
      <c r="G2161" s="21" t="s">
        <v>2760</v>
      </c>
    </row>
    <row r="2162" spans="6:7" ht="15.5" x14ac:dyDescent="0.35">
      <c r="F2162" s="20">
        <v>311221</v>
      </c>
      <c r="G2162" s="21" t="s">
        <v>2761</v>
      </c>
    </row>
    <row r="2163" spans="6:7" ht="15.5" x14ac:dyDescent="0.35">
      <c r="F2163" s="20">
        <v>314951</v>
      </c>
      <c r="G2163" s="21" t="s">
        <v>2762</v>
      </c>
    </row>
    <row r="2164" spans="6:7" ht="15.5" x14ac:dyDescent="0.35">
      <c r="F2164" s="20">
        <v>315535</v>
      </c>
      <c r="G2164" s="21" t="s">
        <v>2763</v>
      </c>
    </row>
    <row r="2165" spans="6:7" ht="15.5" x14ac:dyDescent="0.35">
      <c r="F2165" s="20">
        <v>90040540</v>
      </c>
      <c r="G2165" s="21" t="s">
        <v>2764</v>
      </c>
    </row>
    <row r="2166" spans="6:7" ht="15.5" x14ac:dyDescent="0.35">
      <c r="F2166" s="20">
        <v>90018838</v>
      </c>
      <c r="G2166" s="21" t="s">
        <v>2765</v>
      </c>
    </row>
    <row r="2167" spans="6:7" ht="15.5" x14ac:dyDescent="0.35">
      <c r="F2167" s="20">
        <v>306911</v>
      </c>
      <c r="G2167" s="21" t="s">
        <v>2766</v>
      </c>
    </row>
    <row r="2168" spans="6:7" ht="15.5" x14ac:dyDescent="0.35">
      <c r="F2168" s="20">
        <v>303664</v>
      </c>
      <c r="G2168" s="21" t="s">
        <v>2767</v>
      </c>
    </row>
    <row r="2169" spans="6:7" ht="15.5" x14ac:dyDescent="0.35">
      <c r="F2169" s="20">
        <v>314450</v>
      </c>
      <c r="G2169" s="21" t="s">
        <v>2768</v>
      </c>
    </row>
    <row r="2170" spans="6:7" ht="15.5" x14ac:dyDescent="0.35">
      <c r="F2170" s="20">
        <v>315942</v>
      </c>
      <c r="G2170" s="21" t="s">
        <v>2769</v>
      </c>
    </row>
    <row r="2171" spans="6:7" ht="15.5" x14ac:dyDescent="0.35">
      <c r="F2171" s="20">
        <v>313835</v>
      </c>
      <c r="G2171" s="21" t="s">
        <v>2770</v>
      </c>
    </row>
    <row r="2172" spans="6:7" ht="15.5" x14ac:dyDescent="0.35">
      <c r="F2172" s="20">
        <v>315402</v>
      </c>
      <c r="G2172" s="21" t="s">
        <v>2771</v>
      </c>
    </row>
    <row r="2173" spans="6:7" ht="15.5" x14ac:dyDescent="0.35">
      <c r="F2173" s="20">
        <v>315816</v>
      </c>
      <c r="G2173" s="21" t="s">
        <v>2772</v>
      </c>
    </row>
    <row r="2174" spans="6:7" ht="15.5" x14ac:dyDescent="0.35">
      <c r="F2174" s="20">
        <v>90009264</v>
      </c>
      <c r="G2174" s="21" t="s">
        <v>2773</v>
      </c>
    </row>
    <row r="2175" spans="6:7" ht="15.5" x14ac:dyDescent="0.35">
      <c r="F2175" s="20">
        <v>315367</v>
      </c>
      <c r="G2175" s="21" t="s">
        <v>2774</v>
      </c>
    </row>
    <row r="2176" spans="6:7" ht="15.5" x14ac:dyDescent="0.35">
      <c r="F2176" s="20">
        <v>311720</v>
      </c>
      <c r="G2176" s="21" t="s">
        <v>2775</v>
      </c>
    </row>
    <row r="2177" spans="6:7" ht="15.5" x14ac:dyDescent="0.35">
      <c r="F2177" s="20">
        <v>313341</v>
      </c>
      <c r="G2177" s="21" t="s">
        <v>2776</v>
      </c>
    </row>
    <row r="2178" spans="6:7" ht="15.5" x14ac:dyDescent="0.35">
      <c r="F2178" s="20">
        <v>309191</v>
      </c>
      <c r="G2178" s="21" t="s">
        <v>2777</v>
      </c>
    </row>
    <row r="2179" spans="6:7" ht="15.5" x14ac:dyDescent="0.35">
      <c r="F2179" s="20">
        <v>90016460</v>
      </c>
      <c r="G2179" s="21" t="s">
        <v>2778</v>
      </c>
    </row>
    <row r="2180" spans="6:7" ht="15.5" x14ac:dyDescent="0.35">
      <c r="F2180" s="20">
        <v>315825</v>
      </c>
      <c r="G2180" s="21" t="s">
        <v>2779</v>
      </c>
    </row>
    <row r="2181" spans="6:7" ht="15.5" x14ac:dyDescent="0.35">
      <c r="F2181" s="20">
        <v>304628</v>
      </c>
      <c r="G2181" s="21" t="s">
        <v>2780</v>
      </c>
    </row>
    <row r="2182" spans="6:7" ht="15.5" x14ac:dyDescent="0.35">
      <c r="F2182" s="20">
        <v>315321</v>
      </c>
      <c r="G2182" s="21" t="s">
        <v>2781</v>
      </c>
    </row>
    <row r="2183" spans="6:7" ht="15.5" x14ac:dyDescent="0.35">
      <c r="F2183" s="20">
        <v>315686</v>
      </c>
      <c r="G2183" s="21" t="s">
        <v>2782</v>
      </c>
    </row>
    <row r="2184" spans="6:7" ht="15.5" x14ac:dyDescent="0.35">
      <c r="F2184" s="20">
        <v>312312</v>
      </c>
      <c r="G2184" s="21" t="s">
        <v>2783</v>
      </c>
    </row>
    <row r="2185" spans="6:7" ht="15.5" x14ac:dyDescent="0.35">
      <c r="F2185" s="20">
        <v>315040</v>
      </c>
      <c r="G2185" s="21" t="s">
        <v>2784</v>
      </c>
    </row>
    <row r="2186" spans="6:7" ht="15.5" x14ac:dyDescent="0.35">
      <c r="F2186" s="20">
        <v>316184</v>
      </c>
      <c r="G2186" s="21" t="s">
        <v>2785</v>
      </c>
    </row>
    <row r="2187" spans="6:7" ht="15.5" x14ac:dyDescent="0.35">
      <c r="F2187" s="20">
        <v>306619</v>
      </c>
      <c r="G2187" s="21" t="s">
        <v>2786</v>
      </c>
    </row>
    <row r="2188" spans="6:7" ht="15.5" x14ac:dyDescent="0.35">
      <c r="F2188" s="20">
        <v>314502</v>
      </c>
      <c r="G2188" s="21" t="s">
        <v>2787</v>
      </c>
    </row>
    <row r="2189" spans="6:7" ht="15.5" x14ac:dyDescent="0.35">
      <c r="F2189" s="20">
        <v>315347</v>
      </c>
      <c r="G2189" s="21" t="s">
        <v>2788</v>
      </c>
    </row>
    <row r="2190" spans="6:7" ht="15.5" x14ac:dyDescent="0.35">
      <c r="F2190" s="20">
        <v>314960</v>
      </c>
      <c r="G2190" s="21" t="s">
        <v>2789</v>
      </c>
    </row>
    <row r="2191" spans="6:7" ht="15.5" x14ac:dyDescent="0.35">
      <c r="F2191" s="20">
        <v>315170</v>
      </c>
      <c r="G2191" s="21" t="s">
        <v>2790</v>
      </c>
    </row>
    <row r="2192" spans="6:7" ht="15.5" x14ac:dyDescent="0.35">
      <c r="F2192" s="20">
        <v>315179</v>
      </c>
      <c r="G2192" s="21" t="s">
        <v>2791</v>
      </c>
    </row>
    <row r="2193" spans="6:7" ht="15.5" x14ac:dyDescent="0.35">
      <c r="F2193" s="20">
        <v>314796</v>
      </c>
      <c r="G2193" s="21" t="s">
        <v>2792</v>
      </c>
    </row>
    <row r="2194" spans="6:7" ht="15.5" x14ac:dyDescent="0.35">
      <c r="F2194" s="20">
        <v>311846</v>
      </c>
      <c r="G2194" s="21" t="s">
        <v>2793</v>
      </c>
    </row>
    <row r="2195" spans="6:7" ht="15.5" x14ac:dyDescent="0.35">
      <c r="F2195" s="20">
        <v>314666</v>
      </c>
      <c r="G2195" s="21" t="s">
        <v>2794</v>
      </c>
    </row>
    <row r="2196" spans="6:7" ht="15.5" x14ac:dyDescent="0.35">
      <c r="F2196" s="20">
        <v>310610</v>
      </c>
      <c r="G2196" s="21" t="s">
        <v>2795</v>
      </c>
    </row>
    <row r="2197" spans="6:7" ht="15.5" x14ac:dyDescent="0.35">
      <c r="F2197" s="20">
        <v>314902</v>
      </c>
      <c r="G2197" s="21" t="s">
        <v>2796</v>
      </c>
    </row>
    <row r="2198" spans="6:7" ht="15.5" x14ac:dyDescent="0.35">
      <c r="F2198" s="20">
        <v>314813</v>
      </c>
      <c r="G2198" s="21" t="s">
        <v>2797</v>
      </c>
    </row>
    <row r="2199" spans="6:7" ht="15.5" x14ac:dyDescent="0.35">
      <c r="F2199" s="20">
        <v>312901</v>
      </c>
      <c r="G2199" s="21" t="s">
        <v>2798</v>
      </c>
    </row>
    <row r="2200" spans="6:7" ht="15.5" x14ac:dyDescent="0.35">
      <c r="F2200" s="20">
        <v>308852</v>
      </c>
      <c r="G2200" s="21" t="s">
        <v>2799</v>
      </c>
    </row>
    <row r="2201" spans="6:7" ht="15.5" x14ac:dyDescent="0.35">
      <c r="F2201" s="20">
        <v>313913</v>
      </c>
      <c r="G2201" s="21" t="s">
        <v>2800</v>
      </c>
    </row>
    <row r="2202" spans="6:7" ht="15.5" x14ac:dyDescent="0.35">
      <c r="F2202" s="20">
        <v>315709</v>
      </c>
      <c r="G2202" s="21" t="s">
        <v>2801</v>
      </c>
    </row>
    <row r="2203" spans="6:7" ht="15.5" x14ac:dyDescent="0.35">
      <c r="F2203" s="20">
        <v>306098</v>
      </c>
      <c r="G2203" s="21" t="s">
        <v>2802</v>
      </c>
    </row>
    <row r="2204" spans="6:7" ht="15.5" x14ac:dyDescent="0.35">
      <c r="F2204" s="20">
        <v>90015498</v>
      </c>
      <c r="G2204" s="21" t="s">
        <v>2803</v>
      </c>
    </row>
    <row r="2205" spans="6:7" ht="15.5" x14ac:dyDescent="0.35">
      <c r="F2205" s="20">
        <v>316371</v>
      </c>
      <c r="G2205" s="21" t="s">
        <v>2804</v>
      </c>
    </row>
    <row r="2206" spans="6:7" ht="15.5" x14ac:dyDescent="0.35">
      <c r="F2206" s="20">
        <v>90028245</v>
      </c>
      <c r="G2206" s="21" t="s">
        <v>2805</v>
      </c>
    </row>
    <row r="2207" spans="6:7" ht="15.5" x14ac:dyDescent="0.35">
      <c r="F2207" s="20">
        <v>314134</v>
      </c>
      <c r="G2207" s="21" t="s">
        <v>2806</v>
      </c>
    </row>
    <row r="2208" spans="6:7" ht="15.5" x14ac:dyDescent="0.35">
      <c r="F2208" s="20">
        <v>316057</v>
      </c>
      <c r="G2208" s="21" t="s">
        <v>2807</v>
      </c>
    </row>
    <row r="2209" spans="6:7" ht="15.5" x14ac:dyDescent="0.35">
      <c r="F2209" s="20">
        <v>313517</v>
      </c>
      <c r="G2209" s="21" t="s">
        <v>2808</v>
      </c>
    </row>
    <row r="2210" spans="6:7" ht="15.5" x14ac:dyDescent="0.35">
      <c r="F2210" s="20">
        <v>314945</v>
      </c>
      <c r="G2210" s="21" t="s">
        <v>2809</v>
      </c>
    </row>
    <row r="2211" spans="6:7" ht="15.5" x14ac:dyDescent="0.35">
      <c r="F2211" s="20">
        <v>90040240</v>
      </c>
      <c r="G2211" s="21" t="s">
        <v>2810</v>
      </c>
    </row>
    <row r="2212" spans="6:7" ht="15.5" x14ac:dyDescent="0.35">
      <c r="F2212" s="20">
        <v>313403</v>
      </c>
      <c r="G2212" s="21" t="s">
        <v>2811</v>
      </c>
    </row>
    <row r="2213" spans="6:7" ht="15.5" x14ac:dyDescent="0.35">
      <c r="F2213" s="20">
        <v>314776</v>
      </c>
      <c r="G2213" s="21" t="s">
        <v>2812</v>
      </c>
    </row>
    <row r="2214" spans="6:7" ht="15.5" x14ac:dyDescent="0.35">
      <c r="F2214" s="20">
        <v>90048486</v>
      </c>
      <c r="G2214" s="21" t="s">
        <v>2813</v>
      </c>
    </row>
    <row r="2215" spans="6:7" ht="15.5" x14ac:dyDescent="0.35">
      <c r="F2215" s="20">
        <v>315539</v>
      </c>
      <c r="G2215" s="21" t="s">
        <v>2814</v>
      </c>
    </row>
    <row r="2216" spans="6:7" ht="15.5" x14ac:dyDescent="0.35">
      <c r="F2216" s="20">
        <v>314096</v>
      </c>
      <c r="G2216" s="21" t="s">
        <v>2815</v>
      </c>
    </row>
    <row r="2217" spans="6:7" ht="15.5" x14ac:dyDescent="0.35">
      <c r="F2217" s="20">
        <v>307943</v>
      </c>
      <c r="G2217" s="21" t="s">
        <v>2816</v>
      </c>
    </row>
    <row r="2218" spans="6:7" ht="15.5" x14ac:dyDescent="0.35">
      <c r="F2218" s="20">
        <v>90014454</v>
      </c>
      <c r="G2218" s="21" t="s">
        <v>2817</v>
      </c>
    </row>
    <row r="2219" spans="6:7" ht="15.5" x14ac:dyDescent="0.35">
      <c r="F2219" s="20">
        <v>315118</v>
      </c>
      <c r="G2219" s="21" t="s">
        <v>2818</v>
      </c>
    </row>
    <row r="2220" spans="6:7" ht="15.5" x14ac:dyDescent="0.35">
      <c r="F2220" s="20">
        <v>315165</v>
      </c>
      <c r="G2220" s="21" t="s">
        <v>2819</v>
      </c>
    </row>
    <row r="2221" spans="6:7" ht="15.5" x14ac:dyDescent="0.35">
      <c r="F2221" s="20">
        <v>312877</v>
      </c>
      <c r="G2221" s="21" t="s">
        <v>2820</v>
      </c>
    </row>
    <row r="2222" spans="6:7" ht="15.5" x14ac:dyDescent="0.35">
      <c r="F2222" s="20">
        <v>310267</v>
      </c>
      <c r="G2222" s="21" t="s">
        <v>2821</v>
      </c>
    </row>
    <row r="2223" spans="6:7" ht="15.5" x14ac:dyDescent="0.35">
      <c r="F2223" s="20">
        <v>314930</v>
      </c>
      <c r="G2223" s="21" t="s">
        <v>2822</v>
      </c>
    </row>
    <row r="2224" spans="6:7" ht="15.5" x14ac:dyDescent="0.35">
      <c r="F2224" s="20">
        <v>316176</v>
      </c>
      <c r="G2224" s="21" t="s">
        <v>2823</v>
      </c>
    </row>
    <row r="2225" spans="6:7" ht="15.5" x14ac:dyDescent="0.35">
      <c r="F2225" s="20">
        <v>90038946</v>
      </c>
      <c r="G2225" s="21" t="s">
        <v>2824</v>
      </c>
    </row>
    <row r="2226" spans="6:7" ht="15.5" x14ac:dyDescent="0.35">
      <c r="F2226" s="20">
        <v>315305</v>
      </c>
      <c r="G2226" s="21" t="s">
        <v>2825</v>
      </c>
    </row>
    <row r="2227" spans="6:7" ht="15.5" x14ac:dyDescent="0.35">
      <c r="F2227" s="20">
        <v>305255</v>
      </c>
      <c r="G2227" s="21" t="s">
        <v>2826</v>
      </c>
    </row>
    <row r="2228" spans="6:7" ht="15.5" x14ac:dyDescent="0.35">
      <c r="F2228" s="20">
        <v>313771</v>
      </c>
      <c r="G2228" s="21" t="s">
        <v>2827</v>
      </c>
    </row>
    <row r="2229" spans="6:7" ht="15.5" x14ac:dyDescent="0.35">
      <c r="F2229" s="20">
        <v>315353</v>
      </c>
      <c r="G2229" s="21" t="s">
        <v>2828</v>
      </c>
    </row>
    <row r="2230" spans="6:7" ht="15.5" x14ac:dyDescent="0.35">
      <c r="F2230" s="20">
        <v>301835</v>
      </c>
      <c r="G2230" s="21" t="s">
        <v>2829</v>
      </c>
    </row>
    <row r="2231" spans="6:7" ht="15.5" x14ac:dyDescent="0.35">
      <c r="F2231" s="20">
        <v>315389</v>
      </c>
      <c r="G2231" s="21" t="s">
        <v>2830</v>
      </c>
    </row>
    <row r="2232" spans="6:7" ht="15.5" x14ac:dyDescent="0.35">
      <c r="F2232" s="20">
        <v>312729</v>
      </c>
      <c r="G2232" s="21" t="s">
        <v>2831</v>
      </c>
    </row>
    <row r="2233" spans="6:7" ht="15.5" x14ac:dyDescent="0.35">
      <c r="F2233" s="20">
        <v>90020505</v>
      </c>
      <c r="G2233" s="21" t="s">
        <v>2832</v>
      </c>
    </row>
    <row r="2234" spans="6:7" ht="15.5" x14ac:dyDescent="0.35">
      <c r="F2234" s="20">
        <v>300594</v>
      </c>
      <c r="G2234" s="21" t="s">
        <v>2833</v>
      </c>
    </row>
    <row r="2235" spans="6:7" ht="15.5" x14ac:dyDescent="0.35">
      <c r="F2235" s="20">
        <v>307702</v>
      </c>
      <c r="G2235" s="21" t="s">
        <v>2834</v>
      </c>
    </row>
    <row r="2236" spans="6:7" ht="15.5" x14ac:dyDescent="0.35">
      <c r="F2236" s="20">
        <v>303901</v>
      </c>
      <c r="G2236" s="21" t="s">
        <v>2835</v>
      </c>
    </row>
    <row r="2237" spans="6:7" ht="15.5" x14ac:dyDescent="0.35">
      <c r="F2237" s="20">
        <v>312040</v>
      </c>
      <c r="G2237" s="21" t="s">
        <v>2836</v>
      </c>
    </row>
    <row r="2238" spans="6:7" ht="15.5" x14ac:dyDescent="0.35">
      <c r="F2238" s="20">
        <v>313606</v>
      </c>
      <c r="G2238" s="21" t="s">
        <v>2837</v>
      </c>
    </row>
    <row r="2239" spans="6:7" ht="15.5" x14ac:dyDescent="0.35">
      <c r="F2239" s="20">
        <v>310534</v>
      </c>
      <c r="G2239" s="21" t="s">
        <v>2838</v>
      </c>
    </row>
    <row r="2240" spans="6:7" ht="15.5" x14ac:dyDescent="0.35">
      <c r="F2240" s="20">
        <v>311353</v>
      </c>
      <c r="G2240" s="21" t="s">
        <v>2839</v>
      </c>
    </row>
    <row r="2241" spans="6:7" ht="15.5" x14ac:dyDescent="0.35">
      <c r="F2241" s="20">
        <v>316017</v>
      </c>
      <c r="G2241" s="21" t="s">
        <v>2840</v>
      </c>
    </row>
    <row r="2242" spans="6:7" ht="15.5" x14ac:dyDescent="0.35">
      <c r="F2242" s="20">
        <v>315045</v>
      </c>
      <c r="G2242" s="21" t="s">
        <v>2841</v>
      </c>
    </row>
    <row r="2243" spans="6:7" ht="15.5" x14ac:dyDescent="0.35">
      <c r="F2243" s="20">
        <v>90040768</v>
      </c>
      <c r="G2243" s="21" t="s">
        <v>2842</v>
      </c>
    </row>
    <row r="2244" spans="6:7" ht="15.5" x14ac:dyDescent="0.35">
      <c r="F2244" s="20">
        <v>315419</v>
      </c>
      <c r="G2244" s="21" t="s">
        <v>2843</v>
      </c>
    </row>
    <row r="2245" spans="6:7" ht="15.5" x14ac:dyDescent="0.35">
      <c r="F2245" s="20">
        <v>314308</v>
      </c>
      <c r="G2245" s="21" t="s">
        <v>2844</v>
      </c>
    </row>
    <row r="2246" spans="6:7" ht="15.5" x14ac:dyDescent="0.35">
      <c r="F2246" s="20">
        <v>90038408</v>
      </c>
      <c r="G2246" s="21" t="s">
        <v>2845</v>
      </c>
    </row>
    <row r="2247" spans="6:7" ht="15.5" x14ac:dyDescent="0.35">
      <c r="F2247" s="20">
        <v>311511</v>
      </c>
      <c r="G2247" s="21" t="s">
        <v>2846</v>
      </c>
    </row>
    <row r="2248" spans="6:7" ht="15.5" x14ac:dyDescent="0.35">
      <c r="F2248" s="20">
        <v>315629</v>
      </c>
      <c r="G2248" s="21" t="s">
        <v>2847</v>
      </c>
    </row>
    <row r="2249" spans="6:7" ht="15.5" x14ac:dyDescent="0.35">
      <c r="F2249" s="20">
        <v>312888</v>
      </c>
      <c r="G2249" s="21" t="s">
        <v>2848</v>
      </c>
    </row>
    <row r="2250" spans="6:7" ht="15.5" x14ac:dyDescent="0.35">
      <c r="F2250" s="20">
        <v>314814</v>
      </c>
      <c r="G2250" s="21" t="s">
        <v>2849</v>
      </c>
    </row>
    <row r="2251" spans="6:7" ht="15.5" x14ac:dyDescent="0.35">
      <c r="F2251" s="20">
        <v>316331</v>
      </c>
      <c r="G2251" s="21" t="s">
        <v>2850</v>
      </c>
    </row>
    <row r="2252" spans="6:7" ht="15.5" x14ac:dyDescent="0.35">
      <c r="F2252" s="20">
        <v>315607</v>
      </c>
      <c r="G2252" s="21" t="s">
        <v>2851</v>
      </c>
    </row>
    <row r="2253" spans="6:7" ht="15.5" x14ac:dyDescent="0.35">
      <c r="F2253" s="20">
        <v>314799</v>
      </c>
      <c r="G2253" s="21" t="s">
        <v>2852</v>
      </c>
    </row>
    <row r="2254" spans="6:7" ht="15.5" x14ac:dyDescent="0.35">
      <c r="F2254" s="20">
        <v>315882</v>
      </c>
      <c r="G2254" s="21" t="s">
        <v>2853</v>
      </c>
    </row>
    <row r="2255" spans="6:7" ht="15.5" x14ac:dyDescent="0.35">
      <c r="F2255" s="20">
        <v>311551</v>
      </c>
      <c r="G2255" s="21" t="s">
        <v>2854</v>
      </c>
    </row>
    <row r="2256" spans="6:7" ht="15.5" x14ac:dyDescent="0.35">
      <c r="F2256" s="20">
        <v>315824</v>
      </c>
      <c r="G2256" s="21" t="s">
        <v>2855</v>
      </c>
    </row>
    <row r="2257" spans="6:7" ht="15.5" x14ac:dyDescent="0.35">
      <c r="F2257" s="20">
        <v>312546</v>
      </c>
      <c r="G2257" s="21" t="s">
        <v>2856</v>
      </c>
    </row>
    <row r="2258" spans="6:7" ht="15.5" x14ac:dyDescent="0.35">
      <c r="F2258" s="20">
        <v>315365</v>
      </c>
      <c r="G2258" s="21" t="s">
        <v>2857</v>
      </c>
    </row>
    <row r="2259" spans="6:7" ht="15.5" x14ac:dyDescent="0.35">
      <c r="F2259" s="20">
        <v>313599</v>
      </c>
      <c r="G2259" s="21" t="s">
        <v>2858</v>
      </c>
    </row>
    <row r="2260" spans="6:7" ht="15.5" x14ac:dyDescent="0.35">
      <c r="F2260" s="20">
        <v>301658</v>
      </c>
      <c r="G2260" s="21" t="s">
        <v>150</v>
      </c>
    </row>
    <row r="2261" spans="6:7" ht="15.5" x14ac:dyDescent="0.35">
      <c r="F2261" s="20">
        <v>301786</v>
      </c>
      <c r="G2261" s="21" t="s">
        <v>2859</v>
      </c>
    </row>
    <row r="2262" spans="6:7" ht="15.5" x14ac:dyDescent="0.35">
      <c r="F2262" s="20">
        <v>314606</v>
      </c>
      <c r="G2262" s="21" t="s">
        <v>2860</v>
      </c>
    </row>
    <row r="2263" spans="6:7" ht="15.5" x14ac:dyDescent="0.35">
      <c r="F2263" s="20">
        <v>90048449</v>
      </c>
      <c r="G2263" s="21" t="s">
        <v>2861</v>
      </c>
    </row>
    <row r="2264" spans="6:7" ht="15.5" x14ac:dyDescent="0.35">
      <c r="F2264" s="20">
        <v>315008</v>
      </c>
      <c r="G2264" s="21" t="s">
        <v>2862</v>
      </c>
    </row>
    <row r="2265" spans="6:7" ht="15.5" x14ac:dyDescent="0.35">
      <c r="F2265" s="20">
        <v>312383</v>
      </c>
      <c r="G2265" s="21" t="s">
        <v>2863</v>
      </c>
    </row>
    <row r="2266" spans="6:7" ht="15.5" x14ac:dyDescent="0.35">
      <c r="F2266" s="20">
        <v>313592</v>
      </c>
      <c r="G2266" s="21" t="s">
        <v>2864</v>
      </c>
    </row>
    <row r="2267" spans="6:7" ht="15.5" x14ac:dyDescent="0.35">
      <c r="F2267" s="20">
        <v>305099</v>
      </c>
      <c r="G2267" s="21" t="s">
        <v>2865</v>
      </c>
    </row>
    <row r="2268" spans="6:7" ht="15.5" x14ac:dyDescent="0.35">
      <c r="F2268" s="20">
        <v>90012228</v>
      </c>
      <c r="G2268" s="21" t="s">
        <v>2866</v>
      </c>
    </row>
    <row r="2269" spans="6:7" ht="15.5" x14ac:dyDescent="0.35">
      <c r="F2269" s="20">
        <v>312923</v>
      </c>
      <c r="G2269" s="21" t="s">
        <v>2867</v>
      </c>
    </row>
    <row r="2270" spans="6:7" ht="15.5" x14ac:dyDescent="0.35">
      <c r="F2270" s="20">
        <v>314420</v>
      </c>
      <c r="G2270" s="21" t="s">
        <v>2868</v>
      </c>
    </row>
    <row r="2271" spans="6:7" ht="15.5" x14ac:dyDescent="0.35">
      <c r="F2271" s="20">
        <v>301460</v>
      </c>
      <c r="G2271" s="21" t="s">
        <v>2869</v>
      </c>
    </row>
    <row r="2272" spans="6:7" ht="15.5" x14ac:dyDescent="0.35">
      <c r="F2272" s="20">
        <v>312012</v>
      </c>
      <c r="G2272" s="21" t="s">
        <v>2870</v>
      </c>
    </row>
    <row r="2273" spans="6:7" ht="15.5" x14ac:dyDescent="0.35">
      <c r="F2273" s="20">
        <v>90021357</v>
      </c>
      <c r="G2273" s="21" t="s">
        <v>2871</v>
      </c>
    </row>
    <row r="2274" spans="6:7" ht="15.5" x14ac:dyDescent="0.35">
      <c r="F2274" s="20">
        <v>90025093</v>
      </c>
      <c r="G2274" s="21" t="s">
        <v>2872</v>
      </c>
    </row>
    <row r="2275" spans="6:7" ht="15.5" x14ac:dyDescent="0.35">
      <c r="F2275" s="20">
        <v>90019588</v>
      </c>
      <c r="G2275" s="21" t="s">
        <v>2873</v>
      </c>
    </row>
    <row r="2276" spans="6:7" ht="15.5" x14ac:dyDescent="0.35">
      <c r="F2276" s="20">
        <v>90034941</v>
      </c>
      <c r="G2276" s="21" t="s">
        <v>2874</v>
      </c>
    </row>
    <row r="2277" spans="6:7" ht="15.5" x14ac:dyDescent="0.35">
      <c r="F2277" s="20">
        <v>313392</v>
      </c>
      <c r="G2277" s="21" t="s">
        <v>2875</v>
      </c>
    </row>
    <row r="2278" spans="6:7" ht="15.5" x14ac:dyDescent="0.35">
      <c r="F2278" s="20">
        <v>200872</v>
      </c>
      <c r="G2278" s="21" t="s">
        <v>2876</v>
      </c>
    </row>
    <row r="2279" spans="6:7" ht="15.5" x14ac:dyDescent="0.35">
      <c r="F2279" s="20">
        <v>314820</v>
      </c>
      <c r="G2279" s="21" t="s">
        <v>2877</v>
      </c>
    </row>
    <row r="2280" spans="6:7" ht="15.5" x14ac:dyDescent="0.35">
      <c r="F2280" s="20">
        <v>90027882</v>
      </c>
      <c r="G2280" s="21" t="s">
        <v>2878</v>
      </c>
    </row>
    <row r="2281" spans="6:7" ht="15.5" x14ac:dyDescent="0.35">
      <c r="F2281" s="20">
        <v>90040129</v>
      </c>
      <c r="G2281" s="21" t="s">
        <v>2879</v>
      </c>
    </row>
    <row r="2282" spans="6:7" ht="15.5" x14ac:dyDescent="0.35">
      <c r="F2282" s="20">
        <v>90023863</v>
      </c>
      <c r="G2282" s="21" t="s">
        <v>2880</v>
      </c>
    </row>
    <row r="2283" spans="6:7" ht="15.5" x14ac:dyDescent="0.35">
      <c r="F2283" s="20">
        <v>313875</v>
      </c>
      <c r="G2283" s="21" t="s">
        <v>2881</v>
      </c>
    </row>
    <row r="2284" spans="6:7" ht="15.5" x14ac:dyDescent="0.35">
      <c r="F2284" s="20">
        <v>311092</v>
      </c>
      <c r="G2284" s="21" t="s">
        <v>2882</v>
      </c>
    </row>
    <row r="2285" spans="6:7" ht="15.5" x14ac:dyDescent="0.35">
      <c r="F2285" s="20">
        <v>306416</v>
      </c>
      <c r="G2285" s="21" t="s">
        <v>2883</v>
      </c>
    </row>
    <row r="2286" spans="6:7" ht="15.5" x14ac:dyDescent="0.35">
      <c r="F2286" s="20">
        <v>315024</v>
      </c>
      <c r="G2286" s="21" t="s">
        <v>2884</v>
      </c>
    </row>
    <row r="2287" spans="6:7" ht="15.5" x14ac:dyDescent="0.35">
      <c r="F2287" s="20">
        <v>315476</v>
      </c>
      <c r="G2287" s="21" t="s">
        <v>2885</v>
      </c>
    </row>
    <row r="2288" spans="6:7" ht="15.5" x14ac:dyDescent="0.35">
      <c r="F2288" s="20">
        <v>312908</v>
      </c>
      <c r="G2288" s="21" t="s">
        <v>2886</v>
      </c>
    </row>
    <row r="2289" spans="6:7" ht="15.5" x14ac:dyDescent="0.35">
      <c r="F2289" s="20">
        <v>313078</v>
      </c>
      <c r="G2289" s="21" t="s">
        <v>2887</v>
      </c>
    </row>
    <row r="2290" spans="6:7" ht="15.5" x14ac:dyDescent="0.35">
      <c r="F2290" s="20">
        <v>301438</v>
      </c>
      <c r="G2290" s="21" t="s">
        <v>2888</v>
      </c>
    </row>
    <row r="2291" spans="6:7" ht="15.5" x14ac:dyDescent="0.35">
      <c r="F2291" s="20">
        <v>313622</v>
      </c>
      <c r="G2291" s="21" t="s">
        <v>2889</v>
      </c>
    </row>
    <row r="2292" spans="6:7" ht="15.5" x14ac:dyDescent="0.35">
      <c r="F2292" s="20">
        <v>316029</v>
      </c>
      <c r="G2292" s="21" t="s">
        <v>2890</v>
      </c>
    </row>
    <row r="2293" spans="6:7" ht="15.5" x14ac:dyDescent="0.35">
      <c r="F2293" s="20">
        <v>90034141</v>
      </c>
      <c r="G2293" s="21" t="s">
        <v>2891</v>
      </c>
    </row>
    <row r="2294" spans="6:7" ht="15.5" x14ac:dyDescent="0.35">
      <c r="F2294" s="20">
        <v>315408</v>
      </c>
      <c r="G2294" s="21" t="s">
        <v>2892</v>
      </c>
    </row>
    <row r="2295" spans="6:7" ht="15.5" x14ac:dyDescent="0.35">
      <c r="F2295" s="20">
        <v>307105</v>
      </c>
      <c r="G2295" s="21" t="s">
        <v>2893</v>
      </c>
    </row>
    <row r="2296" spans="6:7" ht="15.5" x14ac:dyDescent="0.35">
      <c r="F2296" s="20">
        <v>315254</v>
      </c>
      <c r="G2296" s="21" t="s">
        <v>2894</v>
      </c>
    </row>
    <row r="2297" spans="6:7" ht="15.5" x14ac:dyDescent="0.35">
      <c r="F2297" s="20">
        <v>316268</v>
      </c>
      <c r="G2297" s="21" t="s">
        <v>2895</v>
      </c>
    </row>
    <row r="2298" spans="6:7" ht="15.5" x14ac:dyDescent="0.35">
      <c r="F2298" s="20">
        <v>313402</v>
      </c>
      <c r="G2298" s="21" t="s">
        <v>2896</v>
      </c>
    </row>
    <row r="2299" spans="6:7" ht="15.5" x14ac:dyDescent="0.35">
      <c r="F2299" s="20">
        <v>90039566</v>
      </c>
      <c r="G2299" s="21" t="s">
        <v>2897</v>
      </c>
    </row>
    <row r="2300" spans="6:7" ht="15.5" x14ac:dyDescent="0.35">
      <c r="F2300" s="20">
        <v>312501</v>
      </c>
      <c r="G2300" s="21" t="s">
        <v>2898</v>
      </c>
    </row>
    <row r="2301" spans="6:7" ht="15.5" x14ac:dyDescent="0.35">
      <c r="F2301" s="20">
        <v>313492</v>
      </c>
      <c r="G2301" s="21" t="s">
        <v>2899</v>
      </c>
    </row>
    <row r="2302" spans="6:7" ht="15.5" x14ac:dyDescent="0.35">
      <c r="F2302" s="20">
        <v>313043</v>
      </c>
      <c r="G2302" s="21" t="s">
        <v>2900</v>
      </c>
    </row>
    <row r="2303" spans="6:7" ht="15.5" x14ac:dyDescent="0.35">
      <c r="F2303" s="20">
        <v>314950</v>
      </c>
      <c r="G2303" s="21" t="s">
        <v>2901</v>
      </c>
    </row>
    <row r="2304" spans="6:7" ht="15.5" x14ac:dyDescent="0.35">
      <c r="F2304" s="20">
        <v>315621</v>
      </c>
      <c r="G2304" s="21" t="s">
        <v>2902</v>
      </c>
    </row>
    <row r="2305" spans="6:7" ht="15.5" x14ac:dyDescent="0.35">
      <c r="F2305" s="20">
        <v>309816</v>
      </c>
      <c r="G2305" s="21" t="s">
        <v>2903</v>
      </c>
    </row>
    <row r="2306" spans="6:7" ht="15.5" x14ac:dyDescent="0.35">
      <c r="F2306" s="20">
        <v>314690</v>
      </c>
      <c r="G2306" s="21" t="s">
        <v>2904</v>
      </c>
    </row>
    <row r="2307" spans="6:7" ht="15.5" x14ac:dyDescent="0.35">
      <c r="F2307" s="20">
        <v>314956</v>
      </c>
      <c r="G2307" s="21" t="s">
        <v>2905</v>
      </c>
    </row>
    <row r="2308" spans="6:7" ht="15.5" x14ac:dyDescent="0.35">
      <c r="F2308" s="20">
        <v>313284</v>
      </c>
      <c r="G2308" s="21" t="s">
        <v>2906</v>
      </c>
    </row>
    <row r="2309" spans="6:7" ht="15.5" x14ac:dyDescent="0.35">
      <c r="F2309" s="20">
        <v>314855</v>
      </c>
      <c r="G2309" s="21" t="s">
        <v>2907</v>
      </c>
    </row>
    <row r="2310" spans="6:7" ht="15.5" x14ac:dyDescent="0.35">
      <c r="F2310" s="20">
        <v>312294</v>
      </c>
      <c r="G2310" s="21" t="s">
        <v>2908</v>
      </c>
    </row>
    <row r="2311" spans="6:7" ht="15.5" x14ac:dyDescent="0.35">
      <c r="F2311" s="20">
        <v>302278</v>
      </c>
      <c r="G2311" s="21" t="s">
        <v>2909</v>
      </c>
    </row>
    <row r="2312" spans="6:7" ht="15.5" x14ac:dyDescent="0.35">
      <c r="F2312" s="20">
        <v>314266</v>
      </c>
      <c r="G2312" s="21" t="s">
        <v>2910</v>
      </c>
    </row>
    <row r="2313" spans="6:7" ht="15.5" x14ac:dyDescent="0.35">
      <c r="F2313" s="20">
        <v>301308</v>
      </c>
      <c r="G2313" s="21" t="s">
        <v>2911</v>
      </c>
    </row>
    <row r="2314" spans="6:7" ht="15.5" x14ac:dyDescent="0.35">
      <c r="F2314" s="20">
        <v>90047663</v>
      </c>
      <c r="G2314" s="21" t="s">
        <v>2912</v>
      </c>
    </row>
    <row r="2315" spans="6:7" ht="15.5" x14ac:dyDescent="0.35">
      <c r="F2315" s="20">
        <v>90009271</v>
      </c>
      <c r="G2315" s="21" t="s">
        <v>2913</v>
      </c>
    </row>
    <row r="2316" spans="6:7" ht="15.5" x14ac:dyDescent="0.35">
      <c r="F2316" s="20">
        <v>312346</v>
      </c>
      <c r="G2316" s="21" t="s">
        <v>2914</v>
      </c>
    </row>
    <row r="2317" spans="6:7" ht="15.5" x14ac:dyDescent="0.35">
      <c r="F2317" s="20">
        <v>314559</v>
      </c>
      <c r="G2317" s="21" t="s">
        <v>2915</v>
      </c>
    </row>
    <row r="2318" spans="6:7" ht="15.5" x14ac:dyDescent="0.35">
      <c r="F2318" s="20">
        <v>314758</v>
      </c>
      <c r="G2318" s="21" t="s">
        <v>2916</v>
      </c>
    </row>
    <row r="2319" spans="6:7" ht="15.5" x14ac:dyDescent="0.35">
      <c r="F2319" s="20">
        <v>314923</v>
      </c>
      <c r="G2319" s="21" t="s">
        <v>2917</v>
      </c>
    </row>
    <row r="2320" spans="6:7" ht="15.5" x14ac:dyDescent="0.35">
      <c r="F2320" s="20">
        <v>90040254</v>
      </c>
      <c r="G2320" s="21" t="s">
        <v>2918</v>
      </c>
    </row>
    <row r="2321" spans="6:7" ht="15.5" x14ac:dyDescent="0.35">
      <c r="F2321" s="20">
        <v>316080</v>
      </c>
      <c r="G2321" s="21" t="s">
        <v>2919</v>
      </c>
    </row>
    <row r="2322" spans="6:7" ht="15.5" x14ac:dyDescent="0.35">
      <c r="F2322" s="20">
        <v>314755</v>
      </c>
      <c r="G2322" s="21" t="s">
        <v>2920</v>
      </c>
    </row>
    <row r="2323" spans="6:7" ht="15.5" x14ac:dyDescent="0.35">
      <c r="F2323" s="20">
        <v>90028146</v>
      </c>
      <c r="G2323" s="21" t="s">
        <v>2921</v>
      </c>
    </row>
    <row r="2324" spans="6:7" ht="15.5" x14ac:dyDescent="0.35">
      <c r="F2324" s="20">
        <v>101896</v>
      </c>
      <c r="G2324" s="21" t="s">
        <v>2922</v>
      </c>
    </row>
    <row r="2325" spans="6:7" ht="15.5" x14ac:dyDescent="0.35">
      <c r="F2325" s="20">
        <v>314967</v>
      </c>
      <c r="G2325" s="21" t="s">
        <v>2923</v>
      </c>
    </row>
    <row r="2326" spans="6:7" ht="15.5" x14ac:dyDescent="0.35">
      <c r="F2326" s="20">
        <v>315294</v>
      </c>
      <c r="G2326" s="21" t="s">
        <v>2924</v>
      </c>
    </row>
    <row r="2327" spans="6:7" ht="15.5" x14ac:dyDescent="0.35">
      <c r="F2327" s="20">
        <v>314648</v>
      </c>
      <c r="G2327" s="21" t="s">
        <v>2925</v>
      </c>
    </row>
    <row r="2328" spans="6:7" ht="15.5" x14ac:dyDescent="0.35">
      <c r="F2328" s="20">
        <v>90039432</v>
      </c>
      <c r="G2328" s="21" t="s">
        <v>2926</v>
      </c>
    </row>
    <row r="2329" spans="6:7" ht="15.5" x14ac:dyDescent="0.35">
      <c r="F2329" s="20">
        <v>315742</v>
      </c>
      <c r="G2329" s="21" t="s">
        <v>2927</v>
      </c>
    </row>
    <row r="2330" spans="6:7" ht="15.5" x14ac:dyDescent="0.35">
      <c r="F2330" s="20">
        <v>314968</v>
      </c>
      <c r="G2330" s="21" t="s">
        <v>2928</v>
      </c>
    </row>
    <row r="2331" spans="6:7" ht="15.5" x14ac:dyDescent="0.35">
      <c r="F2331" s="20">
        <v>314079</v>
      </c>
      <c r="G2331" s="21" t="s">
        <v>2929</v>
      </c>
    </row>
    <row r="2332" spans="6:7" ht="15.5" x14ac:dyDescent="0.35">
      <c r="F2332" s="20">
        <v>90033065</v>
      </c>
      <c r="G2332" s="21" t="s">
        <v>2930</v>
      </c>
    </row>
    <row r="2333" spans="6:7" ht="15.5" x14ac:dyDescent="0.35">
      <c r="F2333" s="20">
        <v>311147</v>
      </c>
      <c r="G2333" s="21" t="s">
        <v>2931</v>
      </c>
    </row>
    <row r="2334" spans="6:7" ht="15.5" x14ac:dyDescent="0.35">
      <c r="F2334" s="20">
        <v>301706</v>
      </c>
      <c r="G2334" s="21" t="s">
        <v>2932</v>
      </c>
    </row>
    <row r="2335" spans="6:7" ht="15.5" x14ac:dyDescent="0.35">
      <c r="F2335" s="20">
        <v>90040678</v>
      </c>
      <c r="G2335" s="21" t="s">
        <v>2933</v>
      </c>
    </row>
    <row r="2336" spans="6:7" ht="15.5" x14ac:dyDescent="0.35">
      <c r="F2336" s="20">
        <v>310599</v>
      </c>
      <c r="G2336" s="21" t="s">
        <v>2934</v>
      </c>
    </row>
    <row r="2337" spans="6:7" ht="15.5" x14ac:dyDescent="0.35">
      <c r="F2337" s="20">
        <v>315541</v>
      </c>
      <c r="G2337" s="21" t="s">
        <v>2935</v>
      </c>
    </row>
    <row r="2338" spans="6:7" ht="15.5" x14ac:dyDescent="0.35">
      <c r="F2338" s="20">
        <v>304805</v>
      </c>
      <c r="G2338" s="21" t="s">
        <v>2936</v>
      </c>
    </row>
    <row r="2339" spans="6:7" ht="15.5" x14ac:dyDescent="0.35">
      <c r="F2339" s="20">
        <v>90040709</v>
      </c>
      <c r="G2339" s="21" t="s">
        <v>2937</v>
      </c>
    </row>
    <row r="2340" spans="6:7" ht="15.5" x14ac:dyDescent="0.35">
      <c r="F2340" s="20">
        <v>312357</v>
      </c>
      <c r="G2340" s="21" t="s">
        <v>2938</v>
      </c>
    </row>
    <row r="2341" spans="6:7" ht="15.5" x14ac:dyDescent="0.35">
      <c r="F2341" s="20">
        <v>90027845</v>
      </c>
      <c r="G2341" s="21" t="s">
        <v>2939</v>
      </c>
    </row>
    <row r="2342" spans="6:7" ht="15.5" x14ac:dyDescent="0.35">
      <c r="F2342" s="20">
        <v>315315</v>
      </c>
      <c r="G2342" s="21" t="s">
        <v>2940</v>
      </c>
    </row>
    <row r="2343" spans="6:7" ht="15.5" x14ac:dyDescent="0.35">
      <c r="F2343" s="20">
        <v>311646</v>
      </c>
      <c r="G2343" s="21" t="s">
        <v>2941</v>
      </c>
    </row>
    <row r="2344" spans="6:7" ht="15.5" x14ac:dyDescent="0.35">
      <c r="F2344" s="20">
        <v>313212</v>
      </c>
      <c r="G2344" s="21" t="s">
        <v>2942</v>
      </c>
    </row>
    <row r="2345" spans="6:7" ht="15.5" x14ac:dyDescent="0.35">
      <c r="F2345" s="20">
        <v>90028143</v>
      </c>
      <c r="G2345" s="21" t="s">
        <v>2943</v>
      </c>
    </row>
    <row r="2346" spans="6:7" ht="15.5" x14ac:dyDescent="0.35">
      <c r="F2346" s="20">
        <v>90040329</v>
      </c>
      <c r="G2346" s="21" t="s">
        <v>2944</v>
      </c>
    </row>
    <row r="2347" spans="6:7" ht="15.5" x14ac:dyDescent="0.35">
      <c r="F2347" s="20">
        <v>312096</v>
      </c>
      <c r="G2347" s="21" t="s">
        <v>2945</v>
      </c>
    </row>
    <row r="2348" spans="6:7" ht="15.5" x14ac:dyDescent="0.35">
      <c r="F2348" s="20">
        <v>301371</v>
      </c>
      <c r="G2348" s="21" t="s">
        <v>2946</v>
      </c>
    </row>
    <row r="2349" spans="6:7" ht="15.5" x14ac:dyDescent="0.35">
      <c r="F2349" s="20">
        <v>313328</v>
      </c>
      <c r="G2349" s="21" t="s">
        <v>2947</v>
      </c>
    </row>
    <row r="2350" spans="6:7" ht="15.5" x14ac:dyDescent="0.35">
      <c r="F2350" s="20">
        <v>90014276</v>
      </c>
      <c r="G2350" s="21" t="s">
        <v>2948</v>
      </c>
    </row>
    <row r="2351" spans="6:7" ht="15.5" x14ac:dyDescent="0.35">
      <c r="F2351" s="20">
        <v>309948</v>
      </c>
      <c r="G2351" s="21" t="s">
        <v>2949</v>
      </c>
    </row>
    <row r="2352" spans="6:7" ht="15.5" x14ac:dyDescent="0.35">
      <c r="F2352" s="20">
        <v>305230</v>
      </c>
      <c r="G2352" s="21" t="s">
        <v>2950</v>
      </c>
    </row>
    <row r="2353" spans="6:7" ht="15.5" x14ac:dyDescent="0.35">
      <c r="F2353" s="20">
        <v>305427</v>
      </c>
      <c r="G2353" s="21" t="s">
        <v>2951</v>
      </c>
    </row>
    <row r="2354" spans="6:7" ht="15.5" x14ac:dyDescent="0.35">
      <c r="F2354" s="20">
        <v>306034</v>
      </c>
      <c r="G2354" s="21" t="s">
        <v>2952</v>
      </c>
    </row>
    <row r="2355" spans="6:7" ht="15.5" x14ac:dyDescent="0.35">
      <c r="F2355" s="20">
        <v>90034373</v>
      </c>
      <c r="G2355" s="21" t="s">
        <v>2953</v>
      </c>
    </row>
    <row r="2356" spans="6:7" ht="15.5" x14ac:dyDescent="0.35">
      <c r="F2356" s="20">
        <v>310558</v>
      </c>
      <c r="G2356" s="21" t="s">
        <v>2954</v>
      </c>
    </row>
    <row r="2357" spans="6:7" ht="15.5" x14ac:dyDescent="0.35">
      <c r="F2357" s="20">
        <v>310105</v>
      </c>
      <c r="G2357" s="21" t="s">
        <v>2955</v>
      </c>
    </row>
    <row r="2358" spans="6:7" ht="15.5" x14ac:dyDescent="0.35">
      <c r="F2358" s="20">
        <v>315666</v>
      </c>
      <c r="G2358" s="21" t="s">
        <v>2956</v>
      </c>
    </row>
    <row r="2359" spans="6:7" ht="15.5" x14ac:dyDescent="0.35">
      <c r="F2359" s="20">
        <v>316111</v>
      </c>
      <c r="G2359" s="21" t="s">
        <v>2957</v>
      </c>
    </row>
    <row r="2360" spans="6:7" ht="15.5" x14ac:dyDescent="0.35">
      <c r="F2360" s="20">
        <v>313981</v>
      </c>
      <c r="G2360" s="21" t="s">
        <v>2958</v>
      </c>
    </row>
    <row r="2361" spans="6:7" ht="15.5" x14ac:dyDescent="0.35">
      <c r="F2361" s="20">
        <v>314976</v>
      </c>
      <c r="G2361" s="21" t="s">
        <v>2959</v>
      </c>
    </row>
    <row r="2362" spans="6:7" ht="15.5" x14ac:dyDescent="0.35">
      <c r="F2362" s="20">
        <v>309567</v>
      </c>
      <c r="G2362" s="21" t="s">
        <v>2960</v>
      </c>
    </row>
    <row r="2363" spans="6:7" ht="15.5" x14ac:dyDescent="0.35">
      <c r="F2363" s="20">
        <v>90025188</v>
      </c>
      <c r="G2363" s="21" t="s">
        <v>2961</v>
      </c>
    </row>
    <row r="2364" spans="6:7" ht="15.5" x14ac:dyDescent="0.35">
      <c r="F2364" s="20">
        <v>312881</v>
      </c>
      <c r="G2364" s="21" t="s">
        <v>2962</v>
      </c>
    </row>
    <row r="2365" spans="6:7" ht="15.5" x14ac:dyDescent="0.35">
      <c r="F2365" s="20">
        <v>315997</v>
      </c>
      <c r="G2365" s="21" t="s">
        <v>2963</v>
      </c>
    </row>
    <row r="2366" spans="6:7" ht="15.5" x14ac:dyDescent="0.35">
      <c r="F2366" s="20">
        <v>310066</v>
      </c>
      <c r="G2366" s="21" t="s">
        <v>2964</v>
      </c>
    </row>
    <row r="2367" spans="6:7" ht="15.5" x14ac:dyDescent="0.35">
      <c r="F2367" s="20">
        <v>90045668</v>
      </c>
      <c r="G2367" s="21" t="s">
        <v>2965</v>
      </c>
    </row>
    <row r="2368" spans="6:7" ht="15.5" x14ac:dyDescent="0.35">
      <c r="F2368" s="20">
        <v>90033288</v>
      </c>
      <c r="G2368" s="21" t="s">
        <v>2966</v>
      </c>
    </row>
    <row r="2369" spans="6:7" ht="15.5" x14ac:dyDescent="0.35">
      <c r="F2369" s="20">
        <v>315466</v>
      </c>
      <c r="G2369" s="21" t="s">
        <v>2967</v>
      </c>
    </row>
    <row r="2370" spans="6:7" ht="15.5" x14ac:dyDescent="0.35">
      <c r="F2370" s="20">
        <v>313593</v>
      </c>
      <c r="G2370" s="21" t="s">
        <v>2968</v>
      </c>
    </row>
    <row r="2371" spans="6:7" ht="15.5" x14ac:dyDescent="0.35">
      <c r="F2371" s="20">
        <v>315439</v>
      </c>
      <c r="G2371" s="21" t="s">
        <v>2969</v>
      </c>
    </row>
    <row r="2372" spans="6:7" ht="15.5" x14ac:dyDescent="0.35">
      <c r="F2372" s="20">
        <v>310731</v>
      </c>
      <c r="G2372" s="21" t="s">
        <v>2970</v>
      </c>
    </row>
    <row r="2373" spans="6:7" ht="15.5" x14ac:dyDescent="0.35">
      <c r="F2373" s="20">
        <v>314735</v>
      </c>
      <c r="G2373" s="21" t="s">
        <v>2971</v>
      </c>
    </row>
    <row r="2374" spans="6:7" ht="15.5" x14ac:dyDescent="0.35">
      <c r="F2374" s="20">
        <v>90028496</v>
      </c>
      <c r="G2374" s="21" t="s">
        <v>2972</v>
      </c>
    </row>
    <row r="2375" spans="6:7" ht="15.5" x14ac:dyDescent="0.35">
      <c r="F2375" s="20">
        <v>90040904</v>
      </c>
      <c r="G2375" s="21" t="s">
        <v>2973</v>
      </c>
    </row>
    <row r="2376" spans="6:7" ht="15.5" x14ac:dyDescent="0.35">
      <c r="F2376" s="20">
        <v>90039988</v>
      </c>
      <c r="G2376" s="21" t="s">
        <v>2974</v>
      </c>
    </row>
    <row r="2377" spans="6:7" ht="15.5" x14ac:dyDescent="0.35">
      <c r="F2377" s="20">
        <v>315340</v>
      </c>
      <c r="G2377" s="21" t="s">
        <v>2975</v>
      </c>
    </row>
    <row r="2378" spans="6:7" ht="15.5" x14ac:dyDescent="0.35">
      <c r="F2378" s="20">
        <v>90040608</v>
      </c>
      <c r="G2378" s="21" t="s">
        <v>2976</v>
      </c>
    </row>
    <row r="2379" spans="6:7" ht="15.5" x14ac:dyDescent="0.35">
      <c r="F2379" s="20">
        <v>90049246</v>
      </c>
      <c r="G2379" s="21" t="s">
        <v>2977</v>
      </c>
    </row>
    <row r="2380" spans="6:7" ht="15.5" x14ac:dyDescent="0.35">
      <c r="F2380" s="20">
        <v>308054</v>
      </c>
      <c r="G2380" s="21" t="s">
        <v>2978</v>
      </c>
    </row>
    <row r="2381" spans="6:7" ht="15.5" x14ac:dyDescent="0.35">
      <c r="F2381" s="20">
        <v>313056</v>
      </c>
      <c r="G2381" s="21" t="s">
        <v>2979</v>
      </c>
    </row>
    <row r="2382" spans="6:7" ht="15.5" x14ac:dyDescent="0.35">
      <c r="F2382" s="20">
        <v>303382</v>
      </c>
      <c r="G2382" s="21" t="s">
        <v>2980</v>
      </c>
    </row>
    <row r="2383" spans="6:7" ht="15.5" x14ac:dyDescent="0.35">
      <c r="F2383" s="20">
        <v>314787</v>
      </c>
      <c r="G2383" s="21" t="s">
        <v>2981</v>
      </c>
    </row>
    <row r="2384" spans="6:7" ht="15.5" x14ac:dyDescent="0.35">
      <c r="F2384" s="20">
        <v>90046204</v>
      </c>
      <c r="G2384" s="21" t="s">
        <v>2982</v>
      </c>
    </row>
    <row r="2385" spans="6:7" ht="15.5" x14ac:dyDescent="0.35">
      <c r="F2385" s="20">
        <v>310671</v>
      </c>
      <c r="G2385" s="21" t="s">
        <v>2983</v>
      </c>
    </row>
    <row r="2386" spans="6:7" ht="15.5" x14ac:dyDescent="0.35">
      <c r="F2386" s="20">
        <v>312575</v>
      </c>
      <c r="G2386" s="21" t="s">
        <v>2984</v>
      </c>
    </row>
    <row r="2387" spans="6:7" ht="15.5" x14ac:dyDescent="0.35">
      <c r="F2387" s="20">
        <v>315386</v>
      </c>
      <c r="G2387" s="21" t="s">
        <v>2985</v>
      </c>
    </row>
    <row r="2388" spans="6:7" ht="15.5" x14ac:dyDescent="0.35">
      <c r="F2388" s="20">
        <v>314347</v>
      </c>
      <c r="G2388" s="21" t="s">
        <v>2986</v>
      </c>
    </row>
    <row r="2389" spans="6:7" ht="15.5" x14ac:dyDescent="0.35">
      <c r="F2389" s="20">
        <v>304128</v>
      </c>
      <c r="G2389" s="21" t="s">
        <v>2987</v>
      </c>
    </row>
    <row r="2390" spans="6:7" ht="15.5" x14ac:dyDescent="0.35">
      <c r="F2390" s="20">
        <v>313630</v>
      </c>
      <c r="G2390" s="21" t="s">
        <v>2988</v>
      </c>
    </row>
    <row r="2391" spans="6:7" ht="15.5" x14ac:dyDescent="0.35">
      <c r="F2391" s="20">
        <v>313395</v>
      </c>
      <c r="G2391" s="21" t="s">
        <v>2989</v>
      </c>
    </row>
    <row r="2392" spans="6:7" ht="15.5" x14ac:dyDescent="0.35">
      <c r="F2392" s="20">
        <v>309883</v>
      </c>
      <c r="G2392" s="21" t="s">
        <v>2990</v>
      </c>
    </row>
    <row r="2393" spans="6:7" ht="15.5" x14ac:dyDescent="0.35">
      <c r="F2393" s="20">
        <v>307664</v>
      </c>
      <c r="G2393" s="21" t="s">
        <v>2991</v>
      </c>
    </row>
    <row r="2394" spans="6:7" ht="15.5" x14ac:dyDescent="0.35">
      <c r="F2394" s="20">
        <v>90039690</v>
      </c>
      <c r="G2394" s="21" t="s">
        <v>2992</v>
      </c>
    </row>
    <row r="2395" spans="6:7" ht="15.5" x14ac:dyDescent="0.35">
      <c r="F2395" s="20">
        <v>90039611</v>
      </c>
      <c r="G2395" s="21" t="s">
        <v>2993</v>
      </c>
    </row>
    <row r="2396" spans="6:7" ht="15.5" x14ac:dyDescent="0.35">
      <c r="F2396" s="20">
        <v>90034211</v>
      </c>
      <c r="G2396" s="21" t="s">
        <v>2994</v>
      </c>
    </row>
    <row r="2397" spans="6:7" ht="15.5" x14ac:dyDescent="0.35">
      <c r="F2397" s="20">
        <v>315313</v>
      </c>
      <c r="G2397" s="21" t="s">
        <v>2995</v>
      </c>
    </row>
    <row r="2398" spans="6:7" ht="15.5" x14ac:dyDescent="0.35">
      <c r="F2398" s="20">
        <v>314575</v>
      </c>
      <c r="G2398" s="21" t="s">
        <v>2996</v>
      </c>
    </row>
    <row r="2399" spans="6:7" ht="15.5" x14ac:dyDescent="0.35">
      <c r="F2399" s="20">
        <v>302658</v>
      </c>
      <c r="G2399" s="21" t="s">
        <v>2997</v>
      </c>
    </row>
    <row r="2400" spans="6:7" ht="15.5" x14ac:dyDescent="0.35">
      <c r="F2400" s="20">
        <v>315856</v>
      </c>
      <c r="G2400" s="21" t="s">
        <v>2998</v>
      </c>
    </row>
    <row r="2401" spans="6:7" ht="15.5" x14ac:dyDescent="0.35">
      <c r="F2401" s="20">
        <v>315461</v>
      </c>
      <c r="G2401" s="21" t="s">
        <v>2999</v>
      </c>
    </row>
    <row r="2402" spans="6:7" ht="15.5" x14ac:dyDescent="0.35">
      <c r="F2402" s="20">
        <v>315834</v>
      </c>
      <c r="G2402" s="21" t="s">
        <v>3000</v>
      </c>
    </row>
    <row r="2403" spans="6:7" ht="15.5" x14ac:dyDescent="0.35">
      <c r="F2403" s="20">
        <v>315048</v>
      </c>
      <c r="G2403" s="21" t="s">
        <v>3001</v>
      </c>
    </row>
    <row r="2404" spans="6:7" ht="15.5" x14ac:dyDescent="0.35">
      <c r="F2404" s="20">
        <v>302332</v>
      </c>
      <c r="G2404" s="21" t="s">
        <v>3002</v>
      </c>
    </row>
    <row r="2405" spans="6:7" ht="15.5" x14ac:dyDescent="0.35">
      <c r="F2405" s="20">
        <v>314108</v>
      </c>
      <c r="G2405" s="21" t="s">
        <v>3003</v>
      </c>
    </row>
    <row r="2406" spans="6:7" ht="15.5" x14ac:dyDescent="0.35">
      <c r="F2406" s="20">
        <v>315503</v>
      </c>
      <c r="G2406" s="21" t="s">
        <v>3004</v>
      </c>
    </row>
    <row r="2407" spans="6:7" ht="15.5" x14ac:dyDescent="0.35">
      <c r="F2407" s="20">
        <v>315049</v>
      </c>
      <c r="G2407" s="21" t="s">
        <v>3005</v>
      </c>
    </row>
    <row r="2408" spans="6:7" ht="15.5" x14ac:dyDescent="0.35">
      <c r="F2408" s="20">
        <v>315373</v>
      </c>
      <c r="G2408" s="21" t="s">
        <v>3006</v>
      </c>
    </row>
    <row r="2409" spans="6:7" ht="15.5" x14ac:dyDescent="0.35">
      <c r="F2409" s="20">
        <v>311866</v>
      </c>
      <c r="G2409" s="21" t="s">
        <v>3007</v>
      </c>
    </row>
    <row r="2410" spans="6:7" ht="15.5" x14ac:dyDescent="0.35">
      <c r="F2410" s="20">
        <v>310220</v>
      </c>
      <c r="G2410" s="21" t="s">
        <v>3008</v>
      </c>
    </row>
    <row r="2411" spans="6:7" ht="15.5" x14ac:dyDescent="0.35">
      <c r="F2411" s="20">
        <v>315769</v>
      </c>
      <c r="G2411" s="21" t="s">
        <v>3009</v>
      </c>
    </row>
    <row r="2412" spans="6:7" ht="15.5" x14ac:dyDescent="0.35">
      <c r="F2412" s="20">
        <v>313446</v>
      </c>
      <c r="G2412" s="21" t="s">
        <v>3010</v>
      </c>
    </row>
    <row r="2413" spans="6:7" ht="15.5" x14ac:dyDescent="0.35">
      <c r="F2413" s="20">
        <v>90035174</v>
      </c>
      <c r="G2413" s="21" t="s">
        <v>3011</v>
      </c>
    </row>
    <row r="2414" spans="6:7" ht="15.5" x14ac:dyDescent="0.35">
      <c r="F2414" s="20">
        <v>311322</v>
      </c>
      <c r="G2414" s="21" t="s">
        <v>3012</v>
      </c>
    </row>
    <row r="2415" spans="6:7" ht="15.5" x14ac:dyDescent="0.35">
      <c r="F2415" s="20">
        <v>305903</v>
      </c>
      <c r="G2415" s="21" t="s">
        <v>3013</v>
      </c>
    </row>
    <row r="2416" spans="6:7" ht="15.5" x14ac:dyDescent="0.35">
      <c r="F2416" s="20">
        <v>90038417</v>
      </c>
      <c r="G2416" s="21" t="s">
        <v>3014</v>
      </c>
    </row>
    <row r="2417" spans="6:7" ht="15.5" x14ac:dyDescent="0.35">
      <c r="F2417" s="20">
        <v>90039184</v>
      </c>
      <c r="G2417" s="21" t="s">
        <v>3015</v>
      </c>
    </row>
    <row r="2418" spans="6:7" ht="15.5" x14ac:dyDescent="0.35">
      <c r="F2418" s="20">
        <v>314544</v>
      </c>
      <c r="G2418" s="21" t="s">
        <v>3016</v>
      </c>
    </row>
    <row r="2419" spans="6:7" ht="15.5" x14ac:dyDescent="0.35">
      <c r="F2419" s="20">
        <v>315602</v>
      </c>
      <c r="G2419" s="21" t="s">
        <v>3017</v>
      </c>
    </row>
    <row r="2420" spans="6:7" ht="15.5" x14ac:dyDescent="0.35">
      <c r="F2420" s="20">
        <v>314405</v>
      </c>
      <c r="G2420" s="21" t="s">
        <v>3018</v>
      </c>
    </row>
    <row r="2421" spans="6:7" ht="15.5" x14ac:dyDescent="0.35">
      <c r="F2421" s="20">
        <v>311048</v>
      </c>
      <c r="G2421" s="21" t="s">
        <v>3019</v>
      </c>
    </row>
    <row r="2422" spans="6:7" ht="15.5" x14ac:dyDescent="0.35">
      <c r="F2422" s="20">
        <v>311005</v>
      </c>
      <c r="G2422" s="21" t="s">
        <v>3020</v>
      </c>
    </row>
    <row r="2423" spans="6:7" ht="15.5" x14ac:dyDescent="0.35">
      <c r="F2423" s="20">
        <v>304024</v>
      </c>
      <c r="G2423" s="21" t="s">
        <v>3021</v>
      </c>
    </row>
    <row r="2424" spans="6:7" ht="15.5" x14ac:dyDescent="0.35">
      <c r="F2424" s="20">
        <v>308474</v>
      </c>
      <c r="G2424" s="21" t="s">
        <v>3022</v>
      </c>
    </row>
    <row r="2425" spans="6:7" ht="15.5" x14ac:dyDescent="0.35">
      <c r="F2425" s="20">
        <v>300999</v>
      </c>
      <c r="G2425" s="21" t="s">
        <v>3023</v>
      </c>
    </row>
    <row r="2426" spans="6:7" ht="15.5" x14ac:dyDescent="0.35">
      <c r="F2426" s="20">
        <v>302596</v>
      </c>
      <c r="G2426" s="21" t="s">
        <v>3024</v>
      </c>
    </row>
    <row r="2427" spans="6:7" ht="15.5" x14ac:dyDescent="0.35">
      <c r="F2427" s="20">
        <v>315884</v>
      </c>
      <c r="G2427" s="21" t="s">
        <v>3025</v>
      </c>
    </row>
    <row r="2428" spans="6:7" ht="15.5" x14ac:dyDescent="0.35">
      <c r="F2428" s="20">
        <v>309689</v>
      </c>
      <c r="G2428" s="21" t="s">
        <v>3026</v>
      </c>
    </row>
    <row r="2429" spans="6:7" ht="15.5" x14ac:dyDescent="0.35">
      <c r="F2429" s="20">
        <v>90046255</v>
      </c>
      <c r="G2429" s="21" t="s">
        <v>3027</v>
      </c>
    </row>
    <row r="2430" spans="6:7" ht="15.5" x14ac:dyDescent="0.35">
      <c r="F2430" s="20">
        <v>313649</v>
      </c>
      <c r="G2430" s="21" t="s">
        <v>3028</v>
      </c>
    </row>
    <row r="2431" spans="6:7" ht="15.5" x14ac:dyDescent="0.35">
      <c r="F2431" s="20">
        <v>90038303</v>
      </c>
      <c r="G2431" s="21" t="s">
        <v>3029</v>
      </c>
    </row>
    <row r="2432" spans="6:7" ht="15.5" x14ac:dyDescent="0.35">
      <c r="F2432" s="20">
        <v>311258</v>
      </c>
      <c r="G2432" s="21" t="s">
        <v>3030</v>
      </c>
    </row>
    <row r="2433" spans="6:7" ht="15.5" x14ac:dyDescent="0.35">
      <c r="F2433" s="20">
        <v>314367</v>
      </c>
      <c r="G2433" s="21" t="s">
        <v>3031</v>
      </c>
    </row>
    <row r="2434" spans="6:7" ht="15.5" x14ac:dyDescent="0.35">
      <c r="F2434" s="20">
        <v>90039521</v>
      </c>
      <c r="G2434" s="21" t="s">
        <v>3032</v>
      </c>
    </row>
    <row r="2435" spans="6:7" ht="15.5" x14ac:dyDescent="0.35">
      <c r="F2435" s="20">
        <v>311202</v>
      </c>
      <c r="G2435" s="21" t="s">
        <v>3033</v>
      </c>
    </row>
    <row r="2436" spans="6:7" ht="15.5" x14ac:dyDescent="0.35">
      <c r="F2436" s="20">
        <v>315399</v>
      </c>
      <c r="G2436" s="21" t="s">
        <v>3034</v>
      </c>
    </row>
    <row r="2437" spans="6:7" ht="15.5" x14ac:dyDescent="0.35">
      <c r="F2437" s="20">
        <v>312875</v>
      </c>
      <c r="G2437" s="21" t="s">
        <v>3035</v>
      </c>
    </row>
    <row r="2438" spans="6:7" ht="15.5" x14ac:dyDescent="0.35">
      <c r="F2438" s="20">
        <v>313671</v>
      </c>
      <c r="G2438" s="21" t="s">
        <v>3036</v>
      </c>
    </row>
    <row r="2439" spans="6:7" ht="15.5" x14ac:dyDescent="0.35">
      <c r="F2439" s="20">
        <v>90049224</v>
      </c>
      <c r="G2439" s="21" t="s">
        <v>3037</v>
      </c>
    </row>
    <row r="2440" spans="6:7" ht="15.5" x14ac:dyDescent="0.35">
      <c r="F2440" s="20">
        <v>315529</v>
      </c>
      <c r="G2440" s="21" t="s">
        <v>3038</v>
      </c>
    </row>
    <row r="2441" spans="6:7" ht="15.5" x14ac:dyDescent="0.35">
      <c r="F2441" s="20">
        <v>315619</v>
      </c>
      <c r="G2441" s="21" t="s">
        <v>3039</v>
      </c>
    </row>
    <row r="2442" spans="6:7" ht="15.5" x14ac:dyDescent="0.35">
      <c r="F2442" s="20">
        <v>310009</v>
      </c>
      <c r="G2442" s="21" t="s">
        <v>3040</v>
      </c>
    </row>
    <row r="2443" spans="6:7" ht="15.5" x14ac:dyDescent="0.35">
      <c r="F2443" s="20">
        <v>308693</v>
      </c>
      <c r="G2443" s="21" t="s">
        <v>3041</v>
      </c>
    </row>
    <row r="2444" spans="6:7" ht="15.5" x14ac:dyDescent="0.35">
      <c r="F2444" s="20">
        <v>316415</v>
      </c>
      <c r="G2444" s="21" t="s">
        <v>3042</v>
      </c>
    </row>
    <row r="2445" spans="6:7" ht="15.5" x14ac:dyDescent="0.35">
      <c r="F2445" s="20">
        <v>90047927</v>
      </c>
      <c r="G2445" s="21" t="s">
        <v>3043</v>
      </c>
    </row>
    <row r="2446" spans="6:7" ht="15.5" x14ac:dyDescent="0.35">
      <c r="F2446" s="20">
        <v>300347</v>
      </c>
      <c r="G2446" s="21" t="s">
        <v>3044</v>
      </c>
    </row>
    <row r="2447" spans="6:7" ht="15.5" x14ac:dyDescent="0.35">
      <c r="F2447" s="20">
        <v>306597</v>
      </c>
      <c r="G2447" s="21" t="s">
        <v>3045</v>
      </c>
    </row>
    <row r="2448" spans="6:7" ht="15.5" x14ac:dyDescent="0.35">
      <c r="F2448" s="20">
        <v>312772</v>
      </c>
      <c r="G2448" s="21" t="s">
        <v>3046</v>
      </c>
    </row>
    <row r="2449" spans="6:7" ht="15.5" x14ac:dyDescent="0.35">
      <c r="F2449" s="20">
        <v>313261</v>
      </c>
      <c r="G2449" s="21" t="s">
        <v>3047</v>
      </c>
    </row>
    <row r="2450" spans="6:7" ht="15.5" x14ac:dyDescent="0.35">
      <c r="F2450" s="20">
        <v>314636</v>
      </c>
      <c r="G2450" s="21" t="s">
        <v>3048</v>
      </c>
    </row>
    <row r="2451" spans="6:7" ht="15.5" x14ac:dyDescent="0.35">
      <c r="F2451" s="20">
        <v>90046206</v>
      </c>
      <c r="G2451" s="21" t="s">
        <v>3049</v>
      </c>
    </row>
    <row r="2452" spans="6:7" ht="15.5" x14ac:dyDescent="0.35">
      <c r="F2452" s="20">
        <v>90040567</v>
      </c>
      <c r="G2452" s="21" t="s">
        <v>3050</v>
      </c>
    </row>
    <row r="2453" spans="6:7" ht="15.5" x14ac:dyDescent="0.35">
      <c r="F2453" s="20">
        <v>301033</v>
      </c>
      <c r="G2453" s="21" t="s">
        <v>3051</v>
      </c>
    </row>
    <row r="2454" spans="6:7" ht="15.5" x14ac:dyDescent="0.35">
      <c r="F2454" s="20">
        <v>305935</v>
      </c>
      <c r="G2454" s="21" t="s">
        <v>3052</v>
      </c>
    </row>
    <row r="2455" spans="6:7" ht="15.5" x14ac:dyDescent="0.35">
      <c r="F2455" s="20">
        <v>315651</v>
      </c>
      <c r="G2455" s="21" t="s">
        <v>3053</v>
      </c>
    </row>
    <row r="2456" spans="6:7" ht="15.5" x14ac:dyDescent="0.35">
      <c r="F2456" s="20">
        <v>315324</v>
      </c>
      <c r="G2456" s="21" t="s">
        <v>3054</v>
      </c>
    </row>
    <row r="2457" spans="6:7" ht="15.5" x14ac:dyDescent="0.35">
      <c r="F2457" s="20">
        <v>310994</v>
      </c>
      <c r="G2457" s="21" t="s">
        <v>3055</v>
      </c>
    </row>
    <row r="2458" spans="6:7" ht="15.5" x14ac:dyDescent="0.35">
      <c r="F2458" s="20">
        <v>312478</v>
      </c>
      <c r="G2458" s="21" t="s">
        <v>3056</v>
      </c>
    </row>
    <row r="2459" spans="6:7" ht="15.5" x14ac:dyDescent="0.35">
      <c r="F2459" s="20">
        <v>313756</v>
      </c>
      <c r="G2459" s="21" t="s">
        <v>3057</v>
      </c>
    </row>
    <row r="2460" spans="6:7" ht="15.5" x14ac:dyDescent="0.35">
      <c r="F2460" s="20">
        <v>315577</v>
      </c>
      <c r="G2460" s="21" t="s">
        <v>3058</v>
      </c>
    </row>
    <row r="2461" spans="6:7" ht="15.5" x14ac:dyDescent="0.35">
      <c r="F2461" s="20">
        <v>312305</v>
      </c>
      <c r="G2461" s="21" t="s">
        <v>3059</v>
      </c>
    </row>
    <row r="2462" spans="6:7" ht="15.5" x14ac:dyDescent="0.35">
      <c r="F2462" s="20">
        <v>313388</v>
      </c>
      <c r="G2462" s="21" t="s">
        <v>3060</v>
      </c>
    </row>
    <row r="2463" spans="6:7" ht="15.5" x14ac:dyDescent="0.35">
      <c r="F2463" s="20">
        <v>312738</v>
      </c>
      <c r="G2463" s="21" t="s">
        <v>3061</v>
      </c>
    </row>
    <row r="2464" spans="6:7" ht="15.5" x14ac:dyDescent="0.35">
      <c r="F2464" s="20">
        <v>316081</v>
      </c>
      <c r="G2464" s="21" t="s">
        <v>3062</v>
      </c>
    </row>
    <row r="2465" spans="6:7" ht="15.5" x14ac:dyDescent="0.35">
      <c r="F2465" s="20">
        <v>304802</v>
      </c>
      <c r="G2465" s="21" t="s">
        <v>3063</v>
      </c>
    </row>
    <row r="2466" spans="6:7" ht="15.5" x14ac:dyDescent="0.35">
      <c r="F2466" s="20">
        <v>90050146</v>
      </c>
      <c r="G2466" s="21" t="s">
        <v>3064</v>
      </c>
    </row>
    <row r="2467" spans="6:7" ht="15.5" x14ac:dyDescent="0.35">
      <c r="F2467" s="20">
        <v>309177</v>
      </c>
      <c r="G2467" s="21" t="s">
        <v>3065</v>
      </c>
    </row>
    <row r="2468" spans="6:7" ht="15.5" x14ac:dyDescent="0.35">
      <c r="F2468" s="20">
        <v>315364</v>
      </c>
      <c r="G2468" s="21" t="s">
        <v>3066</v>
      </c>
    </row>
    <row r="2469" spans="6:7" ht="15.5" x14ac:dyDescent="0.35">
      <c r="F2469" s="20">
        <v>316001</v>
      </c>
      <c r="G2469" s="21" t="s">
        <v>3067</v>
      </c>
    </row>
    <row r="2470" spans="6:7" ht="15.5" x14ac:dyDescent="0.35">
      <c r="F2470" s="20">
        <v>90034296</v>
      </c>
      <c r="G2470" s="21" t="s">
        <v>3068</v>
      </c>
    </row>
    <row r="2471" spans="6:7" ht="15.5" x14ac:dyDescent="0.35">
      <c r="F2471" s="20">
        <v>308431</v>
      </c>
      <c r="G2471" s="21" t="s">
        <v>3069</v>
      </c>
    </row>
    <row r="2472" spans="6:7" ht="15.5" x14ac:dyDescent="0.35">
      <c r="F2472" s="20">
        <v>315096</v>
      </c>
      <c r="G2472" s="21" t="s">
        <v>3070</v>
      </c>
    </row>
    <row r="2473" spans="6:7" ht="15.5" x14ac:dyDescent="0.35">
      <c r="F2473" s="20">
        <v>314551</v>
      </c>
      <c r="G2473" s="21" t="s">
        <v>3071</v>
      </c>
    </row>
    <row r="2474" spans="6:7" ht="15.5" x14ac:dyDescent="0.35">
      <c r="F2474" s="20">
        <v>312886</v>
      </c>
      <c r="G2474" s="21" t="s">
        <v>3072</v>
      </c>
    </row>
    <row r="2475" spans="6:7" ht="15.5" x14ac:dyDescent="0.35">
      <c r="F2475" s="20">
        <v>306851</v>
      </c>
      <c r="G2475" s="21" t="s">
        <v>3073</v>
      </c>
    </row>
    <row r="2476" spans="6:7" ht="15.5" x14ac:dyDescent="0.35">
      <c r="F2476" s="20">
        <v>313707</v>
      </c>
      <c r="G2476" s="21" t="s">
        <v>3074</v>
      </c>
    </row>
    <row r="2477" spans="6:7" ht="15.5" x14ac:dyDescent="0.35">
      <c r="F2477" s="20">
        <v>316041</v>
      </c>
      <c r="G2477" s="21" t="s">
        <v>3075</v>
      </c>
    </row>
    <row r="2478" spans="6:7" ht="15.5" x14ac:dyDescent="0.35">
      <c r="F2478" s="20">
        <v>314055</v>
      </c>
      <c r="G2478" s="21" t="s">
        <v>3076</v>
      </c>
    </row>
    <row r="2479" spans="6:7" ht="15.5" x14ac:dyDescent="0.35">
      <c r="F2479" s="20">
        <v>310388</v>
      </c>
      <c r="G2479" s="21" t="s">
        <v>3077</v>
      </c>
    </row>
    <row r="2480" spans="6:7" ht="15.5" x14ac:dyDescent="0.35">
      <c r="F2480" s="20">
        <v>315106</v>
      </c>
      <c r="G2480" s="21" t="s">
        <v>3078</v>
      </c>
    </row>
    <row r="2481" spans="6:7" ht="15.5" x14ac:dyDescent="0.35">
      <c r="F2481" s="20">
        <v>314063</v>
      </c>
      <c r="G2481" s="21" t="s">
        <v>3079</v>
      </c>
    </row>
    <row r="2482" spans="6:7" ht="15.5" x14ac:dyDescent="0.35">
      <c r="F2482" s="20">
        <v>308069</v>
      </c>
      <c r="G2482" s="21" t="s">
        <v>3080</v>
      </c>
    </row>
    <row r="2483" spans="6:7" ht="15.5" x14ac:dyDescent="0.35">
      <c r="F2483" s="20">
        <v>313300</v>
      </c>
      <c r="G2483" s="21" t="s">
        <v>3081</v>
      </c>
    </row>
    <row r="2484" spans="6:7" ht="15.5" x14ac:dyDescent="0.35">
      <c r="F2484" s="20">
        <v>309284</v>
      </c>
      <c r="G2484" s="21" t="s">
        <v>3082</v>
      </c>
    </row>
    <row r="2485" spans="6:7" ht="15.5" x14ac:dyDescent="0.35">
      <c r="F2485" s="20">
        <v>314284</v>
      </c>
      <c r="G2485" s="21" t="s">
        <v>3083</v>
      </c>
    </row>
    <row r="2486" spans="6:7" ht="15.5" x14ac:dyDescent="0.35">
      <c r="F2486" s="20">
        <v>314821</v>
      </c>
      <c r="G2486" s="21" t="s">
        <v>3084</v>
      </c>
    </row>
    <row r="2487" spans="6:7" ht="15.5" x14ac:dyDescent="0.35">
      <c r="F2487" s="20">
        <v>314881</v>
      </c>
      <c r="G2487" s="21" t="s">
        <v>3085</v>
      </c>
    </row>
    <row r="2488" spans="6:7" ht="15.5" x14ac:dyDescent="0.35">
      <c r="F2488" s="20">
        <v>313027</v>
      </c>
      <c r="G2488" s="21" t="s">
        <v>3086</v>
      </c>
    </row>
    <row r="2489" spans="6:7" ht="15.5" x14ac:dyDescent="0.35">
      <c r="F2489" s="20">
        <v>90013782</v>
      </c>
      <c r="G2489" s="21" t="s">
        <v>3087</v>
      </c>
    </row>
    <row r="2490" spans="6:7" ht="15.5" x14ac:dyDescent="0.35">
      <c r="F2490" s="20">
        <v>314221</v>
      </c>
      <c r="G2490" s="21" t="s">
        <v>3088</v>
      </c>
    </row>
    <row r="2491" spans="6:7" ht="15.5" x14ac:dyDescent="0.35">
      <c r="F2491" s="20">
        <v>90045665</v>
      </c>
      <c r="G2491" s="21" t="s">
        <v>3089</v>
      </c>
    </row>
    <row r="2492" spans="6:7" ht="15.5" x14ac:dyDescent="0.35">
      <c r="F2492" s="20">
        <v>90034878</v>
      </c>
      <c r="G2492" s="21" t="s">
        <v>3090</v>
      </c>
    </row>
    <row r="2493" spans="6:7" ht="15.5" x14ac:dyDescent="0.35">
      <c r="F2493" s="20">
        <v>314947</v>
      </c>
      <c r="G2493" s="21" t="s">
        <v>3091</v>
      </c>
    </row>
    <row r="2494" spans="6:7" ht="15.5" x14ac:dyDescent="0.35">
      <c r="F2494" s="20">
        <v>306656</v>
      </c>
      <c r="G2494" s="21" t="s">
        <v>3092</v>
      </c>
    </row>
    <row r="2495" spans="6:7" ht="15.5" x14ac:dyDescent="0.35">
      <c r="F2495" s="20">
        <v>314391</v>
      </c>
      <c r="G2495" s="21" t="s">
        <v>3093</v>
      </c>
    </row>
    <row r="2496" spans="6:7" ht="15.5" x14ac:dyDescent="0.35">
      <c r="F2496" s="20">
        <v>308506</v>
      </c>
      <c r="G2496" s="21" t="s">
        <v>3094</v>
      </c>
    </row>
    <row r="2497" spans="6:7" ht="15.5" x14ac:dyDescent="0.35">
      <c r="F2497" s="20">
        <v>316240</v>
      </c>
      <c r="G2497" s="21" t="s">
        <v>3095</v>
      </c>
    </row>
    <row r="2498" spans="6:7" ht="15.5" x14ac:dyDescent="0.35">
      <c r="F2498" s="20">
        <v>313106</v>
      </c>
      <c r="G2498" s="21" t="s">
        <v>3096</v>
      </c>
    </row>
    <row r="2499" spans="6:7" ht="15.5" x14ac:dyDescent="0.35">
      <c r="F2499" s="20">
        <v>316393</v>
      </c>
      <c r="G2499" s="21" t="s">
        <v>3097</v>
      </c>
    </row>
    <row r="2500" spans="6:7" ht="15.5" x14ac:dyDescent="0.35">
      <c r="F2500" s="20">
        <v>90028488</v>
      </c>
      <c r="G2500" s="21" t="s">
        <v>3098</v>
      </c>
    </row>
    <row r="2501" spans="6:7" ht="15.5" x14ac:dyDescent="0.35">
      <c r="F2501" s="20">
        <v>316487</v>
      </c>
      <c r="G2501" s="21" t="s">
        <v>3099</v>
      </c>
    </row>
    <row r="2502" spans="6:7" ht="15.5" x14ac:dyDescent="0.35">
      <c r="F2502" s="20">
        <v>90035173</v>
      </c>
      <c r="G2502" s="21" t="s">
        <v>3100</v>
      </c>
    </row>
    <row r="2503" spans="6:7" ht="15.5" x14ac:dyDescent="0.35">
      <c r="F2503" s="20">
        <v>308686</v>
      </c>
      <c r="G2503" s="21" t="s">
        <v>3101</v>
      </c>
    </row>
    <row r="2504" spans="6:7" ht="15.5" x14ac:dyDescent="0.35">
      <c r="F2504" s="20">
        <v>312859</v>
      </c>
      <c r="G2504" s="21" t="s">
        <v>3102</v>
      </c>
    </row>
    <row r="2505" spans="6:7" ht="15.5" x14ac:dyDescent="0.35">
      <c r="F2505" s="20">
        <v>308753</v>
      </c>
      <c r="G2505" s="21" t="s">
        <v>3103</v>
      </c>
    </row>
    <row r="2506" spans="6:7" ht="15.5" x14ac:dyDescent="0.35">
      <c r="F2506" s="20">
        <v>312770</v>
      </c>
      <c r="G2506" s="21" t="s">
        <v>3104</v>
      </c>
    </row>
    <row r="2507" spans="6:7" ht="15.5" x14ac:dyDescent="0.35">
      <c r="F2507" s="20">
        <v>312480</v>
      </c>
      <c r="G2507" s="21" t="s">
        <v>3105</v>
      </c>
    </row>
    <row r="2508" spans="6:7" ht="15.5" x14ac:dyDescent="0.35">
      <c r="F2508" s="20">
        <v>300978</v>
      </c>
      <c r="G2508" s="21" t="s">
        <v>3106</v>
      </c>
    </row>
    <row r="2509" spans="6:7" ht="15.5" x14ac:dyDescent="0.35">
      <c r="F2509" s="20">
        <v>305989</v>
      </c>
      <c r="G2509" s="21" t="s">
        <v>3107</v>
      </c>
    </row>
    <row r="2510" spans="6:7" ht="15.5" x14ac:dyDescent="0.35">
      <c r="F2510" s="20">
        <v>90028732</v>
      </c>
      <c r="G2510" s="21" t="s">
        <v>3108</v>
      </c>
    </row>
    <row r="2511" spans="6:7" ht="15.5" x14ac:dyDescent="0.35">
      <c r="F2511" s="20">
        <v>314819</v>
      </c>
      <c r="G2511" s="21" t="s">
        <v>3109</v>
      </c>
    </row>
    <row r="2512" spans="6:7" ht="15.5" x14ac:dyDescent="0.35">
      <c r="F2512" s="20">
        <v>315385</v>
      </c>
      <c r="G2512" s="21" t="s">
        <v>3110</v>
      </c>
    </row>
    <row r="2513" spans="6:7" ht="15.5" x14ac:dyDescent="0.35">
      <c r="F2513" s="20">
        <v>306493</v>
      </c>
      <c r="G2513" s="21" t="s">
        <v>3111</v>
      </c>
    </row>
    <row r="2514" spans="6:7" ht="15.5" x14ac:dyDescent="0.35">
      <c r="F2514" s="20">
        <v>315416</v>
      </c>
      <c r="G2514" s="21" t="s">
        <v>3112</v>
      </c>
    </row>
    <row r="2515" spans="6:7" ht="15.5" x14ac:dyDescent="0.35">
      <c r="F2515" s="20">
        <v>309963</v>
      </c>
      <c r="G2515" s="21" t="s">
        <v>3113</v>
      </c>
    </row>
    <row r="2516" spans="6:7" ht="15.5" x14ac:dyDescent="0.35">
      <c r="F2516" s="20">
        <v>312248</v>
      </c>
      <c r="G2516" s="21" t="s">
        <v>3114</v>
      </c>
    </row>
    <row r="2517" spans="6:7" ht="15.5" x14ac:dyDescent="0.35">
      <c r="F2517" s="20">
        <v>90024274</v>
      </c>
      <c r="G2517" s="21" t="s">
        <v>3115</v>
      </c>
    </row>
    <row r="2518" spans="6:7" ht="15.5" x14ac:dyDescent="0.35">
      <c r="F2518" s="20">
        <v>90041206</v>
      </c>
      <c r="G2518" s="21" t="s">
        <v>3116</v>
      </c>
    </row>
    <row r="2519" spans="6:7" ht="15.5" x14ac:dyDescent="0.35">
      <c r="F2519" s="20">
        <v>310159</v>
      </c>
      <c r="G2519" s="21" t="s">
        <v>3117</v>
      </c>
    </row>
    <row r="2520" spans="6:7" ht="15.5" x14ac:dyDescent="0.35">
      <c r="F2520" s="20">
        <v>309920</v>
      </c>
      <c r="G2520" s="21" t="s">
        <v>3118</v>
      </c>
    </row>
    <row r="2521" spans="6:7" ht="15.5" x14ac:dyDescent="0.35">
      <c r="F2521" s="20">
        <v>90028299</v>
      </c>
      <c r="G2521" s="21" t="s">
        <v>3119</v>
      </c>
    </row>
    <row r="2522" spans="6:7" ht="15.5" x14ac:dyDescent="0.35">
      <c r="F2522" s="20">
        <v>312505</v>
      </c>
      <c r="G2522" s="21" t="s">
        <v>3120</v>
      </c>
    </row>
    <row r="2523" spans="6:7" ht="15.5" x14ac:dyDescent="0.35">
      <c r="F2523" s="20">
        <v>309463</v>
      </c>
      <c r="G2523" s="21" t="s">
        <v>3121</v>
      </c>
    </row>
    <row r="2524" spans="6:7" ht="15.5" x14ac:dyDescent="0.35">
      <c r="F2524" s="20">
        <v>313857</v>
      </c>
      <c r="G2524" s="21" t="s">
        <v>3122</v>
      </c>
    </row>
    <row r="2525" spans="6:7" ht="15.5" x14ac:dyDescent="0.35">
      <c r="F2525" s="20">
        <v>90048557</v>
      </c>
      <c r="G2525" s="21" t="s">
        <v>3123</v>
      </c>
    </row>
    <row r="2526" spans="6:7" ht="15.5" x14ac:dyDescent="0.35">
      <c r="F2526" s="20">
        <v>315847</v>
      </c>
      <c r="G2526" s="21" t="s">
        <v>3124</v>
      </c>
    </row>
    <row r="2527" spans="6:7" ht="15.5" x14ac:dyDescent="0.35">
      <c r="F2527" s="20">
        <v>313628</v>
      </c>
      <c r="G2527" s="21" t="s">
        <v>3125</v>
      </c>
    </row>
    <row r="2528" spans="6:7" ht="15.5" x14ac:dyDescent="0.35">
      <c r="F2528" s="20">
        <v>310318</v>
      </c>
      <c r="G2528" s="21" t="s">
        <v>3126</v>
      </c>
    </row>
    <row r="2529" spans="6:7" ht="15.5" x14ac:dyDescent="0.35">
      <c r="F2529" s="20">
        <v>315207</v>
      </c>
      <c r="G2529" s="21" t="s">
        <v>3127</v>
      </c>
    </row>
    <row r="2530" spans="6:7" ht="15.5" x14ac:dyDescent="0.35">
      <c r="F2530" s="20">
        <v>313558</v>
      </c>
      <c r="G2530" s="21" t="s">
        <v>3128</v>
      </c>
    </row>
    <row r="2531" spans="6:7" ht="15.5" x14ac:dyDescent="0.35">
      <c r="F2531" s="20">
        <v>315200</v>
      </c>
      <c r="G2531" s="21" t="s">
        <v>3129</v>
      </c>
    </row>
    <row r="2532" spans="6:7" ht="15.5" x14ac:dyDescent="0.35">
      <c r="F2532" s="20">
        <v>303083</v>
      </c>
      <c r="G2532" s="21" t="s">
        <v>3130</v>
      </c>
    </row>
    <row r="2533" spans="6:7" ht="15.5" x14ac:dyDescent="0.35">
      <c r="F2533" s="20">
        <v>313221</v>
      </c>
      <c r="G2533" s="21" t="s">
        <v>3131</v>
      </c>
    </row>
    <row r="2534" spans="6:7" ht="15.5" x14ac:dyDescent="0.35">
      <c r="F2534" s="20">
        <v>315374</v>
      </c>
      <c r="G2534" s="21" t="s">
        <v>3132</v>
      </c>
    </row>
    <row r="2535" spans="6:7" ht="15.5" x14ac:dyDescent="0.35">
      <c r="F2535" s="20">
        <v>316152</v>
      </c>
      <c r="G2535" s="21" t="s">
        <v>3133</v>
      </c>
    </row>
    <row r="2536" spans="6:7" ht="15.5" x14ac:dyDescent="0.35">
      <c r="F2536" s="20">
        <v>314613</v>
      </c>
      <c r="G2536" s="21" t="s">
        <v>3134</v>
      </c>
    </row>
    <row r="2537" spans="6:7" ht="15.5" x14ac:dyDescent="0.35">
      <c r="F2537" s="20">
        <v>308434</v>
      </c>
      <c r="G2537" s="21" t="s">
        <v>3135</v>
      </c>
    </row>
    <row r="2538" spans="6:7" ht="15.5" x14ac:dyDescent="0.35">
      <c r="F2538" s="20">
        <v>316096</v>
      </c>
      <c r="G2538" s="21" t="s">
        <v>3136</v>
      </c>
    </row>
    <row r="2539" spans="6:7" ht="15.5" x14ac:dyDescent="0.35">
      <c r="F2539" s="20">
        <v>312219</v>
      </c>
      <c r="G2539" s="21" t="s">
        <v>3137</v>
      </c>
    </row>
    <row r="2540" spans="6:7" ht="15.5" x14ac:dyDescent="0.35">
      <c r="F2540" s="20">
        <v>315801</v>
      </c>
      <c r="G2540" s="21" t="s">
        <v>3138</v>
      </c>
    </row>
    <row r="2541" spans="6:7" ht="15.5" x14ac:dyDescent="0.35">
      <c r="F2541" s="20">
        <v>313725</v>
      </c>
      <c r="G2541" s="21" t="s">
        <v>3139</v>
      </c>
    </row>
    <row r="2542" spans="6:7" ht="15.5" x14ac:dyDescent="0.35">
      <c r="F2542" s="20">
        <v>90020699</v>
      </c>
      <c r="G2542" s="21" t="s">
        <v>3140</v>
      </c>
    </row>
    <row r="2543" spans="6:7" ht="15.5" x14ac:dyDescent="0.35">
      <c r="F2543" s="20">
        <v>315477</v>
      </c>
      <c r="G2543" s="21" t="s">
        <v>3141</v>
      </c>
    </row>
    <row r="2544" spans="6:7" ht="15.5" x14ac:dyDescent="0.35">
      <c r="F2544" s="20">
        <v>314069</v>
      </c>
      <c r="G2544" s="21" t="s">
        <v>3142</v>
      </c>
    </row>
    <row r="2545" spans="6:7" ht="15.5" x14ac:dyDescent="0.35">
      <c r="F2545" s="20">
        <v>314562</v>
      </c>
      <c r="G2545" s="21" t="s">
        <v>3143</v>
      </c>
    </row>
    <row r="2546" spans="6:7" ht="15.5" x14ac:dyDescent="0.35">
      <c r="F2546" s="20">
        <v>311581</v>
      </c>
      <c r="G2546" s="21" t="s">
        <v>3144</v>
      </c>
    </row>
    <row r="2547" spans="6:7" ht="15.5" x14ac:dyDescent="0.35">
      <c r="F2547" s="20">
        <v>312579</v>
      </c>
      <c r="G2547" s="21" t="s">
        <v>3145</v>
      </c>
    </row>
    <row r="2548" spans="6:7" ht="15.5" x14ac:dyDescent="0.35">
      <c r="F2548" s="20">
        <v>316327</v>
      </c>
      <c r="G2548" s="21" t="s">
        <v>3146</v>
      </c>
    </row>
    <row r="2549" spans="6:7" ht="15.5" x14ac:dyDescent="0.35">
      <c r="F2549" s="20">
        <v>315433</v>
      </c>
      <c r="G2549" s="21" t="s">
        <v>3147</v>
      </c>
    </row>
    <row r="2550" spans="6:7" ht="15.5" x14ac:dyDescent="0.35">
      <c r="F2550" s="20">
        <v>316112</v>
      </c>
      <c r="G2550" s="21" t="s">
        <v>3148</v>
      </c>
    </row>
    <row r="2551" spans="6:7" ht="15.5" x14ac:dyDescent="0.35">
      <c r="F2551" s="20">
        <v>316261</v>
      </c>
      <c r="G2551" s="21" t="s">
        <v>3149</v>
      </c>
    </row>
    <row r="2552" spans="6:7" ht="15.5" x14ac:dyDescent="0.35">
      <c r="F2552" s="20">
        <v>314282</v>
      </c>
      <c r="G2552" s="21" t="s">
        <v>3150</v>
      </c>
    </row>
    <row r="2553" spans="6:7" ht="15.5" x14ac:dyDescent="0.35">
      <c r="F2553" s="20">
        <v>311486</v>
      </c>
      <c r="G2553" s="21" t="s">
        <v>3151</v>
      </c>
    </row>
    <row r="2554" spans="6:7" ht="15.5" x14ac:dyDescent="0.35">
      <c r="F2554" s="20">
        <v>315060</v>
      </c>
      <c r="G2554" s="21" t="s">
        <v>3152</v>
      </c>
    </row>
    <row r="2555" spans="6:7" ht="15.5" x14ac:dyDescent="0.35">
      <c r="F2555" s="20">
        <v>312632</v>
      </c>
      <c r="G2555" s="21" t="s">
        <v>3153</v>
      </c>
    </row>
    <row r="2556" spans="6:7" ht="15.5" x14ac:dyDescent="0.35">
      <c r="F2556" s="20">
        <v>312988</v>
      </c>
      <c r="G2556" s="21" t="s">
        <v>3154</v>
      </c>
    </row>
    <row r="2557" spans="6:7" ht="15.5" x14ac:dyDescent="0.35">
      <c r="F2557" s="20">
        <v>305872</v>
      </c>
      <c r="G2557" s="21" t="s">
        <v>3155</v>
      </c>
    </row>
    <row r="2558" spans="6:7" ht="15.5" x14ac:dyDescent="0.35">
      <c r="F2558" s="20">
        <v>312087</v>
      </c>
      <c r="G2558" s="21" t="s">
        <v>3156</v>
      </c>
    </row>
    <row r="2559" spans="6:7" ht="15.5" x14ac:dyDescent="0.35">
      <c r="F2559" s="20">
        <v>312317</v>
      </c>
      <c r="G2559" s="21" t="s">
        <v>3157</v>
      </c>
    </row>
    <row r="2560" spans="6:7" ht="15.5" x14ac:dyDescent="0.35">
      <c r="F2560" s="20">
        <v>313057</v>
      </c>
      <c r="G2560" s="21" t="s">
        <v>3158</v>
      </c>
    </row>
    <row r="2561" spans="6:7" ht="15.5" x14ac:dyDescent="0.35">
      <c r="F2561" s="20">
        <v>314700</v>
      </c>
      <c r="G2561" s="21" t="s">
        <v>3159</v>
      </c>
    </row>
    <row r="2562" spans="6:7" ht="15.5" x14ac:dyDescent="0.35">
      <c r="F2562" s="20">
        <v>314280</v>
      </c>
      <c r="G2562" s="21" t="s">
        <v>3160</v>
      </c>
    </row>
    <row r="2563" spans="6:7" ht="15.5" x14ac:dyDescent="0.35">
      <c r="F2563" s="20">
        <v>315799</v>
      </c>
      <c r="G2563" s="21" t="s">
        <v>3161</v>
      </c>
    </row>
    <row r="2564" spans="6:7" ht="15.5" x14ac:dyDescent="0.35">
      <c r="F2564" s="20">
        <v>90009250</v>
      </c>
      <c r="G2564" s="21" t="s">
        <v>3162</v>
      </c>
    </row>
    <row r="2565" spans="6:7" ht="15.5" x14ac:dyDescent="0.35">
      <c r="F2565" s="20">
        <v>90021120</v>
      </c>
      <c r="G2565" s="21" t="s">
        <v>3163</v>
      </c>
    </row>
    <row r="2566" spans="6:7" ht="15.5" x14ac:dyDescent="0.35">
      <c r="F2566" s="20">
        <v>90009268</v>
      </c>
      <c r="G2566" s="21" t="s">
        <v>3164</v>
      </c>
    </row>
    <row r="2567" spans="6:7" ht="15.5" x14ac:dyDescent="0.35">
      <c r="F2567" s="20">
        <v>314388</v>
      </c>
      <c r="G2567" s="21" t="s">
        <v>3165</v>
      </c>
    </row>
    <row r="2568" spans="6:7" ht="15.5" x14ac:dyDescent="0.35">
      <c r="F2568" s="20">
        <v>310717</v>
      </c>
      <c r="G2568" s="21" t="s">
        <v>3166</v>
      </c>
    </row>
    <row r="2569" spans="6:7" ht="15.5" x14ac:dyDescent="0.35">
      <c r="F2569" s="20">
        <v>90033492</v>
      </c>
      <c r="G2569" s="21" t="s">
        <v>3167</v>
      </c>
    </row>
    <row r="2570" spans="6:7" ht="15.5" x14ac:dyDescent="0.35">
      <c r="F2570" s="20">
        <v>314472</v>
      </c>
      <c r="G2570" s="21" t="s">
        <v>3168</v>
      </c>
    </row>
    <row r="2571" spans="6:7" ht="15.5" x14ac:dyDescent="0.35">
      <c r="F2571" s="20">
        <v>310871</v>
      </c>
      <c r="G2571" s="21" t="s">
        <v>3169</v>
      </c>
    </row>
    <row r="2572" spans="6:7" ht="15.5" x14ac:dyDescent="0.35">
      <c r="F2572" s="20">
        <v>302802</v>
      </c>
      <c r="G2572" s="21" t="s">
        <v>3170</v>
      </c>
    </row>
    <row r="2573" spans="6:7" ht="15.5" x14ac:dyDescent="0.35">
      <c r="F2573" s="20">
        <v>316489</v>
      </c>
      <c r="G2573" s="21" t="s">
        <v>3171</v>
      </c>
    </row>
    <row r="2574" spans="6:7" ht="15.5" x14ac:dyDescent="0.35">
      <c r="F2574" s="20">
        <v>310778</v>
      </c>
      <c r="G2574" s="21" t="s">
        <v>3172</v>
      </c>
    </row>
    <row r="2575" spans="6:7" ht="15.5" x14ac:dyDescent="0.35">
      <c r="F2575" s="20">
        <v>309651</v>
      </c>
      <c r="G2575" s="21" t="s">
        <v>3173</v>
      </c>
    </row>
    <row r="2576" spans="6:7" ht="15.5" x14ac:dyDescent="0.35">
      <c r="F2576" s="20">
        <v>315308</v>
      </c>
      <c r="G2576" s="21" t="s">
        <v>3174</v>
      </c>
    </row>
    <row r="2577" spans="6:7" ht="15.5" x14ac:dyDescent="0.35">
      <c r="F2577" s="20">
        <v>315630</v>
      </c>
      <c r="G2577" s="21" t="s">
        <v>3175</v>
      </c>
    </row>
    <row r="2578" spans="6:7" ht="15.5" x14ac:dyDescent="0.35">
      <c r="F2578" s="20">
        <v>315570</v>
      </c>
      <c r="G2578" s="21" t="s">
        <v>3176</v>
      </c>
    </row>
    <row r="2579" spans="6:7" ht="15.5" x14ac:dyDescent="0.35">
      <c r="F2579" s="20">
        <v>312551</v>
      </c>
      <c r="G2579" s="21" t="s">
        <v>3177</v>
      </c>
    </row>
    <row r="2580" spans="6:7" ht="15.5" x14ac:dyDescent="0.35">
      <c r="F2580" s="20">
        <v>315188</v>
      </c>
      <c r="G2580" s="21" t="s">
        <v>3178</v>
      </c>
    </row>
    <row r="2581" spans="6:7" ht="15.5" x14ac:dyDescent="0.35">
      <c r="F2581" s="20">
        <v>90034374</v>
      </c>
      <c r="G2581" s="21" t="s">
        <v>3179</v>
      </c>
    </row>
    <row r="2582" spans="6:7" ht="15.5" x14ac:dyDescent="0.35">
      <c r="F2582" s="20">
        <v>306856</v>
      </c>
      <c r="G2582" s="21" t="s">
        <v>3180</v>
      </c>
    </row>
    <row r="2583" spans="6:7" ht="15.5" x14ac:dyDescent="0.35">
      <c r="F2583" s="20">
        <v>313411</v>
      </c>
      <c r="G2583" s="21" t="s">
        <v>3181</v>
      </c>
    </row>
    <row r="2584" spans="6:7" ht="15.5" x14ac:dyDescent="0.35">
      <c r="F2584" s="20">
        <v>312665</v>
      </c>
      <c r="G2584" s="21" t="s">
        <v>3182</v>
      </c>
    </row>
    <row r="2585" spans="6:7" ht="15.5" x14ac:dyDescent="0.35">
      <c r="F2585" s="20">
        <v>314042</v>
      </c>
      <c r="G2585" s="21" t="s">
        <v>3183</v>
      </c>
    </row>
    <row r="2586" spans="6:7" ht="15.5" x14ac:dyDescent="0.35">
      <c r="F2586" s="20">
        <v>313161</v>
      </c>
      <c r="G2586" s="21" t="s">
        <v>3184</v>
      </c>
    </row>
    <row r="2587" spans="6:7" ht="15.5" x14ac:dyDescent="0.35">
      <c r="F2587" s="20">
        <v>314662</v>
      </c>
      <c r="G2587" s="21" t="s">
        <v>3185</v>
      </c>
    </row>
    <row r="2588" spans="6:7" x14ac:dyDescent="0.35">
      <c r="F2588" s="30">
        <v>90040467</v>
      </c>
      <c r="G2588" s="30" t="s">
        <v>3186</v>
      </c>
    </row>
    <row r="2589" spans="6:7" x14ac:dyDescent="0.35">
      <c r="F2589" s="30">
        <v>90049245</v>
      </c>
      <c r="G2589" s="30" t="s">
        <v>3187</v>
      </c>
    </row>
    <row r="2590" spans="6:7" ht="15.5" x14ac:dyDescent="0.35">
      <c r="F2590" s="31">
        <v>90049187</v>
      </c>
      <c r="G2590" s="30" t="s">
        <v>3188</v>
      </c>
    </row>
    <row r="2591" spans="6:7" x14ac:dyDescent="0.35">
      <c r="F2591" s="30">
        <v>90047789</v>
      </c>
      <c r="G2591" s="30" t="s">
        <v>3189</v>
      </c>
    </row>
    <row r="2592" spans="6:7" x14ac:dyDescent="0.35">
      <c r="F2592" s="30">
        <v>90059851</v>
      </c>
      <c r="G2592" s="30" t="s">
        <v>3190</v>
      </c>
    </row>
    <row r="2593" spans="6:7" x14ac:dyDescent="0.35">
      <c r="F2593">
        <v>90048588</v>
      </c>
      <c r="G2593" s="32" t="s">
        <v>3191</v>
      </c>
    </row>
    <row r="2594" spans="6:7" x14ac:dyDescent="0.35">
      <c r="F2594">
        <v>90051401</v>
      </c>
      <c r="G2594" s="32" t="s">
        <v>3192</v>
      </c>
    </row>
    <row r="2595" spans="6:7" x14ac:dyDescent="0.35">
      <c r="F2595">
        <v>90049216</v>
      </c>
      <c r="G2595" s="32" t="s">
        <v>3193</v>
      </c>
    </row>
    <row r="2596" spans="6:7" x14ac:dyDescent="0.35">
      <c r="F2596">
        <v>90048454</v>
      </c>
      <c r="G2596" s="32" t="s">
        <v>3194</v>
      </c>
    </row>
    <row r="2597" spans="6:7" x14ac:dyDescent="0.35">
      <c r="F2597">
        <v>90048806</v>
      </c>
      <c r="G2597" s="32" t="s">
        <v>3195</v>
      </c>
    </row>
    <row r="2598" spans="6:7" x14ac:dyDescent="0.35">
      <c r="F2598">
        <v>90061561</v>
      </c>
      <c r="G2598" s="32" t="s">
        <v>3196</v>
      </c>
    </row>
    <row r="2599" spans="6:7" x14ac:dyDescent="0.35">
      <c r="F2599" s="30">
        <v>90061646</v>
      </c>
      <c r="G2599" s="30" t="s">
        <v>3197</v>
      </c>
    </row>
    <row r="2600" spans="6:7" x14ac:dyDescent="0.35">
      <c r="F2600" s="30">
        <v>90063386</v>
      </c>
      <c r="G2600" s="30" t="s">
        <v>3198</v>
      </c>
    </row>
    <row r="2601" spans="6:7" x14ac:dyDescent="0.35">
      <c r="F2601" s="30">
        <v>90062493</v>
      </c>
      <c r="G2601" s="30" t="s">
        <v>3199</v>
      </c>
    </row>
    <row r="2602" spans="6:7" x14ac:dyDescent="0.35">
      <c r="F2602" s="30">
        <v>90065411</v>
      </c>
      <c r="G2602" s="30" t="s">
        <v>3200</v>
      </c>
    </row>
    <row r="2603" spans="6:7" x14ac:dyDescent="0.35">
      <c r="F2603" s="30">
        <v>90063654</v>
      </c>
      <c r="G2603" s="30" t="s">
        <v>3201</v>
      </c>
    </row>
    <row r="2604" spans="6:7" x14ac:dyDescent="0.35">
      <c r="F2604" s="30">
        <v>90065483</v>
      </c>
      <c r="G2604" s="30" t="s">
        <v>3202</v>
      </c>
    </row>
    <row r="2605" spans="6:7" x14ac:dyDescent="0.35">
      <c r="F2605" s="30">
        <v>90064162</v>
      </c>
      <c r="G2605" s="30" t="s">
        <v>3203</v>
      </c>
    </row>
    <row r="2606" spans="6:7" x14ac:dyDescent="0.35">
      <c r="F2606" s="30">
        <v>90065922</v>
      </c>
      <c r="G2606" s="30" t="s">
        <v>3204</v>
      </c>
    </row>
    <row r="2607" spans="6:7" x14ac:dyDescent="0.35">
      <c r="F2607" s="30">
        <v>90066516</v>
      </c>
      <c r="G2607" s="30" t="s">
        <v>3205</v>
      </c>
    </row>
    <row r="2608" spans="6:7" x14ac:dyDescent="0.35">
      <c r="F2608" s="30">
        <v>90051505</v>
      </c>
      <c r="G2608" s="30" t="s">
        <v>3206</v>
      </c>
    </row>
    <row r="2609" spans="6:7" x14ac:dyDescent="0.35">
      <c r="F2609" s="30">
        <v>90061480</v>
      </c>
      <c r="G2609" s="30" t="s">
        <v>3207</v>
      </c>
    </row>
    <row r="2610" spans="6:7" x14ac:dyDescent="0.35">
      <c r="F2610" s="30">
        <v>90062682</v>
      </c>
      <c r="G2610" s="30" t="s">
        <v>3208</v>
      </c>
    </row>
    <row r="2611" spans="6:7" x14ac:dyDescent="0.35">
      <c r="F2611" s="30">
        <v>90064229</v>
      </c>
      <c r="G2611" s="30" t="s">
        <v>3209</v>
      </c>
    </row>
    <row r="2612" spans="6:7" ht="16.5" x14ac:dyDescent="0.45">
      <c r="F2612" s="33">
        <v>90061646</v>
      </c>
      <c r="G2612" s="30" t="s">
        <v>3197</v>
      </c>
    </row>
    <row r="2613" spans="6:7" x14ac:dyDescent="0.35">
      <c r="F2613" s="30">
        <v>90063414</v>
      </c>
      <c r="G2613" s="30" t="s">
        <v>3210</v>
      </c>
    </row>
    <row r="2614" spans="6:7" x14ac:dyDescent="0.35">
      <c r="F2614" s="30">
        <v>90061599</v>
      </c>
      <c r="G2614" s="30" t="s">
        <v>3211</v>
      </c>
    </row>
    <row r="2615" spans="6:7" x14ac:dyDescent="0.35">
      <c r="F2615" s="30">
        <v>90061486</v>
      </c>
      <c r="G2615" s="30" t="s">
        <v>3212</v>
      </c>
    </row>
    <row r="2616" spans="6:7" x14ac:dyDescent="0.35">
      <c r="F2616" s="30">
        <v>90066031</v>
      </c>
      <c r="G2616" s="30" t="s">
        <v>3213</v>
      </c>
    </row>
    <row r="2617" spans="6:7" x14ac:dyDescent="0.35">
      <c r="F2617">
        <v>90070101</v>
      </c>
      <c r="G2617" t="s">
        <v>3214</v>
      </c>
    </row>
    <row r="2618" spans="6:7" x14ac:dyDescent="0.35">
      <c r="F2618">
        <v>90066199</v>
      </c>
      <c r="G2618" t="s">
        <v>3215</v>
      </c>
    </row>
    <row r="2619" spans="6:7" x14ac:dyDescent="0.35">
      <c r="F2619">
        <v>90068081</v>
      </c>
      <c r="G2619" t="s">
        <v>3216</v>
      </c>
    </row>
    <row r="2620" spans="6:7" x14ac:dyDescent="0.35">
      <c r="F2620">
        <v>90080234</v>
      </c>
      <c r="G2620" t="s">
        <v>3217</v>
      </c>
    </row>
    <row r="2621" spans="6:7" x14ac:dyDescent="0.35">
      <c r="F2621">
        <v>90081179</v>
      </c>
      <c r="G2621" t="s">
        <v>3218</v>
      </c>
    </row>
    <row r="2622" spans="6:7" x14ac:dyDescent="0.35">
      <c r="F2622">
        <v>90082179</v>
      </c>
      <c r="G2622" t="s">
        <v>3219</v>
      </c>
    </row>
    <row r="2623" spans="6:7" x14ac:dyDescent="0.35">
      <c r="F2623">
        <v>90080725</v>
      </c>
      <c r="G2623" t="s">
        <v>3220</v>
      </c>
    </row>
    <row r="2624" spans="6:7" x14ac:dyDescent="0.35">
      <c r="F2624">
        <v>90081741</v>
      </c>
      <c r="G2624" t="s">
        <v>3221</v>
      </c>
    </row>
    <row r="2625" spans="6:7" x14ac:dyDescent="0.35">
      <c r="F2625">
        <v>90083159</v>
      </c>
      <c r="G2625" t="s">
        <v>3222</v>
      </c>
    </row>
    <row r="2626" spans="6:7" x14ac:dyDescent="0.35">
      <c r="F2626">
        <v>90082959</v>
      </c>
      <c r="G2626" t="s">
        <v>3223</v>
      </c>
    </row>
    <row r="2627" spans="6:7" x14ac:dyDescent="0.35">
      <c r="F2627">
        <v>90068230</v>
      </c>
      <c r="G2627" t="s">
        <v>3224</v>
      </c>
    </row>
    <row r="2628" spans="6:7" x14ac:dyDescent="0.35">
      <c r="F2628">
        <v>90081177</v>
      </c>
      <c r="G2628" t="s">
        <v>3225</v>
      </c>
    </row>
    <row r="2629" spans="6:7" x14ac:dyDescent="0.35">
      <c r="F2629">
        <v>90066498</v>
      </c>
      <c r="G2629" t="s">
        <v>3089</v>
      </c>
    </row>
    <row r="2630" spans="6:7" x14ac:dyDescent="0.35">
      <c r="F2630">
        <v>90082479</v>
      </c>
      <c r="G2630" t="s">
        <v>3226</v>
      </c>
    </row>
    <row r="2631" spans="6:7" x14ac:dyDescent="0.35">
      <c r="F2631">
        <v>90081010</v>
      </c>
      <c r="G2631" t="s">
        <v>3227</v>
      </c>
    </row>
    <row r="2632" spans="6:7" x14ac:dyDescent="0.35">
      <c r="F2632">
        <v>90083743</v>
      </c>
      <c r="G2632" t="s">
        <v>3228</v>
      </c>
    </row>
    <row r="2633" spans="6:7" x14ac:dyDescent="0.35">
      <c r="F2633">
        <v>90067295</v>
      </c>
      <c r="G2633" t="s">
        <v>3229</v>
      </c>
    </row>
    <row r="2634" spans="6:7" x14ac:dyDescent="0.35">
      <c r="F2634">
        <v>90070015</v>
      </c>
      <c r="G2634" t="s">
        <v>3230</v>
      </c>
    </row>
    <row r="2635" spans="6:7" x14ac:dyDescent="0.35">
      <c r="F2635">
        <v>90084636</v>
      </c>
      <c r="G2635" t="s">
        <v>3231</v>
      </c>
    </row>
    <row r="2636" spans="6:7" x14ac:dyDescent="0.35">
      <c r="F2636">
        <v>90082333</v>
      </c>
      <c r="G2636" t="s">
        <v>3232</v>
      </c>
    </row>
    <row r="2637" spans="6:7" x14ac:dyDescent="0.35">
      <c r="F2637">
        <v>90082305</v>
      </c>
      <c r="G2637" t="s">
        <v>3233</v>
      </c>
    </row>
    <row r="2638" spans="6:7" x14ac:dyDescent="0.35">
      <c r="F2638">
        <v>90082641</v>
      </c>
      <c r="G2638" t="s">
        <v>3234</v>
      </c>
    </row>
    <row r="2639" spans="6:7" x14ac:dyDescent="0.35">
      <c r="F2639">
        <v>90082643</v>
      </c>
      <c r="G2639" t="s">
        <v>3235</v>
      </c>
    </row>
    <row r="2640" spans="6:7" x14ac:dyDescent="0.35">
      <c r="F2640">
        <v>90083587</v>
      </c>
      <c r="G2640" t="s">
        <v>3236</v>
      </c>
    </row>
    <row r="2641" spans="6:7" x14ac:dyDescent="0.35">
      <c r="F2641">
        <v>90066624</v>
      </c>
      <c r="G2641" t="s">
        <v>3237</v>
      </c>
    </row>
    <row r="2642" spans="6:7" x14ac:dyDescent="0.35">
      <c r="F2642">
        <v>90085227</v>
      </c>
      <c r="G2642" t="s">
        <v>3238</v>
      </c>
    </row>
    <row r="2643" spans="6:7" x14ac:dyDescent="0.35">
      <c r="F2643">
        <v>90082018</v>
      </c>
      <c r="G2643" t="s">
        <v>3239</v>
      </c>
    </row>
    <row r="2644" spans="6:7" x14ac:dyDescent="0.35">
      <c r="F2644">
        <v>90066250</v>
      </c>
      <c r="G2644" t="s">
        <v>3240</v>
      </c>
    </row>
    <row r="2645" spans="6:7" x14ac:dyDescent="0.35">
      <c r="F2645">
        <v>90083599</v>
      </c>
      <c r="G2645" t="s">
        <v>3241</v>
      </c>
    </row>
    <row r="2646" spans="6:7" x14ac:dyDescent="0.35">
      <c r="F2646">
        <v>90085383</v>
      </c>
      <c r="G2646" t="s">
        <v>3242</v>
      </c>
    </row>
    <row r="2647" spans="6:7" x14ac:dyDescent="0.35">
      <c r="F2647">
        <v>90085722</v>
      </c>
      <c r="G2647" t="s">
        <v>3243</v>
      </c>
    </row>
    <row r="2648" spans="6:7" x14ac:dyDescent="0.35">
      <c r="F2648">
        <v>90086023</v>
      </c>
      <c r="G2648" t="s">
        <v>3244</v>
      </c>
    </row>
    <row r="2649" spans="6:7" x14ac:dyDescent="0.35">
      <c r="F2649">
        <v>90086255</v>
      </c>
      <c r="G2649" t="s">
        <v>3245</v>
      </c>
    </row>
    <row r="2650" spans="6:7" x14ac:dyDescent="0.35">
      <c r="F2650">
        <v>90086041</v>
      </c>
      <c r="G2650" t="s">
        <v>3246</v>
      </c>
    </row>
    <row r="2651" spans="6:7" x14ac:dyDescent="0.35">
      <c r="F2651">
        <v>90086432</v>
      </c>
      <c r="G2651" t="s">
        <v>3247</v>
      </c>
    </row>
    <row r="2652" spans="6:7" x14ac:dyDescent="0.35">
      <c r="F2652">
        <v>90086661</v>
      </c>
      <c r="G2652" t="s">
        <v>3248</v>
      </c>
    </row>
    <row r="2653" spans="6:7" x14ac:dyDescent="0.35">
      <c r="F2653">
        <v>90082646</v>
      </c>
      <c r="G2653" t="s">
        <v>3249</v>
      </c>
    </row>
    <row r="2654" spans="6:7" x14ac:dyDescent="0.35">
      <c r="F2654">
        <v>90035388</v>
      </c>
      <c r="G2654" t="s">
        <v>3250</v>
      </c>
    </row>
    <row r="2655" spans="6:7" x14ac:dyDescent="0.35">
      <c r="F2655">
        <v>90084233</v>
      </c>
      <c r="G2655" t="s">
        <v>3251</v>
      </c>
    </row>
    <row r="2656" spans="6:7" x14ac:dyDescent="0.35">
      <c r="F2656">
        <v>90087167</v>
      </c>
      <c r="G2656" t="s">
        <v>3252</v>
      </c>
    </row>
    <row r="2657" spans="6:7" x14ac:dyDescent="0.35">
      <c r="F2657">
        <v>90085795</v>
      </c>
      <c r="G2657" t="s">
        <v>3253</v>
      </c>
    </row>
    <row r="2658" spans="6:7" x14ac:dyDescent="0.35">
      <c r="F2658">
        <v>90086174</v>
      </c>
      <c r="G2658" t="s">
        <v>3254</v>
      </c>
    </row>
    <row r="2659" spans="6:7" x14ac:dyDescent="0.35">
      <c r="F2659">
        <v>90086485</v>
      </c>
      <c r="G2659" t="s">
        <v>3255</v>
      </c>
    </row>
    <row r="2660" spans="6:7" x14ac:dyDescent="0.35">
      <c r="F2660">
        <v>90086215</v>
      </c>
      <c r="G2660" t="s">
        <v>3256</v>
      </c>
    </row>
    <row r="2661" spans="6:7" x14ac:dyDescent="0.35">
      <c r="F2661">
        <v>90064633</v>
      </c>
      <c r="G2661" t="s">
        <v>3257</v>
      </c>
    </row>
    <row r="2662" spans="6:7" x14ac:dyDescent="0.35">
      <c r="F2662">
        <v>90084769</v>
      </c>
      <c r="G2662" t="s">
        <v>3258</v>
      </c>
    </row>
    <row r="2663" spans="6:7" x14ac:dyDescent="0.35">
      <c r="F2663">
        <v>90085860</v>
      </c>
      <c r="G2663" t="s">
        <v>3259</v>
      </c>
    </row>
    <row r="2664" spans="6:7" x14ac:dyDescent="0.35">
      <c r="F2664">
        <v>90063387</v>
      </c>
      <c r="G2664" t="s">
        <v>3260</v>
      </c>
    </row>
    <row r="2665" spans="6:7" x14ac:dyDescent="0.35">
      <c r="F2665">
        <v>90063198</v>
      </c>
      <c r="G2665" t="s">
        <v>3261</v>
      </c>
    </row>
    <row r="2666" spans="6:7" x14ac:dyDescent="0.35">
      <c r="F2666">
        <v>90080778</v>
      </c>
      <c r="G2666" t="s">
        <v>3262</v>
      </c>
    </row>
    <row r="2667" spans="6:7" x14ac:dyDescent="0.35">
      <c r="F2667">
        <v>90083465</v>
      </c>
      <c r="G2667" t="s">
        <v>3263</v>
      </c>
    </row>
    <row r="2668" spans="6:7" x14ac:dyDescent="0.35">
      <c r="F2668">
        <v>90062512</v>
      </c>
      <c r="G2668" t="s">
        <v>3264</v>
      </c>
    </row>
    <row r="2669" spans="6:7" x14ac:dyDescent="0.35">
      <c r="F2669" s="34">
        <v>90082554</v>
      </c>
      <c r="G2669" s="35" t="s">
        <v>3265</v>
      </c>
    </row>
    <row r="2670" spans="6:7" x14ac:dyDescent="0.35">
      <c r="F2670">
        <v>90084547</v>
      </c>
      <c r="G2670" t="s">
        <v>3266</v>
      </c>
    </row>
    <row r="2671" spans="6:7" x14ac:dyDescent="0.35">
      <c r="F2671">
        <v>90068816</v>
      </c>
      <c r="G2671" t="s">
        <v>3267</v>
      </c>
    </row>
    <row r="2672" spans="6:7" x14ac:dyDescent="0.35">
      <c r="F2672">
        <v>90087262</v>
      </c>
      <c r="G2672" t="s">
        <v>3268</v>
      </c>
    </row>
    <row r="2673" spans="6:7" x14ac:dyDescent="0.35">
      <c r="F2673">
        <v>90086061</v>
      </c>
      <c r="G2673" t="s">
        <v>3269</v>
      </c>
    </row>
    <row r="2674" spans="6:7" x14ac:dyDescent="0.35">
      <c r="F2674">
        <v>90086051</v>
      </c>
      <c r="G2674" t="s">
        <v>3270</v>
      </c>
    </row>
    <row r="2675" spans="6:7" x14ac:dyDescent="0.35">
      <c r="F2675">
        <v>90087185</v>
      </c>
      <c r="G2675" t="s">
        <v>3271</v>
      </c>
    </row>
    <row r="2676" spans="6:7" x14ac:dyDescent="0.35">
      <c r="F2676">
        <v>90046426</v>
      </c>
      <c r="G2676" t="s">
        <v>3272</v>
      </c>
    </row>
    <row r="2677" spans="6:7" x14ac:dyDescent="0.35">
      <c r="F2677">
        <v>90080429</v>
      </c>
      <c r="G2677" t="s">
        <v>3273</v>
      </c>
    </row>
    <row r="2678" spans="6:7" x14ac:dyDescent="0.35">
      <c r="F2678">
        <v>90050633</v>
      </c>
      <c r="G2678" t="s">
        <v>3274</v>
      </c>
    </row>
    <row r="2679" spans="6:7" x14ac:dyDescent="0.35">
      <c r="F2679">
        <v>90087137</v>
      </c>
      <c r="G2679" t="s">
        <v>3275</v>
      </c>
    </row>
    <row r="2680" spans="6:7" x14ac:dyDescent="0.35">
      <c r="F2680">
        <v>90085536</v>
      </c>
      <c r="G2680" t="s">
        <v>3276</v>
      </c>
    </row>
    <row r="2681" spans="6:7" x14ac:dyDescent="0.35">
      <c r="F2681">
        <v>90064687</v>
      </c>
      <c r="G2681" t="s">
        <v>3277</v>
      </c>
    </row>
    <row r="2682" spans="6:7" x14ac:dyDescent="0.35">
      <c r="F2682">
        <v>90085280</v>
      </c>
      <c r="G2682" t="s">
        <v>3278</v>
      </c>
    </row>
    <row r="2683" spans="6:7" x14ac:dyDescent="0.35">
      <c r="F2683">
        <v>90048712</v>
      </c>
      <c r="G2683" t="s">
        <v>3279</v>
      </c>
    </row>
    <row r="2684" spans="6:7" x14ac:dyDescent="0.35">
      <c r="F2684">
        <v>90087840</v>
      </c>
      <c r="G2684" t="s">
        <v>3280</v>
      </c>
    </row>
    <row r="2685" spans="6:7" x14ac:dyDescent="0.35">
      <c r="F2685">
        <v>90087560</v>
      </c>
      <c r="G2685" t="s">
        <v>3281</v>
      </c>
    </row>
    <row r="2686" spans="6:7" x14ac:dyDescent="0.35">
      <c r="F2686">
        <v>90062500</v>
      </c>
      <c r="G2686" t="s">
        <v>3282</v>
      </c>
    </row>
    <row r="2687" spans="6:7" x14ac:dyDescent="0.35">
      <c r="F2687">
        <v>90061732</v>
      </c>
      <c r="G2687" t="s">
        <v>3283</v>
      </c>
    </row>
    <row r="2688" spans="6:7" x14ac:dyDescent="0.35">
      <c r="F2688">
        <v>90065988</v>
      </c>
      <c r="G2688" t="s">
        <v>3284</v>
      </c>
    </row>
    <row r="2689" spans="6:7" x14ac:dyDescent="0.35">
      <c r="F2689">
        <v>900874547</v>
      </c>
      <c r="G2689" t="s">
        <v>3266</v>
      </c>
    </row>
  </sheetData>
  <conditionalFormatting sqref="F2:F2587">
    <cfRule type="duplicateValues" dxfId="95" priority="95"/>
  </conditionalFormatting>
  <conditionalFormatting sqref="F697">
    <cfRule type="duplicateValues" dxfId="94" priority="63"/>
  </conditionalFormatting>
  <conditionalFormatting sqref="F698:F980">
    <cfRule type="duplicateValues" dxfId="93" priority="42"/>
  </conditionalFormatting>
  <conditionalFormatting sqref="F2:G2587">
    <cfRule type="duplicateValues" dxfId="92" priority="96"/>
  </conditionalFormatting>
  <conditionalFormatting sqref="F594:G614">
    <cfRule type="duplicateValues" dxfId="91" priority="44"/>
  </conditionalFormatting>
  <conditionalFormatting sqref="F615:G615">
    <cfRule type="duplicateValues" dxfId="90" priority="45"/>
  </conditionalFormatting>
  <conditionalFormatting sqref="F616:G617">
    <cfRule type="duplicateValues" dxfId="89" priority="46"/>
  </conditionalFormatting>
  <conditionalFormatting sqref="F618:G618">
    <cfRule type="duplicateValues" dxfId="88" priority="89"/>
  </conditionalFormatting>
  <conditionalFormatting sqref="F619:G619">
    <cfRule type="duplicateValues" dxfId="87" priority="88"/>
  </conditionalFormatting>
  <conditionalFormatting sqref="F620:G621">
    <cfRule type="duplicateValues" dxfId="86" priority="47"/>
  </conditionalFormatting>
  <conditionalFormatting sqref="F622:G622">
    <cfRule type="duplicateValues" dxfId="85" priority="87"/>
  </conditionalFormatting>
  <conditionalFormatting sqref="F623:G623">
    <cfRule type="duplicateValues" dxfId="84" priority="86"/>
  </conditionalFormatting>
  <conditionalFormatting sqref="F624:G624">
    <cfRule type="duplicateValues" dxfId="83" priority="59"/>
  </conditionalFormatting>
  <conditionalFormatting sqref="F625:G625">
    <cfRule type="duplicateValues" dxfId="82" priority="85"/>
  </conditionalFormatting>
  <conditionalFormatting sqref="F626:G626">
    <cfRule type="duplicateValues" dxfId="81" priority="60"/>
  </conditionalFormatting>
  <conditionalFormatting sqref="F627:G627">
    <cfRule type="duplicateValues" dxfId="80" priority="84"/>
  </conditionalFormatting>
  <conditionalFormatting sqref="F628:G628">
    <cfRule type="duplicateValues" dxfId="79" priority="83"/>
  </conditionalFormatting>
  <conditionalFormatting sqref="F629:G631">
    <cfRule type="duplicateValues" dxfId="78" priority="82"/>
  </conditionalFormatting>
  <conditionalFormatting sqref="F632:G632">
    <cfRule type="duplicateValues" dxfId="77" priority="81"/>
  </conditionalFormatting>
  <conditionalFormatting sqref="F633:G633">
    <cfRule type="duplicateValues" dxfId="76" priority="61"/>
  </conditionalFormatting>
  <conditionalFormatting sqref="F634:G635">
    <cfRule type="duplicateValues" dxfId="75" priority="48"/>
  </conditionalFormatting>
  <conditionalFormatting sqref="F636:G636">
    <cfRule type="duplicateValues" dxfId="74" priority="49"/>
  </conditionalFormatting>
  <conditionalFormatting sqref="F637:G637">
    <cfRule type="duplicateValues" dxfId="73" priority="80"/>
  </conditionalFormatting>
  <conditionalFormatting sqref="F638:G638">
    <cfRule type="duplicateValues" dxfId="72" priority="79"/>
  </conditionalFormatting>
  <conditionalFormatting sqref="F639:G648">
    <cfRule type="duplicateValues" dxfId="71" priority="50"/>
  </conditionalFormatting>
  <conditionalFormatting sqref="F649:G649">
    <cfRule type="duplicateValues" dxfId="70" priority="78"/>
  </conditionalFormatting>
  <conditionalFormatting sqref="F650:G651">
    <cfRule type="duplicateValues" dxfId="69" priority="77"/>
  </conditionalFormatting>
  <conditionalFormatting sqref="F652:G652">
    <cfRule type="duplicateValues" dxfId="68" priority="76"/>
  </conditionalFormatting>
  <conditionalFormatting sqref="F653:G653">
    <cfRule type="duplicateValues" dxfId="67" priority="75"/>
  </conditionalFormatting>
  <conditionalFormatting sqref="F654:G655">
    <cfRule type="duplicateValues" dxfId="66" priority="74"/>
  </conditionalFormatting>
  <conditionalFormatting sqref="F656:G657">
    <cfRule type="duplicateValues" dxfId="65" priority="73"/>
  </conditionalFormatting>
  <conditionalFormatting sqref="F658:G658">
    <cfRule type="duplicateValues" dxfId="64" priority="72"/>
  </conditionalFormatting>
  <conditionalFormatting sqref="F659:G659">
    <cfRule type="duplicateValues" dxfId="63" priority="57"/>
  </conditionalFormatting>
  <conditionalFormatting sqref="F660:G660">
    <cfRule type="duplicateValues" dxfId="62" priority="71"/>
  </conditionalFormatting>
  <conditionalFormatting sqref="F661:G661">
    <cfRule type="duplicateValues" dxfId="61" priority="70"/>
  </conditionalFormatting>
  <conditionalFormatting sqref="F662:G663">
    <cfRule type="duplicateValues" dxfId="60" priority="69"/>
  </conditionalFormatting>
  <conditionalFormatting sqref="F664:G665">
    <cfRule type="duplicateValues" dxfId="59" priority="68"/>
  </conditionalFormatting>
  <conditionalFormatting sqref="F666:G666">
    <cfRule type="duplicateValues" dxfId="58" priority="67"/>
  </conditionalFormatting>
  <conditionalFormatting sqref="F667:G668">
    <cfRule type="duplicateValues" dxfId="57" priority="66"/>
  </conditionalFormatting>
  <conditionalFormatting sqref="F669:G670">
    <cfRule type="duplicateValues" dxfId="56" priority="62"/>
  </conditionalFormatting>
  <conditionalFormatting sqref="F671:G681">
    <cfRule type="duplicateValues" dxfId="55" priority="51"/>
  </conditionalFormatting>
  <conditionalFormatting sqref="F682:G682">
    <cfRule type="duplicateValues" dxfId="54" priority="58"/>
  </conditionalFormatting>
  <conditionalFormatting sqref="F683:G683">
    <cfRule type="duplicateValues" dxfId="53" priority="65"/>
  </conditionalFormatting>
  <conditionalFormatting sqref="F684:G684">
    <cfRule type="duplicateValues" dxfId="52" priority="52"/>
  </conditionalFormatting>
  <conditionalFormatting sqref="F685:G685">
    <cfRule type="duplicateValues" dxfId="51" priority="53"/>
  </conditionalFormatting>
  <conditionalFormatting sqref="F686:G688">
    <cfRule type="duplicateValues" dxfId="50" priority="54"/>
  </conditionalFormatting>
  <conditionalFormatting sqref="F689:G690">
    <cfRule type="duplicateValues" dxfId="49" priority="55"/>
  </conditionalFormatting>
  <conditionalFormatting sqref="F691:G692">
    <cfRule type="duplicateValues" dxfId="48" priority="64"/>
  </conditionalFormatting>
  <conditionalFormatting sqref="F693:G693">
    <cfRule type="duplicateValues" dxfId="47" priority="56"/>
  </conditionalFormatting>
  <conditionalFormatting sqref="F694:G696 G697:G980">
    <cfRule type="duplicateValues" dxfId="46" priority="43"/>
  </conditionalFormatting>
  <conditionalFormatting sqref="F1005:G1005">
    <cfRule type="duplicateValues" dxfId="45" priority="40"/>
  </conditionalFormatting>
  <conditionalFormatting sqref="F1005:G1130">
    <cfRule type="duplicateValues" dxfId="44" priority="3"/>
  </conditionalFormatting>
  <conditionalFormatting sqref="F1005:G1131">
    <cfRule type="duplicateValues" dxfId="42" priority="38"/>
    <cfRule type="duplicateValues" dxfId="43" priority="39"/>
  </conditionalFormatting>
  <conditionalFormatting sqref="F1006:G1130">
    <cfRule type="duplicateValues" dxfId="41" priority="2"/>
  </conditionalFormatting>
  <conditionalFormatting sqref="F1131:G1131">
    <cfRule type="duplicateValues" dxfId="39" priority="36"/>
    <cfRule type="duplicateValues" dxfId="40" priority="37"/>
  </conditionalFormatting>
  <conditionalFormatting sqref="F1132:G1132">
    <cfRule type="duplicateValues" dxfId="37" priority="32"/>
    <cfRule type="duplicateValues" dxfId="35" priority="33"/>
    <cfRule type="duplicateValues" dxfId="36" priority="34"/>
    <cfRule type="duplicateValues" dxfId="38" priority="35"/>
  </conditionalFormatting>
  <conditionalFormatting sqref="F1133:G1133">
    <cfRule type="duplicateValues" dxfId="33" priority="28"/>
    <cfRule type="duplicateValues" dxfId="34" priority="29"/>
    <cfRule type="duplicateValues" dxfId="31" priority="30"/>
    <cfRule type="duplicateValues" dxfId="32" priority="31"/>
  </conditionalFormatting>
  <conditionalFormatting sqref="F1134:G1135">
    <cfRule type="duplicateValues" dxfId="30" priority="27"/>
  </conditionalFormatting>
  <conditionalFormatting sqref="F1136:G1136">
    <cfRule type="duplicateValues" dxfId="29" priority="26"/>
  </conditionalFormatting>
  <conditionalFormatting sqref="F1137:G1137">
    <cfRule type="duplicateValues" dxfId="28" priority="25"/>
  </conditionalFormatting>
  <conditionalFormatting sqref="F1138:G1139">
    <cfRule type="duplicateValues" dxfId="27" priority="18"/>
  </conditionalFormatting>
  <conditionalFormatting sqref="F1140:G1141">
    <cfRule type="duplicateValues" dxfId="26" priority="24"/>
  </conditionalFormatting>
  <conditionalFormatting sqref="F1142:G1142">
    <cfRule type="duplicateValues" dxfId="25" priority="23"/>
  </conditionalFormatting>
  <conditionalFormatting sqref="F1143:G1143">
    <cfRule type="duplicateValues" dxfId="24" priority="22"/>
  </conditionalFormatting>
  <conditionalFormatting sqref="F1144:G1144">
    <cfRule type="duplicateValues" dxfId="23" priority="4"/>
  </conditionalFormatting>
  <conditionalFormatting sqref="F1145:G1146">
    <cfRule type="duplicateValues" dxfId="22" priority="21"/>
  </conditionalFormatting>
  <conditionalFormatting sqref="F1147:G1148">
    <cfRule type="duplicateValues" dxfId="21" priority="20"/>
  </conditionalFormatting>
  <conditionalFormatting sqref="F1149:G1149">
    <cfRule type="duplicateValues" dxfId="20" priority="19"/>
  </conditionalFormatting>
  <conditionalFormatting sqref="F1150:G1150">
    <cfRule type="duplicateValues" dxfId="19" priority="17"/>
  </conditionalFormatting>
  <conditionalFormatting sqref="F1151:G1153">
    <cfRule type="duplicateValues" dxfId="18" priority="16"/>
  </conditionalFormatting>
  <conditionalFormatting sqref="F1154:G1154">
    <cfRule type="duplicateValues" dxfId="17" priority="15"/>
  </conditionalFormatting>
  <conditionalFormatting sqref="F1155:G1156">
    <cfRule type="duplicateValues" dxfId="16" priority="14"/>
  </conditionalFormatting>
  <conditionalFormatting sqref="F1157:G1172">
    <cfRule type="duplicateValues" dxfId="15" priority="13"/>
  </conditionalFormatting>
  <conditionalFormatting sqref="F1173:G1173">
    <cfRule type="duplicateValues" dxfId="14" priority="12"/>
  </conditionalFormatting>
  <conditionalFormatting sqref="F1174:G1179">
    <cfRule type="duplicateValues" dxfId="13" priority="5"/>
  </conditionalFormatting>
  <conditionalFormatting sqref="F1180:G1180">
    <cfRule type="duplicateValues" dxfId="12" priority="11"/>
  </conditionalFormatting>
  <conditionalFormatting sqref="F1181:G1183">
    <cfRule type="duplicateValues" dxfId="11" priority="10"/>
  </conditionalFormatting>
  <conditionalFormatting sqref="F1184:G1184">
    <cfRule type="duplicateValues" dxfId="10" priority="9"/>
  </conditionalFormatting>
  <conditionalFormatting sqref="F1185:G1186">
    <cfRule type="duplicateValues" dxfId="9" priority="8"/>
  </conditionalFormatting>
  <conditionalFormatting sqref="F1187:G1187">
    <cfRule type="duplicateValues" dxfId="8" priority="7"/>
  </conditionalFormatting>
  <conditionalFormatting sqref="F1188:G1189">
    <cfRule type="duplicateValues" dxfId="7" priority="6"/>
  </conditionalFormatting>
  <conditionalFormatting sqref="F1190:G1194">
    <cfRule type="duplicateValues" dxfId="6" priority="1"/>
  </conditionalFormatting>
  <conditionalFormatting sqref="G2:G2587">
    <cfRule type="duplicateValues" dxfId="5" priority="94"/>
  </conditionalFormatting>
  <conditionalFormatting sqref="G996:G998">
    <cfRule type="duplicateValues" dxfId="4" priority="41"/>
  </conditionalFormatting>
  <conditionalFormatting sqref="H1556 H1562 H1564 H1567 H1593:H1594 H1597:H1598 H1600 H1606:H1607 H1609 H1611 H1614 H1617 H1623 H1626 H1652:H1655 H1663:H1664 H1667:H1668 H1677:H1678 H1683 H1770:H1771 H1774:H1775 H1779 H1781 H1783 H1786 H1789 H1794 H1796:H1798 H1802">
    <cfRule type="duplicateValues" dxfId="0" priority="90"/>
    <cfRule type="duplicateValues" dxfId="3" priority="91"/>
    <cfRule type="duplicateValues" dxfId="2" priority="92"/>
    <cfRule type="duplicateValues" dxfId="1" priority="93"/>
  </conditionalFormatting>
  <dataValidations count="1">
    <dataValidation type="whole" allowBlank="1" showInputMessage="1" showErrorMessage="1" sqref="F1837 F1853:F1854 F1875 F1892 F1895 F1897" xr:uid="{19989212-D1B8-43F4-A36D-26CC758B680E}">
      <formula1>111111</formula1>
      <formula2>999999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Sep 26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Couderec Benavides</dc:creator>
  <cp:lastModifiedBy>Jose David Couderec Benavides</cp:lastModifiedBy>
  <dcterms:created xsi:type="dcterms:W3CDTF">2026-09-21T21:02:32Z</dcterms:created>
  <dcterms:modified xsi:type="dcterms:W3CDTF">2026-09-21T21:05:03Z</dcterms:modified>
</cp:coreProperties>
</file>